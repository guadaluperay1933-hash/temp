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vmlDrawing1.vml" ContentType="application/vnd.openxmlformats-officedocument.vmlDrawing"/>
  <Override PartName="/xl/drawings/drawing5.xml" ContentType="application/vnd.openxmlformats-officedocument.drawing+xml"/>
  <Override PartName="/xl/drawings/drawing6.xml" ContentType="application/vnd.openxmlformats-officedocument.drawing+xml"/>
  <Override PartName="/xl/drawings/vmlDrawing2.vml" ContentType="application/vnd.openxmlformats-officedocument.vmlDrawing"/>
  <Override PartName="/xl/drawings/drawing7.xml" ContentType="application/vnd.openxmlformats-officedocument.drawing+xml"/>
  <Override PartName="/xl/drawings/drawing8.xml" ContentType="application/vnd.openxmlformats-officedocument.drawing+xml"/>
  <Override PartName="/xl/comments11.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用说明" sheetId="1" state="visible" r:id="rId3"/>
    <sheet name="指标监测" sheetId="2" state="visible" r:id="rId4"/>
    <sheet name="项目清单" sheetId="3" state="visible" r:id="rId5"/>
    <sheet name="人员名册" sheetId="4" state="visible" r:id="rId6"/>
    <sheet name="资产台账" sheetId="5" state="visible" r:id="rId7"/>
    <sheet name="研发人员工时分配表" sheetId="6" state="visible" r:id="rId8"/>
    <sheet name="研发人员工时费用分配表" sheetId="7" state="visible" r:id="rId9"/>
    <sheet name="仪器设备工时分配表" sheetId="8" state="visible" r:id="rId10"/>
    <sheet name="仪器设备工时费用分配表" sheetId="9" state="visible" r:id="rId11"/>
    <sheet name="无形资产工时分配表" sheetId="10" state="visible" r:id="rId12"/>
    <sheet name="无形资产费用分配表" sheetId="11" state="visible" r:id="rId13"/>
    <sheet name="其他研发费用" sheetId="12" state="visible" r:id="rId14"/>
    <sheet name="月度归集汇总" sheetId="13" state="visible" r:id="rId15"/>
    <sheet name="年度汇总" sheetId="14" state="visible" r:id="rId16"/>
    <sheet name="费用分配说明" sheetId="15" state="visible" r:id="rId17"/>
    <sheet name="附表1-人员工时签批表" sheetId="16" state="visible" r:id="rId18"/>
    <sheet name="附表2-设备工时签批表" sheetId="17" state="visible" r:id="rId19"/>
    <sheet name="附表3-无形资产工时签批表" sheetId="18" state="visible" r:id="rId20"/>
  </sheets>
  <definedNames>
    <definedName function="false" hidden="true" localSheetId="7" name="_xlnm._FilterDatabase" vbProcedure="false">仪器设备工时分配表!$A$5:$U$245</definedName>
    <definedName function="false" hidden="true" localSheetId="8" name="_xlnm._FilterDatabase" vbProcedure="false">仪器设备工时费用分配表!$A$5:$V$245</definedName>
    <definedName function="false" hidden="true" localSheetId="11" name="_xlnm._FilterDatabase" vbProcedure="false">其他研发费用!$A$3:$H$153</definedName>
    <definedName function="false" hidden="true" localSheetId="9" name="_xlnm._FilterDatabase" vbProcedure="false">无形资产工时分配表!$A$5:$U$125</definedName>
    <definedName function="false" hidden="true" localSheetId="10" name="_xlnm._FilterDatabase" vbProcedure="false">无形资产费用分配表!$A$5:$V$125</definedName>
    <definedName function="false" hidden="true" localSheetId="12" name="_xlnm._FilterDatabase" vbProcedure="false">月度归集汇总!$A$3:$M$135</definedName>
    <definedName function="false" hidden="true" localSheetId="5" name="_xlnm._FilterDatabase" vbProcedure="false">研发人员工时分配表!$A$5:$V$245</definedName>
    <definedName function="false" hidden="true" localSheetId="6" name="_xlnm._FilterDatabase" vbProcedure="false">研发人员工时费用分配表!$A$5:$Z$245</definedName>
    <definedName function="false" hidden="false" name="人员工号列表" vbProcedure="false">人员名册!$B$4:$B$53</definedName>
    <definedName function="false" hidden="false" name="资产编号列表" vbProcedure="false">资产台账!$B$4:$B$53</definedName>
    <definedName function="false" hidden="false" name="项目编号列表" vbProcedure="false">项目清单!$B$4:$B$13</definedName>
  </definedName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xdr="http://schemas.openxmlformats.org/drawingml/2006/spreadsheetDrawing">
  <authors>
    <author>Unknown Author</author>
  </authors>
  <commentList>
    <comment ref="F3" authorId="0">
      <text>
        <r>
          <rPr>
            <sz val="10"/>
            <rFont val="WenQuanYi Zen Hei"/>
            <family val="2"/>
          </rPr>
          <t xml:space="preserve">本列自动取自【资产台账】的“月折旧</t>
        </r>
        <r>
          <rPr>
            <sz val="10"/>
            <rFont val="Arial"/>
            <family val="2"/>
          </rPr>
          <t xml:space="preserve">/</t>
        </r>
        <r>
          <rPr>
            <sz val="10"/>
            <rFont val="WenQuanYi Zen Hei"/>
            <family val="2"/>
          </rPr>
          <t xml:space="preserve">摊销</t>
        </r>
        <r>
          <rPr>
            <sz val="10"/>
            <rFont val="Arial"/>
            <family val="2"/>
          </rPr>
          <t xml:space="preserve">/</t>
        </r>
        <r>
          <rPr>
            <sz val="10"/>
            <rFont val="WenQuanYi Zen Hei"/>
            <family val="2"/>
          </rPr>
          <t xml:space="preserve">租赁额”。
当月实际计提金额与台账不同时（如新增、处置、停用），可直接在单元格覆盖填写实际数。
数据来源：月度固定资产折旧明细表。</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F3" authorId="0">
      <text>
        <r>
          <rPr>
            <sz val="10"/>
            <rFont val="WenQuanYi Zen Hei"/>
            <family val="2"/>
          </rPr>
          <t xml:space="preserve">自动取自【资产台账】的“月折旧</t>
        </r>
        <r>
          <rPr>
            <sz val="10"/>
            <rFont val="Arial"/>
            <family val="2"/>
          </rPr>
          <t xml:space="preserve">/</t>
        </r>
        <r>
          <rPr>
            <sz val="10"/>
            <rFont val="WenQuanYi Zen Hei"/>
            <family val="2"/>
          </rPr>
          <t xml:space="preserve">摊销</t>
        </r>
        <r>
          <rPr>
            <sz val="10"/>
            <rFont val="Arial"/>
            <family val="2"/>
          </rPr>
          <t xml:space="preserve">/</t>
        </r>
        <r>
          <rPr>
            <sz val="10"/>
            <rFont val="WenQuanYi Zen Hei"/>
            <family val="2"/>
          </rPr>
          <t xml:space="preserve">租赁额”。
当月实际摊销额不同时可直接覆盖填写。
数据来源：月度无形资产摊销表。</t>
        </r>
      </text>
    </comment>
  </commentList>
</comments>
</file>

<file path=xl/sharedStrings.xml><?xml version="1.0" encoding="utf-8"?>
<sst xmlns="http://schemas.openxmlformats.org/spreadsheetml/2006/main" count="777" uniqueCount="398">
  <si>
    <r>
      <rPr>
        <sz val="8.5"/>
        <color rgb="FF808080"/>
        <rFont val="WenQuanYi Zen Hei"/>
        <family val="2"/>
      </rPr>
      <t xml:space="preserve">公司 </t>
    </r>
    <r>
      <rPr>
        <sz val="8.5"/>
        <color rgb="FF808080"/>
        <rFont val="微软雅黑"/>
        <family val="0"/>
        <charset val="1"/>
      </rPr>
      <t xml:space="preserve">LOGO
</t>
    </r>
    <r>
      <rPr>
        <sz val="8.5"/>
        <color rgb="FF808080"/>
        <rFont val="WenQuanYi Zen Hei"/>
        <family val="2"/>
      </rPr>
      <t xml:space="preserve">（选中本区域插入图片）</t>
    </r>
  </si>
  <si>
    <t xml:space="preserve">企业名称：</t>
  </si>
  <si>
    <t xml:space="preserve">← 填一次，全表标题自动带出</t>
  </si>
  <si>
    <t xml:space="preserve">一、适用范围</t>
  </si>
  <si>
    <r>
      <rPr>
        <sz val="10"/>
        <rFont val="WenQuanYi Zen Hei"/>
        <family val="2"/>
      </rPr>
      <t xml:space="preserve">本台账适用于以泡棉发泡成型、泡棉与</t>
    </r>
    <r>
      <rPr>
        <sz val="10"/>
        <rFont val="微软雅黑"/>
        <family val="0"/>
        <charset val="1"/>
      </rPr>
      <t xml:space="preserve">PET</t>
    </r>
    <r>
      <rPr>
        <sz val="10"/>
        <rFont val="WenQuanYi Zen Hei"/>
        <family val="2"/>
      </rPr>
      <t xml:space="preserve">基材贴合（复合）、分切</t>
    </r>
    <r>
      <rPr>
        <sz val="10"/>
        <rFont val="微软雅黑"/>
        <family val="0"/>
        <charset val="1"/>
      </rPr>
      <t xml:space="preserve">/</t>
    </r>
    <r>
      <rPr>
        <sz val="10"/>
        <rFont val="WenQuanYi Zen Hei"/>
        <family val="2"/>
      </rPr>
      <t xml:space="preserve">模切为主要工艺，产品应用于</t>
    </r>
    <r>
      <rPr>
        <sz val="10"/>
        <rFont val="微软雅黑"/>
        <family val="0"/>
        <charset val="1"/>
      </rPr>
      <t xml:space="preserve">3C</t>
    </r>
    <r>
      <rPr>
        <sz val="10"/>
        <rFont val="WenQuanYi Zen Hei"/>
        <family val="2"/>
      </rPr>
      <t xml:space="preserve">电子与新能源汽车板块的企业。</t>
    </r>
  </si>
  <si>
    <t xml:space="preserve">针对研发人员、仪器设备与无形资产在研发与生产之间“混合使用”的情形，按工时法进行费用分配，形成《费用分配说明》及计算证据材料，满足高新技术企业认定、研发费用加计扣除等对“从事研发活动的人员（含外聘人员）和用于研发活动的仪器、设备、无形资产的费用分配说明（包括工作使用情况记录及费用分配计算证据材料）”的资料要求。</t>
  </si>
  <si>
    <t xml:space="preserve">二、核算原则</t>
  </si>
  <si>
    <t xml:space="preserve">① 按月核算、按年汇总：每月末由研发人员填报工时，财务据以计算分摊，年末自动汇总；</t>
  </si>
  <si>
    <r>
      <rPr>
        <sz val="10"/>
        <rFont val="WenQuanYi Zen Hei"/>
        <family val="2"/>
      </rPr>
      <t xml:space="preserve">② 人员人工费用：当月某项目应分摊人工费 </t>
    </r>
    <r>
      <rPr>
        <sz val="10"/>
        <rFont val="微软雅黑"/>
        <family val="0"/>
        <charset val="1"/>
      </rPr>
      <t xml:space="preserve">= </t>
    </r>
    <r>
      <rPr>
        <sz val="10"/>
        <rFont val="WenQuanYi Zen Hei"/>
        <family val="2"/>
      </rPr>
      <t xml:space="preserve">该人员当月总薪酬（含工资、社保、公积金、外聘劳务费）</t>
    </r>
    <r>
      <rPr>
        <sz val="10"/>
        <rFont val="微软雅黑"/>
        <family val="0"/>
        <charset val="1"/>
      </rPr>
      <t xml:space="preserve">×</t>
    </r>
    <r>
      <rPr>
        <sz val="10"/>
        <rFont val="WenQuanYi Zen Hei"/>
        <family val="2"/>
      </rPr>
      <t xml:space="preserve">（该项目研发工时 </t>
    </r>
    <r>
      <rPr>
        <sz val="10"/>
        <rFont val="微软雅黑"/>
        <family val="0"/>
        <charset val="1"/>
      </rPr>
      <t xml:space="preserve">÷ </t>
    </r>
    <r>
      <rPr>
        <sz val="10"/>
        <rFont val="WenQuanYi Zen Hei"/>
        <family val="2"/>
      </rPr>
      <t xml:space="preserve">该人员当月总工时）；</t>
    </r>
  </si>
  <si>
    <r>
      <rPr>
        <sz val="10"/>
        <rFont val="WenQuanYi Zen Hei"/>
        <family val="2"/>
      </rPr>
      <t xml:space="preserve">③ 仪器设备折旧</t>
    </r>
    <r>
      <rPr>
        <sz val="10"/>
        <rFont val="微软雅黑"/>
        <family val="0"/>
        <charset val="1"/>
      </rPr>
      <t xml:space="preserve">/</t>
    </r>
    <r>
      <rPr>
        <sz val="10"/>
        <rFont val="WenQuanYi Zen Hei"/>
        <family val="2"/>
      </rPr>
      <t xml:space="preserve">使用费：当月某项目应分摊设备费 </t>
    </r>
    <r>
      <rPr>
        <sz val="10"/>
        <rFont val="微软雅黑"/>
        <family val="0"/>
        <charset val="1"/>
      </rPr>
      <t xml:space="preserve">= </t>
    </r>
    <r>
      <rPr>
        <sz val="10"/>
        <rFont val="WenQuanYi Zen Hei"/>
        <family val="2"/>
      </rPr>
      <t xml:space="preserve">该设备当月折旧额（或租赁费）</t>
    </r>
    <r>
      <rPr>
        <sz val="10"/>
        <rFont val="微软雅黑"/>
        <family val="0"/>
        <charset val="1"/>
      </rPr>
      <t xml:space="preserve">×</t>
    </r>
    <r>
      <rPr>
        <sz val="10"/>
        <rFont val="WenQuanYi Zen Hei"/>
        <family val="2"/>
      </rPr>
      <t xml:space="preserve">（该项目使用工时 </t>
    </r>
    <r>
      <rPr>
        <sz val="10"/>
        <rFont val="微软雅黑"/>
        <family val="0"/>
        <charset val="1"/>
      </rPr>
      <t xml:space="preserve">÷ </t>
    </r>
    <r>
      <rPr>
        <sz val="10"/>
        <rFont val="WenQuanYi Zen Hei"/>
        <family val="2"/>
      </rPr>
      <t xml:space="preserve">该设备当月总运行工时）；</t>
    </r>
  </si>
  <si>
    <r>
      <rPr>
        <sz val="10"/>
        <rFont val="WenQuanYi Zen Hei"/>
        <family val="2"/>
      </rPr>
      <t xml:space="preserve">④ 无形资产摊销：当月某项目应分摊的摊销额 </t>
    </r>
    <r>
      <rPr>
        <sz val="10"/>
        <rFont val="微软雅黑"/>
        <family val="0"/>
        <charset val="1"/>
      </rPr>
      <t xml:space="preserve">= </t>
    </r>
    <r>
      <rPr>
        <sz val="10"/>
        <rFont val="WenQuanYi Zen Hei"/>
        <family val="2"/>
      </rPr>
      <t xml:space="preserve">该无形资产当月摊销额 </t>
    </r>
    <r>
      <rPr>
        <sz val="10"/>
        <rFont val="微软雅黑"/>
        <family val="0"/>
        <charset val="1"/>
      </rPr>
      <t xml:space="preserve">×</t>
    </r>
    <r>
      <rPr>
        <sz val="10"/>
        <rFont val="WenQuanYi Zen Hei"/>
        <family val="2"/>
      </rPr>
      <t xml:space="preserve">（该项目使用工时 </t>
    </r>
    <r>
      <rPr>
        <sz val="10"/>
        <rFont val="微软雅黑"/>
        <family val="0"/>
        <charset val="1"/>
      </rPr>
      <t xml:space="preserve">÷ </t>
    </r>
    <r>
      <rPr>
        <sz val="10"/>
        <rFont val="WenQuanYi Zen Hei"/>
        <family val="2"/>
      </rPr>
      <t xml:space="preserve">该资产当月总使用工时），由研发按月填报无形资产使用工时；</t>
    </r>
  </si>
  <si>
    <r>
      <rPr>
        <sz val="10"/>
        <rFont val="WenQuanYi Zen Hei"/>
        <family val="2"/>
      </rPr>
      <t xml:space="preserve">⑤ 研发专用人员</t>
    </r>
    <r>
      <rPr>
        <sz val="10"/>
        <rFont val="微软雅黑"/>
        <family val="0"/>
        <charset val="1"/>
      </rPr>
      <t xml:space="preserve">/</t>
    </r>
    <r>
      <rPr>
        <sz val="10"/>
        <rFont val="WenQuanYi Zen Hei"/>
        <family val="2"/>
      </rPr>
      <t xml:space="preserve">设备</t>
    </r>
    <r>
      <rPr>
        <sz val="10"/>
        <rFont val="微软雅黑"/>
        <family val="0"/>
        <charset val="1"/>
      </rPr>
      <t xml:space="preserve">/</t>
    </r>
    <r>
      <rPr>
        <sz val="10"/>
        <rFont val="WenQuanYi Zen Hei"/>
        <family val="2"/>
      </rPr>
      <t xml:space="preserve">无形资产记录全额工时；研发生产共用的记录实际投入研发的工时；</t>
    </r>
  </si>
  <si>
    <t xml:space="preserve">⑥ 未分配至研发项目的部分，全额计入生产成本，做到“研发与生产各归其位、合计不重不漏”。</t>
  </si>
  <si>
    <t xml:space="preserve">⑦ 数据来源：薪酬数据源自月度工资表；折旧数据源自月度固定资产折旧明细表；摊销数据源自无形资产摊销表。</t>
  </si>
  <si>
    <r>
      <rPr>
        <b val="true"/>
        <sz val="11"/>
        <color rgb="FF1F4E79"/>
        <rFont val="WenQuanYi Zen Hei"/>
        <family val="2"/>
      </rPr>
      <t xml:space="preserve">三、每月操作流程（</t>
    </r>
    <r>
      <rPr>
        <b val="true"/>
        <sz val="11"/>
        <color rgb="FF1F4E79"/>
        <rFont val="微软雅黑"/>
        <family val="0"/>
        <charset val="1"/>
      </rPr>
      <t xml:space="preserve">5</t>
    </r>
    <r>
      <rPr>
        <b val="true"/>
        <sz val="11"/>
        <color rgb="FF1F4E79"/>
        <rFont val="WenQuanYi Zen Hei"/>
        <family val="2"/>
      </rPr>
      <t xml:space="preserve">步）</t>
    </r>
  </si>
  <si>
    <r>
      <rPr>
        <b val="true"/>
        <sz val="10"/>
        <rFont val="WenQuanYi Zen Hei"/>
        <family val="2"/>
      </rPr>
      <t xml:space="preserve">第</t>
    </r>
    <r>
      <rPr>
        <b val="true"/>
        <sz val="10"/>
        <rFont val="微软雅黑"/>
        <family val="0"/>
        <charset val="1"/>
      </rPr>
      <t xml:space="preserve">1</t>
    </r>
    <r>
      <rPr>
        <b val="true"/>
        <sz val="10"/>
        <rFont val="WenQuanYi Zen Hei"/>
        <family val="2"/>
      </rPr>
      <t xml:space="preserve">步  基础维护</t>
    </r>
  </si>
  <si>
    <t xml:space="preserve">在【项目清单】【人员名册】【资产台账】中维护当期在研项目、研发人员（含外聘）、研发与生产共用的设备及无形资产。基础信息只需变动时维护。</t>
  </si>
  <si>
    <r>
      <rPr>
        <b val="true"/>
        <sz val="10"/>
        <rFont val="WenQuanYi Zen Hei"/>
        <family val="2"/>
      </rPr>
      <t xml:space="preserve">第</t>
    </r>
    <r>
      <rPr>
        <b val="true"/>
        <sz val="10"/>
        <rFont val="微软雅黑"/>
        <family val="0"/>
        <charset val="1"/>
      </rPr>
      <t xml:space="preserve">2</t>
    </r>
    <r>
      <rPr>
        <b val="true"/>
        <sz val="10"/>
        <rFont val="WenQuanYi Zen Hei"/>
        <family val="2"/>
      </rPr>
      <t xml:space="preserve">步  工时填报</t>
    </r>
  </si>
  <si>
    <r>
      <rPr>
        <sz val="10"/>
        <rFont val="WenQuanYi Zen Hei"/>
        <family val="2"/>
      </rPr>
      <t xml:space="preserve">研发部门于次月</t>
    </r>
    <r>
      <rPr>
        <sz val="10"/>
        <rFont val="微软雅黑"/>
        <family val="0"/>
        <charset val="1"/>
      </rPr>
      <t xml:space="preserve">3</t>
    </r>
    <r>
      <rPr>
        <sz val="10"/>
        <rFont val="WenQuanYi Zen Hei"/>
        <family val="2"/>
      </rPr>
      <t xml:space="preserve">日前完成《研发人员工时分配表》《仪器、设备工时分配表》《无形资产工时分配表》填报（签批用纸质表见【附表</t>
    </r>
    <r>
      <rPr>
        <sz val="10"/>
        <rFont val="微软雅黑"/>
        <family val="0"/>
        <charset val="1"/>
      </rPr>
      <t xml:space="preserve">1</t>
    </r>
    <r>
      <rPr>
        <sz val="10"/>
        <rFont val="WenQuanYi Zen Hei"/>
        <family val="2"/>
      </rPr>
      <t xml:space="preserve">】【附表</t>
    </r>
    <r>
      <rPr>
        <sz val="10"/>
        <rFont val="微软雅黑"/>
        <family val="0"/>
        <charset val="1"/>
      </rPr>
      <t xml:space="preserve">2</t>
    </r>
    <r>
      <rPr>
        <sz val="10"/>
        <rFont val="WenQuanYi Zen Hei"/>
        <family val="2"/>
      </rPr>
      <t xml:space="preserve">】【附表</t>
    </r>
    <r>
      <rPr>
        <sz val="10"/>
        <rFont val="微软雅黑"/>
        <family val="0"/>
        <charset val="1"/>
      </rPr>
      <t xml:space="preserve">3</t>
    </r>
    <r>
      <rPr>
        <sz val="10"/>
        <rFont val="WenQuanYi Zen Hei"/>
        <family val="2"/>
      </rPr>
      <t xml:space="preserve">】），经项目负责人、部门负责人签字确认后交财务。签字件为“工作使用情况记录”原始证据，须装订留存。</t>
    </r>
  </si>
  <si>
    <r>
      <rPr>
        <b val="true"/>
        <sz val="10"/>
        <rFont val="WenQuanYi Zen Hei"/>
        <family val="2"/>
      </rPr>
      <t xml:space="preserve">第</t>
    </r>
    <r>
      <rPr>
        <b val="true"/>
        <sz val="10"/>
        <rFont val="微软雅黑"/>
        <family val="0"/>
        <charset val="1"/>
      </rPr>
      <t xml:space="preserve">3</t>
    </r>
    <r>
      <rPr>
        <b val="true"/>
        <sz val="10"/>
        <rFont val="WenQuanYi Zen Hei"/>
        <family val="2"/>
      </rPr>
      <t xml:space="preserve">步  数据录入</t>
    </r>
  </si>
  <si>
    <r>
      <rPr>
        <sz val="10"/>
        <rFont val="WenQuanYi Zen Hei"/>
        <family val="2"/>
      </rPr>
      <t xml:space="preserve">财务将签批后的工时录入【研发人员工时分配表】与【仪器设备工时分配表】。注意“工时校验”列必须为</t>
    </r>
    <r>
      <rPr>
        <sz val="10"/>
        <rFont val="微软雅黑"/>
        <family val="0"/>
        <charset val="1"/>
      </rPr>
      <t xml:space="preserve">0</t>
    </r>
    <r>
      <rPr>
        <sz val="10"/>
        <rFont val="WenQuanYi Zen Hei"/>
        <family val="2"/>
      </rPr>
      <t xml:space="preserve">（红色即为不平）。研发专用人员</t>
    </r>
    <r>
      <rPr>
        <sz val="10"/>
        <rFont val="微软雅黑"/>
        <family val="0"/>
        <charset val="1"/>
      </rPr>
      <t xml:space="preserve">/</t>
    </r>
    <r>
      <rPr>
        <sz val="10"/>
        <rFont val="WenQuanYi Zen Hei"/>
        <family val="2"/>
      </rPr>
      <t xml:space="preserve">设备的“非研发工时”应填</t>
    </r>
    <r>
      <rPr>
        <sz val="10"/>
        <rFont val="微软雅黑"/>
        <family val="0"/>
        <charset val="1"/>
      </rPr>
      <t xml:space="preserve">0</t>
    </r>
    <r>
      <rPr>
        <sz val="10"/>
        <rFont val="WenQuanYi Zen Hei"/>
        <family val="2"/>
      </rPr>
      <t xml:space="preserve">。</t>
    </r>
  </si>
  <si>
    <r>
      <rPr>
        <b val="true"/>
        <sz val="10"/>
        <rFont val="WenQuanYi Zen Hei"/>
        <family val="2"/>
      </rPr>
      <t xml:space="preserve">第</t>
    </r>
    <r>
      <rPr>
        <b val="true"/>
        <sz val="10"/>
        <rFont val="微软雅黑"/>
        <family val="0"/>
        <charset val="1"/>
      </rPr>
      <t xml:space="preserve">4</t>
    </r>
    <r>
      <rPr>
        <b val="true"/>
        <sz val="10"/>
        <rFont val="WenQuanYi Zen Hei"/>
        <family val="2"/>
      </rPr>
      <t xml:space="preserve">步  费用分摊</t>
    </r>
  </si>
  <si>
    <r>
      <rPr>
        <sz val="10"/>
        <rFont val="WenQuanYi Zen Hei"/>
        <family val="2"/>
      </rPr>
      <t xml:space="preserve">在【研发人员工时费用分配表】录入当月薪酬构成；在【仪器设备工时费用分配表】核对当月折旧</t>
    </r>
    <r>
      <rPr>
        <sz val="10"/>
        <rFont val="微软雅黑"/>
        <family val="0"/>
        <charset val="1"/>
      </rPr>
      <t xml:space="preserve">/</t>
    </r>
    <r>
      <rPr>
        <sz val="10"/>
        <rFont val="WenQuanYi Zen Hei"/>
        <family val="2"/>
      </rPr>
      <t xml:space="preserve">租赁金额；在【无形资产费用分配表】核对当月摊销额。三表的各项目分摊金额均按对应工时占比自动计算。【其他研发费用】按需登记直接投入等费用（选填）。</t>
    </r>
  </si>
  <si>
    <r>
      <rPr>
        <b val="true"/>
        <sz val="10"/>
        <rFont val="WenQuanYi Zen Hei"/>
        <family val="2"/>
      </rPr>
      <t xml:space="preserve">第</t>
    </r>
    <r>
      <rPr>
        <b val="true"/>
        <sz val="10"/>
        <rFont val="微软雅黑"/>
        <family val="0"/>
        <charset val="1"/>
      </rPr>
      <t xml:space="preserve">5</t>
    </r>
    <r>
      <rPr>
        <b val="true"/>
        <sz val="10"/>
        <rFont val="WenQuanYi Zen Hei"/>
        <family val="2"/>
      </rPr>
      <t xml:space="preserve">步  汇总复核</t>
    </r>
  </si>
  <si>
    <r>
      <rPr>
        <sz val="10"/>
        <rFont val="WenQuanYi Zen Hei"/>
        <family val="2"/>
      </rPr>
      <t xml:space="preserve">查看【月度归集汇总】与【年度汇总】（含表四勾稽校验，差异须为</t>
    </r>
    <r>
      <rPr>
        <sz val="10"/>
        <rFont val="微软雅黑"/>
        <family val="0"/>
        <charset val="1"/>
      </rPr>
      <t xml:space="preserve">0</t>
    </r>
    <r>
      <rPr>
        <sz val="10"/>
        <rFont val="WenQuanYi Zen Hei"/>
        <family val="2"/>
      </rPr>
      <t xml:space="preserve">），与研发支出辅助账、财务账核对一致；同步更新【指标监测】中的收入与人数，跟踪三项高企指标；年末打印【费用分配说明】签章存档。</t>
    </r>
  </si>
  <si>
    <t xml:space="preserve">四、本台账与《研发费用归集》制表要求的对应关系</t>
  </si>
  <si>
    <t xml:space="preserve">指标监测</t>
  </si>
  <si>
    <r>
      <rPr>
        <sz val="10"/>
        <rFont val="WenQuanYi Zen Hei"/>
        <family val="2"/>
      </rPr>
      <t xml:space="preserve">《各项指标监测》—— 科技人员占比≥</t>
    </r>
    <r>
      <rPr>
        <sz val="10"/>
        <rFont val="微软雅黑"/>
        <family val="0"/>
        <charset val="1"/>
      </rPr>
      <t xml:space="preserve">10%</t>
    </r>
    <r>
      <rPr>
        <sz val="10"/>
        <rFont val="WenQuanYi Zen Hei"/>
        <family val="2"/>
      </rPr>
      <t xml:space="preserve">、研发费用占销售收入比例（＜</t>
    </r>
    <r>
      <rPr>
        <sz val="10"/>
        <rFont val="微软雅黑"/>
        <family val="0"/>
        <charset val="1"/>
      </rPr>
      <t xml:space="preserve">5000</t>
    </r>
    <r>
      <rPr>
        <sz val="10"/>
        <rFont val="WenQuanYi Zen Hei"/>
        <family val="2"/>
      </rPr>
      <t xml:space="preserve">万≥</t>
    </r>
    <r>
      <rPr>
        <sz val="10"/>
        <rFont val="微软雅黑"/>
        <family val="0"/>
        <charset val="1"/>
      </rPr>
      <t xml:space="preserve">5%</t>
    </r>
    <r>
      <rPr>
        <sz val="10"/>
        <rFont val="WenQuanYi Zen Hei"/>
        <family val="2"/>
      </rPr>
      <t xml:space="preserve">／</t>
    </r>
    <r>
      <rPr>
        <sz val="10"/>
        <rFont val="微软雅黑"/>
        <family val="0"/>
        <charset val="1"/>
      </rPr>
      <t xml:space="preserve">5000</t>
    </r>
    <r>
      <rPr>
        <sz val="10"/>
        <rFont val="WenQuanYi Zen Hei"/>
        <family val="2"/>
      </rPr>
      <t xml:space="preserve">万</t>
    </r>
    <r>
      <rPr>
        <sz val="10"/>
        <rFont val="微软雅黑"/>
        <family val="0"/>
        <charset val="1"/>
      </rPr>
      <t xml:space="preserve">~2</t>
    </r>
    <r>
      <rPr>
        <sz val="10"/>
        <rFont val="WenQuanYi Zen Hei"/>
        <family val="2"/>
      </rPr>
      <t xml:space="preserve">亿≥</t>
    </r>
    <r>
      <rPr>
        <sz val="10"/>
        <rFont val="微软雅黑"/>
        <family val="0"/>
        <charset val="1"/>
      </rPr>
      <t xml:space="preserve">4%</t>
    </r>
    <r>
      <rPr>
        <sz val="10"/>
        <rFont val="WenQuanYi Zen Hei"/>
        <family val="2"/>
      </rPr>
      <t xml:space="preserve">／＞</t>
    </r>
    <r>
      <rPr>
        <sz val="10"/>
        <rFont val="微软雅黑"/>
        <family val="0"/>
        <charset val="1"/>
      </rPr>
      <t xml:space="preserve">2</t>
    </r>
    <r>
      <rPr>
        <sz val="10"/>
        <rFont val="WenQuanYi Zen Hei"/>
        <family val="2"/>
      </rPr>
      <t xml:space="preserve">亿≥</t>
    </r>
    <r>
      <rPr>
        <sz val="10"/>
        <rFont val="微软雅黑"/>
        <family val="0"/>
        <charset val="1"/>
      </rPr>
      <t xml:space="preserve">3%</t>
    </r>
    <r>
      <rPr>
        <sz val="10"/>
        <rFont val="WenQuanYi Zen Hei"/>
        <family val="2"/>
      </rPr>
      <t xml:space="preserve">）、高新收入占比≥</t>
    </r>
    <r>
      <rPr>
        <sz val="10"/>
        <rFont val="微软雅黑"/>
        <family val="0"/>
        <charset val="1"/>
      </rPr>
      <t xml:space="preserve">60%</t>
    </r>
    <r>
      <rPr>
        <sz val="10"/>
        <rFont val="WenQuanYi Zen Hei"/>
        <family val="2"/>
      </rPr>
      <t xml:space="preserve">。对应页签：【指标监测】</t>
    </r>
  </si>
  <si>
    <t xml:space="preserve">人员人工</t>
  </si>
  <si>
    <t xml:space="preserve">《研发人员工时分配表》研发按月填报 → 【研发人员工时分配表】；《研发人员工时费用分配表》财务按月按项目核算、按年汇总 → 【研发人员工时费用分配表】</t>
  </si>
  <si>
    <t xml:space="preserve">仪器设备</t>
  </si>
  <si>
    <t xml:space="preserve">《仪器、设备工时分配表》研发按月填报 → 【仪器设备工时分配表】；《仪器、设备工时费用分配表》财务按月按项目核算、按年汇总 → 【仪器设备工时费用分配表】</t>
  </si>
  <si>
    <t xml:space="preserve">无形资产</t>
  </si>
  <si>
    <t xml:space="preserve">《无形资产工时分配表》研发按月填报 → 【无形资产工时分配表】；《无形资产费用分配表》财务按月按项目核算、按年汇总 → 【无形资产费用分配表】</t>
  </si>
  <si>
    <t xml:space="preserve">五、单元格颜色约定</t>
  </si>
  <si>
    <r>
      <rPr>
        <b val="true"/>
        <sz val="10"/>
        <rFont val="WenQuanYi Zen Hei"/>
        <family val="2"/>
      </rPr>
      <t xml:space="preserve">浅黄底 </t>
    </r>
    <r>
      <rPr>
        <b val="true"/>
        <sz val="10"/>
        <rFont val="微软雅黑"/>
        <family val="0"/>
        <charset val="1"/>
      </rPr>
      <t xml:space="preserve">= </t>
    </r>
    <r>
      <rPr>
        <b val="true"/>
        <sz val="10"/>
        <rFont val="WenQuanYi Zen Hei"/>
        <family val="2"/>
      </rPr>
      <t xml:space="preserve">需人工录入</t>
    </r>
  </si>
  <si>
    <r>
      <rPr>
        <sz val="10"/>
        <rFont val="WenQuanYi Zen Hei"/>
        <family val="2"/>
      </rPr>
      <t xml:space="preserve">由研发</t>
    </r>
    <r>
      <rPr>
        <sz val="10"/>
        <rFont val="微软雅黑"/>
        <family val="0"/>
        <charset val="1"/>
      </rPr>
      <t xml:space="preserve">/</t>
    </r>
    <r>
      <rPr>
        <sz val="10"/>
        <rFont val="WenQuanYi Zen Hei"/>
        <family val="2"/>
      </rPr>
      <t xml:space="preserve">财务填写的原始数据</t>
    </r>
  </si>
  <si>
    <r>
      <rPr>
        <b val="true"/>
        <sz val="10"/>
        <rFont val="WenQuanYi Zen Hei"/>
        <family val="2"/>
      </rPr>
      <t xml:space="preserve">浅灰底 </t>
    </r>
    <r>
      <rPr>
        <b val="true"/>
        <sz val="10"/>
        <rFont val="微软雅黑"/>
        <family val="0"/>
        <charset val="1"/>
      </rPr>
      <t xml:space="preserve">= </t>
    </r>
    <r>
      <rPr>
        <b val="true"/>
        <sz val="10"/>
        <rFont val="WenQuanYi Zen Hei"/>
        <family val="2"/>
      </rPr>
      <t xml:space="preserve">公式自动计算</t>
    </r>
  </si>
  <si>
    <t xml:space="preserve">请勿手工覆盖，改动会破坏勾稽关系</t>
  </si>
  <si>
    <r>
      <rPr>
        <b val="true"/>
        <sz val="10"/>
        <rFont val="WenQuanYi Zen Hei"/>
        <family val="2"/>
      </rPr>
      <t xml:space="preserve">浅蓝底 </t>
    </r>
    <r>
      <rPr>
        <b val="true"/>
        <sz val="10"/>
        <rFont val="微软雅黑"/>
        <family val="0"/>
        <charset val="1"/>
      </rPr>
      <t xml:space="preserve">= </t>
    </r>
    <r>
      <rPr>
        <b val="true"/>
        <sz val="10"/>
        <rFont val="WenQuanYi Zen Hei"/>
        <family val="2"/>
      </rPr>
      <t xml:space="preserve">合计</t>
    </r>
    <r>
      <rPr>
        <b val="true"/>
        <sz val="10"/>
        <rFont val="微软雅黑"/>
        <family val="0"/>
        <charset val="1"/>
      </rPr>
      <t xml:space="preserve">/</t>
    </r>
    <r>
      <rPr>
        <b val="true"/>
        <sz val="10"/>
        <rFont val="WenQuanYi Zen Hei"/>
        <family val="2"/>
      </rPr>
      <t xml:space="preserve">汇总行</t>
    </r>
  </si>
  <si>
    <t xml:space="preserve">自动生成，用于与账面核对</t>
  </si>
  <si>
    <t xml:space="preserve">六、留存备查资料清单（应对“费用分配说明”核查）</t>
  </si>
  <si>
    <r>
      <rPr>
        <sz val="10"/>
        <rFont val="微软雅黑"/>
        <family val="0"/>
        <charset val="1"/>
      </rPr>
      <t xml:space="preserve">1. </t>
    </r>
    <r>
      <rPr>
        <sz val="10"/>
        <rFont val="WenQuanYi Zen Hei"/>
        <family val="2"/>
      </rPr>
      <t xml:space="preserve">本台账电子版（按年一个文件）及打印的【月度归集汇总】【年度汇总】；</t>
    </r>
  </si>
  <si>
    <r>
      <rPr>
        <sz val="10"/>
        <rFont val="微软雅黑"/>
        <family val="0"/>
        <charset val="1"/>
      </rPr>
      <t xml:space="preserve">2. </t>
    </r>
    <r>
      <rPr>
        <sz val="10"/>
        <rFont val="WenQuanYi Zen Hei"/>
        <family val="2"/>
      </rPr>
      <t xml:space="preserve">经签批的《研发人员工时分配表》《仪器、设备工时分配表》《无形资产工时分配表》原件（附表</t>
    </r>
    <r>
      <rPr>
        <sz val="10"/>
        <rFont val="微软雅黑"/>
        <family val="0"/>
        <charset val="1"/>
      </rPr>
      <t xml:space="preserve">1</t>
    </r>
    <r>
      <rPr>
        <sz val="10"/>
        <rFont val="WenQuanYi Zen Hei"/>
        <family val="2"/>
      </rPr>
      <t xml:space="preserve">、附表</t>
    </r>
    <r>
      <rPr>
        <sz val="10"/>
        <rFont val="微软雅黑"/>
        <family val="0"/>
        <charset val="1"/>
      </rPr>
      <t xml:space="preserve">2</t>
    </r>
    <r>
      <rPr>
        <sz val="10"/>
        <rFont val="WenQuanYi Zen Hei"/>
        <family val="2"/>
      </rPr>
      <t xml:space="preserve">、附表</t>
    </r>
    <r>
      <rPr>
        <sz val="10"/>
        <rFont val="微软雅黑"/>
        <family val="0"/>
        <charset val="1"/>
      </rPr>
      <t xml:space="preserve">3</t>
    </r>
    <r>
      <rPr>
        <sz val="10"/>
        <rFont val="WenQuanYi Zen Hei"/>
        <family val="2"/>
      </rPr>
      <t xml:space="preserve">）；</t>
    </r>
  </si>
  <si>
    <r>
      <rPr>
        <sz val="10"/>
        <rFont val="微软雅黑"/>
        <family val="0"/>
        <charset val="1"/>
      </rPr>
      <t xml:space="preserve">3. </t>
    </r>
    <r>
      <rPr>
        <sz val="10"/>
        <rFont val="WenQuanYi Zen Hei"/>
        <family val="2"/>
      </rPr>
      <t xml:space="preserve">《研发人员与设备费用分配说明》（本文件【费用分配说明】页，加盖公章）；</t>
    </r>
  </si>
  <si>
    <r>
      <rPr>
        <sz val="10"/>
        <rFont val="微软雅黑"/>
        <family val="0"/>
        <charset val="1"/>
      </rPr>
      <t xml:space="preserve">4. </t>
    </r>
    <r>
      <rPr>
        <sz val="10"/>
        <rFont val="WenQuanYi Zen Hei"/>
        <family val="2"/>
      </rPr>
      <t xml:space="preserve">研发人员名册、劳动合同</t>
    </r>
    <r>
      <rPr>
        <sz val="10"/>
        <rFont val="微软雅黑"/>
        <family val="0"/>
        <charset val="1"/>
      </rPr>
      <t xml:space="preserve">/</t>
    </r>
    <r>
      <rPr>
        <sz val="10"/>
        <rFont val="WenQuanYi Zen Hei"/>
        <family val="2"/>
      </rPr>
      <t xml:space="preserve">外聘劳务合同、当月工资表及社保公积金缴纳凭证；</t>
    </r>
  </si>
  <si>
    <r>
      <rPr>
        <sz val="10"/>
        <rFont val="微软雅黑"/>
        <family val="0"/>
        <charset val="1"/>
      </rPr>
      <t xml:space="preserve">5. </t>
    </r>
    <r>
      <rPr>
        <sz val="10"/>
        <rFont val="WenQuanYi Zen Hei"/>
        <family val="2"/>
      </rPr>
      <t xml:space="preserve">设备固定资产卡片、折旧计提表、租赁合同及付款凭证，无形资产摊销表；</t>
    </r>
  </si>
  <si>
    <r>
      <rPr>
        <sz val="10"/>
        <rFont val="微软雅黑"/>
        <family val="0"/>
        <charset val="1"/>
      </rPr>
      <t xml:space="preserve">6. </t>
    </r>
    <r>
      <rPr>
        <sz val="10"/>
        <rFont val="WenQuanYi Zen Hei"/>
        <family val="2"/>
      </rPr>
      <t xml:space="preserve">研发项目立项决议文件、项目计划书、阶段性研发记录（配方试验记录、贴合</t>
    </r>
    <r>
      <rPr>
        <sz val="10"/>
        <rFont val="微软雅黑"/>
        <family val="0"/>
        <charset val="1"/>
      </rPr>
      <t xml:space="preserve">/</t>
    </r>
    <r>
      <rPr>
        <sz val="10"/>
        <rFont val="WenQuanYi Zen Hei"/>
        <family val="2"/>
      </rPr>
      <t xml:space="preserve">分切工艺试验记录、检测报告等）；</t>
    </r>
  </si>
  <si>
    <r>
      <rPr>
        <sz val="10"/>
        <rFont val="微软雅黑"/>
        <family val="0"/>
        <charset val="1"/>
      </rPr>
      <t xml:space="preserve">7. </t>
    </r>
    <r>
      <rPr>
        <sz val="10"/>
        <rFont val="WenQuanYi Zen Hei"/>
        <family val="2"/>
      </rPr>
      <t xml:space="preserve">研发支出辅助账及与财务账、纳税申报表的核对说明。</t>
    </r>
  </si>
  <si>
    <t xml:space="preserve">提示：各录入表首行标有“★示例”的行为填写示范，正式使用前请整行删除，以免混入统计。</t>
  </si>
  <si>
    <r>
      <rPr>
        <sz val="9"/>
        <color rgb="FF843C0C"/>
        <rFont val="WenQuanYi Zen Hei"/>
        <family val="2"/>
      </rPr>
      <t xml:space="preserve">监测口径：①科技人员占当年职工总数比例不低于</t>
    </r>
    <r>
      <rPr>
        <sz val="9"/>
        <color rgb="FF843C0C"/>
        <rFont val="微软雅黑"/>
        <family val="0"/>
        <charset val="1"/>
      </rPr>
      <t xml:space="preserve">10%</t>
    </r>
    <r>
      <rPr>
        <sz val="9"/>
        <color rgb="FF843C0C"/>
        <rFont val="WenQuanYi Zen Hei"/>
        <family val="2"/>
      </rPr>
      <t xml:space="preserve">；②研发费用占销售收入比例——销售收入＜</t>
    </r>
    <r>
      <rPr>
        <sz val="9"/>
        <color rgb="FF843C0C"/>
        <rFont val="微软雅黑"/>
        <family val="0"/>
        <charset val="1"/>
      </rPr>
      <t xml:space="preserve">5000</t>
    </r>
    <r>
      <rPr>
        <sz val="9"/>
        <color rgb="FF843C0C"/>
        <rFont val="WenQuanYi Zen Hei"/>
        <family val="2"/>
      </rPr>
      <t xml:space="preserve">万元的不低于</t>
    </r>
    <r>
      <rPr>
        <sz val="9"/>
        <color rgb="FF843C0C"/>
        <rFont val="微软雅黑"/>
        <family val="0"/>
        <charset val="1"/>
      </rPr>
      <t xml:space="preserve">5%</t>
    </r>
    <r>
      <rPr>
        <sz val="9"/>
        <color rgb="FF843C0C"/>
        <rFont val="WenQuanYi Zen Hei"/>
        <family val="2"/>
      </rPr>
      <t xml:space="preserve">，</t>
    </r>
    <r>
      <rPr>
        <sz val="9"/>
        <color rgb="FF843C0C"/>
        <rFont val="微软雅黑"/>
        <family val="0"/>
        <charset val="1"/>
      </rPr>
      <t xml:space="preserve">5000</t>
    </r>
    <r>
      <rPr>
        <sz val="9"/>
        <color rgb="FF843C0C"/>
        <rFont val="WenQuanYi Zen Hei"/>
        <family val="2"/>
      </rPr>
      <t xml:space="preserve">万元～</t>
    </r>
    <r>
      <rPr>
        <sz val="9"/>
        <color rgb="FF843C0C"/>
        <rFont val="微软雅黑"/>
        <family val="0"/>
        <charset val="1"/>
      </rPr>
      <t xml:space="preserve">2</t>
    </r>
    <r>
      <rPr>
        <sz val="9"/>
        <color rgb="FF843C0C"/>
        <rFont val="WenQuanYi Zen Hei"/>
        <family val="2"/>
      </rPr>
      <t xml:space="preserve">亿元的不低于</t>
    </r>
    <r>
      <rPr>
        <sz val="9"/>
        <color rgb="FF843C0C"/>
        <rFont val="微软雅黑"/>
        <family val="0"/>
        <charset val="1"/>
      </rPr>
      <t xml:space="preserve">4%</t>
    </r>
    <r>
      <rPr>
        <sz val="9"/>
        <color rgb="FF843C0C"/>
        <rFont val="WenQuanYi Zen Hei"/>
        <family val="2"/>
      </rPr>
      <t xml:space="preserve">，超过</t>
    </r>
    <r>
      <rPr>
        <sz val="9"/>
        <color rgb="FF843C0C"/>
        <rFont val="微软雅黑"/>
        <family val="0"/>
        <charset val="1"/>
      </rPr>
      <t xml:space="preserve">2</t>
    </r>
    <r>
      <rPr>
        <sz val="9"/>
        <color rgb="FF843C0C"/>
        <rFont val="WenQuanYi Zen Hei"/>
        <family val="2"/>
      </rPr>
      <t xml:space="preserve">亿元的不低于</t>
    </r>
    <r>
      <rPr>
        <sz val="9"/>
        <color rgb="FF843C0C"/>
        <rFont val="微软雅黑"/>
        <family val="0"/>
        <charset val="1"/>
      </rPr>
      <t xml:space="preserve">3%</t>
    </r>
    <r>
      <rPr>
        <sz val="9"/>
        <color rgb="FF843C0C"/>
        <rFont val="WenQuanYi Zen Hei"/>
        <family val="2"/>
      </rPr>
      <t xml:space="preserve">（本表按销售收入自动判定适用档次）；③高新技术产品（服务）收入占同期总收入比例不低于</t>
    </r>
    <r>
      <rPr>
        <sz val="9"/>
        <color rgb="FF843C0C"/>
        <rFont val="微软雅黑"/>
        <family val="0"/>
        <charset val="1"/>
      </rPr>
      <t xml:space="preserve">60%</t>
    </r>
    <r>
      <rPr>
        <sz val="9"/>
        <color rgb="FF843C0C"/>
        <rFont val="WenQuanYi Zen Hei"/>
        <family val="2"/>
      </rPr>
      <t xml:space="preserve">。浅黄底单元格需人工录入（数据取自财务报表及人事台账），研发费用自动取自【年度汇总】。</t>
    </r>
  </si>
  <si>
    <t xml:space="preserve">表一  年度指标达标测算</t>
  </si>
  <si>
    <t xml:space="preserve">指标项目</t>
  </si>
  <si>
    <t xml:space="preserve">数值</t>
  </si>
  <si>
    <t xml:space="preserve">标准要求</t>
  </si>
  <si>
    <t xml:space="preserve">是否达标</t>
  </si>
  <si>
    <t xml:space="preserve">说明</t>
  </si>
  <si>
    <t xml:space="preserve">当年职工总数（人）</t>
  </si>
  <si>
    <t xml:space="preserve">在职职工月平均人数，与社保缴纳人数、工资表人数一致</t>
  </si>
  <si>
    <t xml:space="preserve">其中：科技人员数（人）</t>
  </si>
  <si>
    <r>
      <rPr>
        <sz val="10"/>
        <rFont val="WenQuanYi Zen Hei"/>
        <family val="2"/>
      </rPr>
      <t xml:space="preserve">左侧“标准要求”列为【人员名册】中标记“是否科技人员</t>
    </r>
    <r>
      <rPr>
        <sz val="10"/>
        <rFont val="微软雅黑"/>
        <family val="0"/>
        <charset val="1"/>
      </rPr>
      <t xml:space="preserve">=</t>
    </r>
    <r>
      <rPr>
        <sz val="10"/>
        <rFont val="WenQuanYi Zen Hei"/>
        <family val="2"/>
      </rPr>
      <t xml:space="preserve">是”的统计参考值，实际以人事台账为准</t>
    </r>
  </si>
  <si>
    <t xml:space="preserve">科技人员占比</t>
  </si>
  <si>
    <r>
      <rPr>
        <sz val="10"/>
        <rFont val="WenQuanYi Zen Hei"/>
        <family val="2"/>
      </rPr>
      <t xml:space="preserve">不低于</t>
    </r>
    <r>
      <rPr>
        <sz val="10"/>
        <rFont val="微软雅黑"/>
        <family val="0"/>
        <charset val="1"/>
      </rPr>
      <t xml:space="preserve">10%</t>
    </r>
  </si>
  <si>
    <r>
      <rPr>
        <sz val="10"/>
        <rFont val="WenQuanYi Zen Hei"/>
        <family val="2"/>
      </rPr>
      <t xml:space="preserve">累计实际工作满</t>
    </r>
    <r>
      <rPr>
        <sz val="10"/>
        <rFont val="微软雅黑"/>
        <family val="0"/>
        <charset val="1"/>
      </rPr>
      <t xml:space="preserve">183</t>
    </r>
    <r>
      <rPr>
        <sz val="10"/>
        <rFont val="WenQuanYi Zen Hei"/>
        <family val="2"/>
      </rPr>
      <t xml:space="preserve">天以上的研发人员及相关技术人员</t>
    </r>
  </si>
  <si>
    <t xml:space="preserve">当年销售收入（元）</t>
  </si>
  <si>
    <t xml:space="preserve">取自利润表“营业收入”中的销售（营业）收入，用于研发费用占比测算</t>
  </si>
  <si>
    <t xml:space="preserve">当年研发费用总额（元）</t>
  </si>
  <si>
    <t xml:space="preserve">自动取数</t>
  </si>
  <si>
    <t xml:space="preserve">自动取自【年度汇总】表一合计，须与研发支出辅助账、纳税申报一致</t>
  </si>
  <si>
    <t xml:space="preserve">适用研发费用比例标准</t>
  </si>
  <si>
    <t xml:space="preserve">按销售收入自动分档</t>
  </si>
  <si>
    <r>
      <rPr>
        <sz val="10"/>
        <rFont val="WenQuanYi Zen Hei"/>
        <family val="2"/>
      </rPr>
      <t xml:space="preserve">＜</t>
    </r>
    <r>
      <rPr>
        <sz val="10"/>
        <rFont val="微软雅黑"/>
        <family val="0"/>
        <charset val="1"/>
      </rPr>
      <t xml:space="preserve">5000</t>
    </r>
    <r>
      <rPr>
        <sz val="10"/>
        <rFont val="WenQuanYi Zen Hei"/>
        <family val="2"/>
      </rPr>
      <t xml:space="preserve">万→</t>
    </r>
    <r>
      <rPr>
        <sz val="10"/>
        <rFont val="微软雅黑"/>
        <family val="0"/>
        <charset val="1"/>
      </rPr>
      <t xml:space="preserve">5%</t>
    </r>
    <r>
      <rPr>
        <sz val="10"/>
        <rFont val="WenQuanYi Zen Hei"/>
        <family val="2"/>
      </rPr>
      <t xml:space="preserve">；</t>
    </r>
    <r>
      <rPr>
        <sz val="10"/>
        <rFont val="微软雅黑"/>
        <family val="0"/>
        <charset val="1"/>
      </rPr>
      <t xml:space="preserve">5000</t>
    </r>
    <r>
      <rPr>
        <sz val="10"/>
        <rFont val="WenQuanYi Zen Hei"/>
        <family val="2"/>
      </rPr>
      <t xml:space="preserve">万～</t>
    </r>
    <r>
      <rPr>
        <sz val="10"/>
        <rFont val="微软雅黑"/>
        <family val="0"/>
        <charset val="1"/>
      </rPr>
      <t xml:space="preserve">2</t>
    </r>
    <r>
      <rPr>
        <sz val="10"/>
        <rFont val="WenQuanYi Zen Hei"/>
        <family val="2"/>
      </rPr>
      <t xml:space="preserve">亿→</t>
    </r>
    <r>
      <rPr>
        <sz val="10"/>
        <rFont val="微软雅黑"/>
        <family val="0"/>
        <charset val="1"/>
      </rPr>
      <t xml:space="preserve">4%</t>
    </r>
    <r>
      <rPr>
        <sz val="10"/>
        <rFont val="WenQuanYi Zen Hei"/>
        <family val="2"/>
      </rPr>
      <t xml:space="preserve">；＞</t>
    </r>
    <r>
      <rPr>
        <sz val="10"/>
        <rFont val="微软雅黑"/>
        <family val="0"/>
        <charset val="1"/>
      </rPr>
      <t xml:space="preserve">2</t>
    </r>
    <r>
      <rPr>
        <sz val="10"/>
        <rFont val="WenQuanYi Zen Hei"/>
        <family val="2"/>
      </rPr>
      <t xml:space="preserve">亿→</t>
    </r>
    <r>
      <rPr>
        <sz val="10"/>
        <rFont val="微软雅黑"/>
        <family val="0"/>
        <charset val="1"/>
      </rPr>
      <t xml:space="preserve">3%</t>
    </r>
  </si>
  <si>
    <t xml:space="preserve">研发费用占销售收入比例</t>
  </si>
  <si>
    <t xml:space="preserve">近三个会计年度分别测算；企业成立不足三年的按实际经营年限计算</t>
  </si>
  <si>
    <t xml:space="preserve">当年总收入（元）</t>
  </si>
  <si>
    <t xml:space="preserve">收入总额减去不征税收入后的余额</t>
  </si>
  <si>
    <t xml:space="preserve">高新技术产品（服务）收入（元）</t>
  </si>
  <si>
    <r>
      <rPr>
        <sz val="10"/>
        <rFont val="WenQuanYi Zen Hei"/>
        <family val="2"/>
      </rPr>
      <t xml:space="preserve">对应主要产品（服务）：</t>
    </r>
    <r>
      <rPr>
        <sz val="10"/>
        <rFont val="微软雅黑"/>
        <family val="0"/>
        <charset val="1"/>
      </rPr>
      <t xml:space="preserve">3C</t>
    </r>
    <r>
      <rPr>
        <sz val="10"/>
        <rFont val="WenQuanYi Zen Hei"/>
        <family val="2"/>
      </rPr>
      <t xml:space="preserve">电子用泡棉</t>
    </r>
    <r>
      <rPr>
        <sz val="10"/>
        <rFont val="微软雅黑"/>
        <family val="0"/>
        <charset val="1"/>
      </rPr>
      <t xml:space="preserve">/</t>
    </r>
    <r>
      <rPr>
        <sz val="10"/>
        <rFont val="WenQuanYi Zen Hei"/>
        <family val="2"/>
      </rPr>
      <t xml:space="preserve">复合材料、新能源汽车电池用缓冲阻燃材料等</t>
    </r>
  </si>
  <si>
    <t xml:space="preserve">高新收入占比</t>
  </si>
  <si>
    <r>
      <rPr>
        <sz val="10"/>
        <rFont val="WenQuanYi Zen Hei"/>
        <family val="2"/>
      </rPr>
      <t xml:space="preserve">不低于</t>
    </r>
    <r>
      <rPr>
        <sz val="10"/>
        <rFont val="微软雅黑"/>
        <family val="0"/>
        <charset val="1"/>
      </rPr>
      <t xml:space="preserve">60%</t>
    </r>
  </si>
  <si>
    <t xml:space="preserve">高新技术产品（服务）收入占同期总收入比例</t>
  </si>
  <si>
    <t xml:space="preserve">表二  分月监测（收入与研发费用累计进度）</t>
  </si>
  <si>
    <t xml:space="preserve">年月</t>
  </si>
  <si>
    <r>
      <rPr>
        <b val="true"/>
        <sz val="10"/>
        <color rgb="FFFFFFFF"/>
        <rFont val="WenQuanYi Zen Hei"/>
        <family val="2"/>
      </rPr>
      <t xml:space="preserve">当月销售收入
</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</si>
  <si>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b val="true"/>
        <sz val="10"/>
        <color rgb="FFFFFFFF"/>
        <rFont val="WenQuanYi Zen Hei"/>
        <family val="2"/>
      </rPr>
      <t xml:space="preserve">当月高新技术产品
</t>
    </r>
    <r>
      <rPr>
        <b val="true"/>
        <sz val="10"/>
        <color rgb="FFFFFFFF"/>
        <rFont val="微软雅黑"/>
        <family val="0"/>
        <charset val="1"/>
      </rPr>
      <t xml:space="preserve">(</t>
    </r>
    <r>
      <rPr>
        <b val="true"/>
        <sz val="10"/>
        <color rgb="FFFFFFFF"/>
        <rFont val="WenQuanYi Zen Hei"/>
        <family val="2"/>
      </rPr>
      <t xml:space="preserve">服务</t>
    </r>
    <r>
      <rPr>
        <b val="true"/>
        <sz val="10"/>
        <color rgb="FFFFFFFF"/>
        <rFont val="微软雅黑"/>
        <family val="0"/>
        <charset val="1"/>
      </rPr>
      <t xml:space="preserve">)</t>
    </r>
    <r>
      <rPr>
        <b val="true"/>
        <sz val="10"/>
        <color rgb="FFFFFFFF"/>
        <rFont val="WenQuanYi Zen Hei"/>
        <family val="2"/>
      </rPr>
      <t xml:space="preserve">收入</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</si>
  <si>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b val="true"/>
        <sz val="10"/>
        <color rgb="FFFFFFFF"/>
        <rFont val="WenQuanYi Zen Hei"/>
        <family val="2"/>
      </rPr>
      <t xml:space="preserve">当月总收入
</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</si>
  <si>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b val="true"/>
        <sz val="10"/>
        <color rgb="FFFFFFFF"/>
        <rFont val="WenQuanYi Zen Hei"/>
        <family val="2"/>
      </rPr>
      <t xml:space="preserve">当月研发费用
</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r>
      <rPr>
        <b val="true"/>
        <sz val="10"/>
        <color rgb="FFFFFFFF"/>
        <rFont val="WenQuanYi Zen Hei"/>
        <family val="2"/>
      </rPr>
      <t xml:space="preserve">自动</t>
    </r>
    <r>
      <rPr>
        <b val="true"/>
        <sz val="10"/>
        <color rgb="FFFFFFFF"/>
        <rFont val="微软雅黑"/>
        <family val="0"/>
        <charset val="1"/>
      </rPr>
      <t xml:space="preserve">)</t>
    </r>
  </si>
  <si>
    <r>
      <rPr>
        <b val="true"/>
        <sz val="10"/>
        <color rgb="FFFFFFFF"/>
        <rFont val="WenQuanYi Zen Hei"/>
        <family val="2"/>
      </rPr>
      <t xml:space="preserve">累计销售收入
</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</si>
  <si>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b val="true"/>
        <sz val="10"/>
        <color rgb="FFFFFFFF"/>
        <rFont val="WenQuanYi Zen Hei"/>
        <family val="2"/>
      </rPr>
      <t xml:space="preserve">累计研发费用
</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</si>
  <si>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t xml:space="preserve">累计研发费用
占销售收入比例</t>
  </si>
  <si>
    <t xml:space="preserve">累计高新收入
占总收入比例</t>
  </si>
  <si>
    <t xml:space="preserve">预警提示</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</si>
  <si>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</si>
  <si>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</si>
  <si>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</si>
  <si>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</si>
  <si>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</si>
  <si>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</si>
  <si>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</si>
  <si>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</si>
  <si>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</si>
  <si>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2026-10</t>
  </si>
  <si>
    <t xml:space="preserve">2026-11</t>
  </si>
  <si>
    <t xml:space="preserve">2026-12</t>
  </si>
  <si>
    <t xml:space="preserve">全年合计</t>
  </si>
  <si>
    <t xml:space="preserve">提示：表二“当月研发费用”自动取自【月度归集汇总】各月合计；销售收入、高新技术产品收入、总收入需按月从财务系统取数填列，便于全年动态监测研发费用投入强度，避免年末突击。</t>
  </si>
  <si>
    <r>
      <rPr>
        <sz val="9"/>
        <color rgb="FF843C0C"/>
        <rFont val="WenQuanYi Zen Hei"/>
        <family val="2"/>
      </rPr>
      <t xml:space="preserve">填写说明：项目编号 </t>
    </r>
    <r>
      <rPr>
        <sz val="9"/>
        <color rgb="FF843C0C"/>
        <rFont val="微软雅黑"/>
        <family val="0"/>
        <charset val="1"/>
      </rPr>
      <t xml:space="preserve">RD01</t>
    </r>
    <r>
      <rPr>
        <sz val="9"/>
        <color rgb="FF843C0C"/>
        <rFont val="WenQuanYi Zen Hei"/>
        <family val="2"/>
      </rPr>
      <t xml:space="preserve">～</t>
    </r>
    <r>
      <rPr>
        <sz val="9"/>
        <color rgb="FF843C0C"/>
        <rFont val="微软雅黑"/>
        <family val="0"/>
        <charset val="1"/>
      </rPr>
      <t xml:space="preserve">RD10 </t>
    </r>
    <r>
      <rPr>
        <sz val="9"/>
        <color rgb="FF843C0C"/>
        <rFont val="WenQuanYi Zen Hei"/>
        <family val="2"/>
      </rPr>
      <t xml:space="preserve">为全表引用主键，请勿改动编号本身；项目名称、板块等可自由维护，编号顺序不可打乱。通常一个年度应有 </t>
    </r>
    <r>
      <rPr>
        <sz val="9"/>
        <color rgb="FF843C0C"/>
        <rFont val="微软雅黑"/>
        <family val="0"/>
        <charset val="1"/>
      </rPr>
      <t xml:space="preserve">5</t>
    </r>
    <r>
      <rPr>
        <sz val="9"/>
        <color rgb="FF843C0C"/>
        <rFont val="WenQuanYi Zen Hei"/>
        <family val="2"/>
      </rPr>
      <t xml:space="preserve">～</t>
    </r>
    <r>
      <rPr>
        <sz val="9"/>
        <color rgb="FF843C0C"/>
        <rFont val="微软雅黑"/>
        <family val="0"/>
        <charset val="1"/>
      </rPr>
      <t xml:space="preserve">10 </t>
    </r>
    <r>
      <rPr>
        <sz val="9"/>
        <color rgb="FF843C0C"/>
        <rFont val="WenQuanYi Zen Hei"/>
        <family val="2"/>
      </rPr>
      <t xml:space="preserve">个研发项目（至少 </t>
    </r>
    <r>
      <rPr>
        <sz val="9"/>
        <color rgb="FF843C0C"/>
        <rFont val="微软雅黑"/>
        <family val="0"/>
        <charset val="1"/>
      </rPr>
      <t xml:space="preserve">5 </t>
    </r>
    <r>
      <rPr>
        <sz val="9"/>
        <color rgb="FF843C0C"/>
        <rFont val="WenQuanYi Zen Hei"/>
        <family val="2"/>
      </rPr>
      <t xml:space="preserve">个），未使用的编号留空即可，不影响各表计算。</t>
    </r>
  </si>
  <si>
    <t xml:space="preserve">序号</t>
  </si>
  <si>
    <t xml:space="preserve">项目编号</t>
  </si>
  <si>
    <t xml:space="preserve">研发项目名称</t>
  </si>
  <si>
    <t xml:space="preserve">应用板块</t>
  </si>
  <si>
    <t xml:space="preserve">主要工艺环节</t>
  </si>
  <si>
    <t xml:space="preserve">立项日期</t>
  </si>
  <si>
    <t xml:space="preserve">计划结题日期</t>
  </si>
  <si>
    <t xml:space="preserve">项目负责人</t>
  </si>
  <si>
    <t xml:space="preserve">项目状态</t>
  </si>
  <si>
    <t xml:space="preserve">备注</t>
  </si>
  <si>
    <t xml:space="preserve">RD01</t>
  </si>
  <si>
    <r>
      <rPr>
        <sz val="10"/>
        <rFont val="WenQuanYi Zen Hei"/>
        <family val="2"/>
      </rPr>
      <t xml:space="preserve">高回弹低压缩永久变形</t>
    </r>
    <r>
      <rPr>
        <sz val="10"/>
        <rFont val="微软雅黑"/>
        <family val="0"/>
        <charset val="1"/>
      </rPr>
      <t xml:space="preserve">3C</t>
    </r>
    <r>
      <rPr>
        <sz val="10"/>
        <rFont val="WenQuanYi Zen Hei"/>
        <family val="2"/>
      </rPr>
      <t xml:space="preserve">用聚氨酯泡棉开发</t>
    </r>
  </si>
  <si>
    <r>
      <rPr>
        <sz val="10"/>
        <rFont val="微软雅黑"/>
        <family val="0"/>
        <charset val="1"/>
      </rPr>
      <t xml:space="preserve">3C</t>
    </r>
    <r>
      <rPr>
        <sz val="10"/>
        <rFont val="WenQuanYi Zen Hei"/>
        <family val="2"/>
      </rPr>
      <t xml:space="preserve">电子</t>
    </r>
  </si>
  <si>
    <t xml:space="preserve">发泡成型</t>
  </si>
  <si>
    <t xml:space="preserve">2026-01-05</t>
  </si>
  <si>
    <t xml:space="preserve">2026-12-20</t>
  </si>
  <si>
    <t xml:space="preserve">在研</t>
  </si>
  <si>
    <t xml:space="preserve">RD02</t>
  </si>
  <si>
    <t xml:space="preserve">动力电池模组用高阻燃缓冲泡棉研发</t>
  </si>
  <si>
    <t xml:space="preserve">新能源汽车</t>
  </si>
  <si>
    <t xml:space="preserve">RD03</t>
  </si>
  <si>
    <r>
      <rPr>
        <sz val="10"/>
        <rFont val="WenQuanYi Zen Hei"/>
        <family val="2"/>
      </rPr>
      <t xml:space="preserve">泡棉与</t>
    </r>
    <r>
      <rPr>
        <sz val="10"/>
        <rFont val="微软雅黑"/>
        <family val="0"/>
        <charset val="1"/>
      </rPr>
      <t xml:space="preserve">PET</t>
    </r>
    <r>
      <rPr>
        <sz val="10"/>
        <rFont val="WenQuanYi Zen Hei"/>
        <family val="2"/>
      </rPr>
      <t xml:space="preserve">基材无溶剂贴合工艺开发</t>
    </r>
  </si>
  <si>
    <t xml:space="preserve">通用</t>
  </si>
  <si>
    <r>
      <rPr>
        <sz val="10"/>
        <rFont val="微软雅黑"/>
        <family val="0"/>
        <charset val="1"/>
      </rPr>
      <t xml:space="preserve">PET</t>
    </r>
    <r>
      <rPr>
        <sz val="10"/>
        <rFont val="WenQuanYi Zen Hei"/>
        <family val="2"/>
      </rPr>
      <t xml:space="preserve">贴合</t>
    </r>
  </si>
  <si>
    <t xml:space="preserve">2026-02-01</t>
  </si>
  <si>
    <t xml:space="preserve">2026-11-30</t>
  </si>
  <si>
    <t xml:space="preserve">RD04</t>
  </si>
  <si>
    <t xml:space="preserve">超薄泡棉高精度分切及毛边控制技术研究</t>
  </si>
  <si>
    <t xml:space="preserve">分切</t>
  </si>
  <si>
    <t xml:space="preserve">2026-03-01</t>
  </si>
  <si>
    <t xml:space="preserve">2026-12-31</t>
  </si>
  <si>
    <t xml:space="preserve">RD05</t>
  </si>
  <si>
    <t xml:space="preserve">新能源汽车电池包用导热缓冲复合材料开发</t>
  </si>
  <si>
    <t xml:space="preserve">2027-02-28</t>
  </si>
  <si>
    <t xml:space="preserve">RD06</t>
  </si>
  <si>
    <r>
      <rPr>
        <sz val="10"/>
        <rFont val="微软雅黑"/>
        <family val="0"/>
        <charset val="1"/>
      </rPr>
      <t xml:space="preserve">3C</t>
    </r>
    <r>
      <rPr>
        <sz val="10"/>
        <rFont val="WenQuanYi Zen Hei"/>
        <family val="2"/>
      </rPr>
      <t xml:space="preserve">电子用超薄黑色遮光泡棉制备技术</t>
    </r>
  </si>
  <si>
    <t xml:space="preserve">RD07</t>
  </si>
  <si>
    <t xml:space="preserve">环保型水性胶泡棉贴合技术开发</t>
  </si>
  <si>
    <t xml:space="preserve">RD08</t>
  </si>
  <si>
    <t xml:space="preserve">泡棉模切自动化在线检测技术研究</t>
  </si>
  <si>
    <t xml:space="preserve">模切</t>
  </si>
  <si>
    <t xml:space="preserve">RD09</t>
  </si>
  <si>
    <t xml:space="preserve">RD10</t>
  </si>
  <si>
    <r>
      <rPr>
        <sz val="9"/>
        <color rgb="FF843C0C"/>
        <rFont val="WenQuanYi Zen Hei"/>
        <family val="2"/>
      </rPr>
      <t xml:space="preserve">填写说明：①工号为工时表引用主键，须唯一且不可重复；②“人员使用性质”区分研发专用与研发生产共用——研发专用人员在工时表中记录全额工时，研发生产共用人员记录实际投入研发的工时；③外聘人员“人员类别”选“外聘”，其劳务费在【研发人员工时费用分配表】的“外聘劳务费”列填列；④“是否科技人员”用于高新技术企业科技人员占比（不低于</t>
    </r>
    <r>
      <rPr>
        <sz val="9"/>
        <color rgb="FF843C0C"/>
        <rFont val="微软雅黑"/>
        <family val="0"/>
        <charset val="1"/>
      </rPr>
      <t xml:space="preserve">10%</t>
    </r>
    <r>
      <rPr>
        <sz val="9"/>
        <color rgb="FF843C0C"/>
        <rFont val="WenQuanYi Zen Hei"/>
        <family val="2"/>
      </rPr>
      <t xml:space="preserve">）指标监测。</t>
    </r>
  </si>
  <si>
    <t xml:space="preserve">工号</t>
  </si>
  <si>
    <t xml:space="preserve">姓名</t>
  </si>
  <si>
    <t xml:space="preserve">所属部门</t>
  </si>
  <si>
    <r>
      <rPr>
        <b val="true"/>
        <sz val="10"/>
        <color rgb="FFFFFFFF"/>
        <rFont val="WenQuanYi Zen Hei"/>
        <family val="2"/>
      </rPr>
      <t xml:space="preserve">岗位</t>
    </r>
    <r>
      <rPr>
        <b val="true"/>
        <sz val="10"/>
        <color rgb="FFFFFFFF"/>
        <rFont val="微软雅黑"/>
        <family val="0"/>
        <charset val="1"/>
      </rPr>
      <t xml:space="preserve">/</t>
    </r>
    <r>
      <rPr>
        <b val="true"/>
        <sz val="10"/>
        <color rgb="FFFFFFFF"/>
        <rFont val="WenQuanYi Zen Hei"/>
        <family val="2"/>
      </rPr>
      <t xml:space="preserve">承担研发任务</t>
    </r>
  </si>
  <si>
    <t xml:space="preserve">人员类别</t>
  </si>
  <si>
    <t xml:space="preserve">人员使用性质</t>
  </si>
  <si>
    <t xml:space="preserve">是否科技人员</t>
  </si>
  <si>
    <r>
      <rPr>
        <b val="true"/>
        <sz val="10"/>
        <color rgb="FFFFFFFF"/>
        <rFont val="WenQuanYi Zen Hei"/>
        <family val="2"/>
      </rPr>
      <t xml:space="preserve">入职</t>
    </r>
    <r>
      <rPr>
        <b val="true"/>
        <sz val="10"/>
        <color rgb="FFFFFFFF"/>
        <rFont val="微软雅黑"/>
        <family val="0"/>
        <charset val="1"/>
      </rPr>
      <t xml:space="preserve">/</t>
    </r>
    <r>
      <rPr>
        <b val="true"/>
        <sz val="10"/>
        <color rgb="FFFFFFFF"/>
        <rFont val="WenQuanYi Zen Hei"/>
        <family val="2"/>
      </rPr>
      <t xml:space="preserve">合作日期</t>
    </r>
  </si>
  <si>
    <t xml:space="preserve">YF001</t>
  </si>
  <si>
    <t xml:space="preserve">（示例）张工</t>
  </si>
  <si>
    <t xml:space="preserve">研发中心</t>
  </si>
  <si>
    <t xml:space="preserve">配方工程师</t>
  </si>
  <si>
    <t xml:space="preserve">在职</t>
  </si>
  <si>
    <t xml:space="preserve">研发专用</t>
  </si>
  <si>
    <t xml:space="preserve">是</t>
  </si>
  <si>
    <t xml:space="preserve">★示例行，请删除</t>
  </si>
  <si>
    <t xml:space="preserve">YF002</t>
  </si>
  <si>
    <t xml:space="preserve">（示例）李工</t>
  </si>
  <si>
    <t xml:space="preserve">工艺工程师</t>
  </si>
  <si>
    <t xml:space="preserve">YF003</t>
  </si>
  <si>
    <t xml:space="preserve">（示例）王工</t>
  </si>
  <si>
    <t xml:space="preserve">生产部</t>
  </si>
  <si>
    <t xml:space="preserve">贴合技师（研发生产共用）</t>
  </si>
  <si>
    <t xml:space="preserve">研发生产共用</t>
  </si>
  <si>
    <t xml:space="preserve">WP001</t>
  </si>
  <si>
    <t xml:space="preserve">（示例）赵博</t>
  </si>
  <si>
    <t xml:space="preserve">外聘专家</t>
  </si>
  <si>
    <t xml:space="preserve">高分子材料顾问</t>
  </si>
  <si>
    <t xml:space="preserve">外聘</t>
  </si>
  <si>
    <r>
      <rPr>
        <sz val="9"/>
        <color rgb="FF843C0C"/>
        <rFont val="WenQuanYi Zen Hei"/>
        <family val="2"/>
      </rPr>
      <t xml:space="preserve">填写说明：资产编号为工时表引用主键，须唯一。“月折旧</t>
    </r>
    <r>
      <rPr>
        <sz val="9"/>
        <color rgb="FF843C0C"/>
        <rFont val="微软雅黑"/>
        <family val="0"/>
        <charset val="1"/>
      </rPr>
      <t xml:space="preserve">/</t>
    </r>
    <r>
      <rPr>
        <sz val="9"/>
        <color rgb="FF843C0C"/>
        <rFont val="WenQuanYi Zen Hei"/>
        <family val="2"/>
      </rPr>
      <t xml:space="preserve">摊销</t>
    </r>
    <r>
      <rPr>
        <sz val="9"/>
        <color rgb="FF843C0C"/>
        <rFont val="微软雅黑"/>
        <family val="0"/>
        <charset val="1"/>
      </rPr>
      <t xml:space="preserve">/</t>
    </r>
    <r>
      <rPr>
        <sz val="9"/>
        <color rgb="FF843C0C"/>
        <rFont val="WenQuanYi Zen Hei"/>
        <family val="2"/>
      </rPr>
      <t xml:space="preserve">租赁额”按财务实际计提数填列，【仪器设备工时费用分配表】表将自动取数（当月实际不同可在该表直接覆盖）。研发与生产共用的设备必须登记，其研发使用工时在【仪器设备工时分配表】中据实填报（研发专用设备记录全额运行工时）；无形资产（配方模拟软件、专利</t>
    </r>
    <r>
      <rPr>
        <sz val="9"/>
        <color rgb="FF843C0C"/>
        <rFont val="微软雅黑"/>
        <family val="0"/>
        <charset val="1"/>
      </rPr>
      <t xml:space="preserve">/</t>
    </r>
    <r>
      <rPr>
        <sz val="9"/>
        <color rgb="FF843C0C"/>
        <rFont val="WenQuanYi Zen Hei"/>
        <family val="2"/>
      </rPr>
      <t xml:space="preserve">专有技术等）同样登记，其使用工时在【无形资产工时分配表】中据实填报，摊销额按使用工时占比分摊。数据来源：月度固定资产折旧明细表 </t>
    </r>
    <r>
      <rPr>
        <sz val="9"/>
        <color rgb="FF843C0C"/>
        <rFont val="微软雅黑"/>
        <family val="0"/>
        <charset val="1"/>
      </rPr>
      <t xml:space="preserve">/ </t>
    </r>
    <r>
      <rPr>
        <sz val="9"/>
        <color rgb="FF843C0C"/>
        <rFont val="WenQuanYi Zen Hei"/>
        <family val="2"/>
      </rPr>
      <t xml:space="preserve">月度无形资产摊销表。</t>
    </r>
  </si>
  <si>
    <t xml:space="preserve">资产编号</t>
  </si>
  <si>
    <t xml:space="preserve">资产名称</t>
  </si>
  <si>
    <t xml:space="preserve">资产类别</t>
  </si>
  <si>
    <t xml:space="preserve">规格型号</t>
  </si>
  <si>
    <t xml:space="preserve">所属工序</t>
  </si>
  <si>
    <t xml:space="preserve">取得日期</t>
  </si>
  <si>
    <r>
      <rPr>
        <b val="true"/>
        <sz val="10"/>
        <color rgb="FFFFFFFF"/>
        <rFont val="WenQuanYi Zen Hei"/>
        <family val="2"/>
      </rPr>
      <t xml:space="preserve">原值</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</si>
  <si>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b val="true"/>
        <sz val="10"/>
        <color rgb="FFFFFFFF"/>
        <rFont val="WenQuanYi Zen Hei"/>
        <family val="2"/>
      </rPr>
      <t xml:space="preserve">预计使用年限</t>
    </r>
    <r>
      <rPr>
        <b val="true"/>
        <sz val="10"/>
        <color rgb="FFFFFFFF"/>
        <rFont val="微软雅黑"/>
        <family val="0"/>
        <charset val="1"/>
      </rPr>
      <t xml:space="preserve">(</t>
    </r>
    <r>
      <rPr>
        <b val="true"/>
        <sz val="10"/>
        <color rgb="FFFFFFFF"/>
        <rFont val="WenQuanYi Zen Hei"/>
        <family val="2"/>
      </rPr>
      <t xml:space="preserve">年</t>
    </r>
    <r>
      <rPr>
        <b val="true"/>
        <sz val="10"/>
        <color rgb="FFFFFFFF"/>
        <rFont val="微软雅黑"/>
        <family val="0"/>
        <charset val="1"/>
      </rPr>
      <t xml:space="preserve">)</t>
    </r>
  </si>
  <si>
    <r>
      <rPr>
        <b val="true"/>
        <sz val="10"/>
        <color rgb="FFFFFFFF"/>
        <rFont val="WenQuanYi Zen Hei"/>
        <family val="2"/>
      </rPr>
      <t xml:space="preserve">月折旧</t>
    </r>
    <r>
      <rPr>
        <b val="true"/>
        <sz val="10"/>
        <color rgb="FFFFFFFF"/>
        <rFont val="微软雅黑"/>
        <family val="0"/>
        <charset val="1"/>
      </rPr>
      <t xml:space="preserve">/</t>
    </r>
    <r>
      <rPr>
        <b val="true"/>
        <sz val="10"/>
        <color rgb="FFFFFFFF"/>
        <rFont val="WenQuanYi Zen Hei"/>
        <family val="2"/>
      </rPr>
      <t xml:space="preserve">摊销</t>
    </r>
    <r>
      <rPr>
        <b val="true"/>
        <sz val="10"/>
        <color rgb="FFFFFFFF"/>
        <rFont val="微软雅黑"/>
        <family val="0"/>
        <charset val="1"/>
      </rPr>
      <t xml:space="preserve">/</t>
    </r>
    <r>
      <rPr>
        <b val="true"/>
        <sz val="10"/>
        <color rgb="FFFFFFFF"/>
        <rFont val="WenQuanYi Zen Hei"/>
        <family val="2"/>
      </rPr>
      <t xml:space="preserve">租赁额</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</si>
  <si>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t xml:space="preserve">费用类型</t>
  </si>
  <si>
    <t xml:space="preserve">资产使用性质</t>
  </si>
  <si>
    <t xml:space="preserve">存放地点</t>
  </si>
  <si>
    <t xml:space="preserve">SB001</t>
  </si>
  <si>
    <t xml:space="preserve">（示例）连续发泡生产线</t>
  </si>
  <si>
    <t xml:space="preserve">设备</t>
  </si>
  <si>
    <t xml:space="preserve">FP-2000</t>
  </si>
  <si>
    <t xml:space="preserve">2023-06-15</t>
  </si>
  <si>
    <t xml:space="preserve">折旧</t>
  </si>
  <si>
    <t xml:space="preserve">SB002</t>
  </si>
  <si>
    <t xml:space="preserve">（示例）自动贴合复合机</t>
  </si>
  <si>
    <t xml:space="preserve">LM-1300</t>
  </si>
  <si>
    <t xml:space="preserve">2024-03-20</t>
  </si>
  <si>
    <t xml:space="preserve">SB003</t>
  </si>
  <si>
    <t xml:space="preserve">（示例）高精度分切机</t>
  </si>
  <si>
    <t xml:space="preserve">SL-800</t>
  </si>
  <si>
    <t xml:space="preserve">2024-09-10</t>
  </si>
  <si>
    <t xml:space="preserve">SB004</t>
  </si>
  <si>
    <t xml:space="preserve">（示例）万能材料试验机</t>
  </si>
  <si>
    <t xml:space="preserve">UTM-50</t>
  </si>
  <si>
    <t xml:space="preserve">检测试验</t>
  </si>
  <si>
    <t xml:space="preserve">2025-01-12</t>
  </si>
  <si>
    <t xml:space="preserve">SB005</t>
  </si>
  <si>
    <t xml:space="preserve">（示例）租入激光模切设备</t>
  </si>
  <si>
    <t xml:space="preserve">LD-600</t>
  </si>
  <si>
    <t xml:space="preserve">2026-01-01</t>
  </si>
  <si>
    <t xml:space="preserve">租赁费</t>
  </si>
  <si>
    <t xml:space="preserve">WX001</t>
  </si>
  <si>
    <t xml:space="preserve">（示例）泡棉配方模拟软件</t>
  </si>
  <si>
    <t xml:space="preserve">V3.0</t>
  </si>
  <si>
    <t xml:space="preserve">研发通用</t>
  </si>
  <si>
    <t xml:space="preserve">2025-05-06</t>
  </si>
  <si>
    <t xml:space="preserve">摊销</t>
  </si>
  <si>
    <r>
      <rPr>
        <sz val="9"/>
        <color rgb="FF843C0C"/>
        <rFont val="WenQuanYi Zen Hei"/>
        <family val="2"/>
      </rPr>
      <t xml:space="preserve">录入说明：①由研发部门按月填报，依据经签批的《附表</t>
    </r>
    <r>
      <rPr>
        <sz val="9"/>
        <color rgb="FF843C0C"/>
        <rFont val="微软雅黑"/>
        <family val="0"/>
        <charset val="1"/>
      </rPr>
      <t xml:space="preserve">1-</t>
    </r>
    <r>
      <rPr>
        <sz val="9"/>
        <color rgb="FF843C0C"/>
        <rFont val="WenQuanYi Zen Hei"/>
        <family val="2"/>
      </rPr>
      <t xml:space="preserve">研发人员工时分配表</t>
    </r>
    <r>
      <rPr>
        <sz val="9"/>
        <color rgb="FF843C0C"/>
        <rFont val="微软雅黑"/>
        <family val="0"/>
        <charset val="1"/>
      </rPr>
      <t xml:space="preserve">(</t>
    </r>
    <r>
      <rPr>
        <sz val="9"/>
        <color rgb="FF843C0C"/>
        <rFont val="WenQuanYi Zen Hei"/>
        <family val="2"/>
      </rPr>
      <t xml:space="preserve">签批用</t>
    </r>
    <r>
      <rPr>
        <sz val="9"/>
        <color rgb="FF843C0C"/>
        <rFont val="微软雅黑"/>
        <family val="0"/>
        <charset val="1"/>
      </rPr>
      <t xml:space="preserve">)</t>
    </r>
    <r>
      <rPr>
        <sz val="9"/>
        <color rgb="FF843C0C"/>
        <rFont val="WenQuanYi Zen Hei"/>
        <family val="2"/>
      </rPr>
      <t xml:space="preserve">》逐人逐月录入；②“当月出勤总工时”为该人当月全部有效工作工时（含加班）；③研发专用人员记录全额工时（非研发工时填</t>
    </r>
    <r>
      <rPr>
        <sz val="9"/>
        <color rgb="FF843C0C"/>
        <rFont val="微软雅黑"/>
        <family val="0"/>
        <charset val="1"/>
      </rPr>
      <t xml:space="preserve">0</t>
    </r>
    <r>
      <rPr>
        <sz val="9"/>
        <color rgb="FF843C0C"/>
        <rFont val="WenQuanYi Zen Hei"/>
        <family val="2"/>
      </rPr>
      <t xml:space="preserve">），研发生产共用人员按实际投入分别记录研发工时与非研发（生产）工时；④“工时校验”须为</t>
    </r>
    <r>
      <rPr>
        <sz val="9"/>
        <color rgb="FF843C0C"/>
        <rFont val="微软雅黑"/>
        <family val="0"/>
        <charset val="1"/>
      </rPr>
      <t xml:space="preserve">0</t>
    </r>
    <r>
      <rPr>
        <sz val="9"/>
        <color rgb="FF843C0C"/>
        <rFont val="WenQuanYi Zen Hei"/>
        <family val="2"/>
      </rPr>
      <t xml:space="preserve">，显示红色表示总工时与明细不平，须更正后方可分摊；⑤同一人当月只填一行；⑥灰底列为公式自动计算，请勿覆盖。</t>
    </r>
  </si>
  <si>
    <r>
      <rPr>
        <b val="true"/>
        <sz val="10"/>
        <color rgb="FFFFFFFF"/>
        <rFont val="WenQuanYi Zen Hei"/>
        <family val="2"/>
      </rPr>
      <t xml:space="preserve">年月
</t>
    </r>
    <r>
      <rPr>
        <b val="true"/>
        <sz val="10"/>
        <color rgb="FFFFFFFF"/>
        <rFont val="微软雅黑"/>
        <family val="0"/>
        <charset val="1"/>
      </rPr>
      <t xml:space="preserve">(YYYY-MM)</t>
    </r>
  </si>
  <si>
    <t xml:space="preserve">当月出勤
总工时</t>
  </si>
  <si>
    <r>
      <rPr>
        <b val="true"/>
        <sz val="10"/>
        <color rgb="FFFFFFFF"/>
        <rFont val="WenQuanYi Zen Hei"/>
        <family val="2"/>
      </rPr>
      <t xml:space="preserve">非研发工时
</t>
    </r>
    <r>
      <rPr>
        <b val="true"/>
        <sz val="10"/>
        <color rgb="FFFFFFFF"/>
        <rFont val="微软雅黑"/>
        <family val="0"/>
        <charset val="1"/>
      </rPr>
      <t xml:space="preserve">(</t>
    </r>
    <r>
      <rPr>
        <b val="true"/>
        <sz val="10"/>
        <color rgb="FFFFFFFF"/>
        <rFont val="WenQuanYi Zen Hei"/>
        <family val="2"/>
      </rPr>
      <t xml:space="preserve">生产及其他</t>
    </r>
    <r>
      <rPr>
        <b val="true"/>
        <sz val="10"/>
        <color rgb="FFFFFFFF"/>
        <rFont val="微软雅黑"/>
        <family val="0"/>
        <charset val="1"/>
      </rPr>
      <t xml:space="preserve">)</t>
    </r>
  </si>
  <si>
    <t xml:space="preserve">各研发项目分配工时（小时）</t>
  </si>
  <si>
    <t xml:space="preserve">研发工时
合计</t>
  </si>
  <si>
    <r>
      <rPr>
        <b val="true"/>
        <sz val="10"/>
        <color rgb="FFFFFFFF"/>
        <rFont val="WenQuanYi Zen Hei"/>
        <family val="2"/>
      </rPr>
      <t xml:space="preserve">工时校验
</t>
    </r>
    <r>
      <rPr>
        <b val="true"/>
        <sz val="10"/>
        <color rgb="FFFFFFFF"/>
        <rFont val="微软雅黑"/>
        <family val="0"/>
        <charset val="1"/>
      </rPr>
      <t xml:space="preserve">(</t>
    </r>
    <r>
      <rPr>
        <b val="true"/>
        <sz val="10"/>
        <color rgb="FFFFFFFF"/>
        <rFont val="WenQuanYi Zen Hei"/>
        <family val="2"/>
      </rPr>
      <t xml:space="preserve">须为</t>
    </r>
    <r>
      <rPr>
        <b val="true"/>
        <sz val="10"/>
        <color rgb="FFFFFFFF"/>
        <rFont val="微软雅黑"/>
        <family val="0"/>
        <charset val="1"/>
      </rPr>
      <t xml:space="preserve">0)</t>
    </r>
  </si>
  <si>
    <t xml:space="preserve">研发工时
占比</t>
  </si>
  <si>
    <t xml:space="preserve">本月主要研发工作内容</t>
  </si>
  <si>
    <r>
      <rPr>
        <sz val="8"/>
        <color rgb="FF808080"/>
        <rFont val="WenQuanYi Zen Hei"/>
        <family val="2"/>
      </rPr>
      <t xml:space="preserve">匹配主键</t>
    </r>
    <r>
      <rPr>
        <sz val="8"/>
        <color rgb="FF808080"/>
        <rFont val="微软雅黑"/>
        <family val="0"/>
        <charset val="1"/>
      </rPr>
      <t xml:space="preserve">(</t>
    </r>
    <r>
      <rPr>
        <sz val="8"/>
        <color rgb="FF808080"/>
        <rFont val="WenQuanYi Zen Hei"/>
        <family val="2"/>
      </rPr>
      <t xml:space="preserve">勿删</t>
    </r>
    <r>
      <rPr>
        <sz val="8"/>
        <color rgb="FF808080"/>
        <rFont val="微软雅黑"/>
        <family val="0"/>
        <charset val="1"/>
      </rPr>
      <t xml:space="preserve">)</t>
    </r>
  </si>
  <si>
    <r>
      <rPr>
        <sz val="10"/>
        <rFont val="WenQuanYi Zen Hei"/>
        <family val="2"/>
      </rPr>
      <t xml:space="preserve">完成低压变形泡棉配方第</t>
    </r>
    <r>
      <rPr>
        <sz val="10"/>
        <rFont val="微软雅黑"/>
        <family val="0"/>
        <charset val="1"/>
      </rPr>
      <t xml:space="preserve">3</t>
    </r>
    <r>
      <rPr>
        <sz val="10"/>
        <rFont val="WenQuanYi Zen Hei"/>
        <family val="2"/>
      </rPr>
      <t xml:space="preserve">轮小试及压缩永久变形验证</t>
    </r>
  </si>
  <si>
    <t xml:space="preserve">无溶剂贴合线速与胶量匹配试验（研发生产共用岗位）</t>
  </si>
  <si>
    <t xml:space="preserve">外聘专家：阻燃体系选型指导与试验方案评审</t>
  </si>
  <si>
    <r>
      <rPr>
        <sz val="9"/>
        <color rgb="FF843C0C"/>
        <rFont val="WenQuanYi Zen Hei"/>
        <family val="2"/>
      </rPr>
      <t xml:space="preserve">计算依据：当月某项目应分摊人工费 </t>
    </r>
    <r>
      <rPr>
        <sz val="9"/>
        <color rgb="FF843C0C"/>
        <rFont val="微软雅黑"/>
        <family val="0"/>
        <charset val="1"/>
      </rPr>
      <t xml:space="preserve">= </t>
    </r>
    <r>
      <rPr>
        <sz val="9"/>
        <color rgb="FF843C0C"/>
        <rFont val="WenQuanYi Zen Hei"/>
        <family val="2"/>
      </rPr>
      <t xml:space="preserve">该人员当月总薪酬（含工资、社保、公积金、外聘劳务费）</t>
    </r>
    <r>
      <rPr>
        <sz val="9"/>
        <color rgb="FF843C0C"/>
        <rFont val="微软雅黑"/>
        <family val="0"/>
        <charset val="1"/>
      </rPr>
      <t xml:space="preserve">×</t>
    </r>
    <r>
      <rPr>
        <sz val="9"/>
        <color rgb="FF843C0C"/>
        <rFont val="WenQuanYi Zen Hei"/>
        <family val="2"/>
      </rPr>
      <t xml:space="preserve">（该项目研发工时 </t>
    </r>
    <r>
      <rPr>
        <sz val="9"/>
        <color rgb="FF843C0C"/>
        <rFont val="微软雅黑"/>
        <family val="0"/>
        <charset val="1"/>
      </rPr>
      <t xml:space="preserve">÷ </t>
    </r>
    <r>
      <rPr>
        <sz val="9"/>
        <color rgb="FF843C0C"/>
        <rFont val="WenQuanYi Zen Hei"/>
        <family val="2"/>
      </rPr>
      <t xml:space="preserve">该人员当月总工时）。数据来源：薪酬数据源自【月度工资表】及社保公积金缴费凭证。录入说明：只需录入 </t>
    </r>
    <r>
      <rPr>
        <sz val="9"/>
        <color rgb="FF843C0C"/>
        <rFont val="微软雅黑"/>
        <family val="0"/>
        <charset val="1"/>
      </rPr>
      <t xml:space="preserve">A~I </t>
    </r>
    <r>
      <rPr>
        <sz val="9"/>
        <color rgb="FF843C0C"/>
        <rFont val="WenQuanYi Zen Hei"/>
        <family val="2"/>
      </rPr>
      <t xml:space="preserve">列（年月、工号及薪酬构成；外聘人员在“外聘劳务费”列填列）；工时及各项目分摊金额由《研发人员工时分配表》按“年月</t>
    </r>
    <r>
      <rPr>
        <sz val="9"/>
        <color rgb="FF843C0C"/>
        <rFont val="微软雅黑"/>
        <family val="0"/>
        <charset val="1"/>
      </rPr>
      <t xml:space="preserve">+</t>
    </r>
    <r>
      <rPr>
        <sz val="9"/>
        <color rgb="FF843C0C"/>
        <rFont val="WenQuanYi Zen Hei"/>
        <family val="2"/>
      </rPr>
      <t xml:space="preserve">工号”自动匹配取数。请关注末列“数据校验”，出现⚠提示须先更正工时分配表。</t>
    </r>
  </si>
  <si>
    <r>
      <rPr>
        <b val="true"/>
        <sz val="10"/>
        <color rgb="FFFFFFFF"/>
        <rFont val="WenQuanYi Zen Hei"/>
        <family val="2"/>
      </rPr>
      <t xml:space="preserve">工资薪金
</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</si>
  <si>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b val="true"/>
        <sz val="10"/>
        <color rgb="FFFFFFFF"/>
        <rFont val="WenQuanYi Zen Hei"/>
        <family val="2"/>
      </rPr>
      <t xml:space="preserve">社保
</t>
    </r>
    <r>
      <rPr>
        <b val="true"/>
        <sz val="10"/>
        <color rgb="FFFFFFFF"/>
        <rFont val="微软雅黑"/>
        <family val="0"/>
        <charset val="1"/>
      </rPr>
      <t xml:space="preserve">(</t>
    </r>
    <r>
      <rPr>
        <b val="true"/>
        <sz val="10"/>
        <color rgb="FFFFFFFF"/>
        <rFont val="WenQuanYi Zen Hei"/>
        <family val="2"/>
      </rPr>
      <t xml:space="preserve">单位承担</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</si>
  <si>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b val="true"/>
        <sz val="10"/>
        <color rgb="FFFFFFFF"/>
        <rFont val="WenQuanYi Zen Hei"/>
        <family val="2"/>
      </rPr>
      <t xml:space="preserve">公积金
</t>
    </r>
    <r>
      <rPr>
        <b val="true"/>
        <sz val="10"/>
        <color rgb="FFFFFFFF"/>
        <rFont val="微软雅黑"/>
        <family val="0"/>
        <charset val="1"/>
      </rPr>
      <t xml:space="preserve">(</t>
    </r>
    <r>
      <rPr>
        <b val="true"/>
        <sz val="10"/>
        <color rgb="FFFFFFFF"/>
        <rFont val="WenQuanYi Zen Hei"/>
        <family val="2"/>
      </rPr>
      <t xml:space="preserve">单位承担</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</si>
  <si>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b val="true"/>
        <sz val="10"/>
        <color rgb="FFFFFFFF"/>
        <rFont val="WenQuanYi Zen Hei"/>
        <family val="2"/>
      </rPr>
      <t xml:space="preserve">外聘劳务费
</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</si>
  <si>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b val="true"/>
        <sz val="10"/>
        <color rgb="FFFFFFFF"/>
        <rFont val="WenQuanYi Zen Hei"/>
        <family val="2"/>
      </rPr>
      <t xml:space="preserve">其他人工支出
</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</si>
  <si>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b val="true"/>
        <sz val="10"/>
        <color rgb="FFFFFFFF"/>
        <rFont val="WenQuanYi Zen Hei"/>
        <family val="2"/>
      </rPr>
      <t xml:space="preserve">当月薪酬合计
</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</si>
  <si>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t xml:space="preserve">当月总工时</t>
  </si>
  <si>
    <t xml:space="preserve">研发工时合计</t>
  </si>
  <si>
    <r>
      <rPr>
        <b val="true"/>
        <sz val="10"/>
        <color rgb="FFFFFFFF"/>
        <rFont val="WenQuanYi Zen Hei"/>
        <family val="2"/>
      </rPr>
      <t xml:space="preserve">研发工时占比
</t>
    </r>
    <r>
      <rPr>
        <b val="true"/>
        <sz val="10"/>
        <color rgb="FFFFFFFF"/>
        <rFont val="微软雅黑"/>
        <family val="0"/>
        <charset val="1"/>
      </rPr>
      <t xml:space="preserve">(</t>
    </r>
    <r>
      <rPr>
        <b val="true"/>
        <sz val="10"/>
        <color rgb="FFFFFFFF"/>
        <rFont val="WenQuanYi Zen Hei"/>
        <family val="2"/>
      </rPr>
      <t xml:space="preserve">分摊系数</t>
    </r>
    <r>
      <rPr>
        <b val="true"/>
        <sz val="10"/>
        <color rgb="FFFFFFFF"/>
        <rFont val="微软雅黑"/>
        <family val="0"/>
        <charset val="1"/>
      </rPr>
      <t xml:space="preserve">)</t>
    </r>
  </si>
  <si>
    <t xml:space="preserve">各研发项目分摊人工费用（元）</t>
  </si>
  <si>
    <r>
      <rPr>
        <b val="true"/>
        <sz val="10"/>
        <color rgb="FFFFFFFF"/>
        <rFont val="WenQuanYi Zen Hei"/>
        <family val="2"/>
      </rPr>
      <t xml:space="preserve">研发人工费
小计</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</si>
  <si>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b val="true"/>
        <sz val="10"/>
        <color rgb="FFFFFFFF"/>
        <rFont val="WenQuanYi Zen Hei"/>
        <family val="2"/>
      </rPr>
      <t xml:space="preserve">计入生产成本的
人工费</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</si>
  <si>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t xml:space="preserve">数据校验</t>
  </si>
  <si>
    <r>
      <rPr>
        <sz val="8"/>
        <color rgb="FF808080"/>
        <rFont val="WenQuanYi Zen Hei"/>
        <family val="2"/>
      </rPr>
      <t xml:space="preserve">匹配行号</t>
    </r>
    <r>
      <rPr>
        <sz val="8"/>
        <color rgb="FF808080"/>
        <rFont val="微软雅黑"/>
        <family val="0"/>
        <charset val="1"/>
      </rPr>
      <t xml:space="preserve">(</t>
    </r>
    <r>
      <rPr>
        <sz val="8"/>
        <color rgb="FF808080"/>
        <rFont val="WenQuanYi Zen Hei"/>
        <family val="2"/>
      </rPr>
      <t xml:space="preserve">勿删</t>
    </r>
    <r>
      <rPr>
        <sz val="8"/>
        <color rgb="FF808080"/>
        <rFont val="微软雅黑"/>
        <family val="0"/>
        <charset val="1"/>
      </rPr>
      <t xml:space="preserve">)</t>
    </r>
  </si>
  <si>
    <r>
      <rPr>
        <sz val="8"/>
        <color rgb="FF808080"/>
        <rFont val="WenQuanYi Zen Hei"/>
        <family val="2"/>
      </rPr>
      <t xml:space="preserve">重复计数</t>
    </r>
    <r>
      <rPr>
        <sz val="8"/>
        <color rgb="FF808080"/>
        <rFont val="微软雅黑"/>
        <family val="0"/>
        <charset val="1"/>
      </rPr>
      <t xml:space="preserve">(</t>
    </r>
    <r>
      <rPr>
        <sz val="8"/>
        <color rgb="FF808080"/>
        <rFont val="WenQuanYi Zen Hei"/>
        <family val="2"/>
      </rPr>
      <t xml:space="preserve">勿删</t>
    </r>
    <r>
      <rPr>
        <sz val="8"/>
        <color rgb="FF808080"/>
        <rFont val="微软雅黑"/>
        <family val="0"/>
        <charset val="1"/>
      </rPr>
      <t xml:space="preserve">)</t>
    </r>
  </si>
  <si>
    <r>
      <rPr>
        <sz val="9"/>
        <color rgb="FF843C0C"/>
        <rFont val="WenQuanYi Zen Hei"/>
        <family val="2"/>
      </rPr>
      <t xml:space="preserve">录入说明：①由研发部门</t>
    </r>
    <r>
      <rPr>
        <sz val="9"/>
        <color rgb="FF843C0C"/>
        <rFont val="微软雅黑"/>
        <family val="0"/>
        <charset val="1"/>
      </rPr>
      <t xml:space="preserve">/</t>
    </r>
    <r>
      <rPr>
        <sz val="9"/>
        <color rgb="FF843C0C"/>
        <rFont val="WenQuanYi Zen Hei"/>
        <family val="2"/>
      </rPr>
      <t xml:space="preserve">设备管理员按月填报，依据经签批的《附表</t>
    </r>
    <r>
      <rPr>
        <sz val="9"/>
        <color rgb="FF843C0C"/>
        <rFont val="微软雅黑"/>
        <family val="0"/>
        <charset val="1"/>
      </rPr>
      <t xml:space="preserve">2-</t>
    </r>
    <r>
      <rPr>
        <sz val="9"/>
        <color rgb="FF843C0C"/>
        <rFont val="WenQuanYi Zen Hei"/>
        <family val="2"/>
      </rPr>
      <t xml:space="preserve">仪器设备工时分配表</t>
    </r>
    <r>
      <rPr>
        <sz val="9"/>
        <color rgb="FF843C0C"/>
        <rFont val="微软雅黑"/>
        <family val="0"/>
        <charset val="1"/>
      </rPr>
      <t xml:space="preserve">(</t>
    </r>
    <r>
      <rPr>
        <sz val="9"/>
        <color rgb="FF843C0C"/>
        <rFont val="WenQuanYi Zen Hei"/>
        <family val="2"/>
      </rPr>
      <t xml:space="preserve">签批用</t>
    </r>
    <r>
      <rPr>
        <sz val="9"/>
        <color rgb="FF843C0C"/>
        <rFont val="微软雅黑"/>
        <family val="0"/>
        <charset val="1"/>
      </rPr>
      <t xml:space="preserve">)</t>
    </r>
    <r>
      <rPr>
        <sz val="9"/>
        <color rgb="FF843C0C"/>
        <rFont val="WenQuanYi Zen Hei"/>
        <family val="2"/>
      </rPr>
      <t xml:space="preserve">》录入；②“当月总运行</t>
    </r>
    <r>
      <rPr>
        <sz val="9"/>
        <color rgb="FF843C0C"/>
        <rFont val="微软雅黑"/>
        <family val="0"/>
        <charset val="1"/>
      </rPr>
      <t xml:space="preserve">(</t>
    </r>
    <r>
      <rPr>
        <sz val="9"/>
        <color rgb="FF843C0C"/>
        <rFont val="WenQuanYi Zen Hei"/>
        <family val="2"/>
      </rPr>
      <t xml:space="preserve">使用</t>
    </r>
    <r>
      <rPr>
        <sz val="9"/>
        <color rgb="FF843C0C"/>
        <rFont val="微软雅黑"/>
        <family val="0"/>
        <charset val="1"/>
      </rPr>
      <t xml:space="preserve">)</t>
    </r>
    <r>
      <rPr>
        <sz val="9"/>
        <color rgb="FF843C0C"/>
        <rFont val="WenQuanYi Zen Hei"/>
        <family val="2"/>
      </rPr>
      <t xml:space="preserve">工时”为该设备当月实际运行总工时（生产</t>
    </r>
    <r>
      <rPr>
        <sz val="9"/>
        <color rgb="FF843C0C"/>
        <rFont val="微软雅黑"/>
        <family val="0"/>
        <charset val="1"/>
      </rPr>
      <t xml:space="preserve">+</t>
    </r>
    <r>
      <rPr>
        <sz val="9"/>
        <color rgb="FF843C0C"/>
        <rFont val="WenQuanYi Zen Hei"/>
        <family val="2"/>
      </rPr>
      <t xml:space="preserve">研发），是分摊的分母，须与设备点检表、生产报工记录一致；③研发专用设备记录全额运行工时（非研发使用工时填</t>
    </r>
    <r>
      <rPr>
        <sz val="9"/>
        <color rgb="FF843C0C"/>
        <rFont val="微软雅黑"/>
        <family val="0"/>
        <charset val="1"/>
      </rPr>
      <t xml:space="preserve">0</t>
    </r>
    <r>
      <rPr>
        <sz val="9"/>
        <color rgb="FF843C0C"/>
        <rFont val="WenQuanYi Zen Hei"/>
        <family val="2"/>
      </rPr>
      <t xml:space="preserve">），研发生产共用设备按实际使用分别记录；④本表只登记“设备”类资产，无形资产不在此填报（其摊销在【无形资产费用分配表】中按人工工时比例分摊）；⑤同一设备当月只填一行；⑥“工时校验”须为</t>
    </r>
    <r>
      <rPr>
        <sz val="9"/>
        <color rgb="FF843C0C"/>
        <rFont val="微软雅黑"/>
        <family val="0"/>
        <charset val="1"/>
      </rPr>
      <t xml:space="preserve">0</t>
    </r>
    <r>
      <rPr>
        <sz val="9"/>
        <color rgb="FF843C0C"/>
        <rFont val="WenQuanYi Zen Hei"/>
        <family val="2"/>
      </rPr>
      <t xml:space="preserve">。</t>
    </r>
  </si>
  <si>
    <r>
      <rPr>
        <b val="true"/>
        <sz val="10"/>
        <color rgb="FFFFFFFF"/>
        <rFont val="WenQuanYi Zen Hei"/>
        <family val="2"/>
      </rPr>
      <t xml:space="preserve">当月总运行
</t>
    </r>
    <r>
      <rPr>
        <b val="true"/>
        <sz val="10"/>
        <color rgb="FFFFFFFF"/>
        <rFont val="微软雅黑"/>
        <family val="0"/>
        <charset val="1"/>
      </rPr>
      <t xml:space="preserve">(</t>
    </r>
    <r>
      <rPr>
        <b val="true"/>
        <sz val="10"/>
        <color rgb="FFFFFFFF"/>
        <rFont val="WenQuanYi Zen Hei"/>
        <family val="2"/>
      </rPr>
      <t xml:space="preserve">使用</t>
    </r>
    <r>
      <rPr>
        <b val="true"/>
        <sz val="10"/>
        <color rgb="FFFFFFFF"/>
        <rFont val="微软雅黑"/>
        <family val="0"/>
        <charset val="1"/>
      </rPr>
      <t xml:space="preserve">)</t>
    </r>
    <r>
      <rPr>
        <b val="true"/>
        <sz val="10"/>
        <color rgb="FFFFFFFF"/>
        <rFont val="WenQuanYi Zen Hei"/>
        <family val="2"/>
      </rPr>
      <t xml:space="preserve">工时</t>
    </r>
  </si>
  <si>
    <r>
      <rPr>
        <b val="true"/>
        <sz val="10"/>
        <color rgb="FFFFFFFF"/>
        <rFont val="WenQuanYi Zen Hei"/>
        <family val="2"/>
      </rPr>
      <t xml:space="preserve">非研发使用工时
</t>
    </r>
    <r>
      <rPr>
        <b val="true"/>
        <sz val="10"/>
        <color rgb="FFFFFFFF"/>
        <rFont val="微软雅黑"/>
        <family val="0"/>
        <charset val="1"/>
      </rPr>
      <t xml:space="preserve">(</t>
    </r>
    <r>
      <rPr>
        <b val="true"/>
        <sz val="10"/>
        <color rgb="FFFFFFFF"/>
        <rFont val="WenQuanYi Zen Hei"/>
        <family val="2"/>
      </rPr>
      <t xml:space="preserve">生产及其他</t>
    </r>
    <r>
      <rPr>
        <b val="true"/>
        <sz val="10"/>
        <color rgb="FFFFFFFF"/>
        <rFont val="微软雅黑"/>
        <family val="0"/>
        <charset val="1"/>
      </rPr>
      <t xml:space="preserve">)</t>
    </r>
  </si>
  <si>
    <t xml:space="preserve">各研发项目使用工时（小时）</t>
  </si>
  <si>
    <t xml:space="preserve">研发使用
工时合计</t>
  </si>
  <si>
    <t xml:space="preserve">研发使用
占比</t>
  </si>
  <si>
    <r>
      <rPr>
        <sz val="9"/>
        <color rgb="FF843C0C"/>
        <rFont val="WenQuanYi Zen Hei"/>
        <family val="2"/>
      </rPr>
      <t xml:space="preserve">计算依据：当月某项目应分摊设备费 </t>
    </r>
    <r>
      <rPr>
        <sz val="9"/>
        <color rgb="FF843C0C"/>
        <rFont val="微软雅黑"/>
        <family val="0"/>
        <charset val="1"/>
      </rPr>
      <t xml:space="preserve">= </t>
    </r>
    <r>
      <rPr>
        <sz val="9"/>
        <color rgb="FF843C0C"/>
        <rFont val="WenQuanYi Zen Hei"/>
        <family val="2"/>
      </rPr>
      <t xml:space="preserve">该设备当月折旧额（或租赁费）</t>
    </r>
    <r>
      <rPr>
        <sz val="9"/>
        <color rgb="FF843C0C"/>
        <rFont val="微软雅黑"/>
        <family val="0"/>
        <charset val="1"/>
      </rPr>
      <t xml:space="preserve">×</t>
    </r>
    <r>
      <rPr>
        <sz val="9"/>
        <color rgb="FF843C0C"/>
        <rFont val="WenQuanYi Zen Hei"/>
        <family val="2"/>
      </rPr>
      <t xml:space="preserve">（该项目使用工时 </t>
    </r>
    <r>
      <rPr>
        <sz val="9"/>
        <color rgb="FF843C0C"/>
        <rFont val="微软雅黑"/>
        <family val="0"/>
        <charset val="1"/>
      </rPr>
      <t xml:space="preserve">÷ </t>
    </r>
    <r>
      <rPr>
        <sz val="9"/>
        <color rgb="FF843C0C"/>
        <rFont val="WenQuanYi Zen Hei"/>
        <family val="2"/>
      </rPr>
      <t xml:space="preserve">该设备当月总运行工时）。数据来源：折旧数据源自【月度固定资产折旧明细表】。录入说明：只需录入 </t>
    </r>
    <r>
      <rPr>
        <sz val="9"/>
        <color rgb="FF843C0C"/>
        <rFont val="微软雅黑"/>
        <family val="0"/>
        <charset val="1"/>
      </rPr>
      <t xml:space="preserve">A</t>
    </r>
    <r>
      <rPr>
        <sz val="9"/>
        <color rgb="FF843C0C"/>
        <rFont val="WenQuanYi Zen Hei"/>
        <family val="2"/>
      </rPr>
      <t xml:space="preserve">、</t>
    </r>
    <r>
      <rPr>
        <sz val="9"/>
        <color rgb="FF843C0C"/>
        <rFont val="微软雅黑"/>
        <family val="0"/>
        <charset val="1"/>
      </rPr>
      <t xml:space="preserve">B </t>
    </r>
    <r>
      <rPr>
        <sz val="9"/>
        <color rgb="FF843C0C"/>
        <rFont val="WenQuanYi Zen Hei"/>
        <family val="2"/>
      </rPr>
      <t xml:space="preserve">两列（年月、资产编号，仅登记“设备”类资产）；</t>
    </r>
    <r>
      <rPr>
        <sz val="9"/>
        <color rgb="FF843C0C"/>
        <rFont val="微软雅黑"/>
        <family val="0"/>
        <charset val="1"/>
      </rPr>
      <t xml:space="preserve">F</t>
    </r>
    <r>
      <rPr>
        <sz val="9"/>
        <color rgb="FF843C0C"/>
        <rFont val="WenQuanYi Zen Hei"/>
        <family val="2"/>
      </rPr>
      <t xml:space="preserve">列“当月折旧</t>
    </r>
    <r>
      <rPr>
        <sz val="9"/>
        <color rgb="FF843C0C"/>
        <rFont val="微软雅黑"/>
        <family val="0"/>
        <charset val="1"/>
      </rPr>
      <t xml:space="preserve">/</t>
    </r>
    <r>
      <rPr>
        <sz val="9"/>
        <color rgb="FF843C0C"/>
        <rFont val="WenQuanYi Zen Hei"/>
        <family val="2"/>
      </rPr>
      <t xml:space="preserve">租赁额”自动取自【资产台账】，当月实际计提数不同时可直接覆盖填写，但须与折旧明细表一致。请关注末列“数据校验”。</t>
    </r>
  </si>
  <si>
    <r>
      <rPr>
        <b val="true"/>
        <sz val="10"/>
        <color rgb="FFFFFFFF"/>
        <rFont val="WenQuanYi Zen Hei"/>
        <family val="2"/>
      </rPr>
      <t xml:space="preserve">当月折旧</t>
    </r>
    <r>
      <rPr>
        <b val="true"/>
        <sz val="10"/>
        <color rgb="FFFFFFFF"/>
        <rFont val="微软雅黑"/>
        <family val="0"/>
        <charset val="1"/>
      </rPr>
      <t xml:space="preserve">/
</t>
    </r>
    <r>
      <rPr>
        <b val="true"/>
        <sz val="10"/>
        <color rgb="FFFFFFFF"/>
        <rFont val="WenQuanYi Zen Hei"/>
        <family val="2"/>
      </rPr>
      <t xml:space="preserve">租赁额</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</si>
  <si>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b val="true"/>
        <sz val="10"/>
        <color rgb="FFFFFFFF"/>
        <rFont val="WenQuanYi Zen Hei"/>
        <family val="2"/>
      </rPr>
      <t xml:space="preserve">研发使用占比
</t>
    </r>
    <r>
      <rPr>
        <b val="true"/>
        <sz val="10"/>
        <color rgb="FFFFFFFF"/>
        <rFont val="微软雅黑"/>
        <family val="0"/>
        <charset val="1"/>
      </rPr>
      <t xml:space="preserve">(</t>
    </r>
    <r>
      <rPr>
        <b val="true"/>
        <sz val="10"/>
        <color rgb="FFFFFFFF"/>
        <rFont val="WenQuanYi Zen Hei"/>
        <family val="2"/>
      </rPr>
      <t xml:space="preserve">分摊系数</t>
    </r>
    <r>
      <rPr>
        <b val="true"/>
        <sz val="10"/>
        <color rgb="FFFFFFFF"/>
        <rFont val="微软雅黑"/>
        <family val="0"/>
        <charset val="1"/>
      </rPr>
      <t xml:space="preserve">)</t>
    </r>
  </si>
  <si>
    <r>
      <rPr>
        <b val="true"/>
        <sz val="10"/>
        <color rgb="FFFFFFFF"/>
        <rFont val="WenQuanYi Zen Hei"/>
        <family val="2"/>
      </rPr>
      <t xml:space="preserve">各研发项目分摊折旧</t>
    </r>
    <r>
      <rPr>
        <b val="true"/>
        <sz val="10"/>
        <color rgb="FFFFFFFF"/>
        <rFont val="微软雅黑"/>
        <family val="0"/>
        <charset val="1"/>
      </rPr>
      <t xml:space="preserve">/</t>
    </r>
    <r>
      <rPr>
        <b val="true"/>
        <sz val="10"/>
        <color rgb="FFFFFFFF"/>
        <rFont val="WenQuanYi Zen Hei"/>
        <family val="2"/>
      </rPr>
      <t xml:space="preserve">租赁费用（元）</t>
    </r>
  </si>
  <si>
    <r>
      <rPr>
        <b val="true"/>
        <sz val="10"/>
        <color rgb="FFFFFFFF"/>
        <rFont val="WenQuanYi Zen Hei"/>
        <family val="2"/>
      </rPr>
      <t xml:space="preserve">研发费用
小计</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</si>
  <si>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b val="true"/>
        <sz val="10"/>
        <color rgb="FFFFFFFF"/>
        <rFont val="WenQuanYi Zen Hei"/>
        <family val="2"/>
      </rPr>
      <t xml:space="preserve">计入生产成本的
折旧费用</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</si>
  <si>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sz val="9"/>
        <color rgb="FF843C0C"/>
        <rFont val="WenQuanYi Zen Hei"/>
        <family val="2"/>
      </rPr>
      <t xml:space="preserve">录入说明：①由研发部门按月填报，依据经签批的《附表</t>
    </r>
    <r>
      <rPr>
        <sz val="9"/>
        <color rgb="FF843C0C"/>
        <rFont val="微软雅黑"/>
        <family val="0"/>
        <charset val="1"/>
      </rPr>
      <t xml:space="preserve">3-</t>
    </r>
    <r>
      <rPr>
        <sz val="9"/>
        <color rgb="FF843C0C"/>
        <rFont val="WenQuanYi Zen Hei"/>
        <family val="2"/>
      </rPr>
      <t xml:space="preserve">无形资产工时分配表</t>
    </r>
    <r>
      <rPr>
        <sz val="9"/>
        <color rgb="FF843C0C"/>
        <rFont val="微软雅黑"/>
        <family val="0"/>
        <charset val="1"/>
      </rPr>
      <t xml:space="preserve">(</t>
    </r>
    <r>
      <rPr>
        <sz val="9"/>
        <color rgb="FF843C0C"/>
        <rFont val="WenQuanYi Zen Hei"/>
        <family val="2"/>
      </rPr>
      <t xml:space="preserve">签批用</t>
    </r>
    <r>
      <rPr>
        <sz val="9"/>
        <color rgb="FF843C0C"/>
        <rFont val="微软雅黑"/>
        <family val="0"/>
        <charset val="1"/>
      </rPr>
      <t xml:space="preserve">)</t>
    </r>
    <r>
      <rPr>
        <sz val="9"/>
        <color rgb="FF843C0C"/>
        <rFont val="WenQuanYi Zen Hei"/>
        <family val="2"/>
      </rPr>
      <t xml:space="preserve">》录入；②“当月总使用工时”为该无形资产（如配方模拟软件、专利技术、专有技术等）当月实际使用总工时（生产</t>
    </r>
    <r>
      <rPr>
        <sz val="9"/>
        <color rgb="FF843C0C"/>
        <rFont val="微软雅黑"/>
        <family val="0"/>
        <charset val="1"/>
      </rPr>
      <t xml:space="preserve">+</t>
    </r>
    <r>
      <rPr>
        <sz val="9"/>
        <color rgb="FF843C0C"/>
        <rFont val="WenQuanYi Zen Hei"/>
        <family val="2"/>
      </rPr>
      <t xml:space="preserve">研发），是分摊的分母；③研发专用无形资产记录全额使用工时（非研发使用工时填</t>
    </r>
    <r>
      <rPr>
        <sz val="9"/>
        <color rgb="FF843C0C"/>
        <rFont val="微软雅黑"/>
        <family val="0"/>
        <charset val="1"/>
      </rPr>
      <t xml:space="preserve">0</t>
    </r>
    <r>
      <rPr>
        <sz val="9"/>
        <color rgb="FF843C0C"/>
        <rFont val="WenQuanYi Zen Hei"/>
        <family val="2"/>
      </rPr>
      <t xml:space="preserve">），研发生产共用的按实际使用分别记录；④同一资产当月只填一行；⑤“工时校验”须为</t>
    </r>
    <r>
      <rPr>
        <sz val="9"/>
        <color rgb="FF843C0C"/>
        <rFont val="微软雅黑"/>
        <family val="0"/>
        <charset val="1"/>
      </rPr>
      <t xml:space="preserve">0</t>
    </r>
    <r>
      <rPr>
        <sz val="9"/>
        <color rgb="FF843C0C"/>
        <rFont val="WenQuanYi Zen Hei"/>
        <family val="2"/>
      </rPr>
      <t xml:space="preserve">，显示红色表示不平，须更正后方可分摊。</t>
    </r>
  </si>
  <si>
    <t xml:space="preserve">无形资产名称</t>
  </si>
  <si>
    <r>
      <rPr>
        <b val="true"/>
        <sz val="10"/>
        <color rgb="FFFFFFFF"/>
        <rFont val="WenQuanYi Zen Hei"/>
        <family val="2"/>
      </rPr>
      <t xml:space="preserve">所属工序</t>
    </r>
    <r>
      <rPr>
        <b val="true"/>
        <sz val="10"/>
        <color rgb="FFFFFFFF"/>
        <rFont val="微软雅黑"/>
        <family val="0"/>
        <charset val="1"/>
      </rPr>
      <t xml:space="preserve">/</t>
    </r>
    <r>
      <rPr>
        <b val="true"/>
        <sz val="10"/>
        <color rgb="FFFFFFFF"/>
        <rFont val="WenQuanYi Zen Hei"/>
        <family val="2"/>
      </rPr>
      <t xml:space="preserve">用途</t>
    </r>
  </si>
  <si>
    <t xml:space="preserve">当月总使用
工时</t>
  </si>
  <si>
    <r>
      <rPr>
        <sz val="9"/>
        <color rgb="FF843C0C"/>
        <rFont val="WenQuanYi Zen Hei"/>
        <family val="2"/>
      </rPr>
      <t xml:space="preserve">计算依据：当月某项目应分摊的无形资产摊销额 </t>
    </r>
    <r>
      <rPr>
        <sz val="9"/>
        <color rgb="FF843C0C"/>
        <rFont val="微软雅黑"/>
        <family val="0"/>
        <charset val="1"/>
      </rPr>
      <t xml:space="preserve">= </t>
    </r>
    <r>
      <rPr>
        <sz val="9"/>
        <color rgb="FF843C0C"/>
        <rFont val="WenQuanYi Zen Hei"/>
        <family val="2"/>
      </rPr>
      <t xml:space="preserve">该无形资产当月摊销额 </t>
    </r>
    <r>
      <rPr>
        <sz val="9"/>
        <color rgb="FF843C0C"/>
        <rFont val="微软雅黑"/>
        <family val="0"/>
        <charset val="1"/>
      </rPr>
      <t xml:space="preserve">×</t>
    </r>
    <r>
      <rPr>
        <sz val="9"/>
        <color rgb="FF843C0C"/>
        <rFont val="WenQuanYi Zen Hei"/>
        <family val="2"/>
      </rPr>
      <t xml:space="preserve">（该项目使用工时 </t>
    </r>
    <r>
      <rPr>
        <sz val="9"/>
        <color rgb="FF843C0C"/>
        <rFont val="微软雅黑"/>
        <family val="0"/>
        <charset val="1"/>
      </rPr>
      <t xml:space="preserve">÷ </t>
    </r>
    <r>
      <rPr>
        <sz val="9"/>
        <color rgb="FF843C0C"/>
        <rFont val="WenQuanYi Zen Hei"/>
        <family val="2"/>
      </rPr>
      <t xml:space="preserve">该资产当月总使用工时）。数据来源：摊销数据源自【月度无形资产摊销表】。录入说明：只需录入 </t>
    </r>
    <r>
      <rPr>
        <sz val="9"/>
        <color rgb="FF843C0C"/>
        <rFont val="微软雅黑"/>
        <family val="0"/>
        <charset val="1"/>
      </rPr>
      <t xml:space="preserve">A</t>
    </r>
    <r>
      <rPr>
        <sz val="9"/>
        <color rgb="FF843C0C"/>
        <rFont val="WenQuanYi Zen Hei"/>
        <family val="2"/>
      </rPr>
      <t xml:space="preserve">、</t>
    </r>
    <r>
      <rPr>
        <sz val="9"/>
        <color rgb="FF843C0C"/>
        <rFont val="微软雅黑"/>
        <family val="0"/>
        <charset val="1"/>
      </rPr>
      <t xml:space="preserve">B </t>
    </r>
    <r>
      <rPr>
        <sz val="9"/>
        <color rgb="FF843C0C"/>
        <rFont val="WenQuanYi Zen Hei"/>
        <family val="2"/>
      </rPr>
      <t xml:space="preserve">两列（年月、资产编号）；</t>
    </r>
    <r>
      <rPr>
        <sz val="9"/>
        <color rgb="FF843C0C"/>
        <rFont val="微软雅黑"/>
        <family val="0"/>
        <charset val="1"/>
      </rPr>
      <t xml:space="preserve">F</t>
    </r>
    <r>
      <rPr>
        <sz val="9"/>
        <color rgb="FF843C0C"/>
        <rFont val="WenQuanYi Zen Hei"/>
        <family val="2"/>
      </rPr>
      <t xml:space="preserve">列“当月摊销额”自动取自【资产台账】，当月实际摊销数不同时可直接覆盖填写；工时及分摊金额由《无形资产工时分配表》按“年月</t>
    </r>
    <r>
      <rPr>
        <sz val="9"/>
        <color rgb="FF843C0C"/>
        <rFont val="微软雅黑"/>
        <family val="0"/>
        <charset val="1"/>
      </rPr>
      <t xml:space="preserve">+</t>
    </r>
    <r>
      <rPr>
        <sz val="9"/>
        <color rgb="FF843C0C"/>
        <rFont val="WenQuanYi Zen Hei"/>
        <family val="2"/>
      </rPr>
      <t xml:space="preserve">资产编号”自动匹配取数。</t>
    </r>
  </si>
  <si>
    <r>
      <rPr>
        <b val="true"/>
        <sz val="10"/>
        <color rgb="FFFFFFFF"/>
        <rFont val="WenQuanYi Zen Hei"/>
        <family val="2"/>
      </rPr>
      <t xml:space="preserve">当月摊销额
</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</si>
  <si>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t xml:space="preserve">各研发项目分摊无形资产摊销额（元）</t>
  </si>
  <si>
    <r>
      <rPr>
        <b val="true"/>
        <sz val="10"/>
        <color rgb="FFFFFFFF"/>
        <rFont val="WenQuanYi Zen Hei"/>
        <family val="2"/>
      </rPr>
      <t xml:space="preserve">研发摊销费用
小计</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</si>
  <si>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b val="true"/>
        <sz val="10"/>
        <color rgb="FFFFFFFF"/>
        <rFont val="WenQuanYi Zen Hei"/>
        <family val="2"/>
      </rPr>
      <t xml:space="preserve">计入生产成本的
摊销额</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</si>
  <si>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sz val="9"/>
        <color rgb="FF843C0C"/>
        <rFont val="WenQuanYi Zen Hei"/>
        <family val="2"/>
      </rPr>
      <t xml:space="preserve">填写说明：本表用于登记除人工费、折旧摊销外可直接归属到项目的研发费用（如试验用泡棉原料、</t>
    </r>
    <r>
      <rPr>
        <sz val="9"/>
        <color rgb="FF843C0C"/>
        <rFont val="微软雅黑"/>
        <family val="0"/>
        <charset val="1"/>
      </rPr>
      <t xml:space="preserve">PET</t>
    </r>
    <r>
      <rPr>
        <sz val="9"/>
        <color rgb="FF843C0C"/>
        <rFont val="WenQuanYi Zen Hei"/>
        <family val="2"/>
      </rPr>
      <t xml:space="preserve">基材、胶粘剂、燃料动力、样品模具、委外检测与委托研发等），逐笔登记并注明凭证号，自动汇总至【月度归集汇总】。费用类别请从下拉菜单选择，口径与研发费用加计扣除政策一致。</t>
    </r>
  </si>
  <si>
    <t xml:space="preserve">费用类别</t>
  </si>
  <si>
    <t xml:space="preserve">费用内容摘要</t>
  </si>
  <si>
    <r>
      <rPr>
        <b val="true"/>
        <sz val="10"/>
        <color rgb="FFFFFFFF"/>
        <rFont val="WenQuanYi Zen Hei"/>
        <family val="2"/>
      </rPr>
      <t xml:space="preserve">金额</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</si>
  <si>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t xml:space="preserve">记账凭证号</t>
  </si>
  <si>
    <t xml:space="preserve">直接投入费用</t>
  </si>
  <si>
    <r>
      <rPr>
        <sz val="10"/>
        <rFont val="WenQuanYi Zen Hei"/>
        <family val="2"/>
      </rPr>
      <t xml:space="preserve">无卤阻燃母粒及试验用聚醚多元醇（第</t>
    </r>
    <r>
      <rPr>
        <sz val="10"/>
        <rFont val="微软雅黑"/>
        <family val="0"/>
        <charset val="1"/>
      </rPr>
      <t xml:space="preserve">3</t>
    </r>
    <r>
      <rPr>
        <sz val="10"/>
        <rFont val="WenQuanYi Zen Hei"/>
        <family val="2"/>
      </rPr>
      <t xml:space="preserve">批小试）</t>
    </r>
  </si>
  <si>
    <r>
      <rPr>
        <sz val="10"/>
        <rFont val="WenQuanYi Zen Hei"/>
        <family val="2"/>
      </rPr>
      <t xml:space="preserve">记</t>
    </r>
    <r>
      <rPr>
        <sz val="10"/>
        <rFont val="微软雅黑"/>
        <family val="0"/>
        <charset val="1"/>
      </rPr>
      <t xml:space="preserve">-09-0186</t>
    </r>
  </si>
  <si>
    <t xml:space="preserve">委托外部研发费用</t>
  </si>
  <si>
    <r>
      <rPr>
        <sz val="10"/>
        <rFont val="WenQuanYi Zen Hei"/>
        <family val="2"/>
      </rPr>
      <t xml:space="preserve">委托</t>
    </r>
    <r>
      <rPr>
        <sz val="10"/>
        <rFont val="微软雅黑"/>
        <family val="0"/>
        <charset val="1"/>
      </rPr>
      <t xml:space="preserve">XX</t>
    </r>
    <r>
      <rPr>
        <sz val="10"/>
        <rFont val="WenQuanYi Zen Hei"/>
        <family val="2"/>
      </rPr>
      <t xml:space="preserve">大学开展无溶剂贴合剥离强度机理测试</t>
    </r>
  </si>
  <si>
    <r>
      <rPr>
        <sz val="10"/>
        <rFont val="WenQuanYi Zen Hei"/>
        <family val="2"/>
      </rPr>
      <t xml:space="preserve">记</t>
    </r>
    <r>
      <rPr>
        <sz val="10"/>
        <rFont val="微软雅黑"/>
        <family val="0"/>
        <charset val="1"/>
      </rPr>
      <t xml:space="preserve">-09-0212</t>
    </r>
  </si>
  <si>
    <r>
      <rPr>
        <sz val="10"/>
        <rFont val="WenQuanYi Zen Hei"/>
        <family val="2"/>
      </rPr>
      <t xml:space="preserve">分切刀具试验损耗及试切</t>
    </r>
    <r>
      <rPr>
        <sz val="10"/>
        <rFont val="微软雅黑"/>
        <family val="0"/>
        <charset val="1"/>
      </rPr>
      <t xml:space="preserve">PET</t>
    </r>
    <r>
      <rPr>
        <sz val="10"/>
        <rFont val="WenQuanYi Zen Hei"/>
        <family val="2"/>
      </rPr>
      <t xml:space="preserve">复合泡棉料带</t>
    </r>
  </si>
  <si>
    <r>
      <rPr>
        <sz val="10"/>
        <rFont val="WenQuanYi Zen Hei"/>
        <family val="2"/>
      </rPr>
      <t xml:space="preserve">记</t>
    </r>
    <r>
      <rPr>
        <sz val="10"/>
        <rFont val="微软雅黑"/>
        <family val="0"/>
        <charset val="1"/>
      </rPr>
      <t xml:space="preserve">-09-0233</t>
    </r>
  </si>
  <si>
    <t xml:space="preserve">本表全部为公式自动汇总，请勿手工修改。费用类别口径与《研发费用加计扣除》一致，可直接与研发支出辅助账、“研发支出”科目明细账逐月核对。末两列同步列示当月归集的研发人员工时与设备使用工时，作为费用分配的量化依据。</t>
  </si>
  <si>
    <t xml:space="preserve">人员人工费用</t>
  </si>
  <si>
    <t xml:space="preserve">折旧费用</t>
  </si>
  <si>
    <t xml:space="preserve">无形资产摊销</t>
  </si>
  <si>
    <t xml:space="preserve">新产品设计费等</t>
  </si>
  <si>
    <t xml:space="preserve">其他相关费用</t>
  </si>
  <si>
    <t xml:space="preserve">本月研发费用合计</t>
  </si>
  <si>
    <r>
      <rPr>
        <b val="true"/>
        <sz val="10"/>
        <color rgb="FFFFFFFF"/>
        <rFont val="WenQuanYi Zen Hei"/>
        <family val="2"/>
      </rPr>
      <t xml:space="preserve">研发人员工时
</t>
    </r>
    <r>
      <rPr>
        <b val="true"/>
        <sz val="10"/>
        <color rgb="FFFFFFFF"/>
        <rFont val="微软雅黑"/>
        <family val="0"/>
        <charset val="1"/>
      </rPr>
      <t xml:space="preserve">(</t>
    </r>
    <r>
      <rPr>
        <b val="true"/>
        <sz val="10"/>
        <color rgb="FFFFFFFF"/>
        <rFont val="WenQuanYi Zen Hei"/>
        <family val="2"/>
      </rPr>
      <t xml:space="preserve">小时</t>
    </r>
    <r>
      <rPr>
        <b val="true"/>
        <sz val="10"/>
        <color rgb="FFFFFFFF"/>
        <rFont val="微软雅黑"/>
        <family val="0"/>
        <charset val="1"/>
      </rPr>
      <t xml:space="preserve">)</t>
    </r>
  </si>
  <si>
    <r>
      <rPr>
        <b val="true"/>
        <sz val="10"/>
        <color rgb="FFFFFFFF"/>
        <rFont val="WenQuanYi Zen Hei"/>
        <family val="2"/>
      </rPr>
      <t xml:space="preserve">设备使用工时
</t>
    </r>
    <r>
      <rPr>
        <b val="true"/>
        <sz val="10"/>
        <color rgb="FFFFFFFF"/>
        <rFont val="微软雅黑"/>
        <family val="0"/>
        <charset val="1"/>
      </rPr>
      <t xml:space="preserve">(</t>
    </r>
    <r>
      <rPr>
        <b val="true"/>
        <sz val="10"/>
        <color rgb="FFFFFFFF"/>
        <rFont val="WenQuanYi Zen Hei"/>
        <family val="2"/>
      </rPr>
      <t xml:space="preserve">小时</t>
    </r>
    <r>
      <rPr>
        <b val="true"/>
        <sz val="10"/>
        <color rgb="FFFFFFFF"/>
        <rFont val="微软雅黑"/>
        <family val="0"/>
        <charset val="1"/>
      </rPr>
      <t xml:space="preserve">)</t>
    </r>
  </si>
  <si>
    <t xml:space="preserve">本月合计</t>
  </si>
  <si>
    <r>
      <rPr>
        <b val="true"/>
        <sz val="11"/>
        <color rgb="FFFFFFFF"/>
        <rFont val="微软雅黑"/>
        <family val="0"/>
        <charset val="1"/>
      </rPr>
      <t xml:space="preserve">2026</t>
    </r>
    <r>
      <rPr>
        <b val="true"/>
        <sz val="11"/>
        <color rgb="FFFFFFFF"/>
        <rFont val="WenQuanYi Zen Hei"/>
        <family val="2"/>
      </rPr>
      <t xml:space="preserve">年度累计合计</t>
    </r>
  </si>
  <si>
    <r>
      <rPr>
        <sz val="9"/>
        <color rgb="FF843C0C"/>
        <rFont val="WenQuanYi Zen Hei"/>
        <family val="2"/>
      </rPr>
      <t xml:space="preserve">本表全部为公式自动汇总。表一按项目分月列示研发费用，表二按加计扣除费用类别列示，表三列示全年工时与费用强度，表四为勾稽校验（差异须为</t>
    </r>
    <r>
      <rPr>
        <sz val="9"/>
        <color rgb="FF843C0C"/>
        <rFont val="微软雅黑"/>
        <family val="0"/>
        <charset val="1"/>
      </rPr>
      <t xml:space="preserve">0</t>
    </r>
    <r>
      <rPr>
        <sz val="9"/>
        <color rgb="FF843C0C"/>
        <rFont val="WenQuanYi Zen Hei"/>
        <family val="2"/>
      </rPr>
      <t xml:space="preserve">）。</t>
    </r>
  </si>
  <si>
    <t xml:space="preserve">表一  各研发项目分月度研发费用归集表（元）</t>
  </si>
  <si>
    <r>
      <rPr>
        <b val="true"/>
        <sz val="10"/>
        <color rgb="FFFFFFFF"/>
        <rFont val="微软雅黑"/>
        <family val="0"/>
        <charset val="1"/>
      </rPr>
      <t xml:space="preserve">01</t>
    </r>
    <r>
      <rPr>
        <b val="true"/>
        <sz val="10"/>
        <color rgb="FFFFFFFF"/>
        <rFont val="WenQuanYi Zen Hei"/>
        <family val="2"/>
      </rPr>
      <t xml:space="preserve">月</t>
    </r>
  </si>
  <si>
    <r>
      <rPr>
        <b val="true"/>
        <sz val="10"/>
        <color rgb="FFFFFFFF"/>
        <rFont val="微软雅黑"/>
        <family val="0"/>
        <charset val="1"/>
      </rPr>
      <t xml:space="preserve">02</t>
    </r>
    <r>
      <rPr>
        <b val="true"/>
        <sz val="10"/>
        <color rgb="FFFFFFFF"/>
        <rFont val="WenQuanYi Zen Hei"/>
        <family val="2"/>
      </rPr>
      <t xml:space="preserve">月</t>
    </r>
  </si>
  <si>
    <r>
      <rPr>
        <b val="true"/>
        <sz val="10"/>
        <color rgb="FFFFFFFF"/>
        <rFont val="微软雅黑"/>
        <family val="0"/>
        <charset val="1"/>
      </rPr>
      <t xml:space="preserve">03</t>
    </r>
    <r>
      <rPr>
        <b val="true"/>
        <sz val="10"/>
        <color rgb="FFFFFFFF"/>
        <rFont val="WenQuanYi Zen Hei"/>
        <family val="2"/>
      </rPr>
      <t xml:space="preserve">月</t>
    </r>
  </si>
  <si>
    <r>
      <rPr>
        <b val="true"/>
        <sz val="10"/>
        <color rgb="FFFFFFFF"/>
        <rFont val="微软雅黑"/>
        <family val="0"/>
        <charset val="1"/>
      </rPr>
      <t xml:space="preserve">04</t>
    </r>
    <r>
      <rPr>
        <b val="true"/>
        <sz val="10"/>
        <color rgb="FFFFFFFF"/>
        <rFont val="WenQuanYi Zen Hei"/>
        <family val="2"/>
      </rPr>
      <t xml:space="preserve">月</t>
    </r>
  </si>
  <si>
    <r>
      <rPr>
        <b val="true"/>
        <sz val="10"/>
        <color rgb="FFFFFFFF"/>
        <rFont val="微软雅黑"/>
        <family val="0"/>
        <charset val="1"/>
      </rPr>
      <t xml:space="preserve">05</t>
    </r>
    <r>
      <rPr>
        <b val="true"/>
        <sz val="10"/>
        <color rgb="FFFFFFFF"/>
        <rFont val="WenQuanYi Zen Hei"/>
        <family val="2"/>
      </rPr>
      <t xml:space="preserve">月</t>
    </r>
  </si>
  <si>
    <r>
      <rPr>
        <b val="true"/>
        <sz val="10"/>
        <color rgb="FFFFFFFF"/>
        <rFont val="微软雅黑"/>
        <family val="0"/>
        <charset val="1"/>
      </rPr>
      <t xml:space="preserve">06</t>
    </r>
    <r>
      <rPr>
        <b val="true"/>
        <sz val="10"/>
        <color rgb="FFFFFFFF"/>
        <rFont val="WenQuanYi Zen Hei"/>
        <family val="2"/>
      </rPr>
      <t xml:space="preserve">月</t>
    </r>
  </si>
  <si>
    <r>
      <rPr>
        <b val="true"/>
        <sz val="10"/>
        <color rgb="FFFFFFFF"/>
        <rFont val="微软雅黑"/>
        <family val="0"/>
        <charset val="1"/>
      </rPr>
      <t xml:space="preserve">07</t>
    </r>
    <r>
      <rPr>
        <b val="true"/>
        <sz val="10"/>
        <color rgb="FFFFFFFF"/>
        <rFont val="WenQuanYi Zen Hei"/>
        <family val="2"/>
      </rPr>
      <t xml:space="preserve">月</t>
    </r>
  </si>
  <si>
    <r>
      <rPr>
        <b val="true"/>
        <sz val="10"/>
        <color rgb="FFFFFFFF"/>
        <rFont val="微软雅黑"/>
        <family val="0"/>
        <charset val="1"/>
      </rPr>
      <t xml:space="preserve">08</t>
    </r>
    <r>
      <rPr>
        <b val="true"/>
        <sz val="10"/>
        <color rgb="FFFFFFFF"/>
        <rFont val="WenQuanYi Zen Hei"/>
        <family val="2"/>
      </rPr>
      <t xml:space="preserve">月</t>
    </r>
  </si>
  <si>
    <r>
      <rPr>
        <b val="true"/>
        <sz val="10"/>
        <color rgb="FFFFFFFF"/>
        <rFont val="微软雅黑"/>
        <family val="0"/>
        <charset val="1"/>
      </rPr>
      <t xml:space="preserve">09</t>
    </r>
    <r>
      <rPr>
        <b val="true"/>
        <sz val="10"/>
        <color rgb="FFFFFFFF"/>
        <rFont val="WenQuanYi Zen Hei"/>
        <family val="2"/>
      </rPr>
      <t xml:space="preserve">月</t>
    </r>
  </si>
  <si>
    <r>
      <rPr>
        <b val="true"/>
        <sz val="10"/>
        <color rgb="FFFFFFFF"/>
        <rFont val="微软雅黑"/>
        <family val="0"/>
        <charset val="1"/>
      </rPr>
      <t xml:space="preserve">10</t>
    </r>
    <r>
      <rPr>
        <b val="true"/>
        <sz val="10"/>
        <color rgb="FFFFFFFF"/>
        <rFont val="WenQuanYi Zen Hei"/>
        <family val="2"/>
      </rPr>
      <t xml:space="preserve">月</t>
    </r>
  </si>
  <si>
    <r>
      <rPr>
        <b val="true"/>
        <sz val="10"/>
        <color rgb="FFFFFFFF"/>
        <rFont val="微软雅黑"/>
        <family val="0"/>
        <charset val="1"/>
      </rPr>
      <t xml:space="preserve">11</t>
    </r>
    <r>
      <rPr>
        <b val="true"/>
        <sz val="10"/>
        <color rgb="FFFFFFFF"/>
        <rFont val="WenQuanYi Zen Hei"/>
        <family val="2"/>
      </rPr>
      <t xml:space="preserve">月</t>
    </r>
  </si>
  <si>
    <r>
      <rPr>
        <b val="true"/>
        <sz val="10"/>
        <color rgb="FFFFFFFF"/>
        <rFont val="微软雅黑"/>
        <family val="0"/>
        <charset val="1"/>
      </rPr>
      <t xml:space="preserve">12</t>
    </r>
    <r>
      <rPr>
        <b val="true"/>
        <sz val="10"/>
        <color rgb="FFFFFFFF"/>
        <rFont val="WenQuanYi Zen Hei"/>
        <family val="2"/>
      </rPr>
      <t xml:space="preserve">月</t>
    </r>
  </si>
  <si>
    <t xml:space="preserve">合  计</t>
  </si>
  <si>
    <t xml:space="preserve">表二  各研发项目全年研发费用构成表（元）</t>
  </si>
  <si>
    <t xml:space="preserve">占比</t>
  </si>
  <si>
    <t xml:space="preserve">表三  各研发项目全年工时统计与费用强度</t>
  </si>
  <si>
    <r>
      <rPr>
        <b val="true"/>
        <sz val="10"/>
        <color rgb="FFFFFFFF"/>
        <rFont val="WenQuanYi Zen Hei"/>
        <family val="2"/>
      </rPr>
      <t xml:space="preserve">全年研发人员工时
</t>
    </r>
    <r>
      <rPr>
        <b val="true"/>
        <sz val="10"/>
        <color rgb="FFFFFFFF"/>
        <rFont val="微软雅黑"/>
        <family val="0"/>
        <charset val="1"/>
      </rPr>
      <t xml:space="preserve">(</t>
    </r>
    <r>
      <rPr>
        <b val="true"/>
        <sz val="10"/>
        <color rgb="FFFFFFFF"/>
        <rFont val="WenQuanYi Zen Hei"/>
        <family val="2"/>
      </rPr>
      <t xml:space="preserve">小时</t>
    </r>
    <r>
      <rPr>
        <b val="true"/>
        <sz val="10"/>
        <color rgb="FFFFFFFF"/>
        <rFont val="微软雅黑"/>
        <family val="0"/>
        <charset val="1"/>
      </rPr>
      <t xml:space="preserve">)</t>
    </r>
  </si>
  <si>
    <r>
      <rPr>
        <b val="true"/>
        <sz val="10"/>
        <color rgb="FFFFFFFF"/>
        <rFont val="WenQuanYi Zen Hei"/>
        <family val="2"/>
      </rPr>
      <t xml:space="preserve">全年仪器设备
使用工时</t>
    </r>
    <r>
      <rPr>
        <b val="true"/>
        <sz val="10"/>
        <color rgb="FFFFFFFF"/>
        <rFont val="微软雅黑"/>
        <family val="0"/>
        <charset val="1"/>
      </rPr>
      <t xml:space="preserve">(</t>
    </r>
    <r>
      <rPr>
        <b val="true"/>
        <sz val="10"/>
        <color rgb="FFFFFFFF"/>
        <rFont val="WenQuanYi Zen Hei"/>
        <family val="2"/>
      </rPr>
      <t xml:space="preserve">小时</t>
    </r>
    <r>
      <rPr>
        <b val="true"/>
        <sz val="10"/>
        <color rgb="FFFFFFFF"/>
        <rFont val="微软雅黑"/>
        <family val="0"/>
        <charset val="1"/>
      </rPr>
      <t xml:space="preserve">)</t>
    </r>
  </si>
  <si>
    <r>
      <rPr>
        <b val="true"/>
        <sz val="10"/>
        <color rgb="FFFFFFFF"/>
        <rFont val="WenQuanYi Zen Hei"/>
        <family val="2"/>
      </rPr>
      <t xml:space="preserve">全年无形资产
使用工时</t>
    </r>
    <r>
      <rPr>
        <b val="true"/>
        <sz val="10"/>
        <color rgb="FFFFFFFF"/>
        <rFont val="微软雅黑"/>
        <family val="0"/>
        <charset val="1"/>
      </rPr>
      <t xml:space="preserve">(</t>
    </r>
    <r>
      <rPr>
        <b val="true"/>
        <sz val="10"/>
        <color rgb="FFFFFFFF"/>
        <rFont val="WenQuanYi Zen Hei"/>
        <family val="2"/>
      </rPr>
      <t xml:space="preserve">小时</t>
    </r>
    <r>
      <rPr>
        <b val="true"/>
        <sz val="10"/>
        <color rgb="FFFFFFFF"/>
        <rFont val="微软雅黑"/>
        <family val="0"/>
        <charset val="1"/>
      </rPr>
      <t xml:space="preserve">)</t>
    </r>
  </si>
  <si>
    <r>
      <rPr>
        <b val="true"/>
        <sz val="10"/>
        <color rgb="FFFFFFFF"/>
        <rFont val="WenQuanYi Zen Hei"/>
        <family val="2"/>
      </rPr>
      <t xml:space="preserve">全年研发费用
合计</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</si>
  <si>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b val="true"/>
        <sz val="10"/>
        <color rgb="FFFFFFFF"/>
        <rFont val="WenQuanYi Zen Hei"/>
        <family val="2"/>
      </rPr>
      <t xml:space="preserve">单位研发人员工时
费用</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r>
      <rPr>
        <b val="true"/>
        <sz val="10"/>
        <color rgb="FFFFFFFF"/>
        <rFont val="WenQuanYi Zen Hei"/>
        <family val="2"/>
      </rPr>
      <t xml:space="preserve">小时</t>
    </r>
    <r>
      <rPr>
        <b val="true"/>
        <sz val="10"/>
        <color rgb="FFFFFFFF"/>
        <rFont val="微软雅黑"/>
        <family val="0"/>
        <charset val="1"/>
      </rPr>
      <t xml:space="preserve">)</t>
    </r>
  </si>
  <si>
    <r>
      <rPr>
        <b val="true"/>
        <sz val="11"/>
        <color rgb="FF1F4E79"/>
        <rFont val="WenQuanYi Zen Hei"/>
        <family val="2"/>
      </rPr>
      <t xml:space="preserve">表四  勾稽校验（“差异”列须全部为 </t>
    </r>
    <r>
      <rPr>
        <b val="true"/>
        <sz val="11"/>
        <color rgb="FF1F4E79"/>
        <rFont val="微软雅黑"/>
        <family val="0"/>
        <charset val="1"/>
      </rPr>
      <t xml:space="preserve">0</t>
    </r>
    <r>
      <rPr>
        <b val="true"/>
        <sz val="11"/>
        <color rgb="FF1F4E79"/>
        <rFont val="WenQuanYi Zen Hei"/>
        <family val="2"/>
      </rPr>
      <t xml:space="preserve">，否则说明明细表存在漏录或月份</t>
    </r>
    <r>
      <rPr>
        <b val="true"/>
        <sz val="11"/>
        <color rgb="FF1F4E79"/>
        <rFont val="微软雅黑"/>
        <family val="0"/>
        <charset val="1"/>
      </rPr>
      <t xml:space="preserve">/</t>
    </r>
    <r>
      <rPr>
        <b val="true"/>
        <sz val="11"/>
        <color rgb="FF1F4E79"/>
        <rFont val="WenQuanYi Zen Hei"/>
        <family val="2"/>
      </rPr>
      <t xml:space="preserve">编号填写错误）</t>
    </r>
  </si>
  <si>
    <t xml:space="preserve">校验项目</t>
  </si>
  <si>
    <t xml:space="preserve">校验说明</t>
  </si>
  <si>
    <r>
      <rPr>
        <b val="true"/>
        <sz val="10"/>
        <color rgb="FFFFFFFF"/>
        <rFont val="WenQuanYi Zen Hei"/>
        <family val="2"/>
      </rPr>
      <t xml:space="preserve">明细表金额</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</si>
  <si>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b val="true"/>
        <sz val="10"/>
        <color rgb="FFFFFFFF"/>
        <rFont val="WenQuanYi Zen Hei"/>
        <family val="2"/>
      </rPr>
      <t xml:space="preserve">汇总表金额</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</si>
  <si>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r>
      <rPr>
        <b val="true"/>
        <sz val="10"/>
        <color rgb="FFFFFFFF"/>
        <rFont val="WenQuanYi Zen Hei"/>
        <family val="2"/>
      </rPr>
      <t xml:space="preserve">差异</t>
    </r>
    <r>
      <rPr>
        <b val="true"/>
        <sz val="10"/>
        <color rgb="FFFFFFFF"/>
        <rFont val="微软雅黑"/>
        <family val="0"/>
        <charset val="1"/>
      </rPr>
      <t xml:space="preserve">(</t>
    </r>
    <r>
      <rPr>
        <b val="true"/>
        <sz val="10"/>
        <color rgb="FFFFFFFF"/>
        <rFont val="WenQuanYi Zen Hei"/>
        <family val="2"/>
      </rPr>
      <t xml:space="preserve">元</t>
    </r>
    <r>
      <rPr>
        <b val="true"/>
        <sz val="10"/>
        <color rgb="FFFFFFFF"/>
        <rFont val="微软雅黑"/>
        <family val="0"/>
        <charset val="1"/>
      </rPr>
      <t xml:space="preserve">)</t>
    </r>
  </si>
  <si>
    <t xml:space="preserve">《研发人员工时费用分配表》研发人工费小计合计  ⇔  年度汇总表二“人员人工费用”合计</t>
  </si>
  <si>
    <t xml:space="preserve">仪器设备折旧费</t>
  </si>
  <si>
    <t xml:space="preserve">《仪器、设备工时费用分配表》研发费用小计合计  ⇔  年度汇总表二“折旧费用”合计</t>
  </si>
  <si>
    <t xml:space="preserve">《无形资产费用分配表》分摊合计  ⇔  年度汇总表二“无形资产摊销”合计</t>
  </si>
  <si>
    <t xml:space="preserve">其他研发费用</t>
  </si>
  <si>
    <r>
      <rPr>
        <sz val="10"/>
        <rFont val="WenQuanYi Zen Hei"/>
        <family val="2"/>
      </rPr>
      <t xml:space="preserve">《其他研发费用登记表》金额合计  ⇔  年度汇总表二直接投入</t>
    </r>
    <r>
      <rPr>
        <sz val="10"/>
        <rFont val="微软雅黑"/>
        <family val="0"/>
        <charset val="1"/>
      </rPr>
      <t xml:space="preserve">+</t>
    </r>
    <r>
      <rPr>
        <sz val="10"/>
        <rFont val="WenQuanYi Zen Hei"/>
        <family val="2"/>
      </rPr>
      <t xml:space="preserve">设计费</t>
    </r>
    <r>
      <rPr>
        <sz val="10"/>
        <rFont val="微软雅黑"/>
        <family val="0"/>
        <charset val="1"/>
      </rPr>
      <t xml:space="preserve">+</t>
    </r>
    <r>
      <rPr>
        <sz val="10"/>
        <rFont val="WenQuanYi Zen Hei"/>
        <family val="2"/>
      </rPr>
      <t xml:space="preserve">其他相关</t>
    </r>
    <r>
      <rPr>
        <sz val="10"/>
        <rFont val="微软雅黑"/>
        <family val="0"/>
        <charset val="1"/>
      </rPr>
      <t xml:space="preserve">+</t>
    </r>
    <r>
      <rPr>
        <sz val="10"/>
        <rFont val="WenQuanYi Zen Hei"/>
        <family val="2"/>
      </rPr>
      <t xml:space="preserve">委外</t>
    </r>
  </si>
  <si>
    <t xml:space="preserve">研发费用总额</t>
  </si>
  <si>
    <t xml:space="preserve">【月度归集汇总】年度累计合计  ⇔  年度汇总表一合计</t>
  </si>
  <si>
    <r>
      <rPr>
        <sz val="11"/>
        <rFont val="WenQuanYi Zen Hei"/>
        <family val="2"/>
      </rPr>
      <t xml:space="preserve">（</t>
    </r>
    <r>
      <rPr>
        <sz val="11"/>
        <rFont val="微软雅黑"/>
        <family val="0"/>
        <charset val="1"/>
      </rPr>
      <t xml:space="preserve">2026</t>
    </r>
    <r>
      <rPr>
        <sz val="11"/>
        <rFont val="WenQuanYi Zen Hei"/>
        <family val="2"/>
      </rPr>
      <t xml:space="preserve">年度  </t>
    </r>
    <r>
      <rPr>
        <sz val="11"/>
        <rFont val="微软雅黑"/>
        <family val="0"/>
        <charset val="1"/>
      </rPr>
      <t xml:space="preserve">·  </t>
    </r>
    <r>
      <rPr>
        <sz val="11"/>
        <rFont val="WenQuanYi Zen Hei"/>
        <family val="2"/>
      </rPr>
      <t xml:space="preserve">按月核算、按年汇总）</t>
    </r>
  </si>
  <si>
    <t xml:space="preserve">一、企业基本情况与研发活动概况</t>
  </si>
  <si>
    <r>
      <rPr>
        <sz val="10.5"/>
        <rFont val="WenQuanYi Zen Hei"/>
        <family val="2"/>
      </rPr>
      <t xml:space="preserve">本公司主营泡棉（发泡材料）生产、泡棉与</t>
    </r>
    <r>
      <rPr>
        <sz val="10.5"/>
        <rFont val="微软雅黑"/>
        <family val="0"/>
        <charset val="1"/>
      </rPr>
      <t xml:space="preserve">PET</t>
    </r>
    <r>
      <rPr>
        <sz val="10.5"/>
        <rFont val="WenQuanYi Zen Hei"/>
        <family val="2"/>
      </rPr>
      <t xml:space="preserve">基材贴合（复合）以及分切</t>
    </r>
    <r>
      <rPr>
        <sz val="10.5"/>
        <rFont val="微软雅黑"/>
        <family val="0"/>
        <charset val="1"/>
      </rPr>
      <t xml:space="preserve">/</t>
    </r>
    <r>
      <rPr>
        <sz val="10.5"/>
        <rFont val="WenQuanYi Zen Hei"/>
        <family val="2"/>
      </rPr>
      <t xml:space="preserve">模切加工，产品主要应用于</t>
    </r>
    <r>
      <rPr>
        <sz val="10.5"/>
        <rFont val="微软雅黑"/>
        <family val="0"/>
        <charset val="1"/>
      </rPr>
      <t xml:space="preserve">3C</t>
    </r>
    <r>
      <rPr>
        <sz val="10.5"/>
        <rFont val="WenQuanYi Zen Hei"/>
        <family val="2"/>
      </rPr>
      <t xml:space="preserve">电子与新能源汽车两大板块。主要生产工序为：原料配制 → 发泡成型 → 熟化 → </t>
    </r>
    <r>
      <rPr>
        <sz val="10.5"/>
        <rFont val="微软雅黑"/>
        <family val="0"/>
        <charset val="1"/>
      </rPr>
      <t xml:space="preserve">PET</t>
    </r>
    <r>
      <rPr>
        <sz val="10.5"/>
        <rFont val="WenQuanYi Zen Hei"/>
        <family val="2"/>
      </rPr>
      <t xml:space="preserve">贴合（复合） → 分切</t>
    </r>
    <r>
      <rPr>
        <sz val="10.5"/>
        <rFont val="微软雅黑"/>
        <family val="0"/>
        <charset val="1"/>
      </rPr>
      <t xml:space="preserve">/</t>
    </r>
    <r>
      <rPr>
        <sz val="10.5"/>
        <rFont val="WenQuanYi Zen Hei"/>
        <family val="2"/>
      </rPr>
      <t xml:space="preserve">模切 → 检测包装。</t>
    </r>
  </si>
  <si>
    <r>
      <rPr>
        <sz val="10.5"/>
        <rFont val="WenQuanYi Zen Hei"/>
        <family val="2"/>
      </rPr>
      <t xml:space="preserve">公司研发活动主要围绕新型泡棉配方开发、无溶剂</t>
    </r>
    <r>
      <rPr>
        <sz val="10.5"/>
        <rFont val="微软雅黑"/>
        <family val="0"/>
        <charset val="1"/>
      </rPr>
      <t xml:space="preserve">/</t>
    </r>
    <r>
      <rPr>
        <sz val="10.5"/>
        <rFont val="WenQuanYi Zen Hei"/>
        <family val="2"/>
      </rPr>
      <t xml:space="preserve">水性胶贴合工艺改进、超薄泡棉高精度分切与毛边控制、动力电池用阻燃缓冲及导热复合材料开发等方向展开。受工艺特点限制，上述研发活动的小试、中试与验证试验必须在现有发泡线、贴合线、分切线等生产设备上进行，由具备实际操作经验的技术与生产人员共同完成。</t>
    </r>
  </si>
  <si>
    <t xml:space="preserve">二、研发人员与仪器设备生产研发混合使用情况说明</t>
  </si>
  <si>
    <r>
      <rPr>
        <sz val="10.5"/>
        <rFont val="微软雅黑"/>
        <family val="0"/>
        <charset val="1"/>
      </rPr>
      <t xml:space="preserve">1. </t>
    </r>
    <r>
      <rPr>
        <sz val="10.5"/>
        <rFont val="WenQuanYi Zen Hei"/>
        <family val="2"/>
      </rPr>
      <t xml:space="preserve">人员方面：公司研发人员分为“研发专用”与“研发生产共用”两类。研发中心专职配方工程师、工艺工程师、检测工程师属研发专用人员，其当月全额工时计入研发项目；发泡、贴合、分切等岗位的部分生产技师在承担正常生产任务的同时参与研发试验，以及外聘技术顾问，属研发生产共用人员，仅按实际投入研发的工时计入研发项目，其余工时计入生产。</t>
    </r>
  </si>
  <si>
    <r>
      <rPr>
        <sz val="10.5"/>
        <rFont val="微软雅黑"/>
        <family val="0"/>
        <charset val="1"/>
      </rPr>
      <t xml:space="preserve">2. </t>
    </r>
    <r>
      <rPr>
        <sz val="10.5"/>
        <rFont val="WenQuanYi Zen Hei"/>
        <family val="2"/>
      </rPr>
      <t xml:space="preserve">设备方面：同样区分“研发专用”与“研发生产共用”。研发专用设备记录全额运行工时；连续发泡生产线、自动贴合复合机、高精度分切机、模切设备等主要生产设备，在安排试制、试验期间用于研发活动、其余时间用于正常生产，属研发生产共用设备，按其实际研发使用工时占当月总运行工时的比例分摊折旧（租赁）费。</t>
    </r>
  </si>
  <si>
    <r>
      <rPr>
        <sz val="10.5"/>
        <rFont val="微软雅黑"/>
        <family val="0"/>
        <charset val="1"/>
      </rPr>
      <t xml:space="preserve">3. </t>
    </r>
    <r>
      <rPr>
        <sz val="10.5"/>
        <rFont val="WenQuanYi Zen Hei"/>
        <family val="2"/>
      </rPr>
      <t xml:space="preserve">无形资产方面：泡棉配方模拟软件、专利</t>
    </r>
    <r>
      <rPr>
        <sz val="10.5"/>
        <rFont val="微软雅黑"/>
        <family val="0"/>
        <charset val="1"/>
      </rPr>
      <t xml:space="preserve">/</t>
    </r>
    <r>
      <rPr>
        <sz val="10.5"/>
        <rFont val="WenQuanYi Zen Hei"/>
        <family val="2"/>
      </rPr>
      <t xml:space="preserve">专有技术等无形资产，同时服务于研发试验与生产质量控制，亦区分“研发专用”与“研发生产共用”，由研发部门按月据实记录各研发项目的使用工时，按使用工时占比分摊其当月摊销额。</t>
    </r>
  </si>
  <si>
    <r>
      <rPr>
        <sz val="10.5"/>
        <rFont val="微软雅黑"/>
        <family val="0"/>
        <charset val="1"/>
      </rPr>
      <t xml:space="preserve">4. </t>
    </r>
    <r>
      <rPr>
        <sz val="10.5"/>
        <rFont val="WenQuanYi Zen Hei"/>
        <family val="2"/>
      </rPr>
      <t xml:space="preserve">鉴于人员与设备存在研发生产混合使用情形，公司采用“实际工时法”，以经审批的工时记录作为唯一分配依据，将人员人工费用、设备折旧（租赁）费用及无形资产摊销，在各研发项目与生产成本之间进行合理分配，做到有据可依、可追溯、可复核。</t>
    </r>
  </si>
  <si>
    <t xml:space="preserve">三、工作使用情况记录制度（原始记录的形成与审批）</t>
  </si>
  <si>
    <r>
      <rPr>
        <sz val="10.5"/>
        <rFont val="微软雅黑"/>
        <family val="0"/>
        <charset val="1"/>
      </rPr>
      <t xml:space="preserve">1. </t>
    </r>
    <r>
      <rPr>
        <sz val="10.5"/>
        <rFont val="WenQuanYi Zen Hei"/>
        <family val="2"/>
      </rPr>
      <t xml:space="preserve">记录主体与频次：研发人员按月填报《研发人员工时分配表》（签批用见本台账附表</t>
    </r>
    <r>
      <rPr>
        <sz val="10.5"/>
        <rFont val="微软雅黑"/>
        <family val="0"/>
        <charset val="1"/>
      </rPr>
      <t xml:space="preserve">1</t>
    </r>
    <r>
      <rPr>
        <sz val="10.5"/>
        <rFont val="WenQuanYi Zen Hei"/>
        <family val="2"/>
      </rPr>
      <t xml:space="preserve">）；设备管理员</t>
    </r>
    <r>
      <rPr>
        <sz val="10.5"/>
        <rFont val="微软雅黑"/>
        <family val="0"/>
        <charset val="1"/>
      </rPr>
      <t xml:space="preserve">/</t>
    </r>
    <r>
      <rPr>
        <sz val="10.5"/>
        <rFont val="WenQuanYi Zen Hei"/>
        <family val="2"/>
      </rPr>
      <t xml:space="preserve">工序班长按月填报《仪器、设备工时分配表》（签批用见本台账附表</t>
    </r>
    <r>
      <rPr>
        <sz val="10.5"/>
        <rFont val="微软雅黑"/>
        <family val="0"/>
        <charset val="1"/>
      </rPr>
      <t xml:space="preserve">2</t>
    </r>
    <r>
      <rPr>
        <sz val="10.5"/>
        <rFont val="WenQuanYi Zen Hei"/>
        <family val="2"/>
      </rPr>
      <t xml:space="preserve">）；无形资产管理员按月填报《无形资产工时分配表》（签批用见本台账附表</t>
    </r>
    <r>
      <rPr>
        <sz val="10.5"/>
        <rFont val="微软雅黑"/>
        <family val="0"/>
        <charset val="1"/>
      </rPr>
      <t xml:space="preserve">3</t>
    </r>
    <r>
      <rPr>
        <sz val="10.5"/>
        <rFont val="WenQuanYi Zen Hei"/>
        <family val="2"/>
      </rPr>
      <t xml:space="preserve">）。填报截止时间为次月</t>
    </r>
    <r>
      <rPr>
        <sz val="10.5"/>
        <rFont val="微软雅黑"/>
        <family val="0"/>
        <charset val="1"/>
      </rPr>
      <t xml:space="preserve">3</t>
    </r>
    <r>
      <rPr>
        <sz val="10.5"/>
        <rFont val="WenQuanYi Zen Hei"/>
        <family val="2"/>
      </rPr>
      <t xml:space="preserve">日前。</t>
    </r>
  </si>
  <si>
    <r>
      <rPr>
        <sz val="10.5"/>
        <rFont val="微软雅黑"/>
        <family val="0"/>
        <charset val="1"/>
      </rPr>
      <t xml:space="preserve">2. </t>
    </r>
    <r>
      <rPr>
        <sz val="10.5"/>
        <rFont val="WenQuanYi Zen Hei"/>
        <family val="2"/>
      </rPr>
      <t xml:space="preserve">记录内容：人员填报当月出勤总工时、投入各研发项目的工时、非研发（生产及其他）工时，并简述当月主要研发工作内容；设备与无形资产填报当月总运行（使用）工时、各研发项目占用工时及生产占用工时。</t>
    </r>
  </si>
  <si>
    <r>
      <rPr>
        <sz val="10.5"/>
        <rFont val="微软雅黑"/>
        <family val="0"/>
        <charset val="1"/>
      </rPr>
      <t xml:space="preserve">3. </t>
    </r>
    <r>
      <rPr>
        <sz val="10.5"/>
        <rFont val="WenQuanYi Zen Hei"/>
        <family val="2"/>
      </rPr>
      <t xml:space="preserve">原始依据：人员工时以考勤记录、项目周报、试验记录为支撑；设备工时以设备运行台账、点检记录、生产报工单、试制（试验）通知单为支撑，确保填报数据可与生产系统记录相互印证。</t>
    </r>
  </si>
  <si>
    <r>
      <rPr>
        <sz val="10.5"/>
        <rFont val="微软雅黑"/>
        <family val="0"/>
        <charset val="1"/>
      </rPr>
      <t xml:space="preserve">4. </t>
    </r>
    <r>
      <rPr>
        <sz val="10.5"/>
        <rFont val="WenQuanYi Zen Hei"/>
        <family val="2"/>
      </rPr>
      <t xml:space="preserve">审批流程：填报人签字 → 项目负责人确认 → 研发部门负责人审核 → 财务复核入账。签批原件按月装订、专人保管。</t>
    </r>
  </si>
  <si>
    <r>
      <rPr>
        <sz val="10.5"/>
        <rFont val="微软雅黑"/>
        <family val="0"/>
        <charset val="1"/>
      </rPr>
      <t xml:space="preserve">5. </t>
    </r>
    <r>
      <rPr>
        <sz val="10.5"/>
        <rFont val="WenQuanYi Zen Hei"/>
        <family val="2"/>
      </rPr>
      <t xml:space="preserve">复核要求：财务复核时必须核对“当月总工时 </t>
    </r>
    <r>
      <rPr>
        <sz val="10.5"/>
        <rFont val="微软雅黑"/>
        <family val="0"/>
        <charset val="1"/>
      </rPr>
      <t xml:space="preserve">= </t>
    </r>
    <r>
      <rPr>
        <sz val="10.5"/>
        <rFont val="WenQuanYi Zen Hei"/>
        <family val="2"/>
      </rPr>
      <t xml:space="preserve">非研发工时 </t>
    </r>
    <r>
      <rPr>
        <sz val="10.5"/>
        <rFont val="微软雅黑"/>
        <family val="0"/>
        <charset val="1"/>
      </rPr>
      <t xml:space="preserve">+ </t>
    </r>
    <r>
      <rPr>
        <sz val="10.5"/>
        <rFont val="WenQuanYi Zen Hei"/>
        <family val="2"/>
      </rPr>
      <t xml:space="preserve">各研发项目工时合计”，本台账已设置“工时校验”列自动校验，不平（显示红色）者退回更正后方可进行费用分摊。研发专用人员</t>
    </r>
    <r>
      <rPr>
        <sz val="10.5"/>
        <rFont val="微软雅黑"/>
        <family val="0"/>
        <charset val="1"/>
      </rPr>
      <t xml:space="preserve">/</t>
    </r>
    <r>
      <rPr>
        <sz val="10.5"/>
        <rFont val="WenQuanYi Zen Hei"/>
        <family val="2"/>
      </rPr>
      <t xml:space="preserve">设备的非研发工时应为</t>
    </r>
    <r>
      <rPr>
        <sz val="10.5"/>
        <rFont val="微软雅黑"/>
        <family val="0"/>
        <charset val="1"/>
      </rPr>
      <t xml:space="preserve">0</t>
    </r>
    <r>
      <rPr>
        <sz val="10.5"/>
        <rFont val="WenQuanYi Zen Hei"/>
        <family val="2"/>
      </rPr>
      <t xml:space="preserve">，即按全额工时记录。</t>
    </r>
  </si>
  <si>
    <t xml:space="preserve">四、费用分配计算方法</t>
  </si>
  <si>
    <t xml:space="preserve">（一）人员人工费用</t>
  </si>
  <si>
    <r>
      <rPr>
        <b val="true"/>
        <sz val="10"/>
        <color rgb="FFC00000"/>
        <rFont val="WenQuanYi Zen Hei"/>
        <family val="2"/>
      </rPr>
      <t xml:space="preserve">当月某项目应分摊的人工费 ＝ 该人员当月总薪酬（含工资、社保、公积金、外聘劳务费） </t>
    </r>
    <r>
      <rPr>
        <b val="true"/>
        <sz val="10"/>
        <color rgb="FFC00000"/>
        <rFont val="微软雅黑"/>
        <family val="0"/>
        <charset val="1"/>
      </rPr>
      <t xml:space="preserve">×</t>
    </r>
    <r>
      <rPr>
        <b val="true"/>
        <sz val="10"/>
        <color rgb="FFC00000"/>
        <rFont val="WenQuanYi Zen Hei"/>
        <family val="2"/>
      </rPr>
      <t xml:space="preserve">（该项目研发工时 </t>
    </r>
    <r>
      <rPr>
        <b val="true"/>
        <sz val="10"/>
        <color rgb="FFC00000"/>
        <rFont val="微软雅黑"/>
        <family val="0"/>
        <charset val="1"/>
      </rPr>
      <t xml:space="preserve">÷ </t>
    </r>
    <r>
      <rPr>
        <b val="true"/>
        <sz val="10"/>
        <color rgb="FFC00000"/>
        <rFont val="WenQuanYi Zen Hei"/>
        <family val="2"/>
      </rPr>
      <t xml:space="preserve">该人员当月总工时）</t>
    </r>
  </si>
  <si>
    <r>
      <rPr>
        <b val="true"/>
        <sz val="10"/>
        <rFont val="WenQuanYi Zen Hei"/>
        <family val="2"/>
      </rPr>
      <t xml:space="preserve">（二）仪器设备折旧费</t>
    </r>
    <r>
      <rPr>
        <b val="true"/>
        <sz val="10"/>
        <rFont val="微软雅黑"/>
        <family val="0"/>
        <charset val="1"/>
      </rPr>
      <t xml:space="preserve">/</t>
    </r>
    <r>
      <rPr>
        <b val="true"/>
        <sz val="10"/>
        <rFont val="WenQuanYi Zen Hei"/>
        <family val="2"/>
      </rPr>
      <t xml:space="preserve">租赁使用费</t>
    </r>
  </si>
  <si>
    <r>
      <rPr>
        <b val="true"/>
        <sz val="10"/>
        <color rgb="FFC00000"/>
        <rFont val="WenQuanYi Zen Hei"/>
        <family val="2"/>
      </rPr>
      <t xml:space="preserve">当月某项目应分摊的设备费 ＝ 该设备当月折旧额（或租赁费） </t>
    </r>
    <r>
      <rPr>
        <b val="true"/>
        <sz val="10"/>
        <color rgb="FFC00000"/>
        <rFont val="微软雅黑"/>
        <family val="0"/>
        <charset val="1"/>
      </rPr>
      <t xml:space="preserve">×</t>
    </r>
    <r>
      <rPr>
        <b val="true"/>
        <sz val="10"/>
        <color rgb="FFC00000"/>
        <rFont val="WenQuanYi Zen Hei"/>
        <family val="2"/>
      </rPr>
      <t xml:space="preserve">（该项目使用工时 </t>
    </r>
    <r>
      <rPr>
        <b val="true"/>
        <sz val="10"/>
        <color rgb="FFC00000"/>
        <rFont val="微软雅黑"/>
        <family val="0"/>
        <charset val="1"/>
      </rPr>
      <t xml:space="preserve">÷ </t>
    </r>
    <r>
      <rPr>
        <b val="true"/>
        <sz val="10"/>
        <color rgb="FFC00000"/>
        <rFont val="WenQuanYi Zen Hei"/>
        <family val="2"/>
      </rPr>
      <t xml:space="preserve">该设备当月总运行工时）</t>
    </r>
  </si>
  <si>
    <t xml:space="preserve">（三）无形资产摊销费用</t>
  </si>
  <si>
    <r>
      <rPr>
        <b val="true"/>
        <sz val="10"/>
        <color rgb="FFC00000"/>
        <rFont val="WenQuanYi Zen Hei"/>
        <family val="2"/>
      </rPr>
      <t xml:space="preserve">当月某项目应分摊的摊销额 ＝ 该无形资产当月摊销额 </t>
    </r>
    <r>
      <rPr>
        <b val="true"/>
        <sz val="10"/>
        <color rgb="FFC00000"/>
        <rFont val="微软雅黑"/>
        <family val="0"/>
        <charset val="1"/>
      </rPr>
      <t xml:space="preserve">×</t>
    </r>
    <r>
      <rPr>
        <b val="true"/>
        <sz val="10"/>
        <color rgb="FFC00000"/>
        <rFont val="WenQuanYi Zen Hei"/>
        <family val="2"/>
      </rPr>
      <t xml:space="preserve">（该项目使用工时 </t>
    </r>
    <r>
      <rPr>
        <b val="true"/>
        <sz val="10"/>
        <color rgb="FFC00000"/>
        <rFont val="微软雅黑"/>
        <family val="0"/>
        <charset val="1"/>
      </rPr>
      <t xml:space="preserve">÷ </t>
    </r>
    <r>
      <rPr>
        <b val="true"/>
        <sz val="10"/>
        <color rgb="FFC00000"/>
        <rFont val="WenQuanYi Zen Hei"/>
        <family val="2"/>
      </rPr>
      <t xml:space="preserve">该无形资产当月总使用工时）</t>
    </r>
  </si>
  <si>
    <t xml:space="preserve">无形资产（配方模拟软件、专利技术、专有技术等）由研发部门按月填报《无形资产工时分配表》，据实记录各研发项目的使用工时；研发专用无形资产记录全额使用工时，研发生产共用的按实际使用工时记录，未分配部分计入生产成本。</t>
  </si>
  <si>
    <t xml:space="preserve">（四）上述计算后未分配至研发项目的剩余部分，全额计入当期生产成本或相应期间费用，确保研发与生产各归其位、不重不漏。</t>
  </si>
  <si>
    <t xml:space="preserve">（五）分摊金额按月计算，四舍五入保留两位小数；年度金额为当年各月分摊额之和。分配方法在年度内保持一贯，确需变更的须经公司管理层审批并书面说明理由。</t>
  </si>
  <si>
    <r>
      <rPr>
        <b val="true"/>
        <sz val="12"/>
        <color rgb="FF1F4E79"/>
        <rFont val="WenQuanYi Zen Hei"/>
        <family val="2"/>
      </rPr>
      <t xml:space="preserve">五、计算举例（以</t>
    </r>
    <r>
      <rPr>
        <b val="true"/>
        <sz val="12"/>
        <color rgb="FF1F4E79"/>
        <rFont val="微软雅黑"/>
        <family val="0"/>
        <charset val="1"/>
      </rPr>
      <t xml:space="preserve">2026</t>
    </r>
    <r>
      <rPr>
        <b val="true"/>
        <sz val="12"/>
        <color rgb="FF1F4E79"/>
        <rFont val="WenQuanYi Zen Hei"/>
        <family val="2"/>
      </rPr>
      <t xml:space="preserve">年</t>
    </r>
    <r>
      <rPr>
        <b val="true"/>
        <sz val="12"/>
        <color rgb="FF1F4E79"/>
        <rFont val="微软雅黑"/>
        <family val="0"/>
        <charset val="1"/>
      </rPr>
      <t xml:space="preserve">9</t>
    </r>
    <r>
      <rPr>
        <b val="true"/>
        <sz val="12"/>
        <color rgb="FF1F4E79"/>
        <rFont val="WenQuanYi Zen Hei"/>
        <family val="2"/>
      </rPr>
      <t xml:space="preserve">月为例，数据详见本台账各明细表）</t>
    </r>
  </si>
  <si>
    <r>
      <rPr>
        <sz val="10.5"/>
        <rFont val="微软雅黑"/>
        <family val="0"/>
        <charset val="1"/>
      </rPr>
      <t xml:space="preserve">1. </t>
    </r>
    <r>
      <rPr>
        <sz val="10.5"/>
        <rFont val="WenQuanYi Zen Hei"/>
        <family val="2"/>
      </rPr>
      <t xml:space="preserve">人员人工费用：配方工程师张工（工号</t>
    </r>
    <r>
      <rPr>
        <sz val="10.5"/>
        <rFont val="微软雅黑"/>
        <family val="0"/>
        <charset val="1"/>
      </rPr>
      <t xml:space="preserve">YF001</t>
    </r>
    <r>
      <rPr>
        <sz val="10.5"/>
        <rFont val="WenQuanYi Zen Hei"/>
        <family val="2"/>
      </rPr>
      <t xml:space="preserve">）当月出勤总工时</t>
    </r>
    <r>
      <rPr>
        <sz val="10.5"/>
        <rFont val="微软雅黑"/>
        <family val="0"/>
        <charset val="1"/>
      </rPr>
      <t xml:space="preserve">176</t>
    </r>
    <r>
      <rPr>
        <sz val="10.5"/>
        <rFont val="WenQuanYi Zen Hei"/>
        <family val="2"/>
      </rPr>
      <t xml:space="preserve">小时，其中</t>
    </r>
    <r>
      <rPr>
        <sz val="10.5"/>
        <rFont val="微软雅黑"/>
        <family val="0"/>
        <charset val="1"/>
      </rPr>
      <t xml:space="preserve">RD01</t>
    </r>
    <r>
      <rPr>
        <sz val="10.5"/>
        <rFont val="WenQuanYi Zen Hei"/>
        <family val="2"/>
      </rPr>
      <t xml:space="preserve">项目</t>
    </r>
    <r>
      <rPr>
        <sz val="10.5"/>
        <rFont val="微软雅黑"/>
        <family val="0"/>
        <charset val="1"/>
      </rPr>
      <t xml:space="preserve">100</t>
    </r>
    <r>
      <rPr>
        <sz val="10.5"/>
        <rFont val="WenQuanYi Zen Hei"/>
        <family val="2"/>
      </rPr>
      <t xml:space="preserve">小时、</t>
    </r>
    <r>
      <rPr>
        <sz val="10.5"/>
        <rFont val="微软雅黑"/>
        <family val="0"/>
        <charset val="1"/>
      </rPr>
      <t xml:space="preserve">RD02</t>
    </r>
    <r>
      <rPr>
        <sz val="10.5"/>
        <rFont val="WenQuanYi Zen Hei"/>
        <family val="2"/>
      </rPr>
      <t xml:space="preserve">项目</t>
    </r>
    <r>
      <rPr>
        <sz val="10.5"/>
        <rFont val="微软雅黑"/>
        <family val="0"/>
        <charset val="1"/>
      </rPr>
      <t xml:space="preserve">60</t>
    </r>
    <r>
      <rPr>
        <sz val="10.5"/>
        <rFont val="WenQuanYi Zen Hei"/>
        <family val="2"/>
      </rPr>
      <t xml:space="preserve">小时、非研发（生产及其他）</t>
    </r>
    <r>
      <rPr>
        <sz val="10.5"/>
        <rFont val="微软雅黑"/>
        <family val="0"/>
        <charset val="1"/>
      </rPr>
      <t xml:space="preserve">16</t>
    </r>
    <r>
      <rPr>
        <sz val="10.5"/>
        <rFont val="WenQuanYi Zen Hei"/>
        <family val="2"/>
      </rPr>
      <t xml:space="preserve">小时；当月总薪酬 </t>
    </r>
    <r>
      <rPr>
        <sz val="10.5"/>
        <rFont val="微软雅黑"/>
        <family val="0"/>
        <charset val="1"/>
      </rPr>
      <t xml:space="preserve">15,000</t>
    </r>
    <r>
      <rPr>
        <sz val="10.5"/>
        <rFont val="WenQuanYi Zen Hei"/>
        <family val="2"/>
      </rPr>
      <t xml:space="preserve">＋</t>
    </r>
    <r>
      <rPr>
        <sz val="10.5"/>
        <rFont val="微软雅黑"/>
        <family val="0"/>
        <charset val="1"/>
      </rPr>
      <t xml:space="preserve">3,900</t>
    </r>
    <r>
      <rPr>
        <sz val="10.5"/>
        <rFont val="WenQuanYi Zen Hei"/>
        <family val="2"/>
      </rPr>
      <t xml:space="preserve">＋</t>
    </r>
    <r>
      <rPr>
        <sz val="10.5"/>
        <rFont val="微软雅黑"/>
        <family val="0"/>
        <charset val="1"/>
      </rPr>
      <t xml:space="preserve">1,800</t>
    </r>
    <r>
      <rPr>
        <sz val="10.5"/>
        <rFont val="WenQuanYi Zen Hei"/>
        <family val="2"/>
      </rPr>
      <t xml:space="preserve">＋</t>
    </r>
    <r>
      <rPr>
        <sz val="10.5"/>
        <rFont val="微软雅黑"/>
        <family val="0"/>
        <charset val="1"/>
      </rPr>
      <t xml:space="preserve">1,200 </t>
    </r>
    <r>
      <rPr>
        <sz val="10.5"/>
        <rFont val="WenQuanYi Zen Hei"/>
        <family val="2"/>
      </rPr>
      <t xml:space="preserve">＝ </t>
    </r>
    <r>
      <rPr>
        <sz val="10.5"/>
        <rFont val="微软雅黑"/>
        <family val="0"/>
        <charset val="1"/>
      </rPr>
      <t xml:space="preserve">21,900</t>
    </r>
    <r>
      <rPr>
        <sz val="10.5"/>
        <rFont val="WenQuanYi Zen Hei"/>
        <family val="2"/>
      </rPr>
      <t xml:space="preserve">元。</t>
    </r>
  </si>
  <si>
    <r>
      <rPr>
        <b val="true"/>
        <sz val="10"/>
        <color rgb="FFC00000"/>
        <rFont val="微软雅黑"/>
        <family val="0"/>
        <charset val="1"/>
      </rPr>
      <t xml:space="preserve">RD01</t>
    </r>
    <r>
      <rPr>
        <b val="true"/>
        <sz val="10"/>
        <color rgb="FFC00000"/>
        <rFont val="WenQuanYi Zen Hei"/>
        <family val="2"/>
      </rPr>
      <t xml:space="preserve">应分摊 ＝ </t>
    </r>
    <r>
      <rPr>
        <b val="true"/>
        <sz val="10"/>
        <color rgb="FFC00000"/>
        <rFont val="微软雅黑"/>
        <family val="0"/>
        <charset val="1"/>
      </rPr>
      <t xml:space="preserve">21,900 × 100 ÷ 176 </t>
    </r>
    <r>
      <rPr>
        <b val="true"/>
        <sz val="10"/>
        <color rgb="FFC00000"/>
        <rFont val="WenQuanYi Zen Hei"/>
        <family val="2"/>
      </rPr>
      <t xml:space="preserve">＝ </t>
    </r>
    <r>
      <rPr>
        <b val="true"/>
        <sz val="10"/>
        <color rgb="FFC00000"/>
        <rFont val="微软雅黑"/>
        <family val="0"/>
        <charset val="1"/>
      </rPr>
      <t xml:space="preserve">12,443.18</t>
    </r>
    <r>
      <rPr>
        <b val="true"/>
        <sz val="10"/>
        <color rgb="FFC00000"/>
        <rFont val="WenQuanYi Zen Hei"/>
        <family val="2"/>
      </rPr>
      <t xml:space="preserve">元；  </t>
    </r>
    <r>
      <rPr>
        <b val="true"/>
        <sz val="10"/>
        <color rgb="FFC00000"/>
        <rFont val="微软雅黑"/>
        <family val="0"/>
        <charset val="1"/>
      </rPr>
      <t xml:space="preserve">RD02</t>
    </r>
    <r>
      <rPr>
        <b val="true"/>
        <sz val="10"/>
        <color rgb="FFC00000"/>
        <rFont val="WenQuanYi Zen Hei"/>
        <family val="2"/>
      </rPr>
      <t xml:space="preserve">应分摊 ＝ </t>
    </r>
    <r>
      <rPr>
        <b val="true"/>
        <sz val="10"/>
        <color rgb="FFC00000"/>
        <rFont val="微软雅黑"/>
        <family val="0"/>
        <charset val="1"/>
      </rPr>
      <t xml:space="preserve">21,900 × 60 ÷ 176 </t>
    </r>
    <r>
      <rPr>
        <b val="true"/>
        <sz val="10"/>
        <color rgb="FFC00000"/>
        <rFont val="WenQuanYi Zen Hei"/>
        <family val="2"/>
      </rPr>
      <t xml:space="preserve">＝ </t>
    </r>
    <r>
      <rPr>
        <b val="true"/>
        <sz val="10"/>
        <color rgb="FFC00000"/>
        <rFont val="微软雅黑"/>
        <family val="0"/>
        <charset val="1"/>
      </rPr>
      <t xml:space="preserve">7,465.91</t>
    </r>
    <r>
      <rPr>
        <b val="true"/>
        <sz val="10"/>
        <color rgb="FFC00000"/>
        <rFont val="WenQuanYi Zen Hei"/>
        <family val="2"/>
      </rPr>
      <t xml:space="preserve">元；  计入生产成本 ＝ </t>
    </r>
    <r>
      <rPr>
        <b val="true"/>
        <sz val="10"/>
        <color rgb="FFC00000"/>
        <rFont val="微软雅黑"/>
        <family val="0"/>
        <charset val="1"/>
      </rPr>
      <t xml:space="preserve">21,900 </t>
    </r>
    <r>
      <rPr>
        <b val="true"/>
        <sz val="10"/>
        <color rgb="FFC00000"/>
        <rFont val="WenQuanYi Zen Hei"/>
        <family val="2"/>
      </rPr>
      <t xml:space="preserve">－ </t>
    </r>
    <r>
      <rPr>
        <b val="true"/>
        <sz val="10"/>
        <color rgb="FFC00000"/>
        <rFont val="微软雅黑"/>
        <family val="0"/>
        <charset val="1"/>
      </rPr>
      <t xml:space="preserve">12,443.18 </t>
    </r>
    <r>
      <rPr>
        <b val="true"/>
        <sz val="10"/>
        <color rgb="FFC00000"/>
        <rFont val="WenQuanYi Zen Hei"/>
        <family val="2"/>
      </rPr>
      <t xml:space="preserve">－ </t>
    </r>
    <r>
      <rPr>
        <b val="true"/>
        <sz val="10"/>
        <color rgb="FFC00000"/>
        <rFont val="微软雅黑"/>
        <family val="0"/>
        <charset val="1"/>
      </rPr>
      <t xml:space="preserve">7,465.91 </t>
    </r>
    <r>
      <rPr>
        <b val="true"/>
        <sz val="10"/>
        <color rgb="FFC00000"/>
        <rFont val="WenQuanYi Zen Hei"/>
        <family val="2"/>
      </rPr>
      <t xml:space="preserve">＝ </t>
    </r>
    <r>
      <rPr>
        <b val="true"/>
        <sz val="10"/>
        <color rgb="FFC00000"/>
        <rFont val="微软雅黑"/>
        <family val="0"/>
        <charset val="1"/>
      </rPr>
      <t xml:space="preserve">1,990.91</t>
    </r>
    <r>
      <rPr>
        <b val="true"/>
        <sz val="10"/>
        <color rgb="FFC00000"/>
        <rFont val="WenQuanYi Zen Hei"/>
        <family val="2"/>
      </rPr>
      <t xml:space="preserve">元。</t>
    </r>
  </si>
  <si>
    <r>
      <rPr>
        <sz val="10.5"/>
        <rFont val="微软雅黑"/>
        <family val="0"/>
        <charset val="1"/>
      </rPr>
      <t xml:space="preserve">2. </t>
    </r>
    <r>
      <rPr>
        <sz val="10.5"/>
        <rFont val="WenQuanYi Zen Hei"/>
        <family val="2"/>
      </rPr>
      <t xml:space="preserve">仪器设备折旧费：连续发泡生产线（资产编号</t>
    </r>
    <r>
      <rPr>
        <sz val="10.5"/>
        <rFont val="微软雅黑"/>
        <family val="0"/>
        <charset val="1"/>
      </rPr>
      <t xml:space="preserve">SB001</t>
    </r>
    <r>
      <rPr>
        <sz val="10.5"/>
        <rFont val="WenQuanYi Zen Hei"/>
        <family val="2"/>
      </rPr>
      <t xml:space="preserve">）当月总运行工时</t>
    </r>
    <r>
      <rPr>
        <sz val="10.5"/>
        <rFont val="微软雅黑"/>
        <family val="0"/>
        <charset val="1"/>
      </rPr>
      <t xml:space="preserve">320</t>
    </r>
    <r>
      <rPr>
        <sz val="10.5"/>
        <rFont val="WenQuanYi Zen Hei"/>
        <family val="2"/>
      </rPr>
      <t xml:space="preserve">小时，其中</t>
    </r>
    <r>
      <rPr>
        <sz val="10.5"/>
        <rFont val="微软雅黑"/>
        <family val="0"/>
        <charset val="1"/>
      </rPr>
      <t xml:space="preserve">RD01</t>
    </r>
    <r>
      <rPr>
        <sz val="10.5"/>
        <rFont val="WenQuanYi Zen Hei"/>
        <family val="2"/>
      </rPr>
      <t xml:space="preserve">占用</t>
    </r>
    <r>
      <rPr>
        <sz val="10.5"/>
        <rFont val="微软雅黑"/>
        <family val="0"/>
        <charset val="1"/>
      </rPr>
      <t xml:space="preserve">40</t>
    </r>
    <r>
      <rPr>
        <sz val="10.5"/>
        <rFont val="WenQuanYi Zen Hei"/>
        <family val="2"/>
      </rPr>
      <t xml:space="preserve">小时、</t>
    </r>
    <r>
      <rPr>
        <sz val="10.5"/>
        <rFont val="微软雅黑"/>
        <family val="0"/>
        <charset val="1"/>
      </rPr>
      <t xml:space="preserve">RD02</t>
    </r>
    <r>
      <rPr>
        <sz val="10.5"/>
        <rFont val="WenQuanYi Zen Hei"/>
        <family val="2"/>
      </rPr>
      <t xml:space="preserve">占用</t>
    </r>
    <r>
      <rPr>
        <sz val="10.5"/>
        <rFont val="微软雅黑"/>
        <family val="0"/>
        <charset val="1"/>
      </rPr>
      <t xml:space="preserve">20</t>
    </r>
    <r>
      <rPr>
        <sz val="10.5"/>
        <rFont val="WenQuanYi Zen Hei"/>
        <family val="2"/>
      </rPr>
      <t xml:space="preserve">小时，其余</t>
    </r>
    <r>
      <rPr>
        <sz val="10.5"/>
        <rFont val="微软雅黑"/>
        <family val="0"/>
        <charset val="1"/>
      </rPr>
      <t xml:space="preserve">260</t>
    </r>
    <r>
      <rPr>
        <sz val="10.5"/>
        <rFont val="WenQuanYi Zen Hei"/>
        <family val="2"/>
      </rPr>
      <t xml:space="preserve">小时用于正常生产；该设备当月计提折旧</t>
    </r>
    <r>
      <rPr>
        <sz val="10.5"/>
        <rFont val="微软雅黑"/>
        <family val="0"/>
        <charset val="1"/>
      </rPr>
      <t xml:space="preserve">15,000</t>
    </r>
    <r>
      <rPr>
        <sz val="10.5"/>
        <rFont val="WenQuanYi Zen Hei"/>
        <family val="2"/>
      </rPr>
      <t xml:space="preserve">元。</t>
    </r>
  </si>
  <si>
    <r>
      <rPr>
        <b val="true"/>
        <sz val="10"/>
        <color rgb="FFC00000"/>
        <rFont val="微软雅黑"/>
        <family val="0"/>
        <charset val="1"/>
      </rPr>
      <t xml:space="preserve">RD01</t>
    </r>
    <r>
      <rPr>
        <b val="true"/>
        <sz val="10"/>
        <color rgb="FFC00000"/>
        <rFont val="WenQuanYi Zen Hei"/>
        <family val="2"/>
      </rPr>
      <t xml:space="preserve">应分摊 ＝ </t>
    </r>
    <r>
      <rPr>
        <b val="true"/>
        <sz val="10"/>
        <color rgb="FFC00000"/>
        <rFont val="微软雅黑"/>
        <family val="0"/>
        <charset val="1"/>
      </rPr>
      <t xml:space="preserve">15,000 × 40 ÷ 320 </t>
    </r>
    <r>
      <rPr>
        <b val="true"/>
        <sz val="10"/>
        <color rgb="FFC00000"/>
        <rFont val="WenQuanYi Zen Hei"/>
        <family val="2"/>
      </rPr>
      <t xml:space="preserve">＝ </t>
    </r>
    <r>
      <rPr>
        <b val="true"/>
        <sz val="10"/>
        <color rgb="FFC00000"/>
        <rFont val="微软雅黑"/>
        <family val="0"/>
        <charset val="1"/>
      </rPr>
      <t xml:space="preserve">1,875.00</t>
    </r>
    <r>
      <rPr>
        <b val="true"/>
        <sz val="10"/>
        <color rgb="FFC00000"/>
        <rFont val="WenQuanYi Zen Hei"/>
        <family val="2"/>
      </rPr>
      <t xml:space="preserve">元；  </t>
    </r>
    <r>
      <rPr>
        <b val="true"/>
        <sz val="10"/>
        <color rgb="FFC00000"/>
        <rFont val="微软雅黑"/>
        <family val="0"/>
        <charset val="1"/>
      </rPr>
      <t xml:space="preserve">RD02</t>
    </r>
    <r>
      <rPr>
        <b val="true"/>
        <sz val="10"/>
        <color rgb="FFC00000"/>
        <rFont val="WenQuanYi Zen Hei"/>
        <family val="2"/>
      </rPr>
      <t xml:space="preserve">应分摊 ＝ </t>
    </r>
    <r>
      <rPr>
        <b val="true"/>
        <sz val="10"/>
        <color rgb="FFC00000"/>
        <rFont val="微软雅黑"/>
        <family val="0"/>
        <charset val="1"/>
      </rPr>
      <t xml:space="preserve">15,000 × 20 ÷ 320 </t>
    </r>
    <r>
      <rPr>
        <b val="true"/>
        <sz val="10"/>
        <color rgb="FFC00000"/>
        <rFont val="WenQuanYi Zen Hei"/>
        <family val="2"/>
      </rPr>
      <t xml:space="preserve">＝ </t>
    </r>
    <r>
      <rPr>
        <b val="true"/>
        <sz val="10"/>
        <color rgb="FFC00000"/>
        <rFont val="微软雅黑"/>
        <family val="0"/>
        <charset val="1"/>
      </rPr>
      <t xml:space="preserve">937.50</t>
    </r>
    <r>
      <rPr>
        <b val="true"/>
        <sz val="10"/>
        <color rgb="FFC00000"/>
        <rFont val="WenQuanYi Zen Hei"/>
        <family val="2"/>
      </rPr>
      <t xml:space="preserve">元；  计入生产成本 ＝ </t>
    </r>
    <r>
      <rPr>
        <b val="true"/>
        <sz val="10"/>
        <color rgb="FFC00000"/>
        <rFont val="微软雅黑"/>
        <family val="0"/>
        <charset val="1"/>
      </rPr>
      <t xml:space="preserve">15,000 </t>
    </r>
    <r>
      <rPr>
        <b val="true"/>
        <sz val="10"/>
        <color rgb="FFC00000"/>
        <rFont val="WenQuanYi Zen Hei"/>
        <family val="2"/>
      </rPr>
      <t xml:space="preserve">－ </t>
    </r>
    <r>
      <rPr>
        <b val="true"/>
        <sz val="10"/>
        <color rgb="FFC00000"/>
        <rFont val="微软雅黑"/>
        <family val="0"/>
        <charset val="1"/>
      </rPr>
      <t xml:space="preserve">1,875.00 </t>
    </r>
    <r>
      <rPr>
        <b val="true"/>
        <sz val="10"/>
        <color rgb="FFC00000"/>
        <rFont val="WenQuanYi Zen Hei"/>
        <family val="2"/>
      </rPr>
      <t xml:space="preserve">－ </t>
    </r>
    <r>
      <rPr>
        <b val="true"/>
        <sz val="10"/>
        <color rgb="FFC00000"/>
        <rFont val="微软雅黑"/>
        <family val="0"/>
        <charset val="1"/>
      </rPr>
      <t xml:space="preserve">937.50 </t>
    </r>
    <r>
      <rPr>
        <b val="true"/>
        <sz val="10"/>
        <color rgb="FFC00000"/>
        <rFont val="WenQuanYi Zen Hei"/>
        <family val="2"/>
      </rPr>
      <t xml:space="preserve">＝ </t>
    </r>
    <r>
      <rPr>
        <b val="true"/>
        <sz val="10"/>
        <color rgb="FFC00000"/>
        <rFont val="微软雅黑"/>
        <family val="0"/>
        <charset val="1"/>
      </rPr>
      <t xml:space="preserve">12,187.50</t>
    </r>
    <r>
      <rPr>
        <b val="true"/>
        <sz val="10"/>
        <color rgb="FFC00000"/>
        <rFont val="WenQuanYi Zen Hei"/>
        <family val="2"/>
      </rPr>
      <t xml:space="preserve">元。</t>
    </r>
  </si>
  <si>
    <t xml:space="preserve">六、核算与归集流程（按月核算、按年汇总）</t>
  </si>
  <si>
    <r>
      <rPr>
        <sz val="10.5"/>
        <rFont val="WenQuanYi Zen Hei"/>
        <family val="2"/>
      </rPr>
      <t xml:space="preserve">每月末研发人员与设备</t>
    </r>
    <r>
      <rPr>
        <sz val="10.5"/>
        <rFont val="微软雅黑"/>
        <family val="0"/>
        <charset val="1"/>
      </rPr>
      <t xml:space="preserve">/</t>
    </r>
    <r>
      <rPr>
        <sz val="10.5"/>
        <rFont val="WenQuanYi Zen Hei"/>
        <family val="2"/>
      </rPr>
      <t xml:space="preserve">无形资产管理员完成《研发人员工时分配表》《仪器、设备工时分配表》《无形资产工时分配表》填报并逐级签批 → 财务于次月</t>
    </r>
    <r>
      <rPr>
        <sz val="10.5"/>
        <rFont val="微软雅黑"/>
        <family val="0"/>
        <charset val="1"/>
      </rPr>
      <t xml:space="preserve">5</t>
    </r>
    <r>
      <rPr>
        <sz val="10.5"/>
        <rFont val="WenQuanYi Zen Hei"/>
        <family val="2"/>
      </rPr>
      <t xml:space="preserve">日前据以编制《研发人员工时费用分配表》《仪器、设备工时费用分配表》《无形资产费用分配表》，按月按项目核算，登记研发支出辅助账并出具《研发费用月度归集汇总表》 → 年度终了按年汇总生成《研发费用年度汇总表》与《指标监测表》，并与“研发支出”科目明细账、企业所得税纳税申报及高新技术企业专项审计数据核对一致。</t>
    </r>
  </si>
  <si>
    <t xml:space="preserve">七、资料留存</t>
  </si>
  <si>
    <r>
      <rPr>
        <sz val="10.5"/>
        <rFont val="WenQuanYi Zen Hei"/>
        <family val="2"/>
      </rPr>
      <t xml:space="preserve">本说明所依据的工时填报签批原件、考勤与设备运行记录、工资表及社保公积金缴费凭证、固定资产折旧计提表、无形资产摊销表、租赁合同及付款凭证、研发项目立项文件与试验记录，连同本台账一并归档留存备查，保存期限不少于</t>
    </r>
    <r>
      <rPr>
        <sz val="10.5"/>
        <rFont val="微软雅黑"/>
        <family val="0"/>
        <charset val="1"/>
      </rPr>
      <t xml:space="preserve">10</t>
    </r>
    <r>
      <rPr>
        <sz val="10.5"/>
        <rFont val="WenQuanYi Zen Hei"/>
        <family val="2"/>
      </rPr>
      <t xml:space="preserve">年。</t>
    </r>
  </si>
  <si>
    <r>
      <rPr>
        <sz val="11"/>
        <rFont val="WenQuanYi Zen Hei"/>
        <family val="2"/>
      </rPr>
      <t xml:space="preserve">编  制：</t>
    </r>
    <r>
      <rPr>
        <sz val="11"/>
        <rFont val="微软雅黑"/>
        <family val="0"/>
        <charset val="1"/>
      </rPr>
      <t xml:space="preserve">________________</t>
    </r>
  </si>
  <si>
    <r>
      <rPr>
        <sz val="11"/>
        <rFont val="WenQuanYi Zen Hei"/>
        <family val="2"/>
      </rPr>
      <t xml:space="preserve">复  核：</t>
    </r>
    <r>
      <rPr>
        <sz val="11"/>
        <rFont val="微软雅黑"/>
        <family val="0"/>
        <charset val="1"/>
      </rPr>
      <t xml:space="preserve">________________</t>
    </r>
  </si>
  <si>
    <r>
      <rPr>
        <sz val="11"/>
        <rFont val="WenQuanYi Zen Hei"/>
        <family val="2"/>
      </rPr>
      <t xml:space="preserve">财务负责人：</t>
    </r>
    <r>
      <rPr>
        <sz val="11"/>
        <rFont val="微软雅黑"/>
        <family val="0"/>
        <charset val="1"/>
      </rPr>
      <t xml:space="preserve">________________</t>
    </r>
  </si>
  <si>
    <r>
      <rPr>
        <sz val="11"/>
        <rFont val="WenQuanYi Zen Hei"/>
        <family val="2"/>
      </rPr>
      <t xml:space="preserve">研发负责人：</t>
    </r>
    <r>
      <rPr>
        <sz val="11"/>
        <rFont val="微软雅黑"/>
        <family val="0"/>
        <charset val="1"/>
      </rPr>
      <t xml:space="preserve">________________</t>
    </r>
  </si>
  <si>
    <r>
      <rPr>
        <sz val="11"/>
        <rFont val="WenQuanYi Zen Hei"/>
        <family val="2"/>
      </rPr>
      <t xml:space="preserve">企业负责人：</t>
    </r>
    <r>
      <rPr>
        <sz val="11"/>
        <rFont val="微软雅黑"/>
        <family val="0"/>
        <charset val="1"/>
      </rPr>
      <t xml:space="preserve">________________</t>
    </r>
  </si>
  <si>
    <r>
      <rPr>
        <sz val="11"/>
        <rFont val="WenQuanYi Zen Hei"/>
        <family val="2"/>
      </rPr>
      <t xml:space="preserve">日  期：      年    月    日</t>
    </r>
    <r>
      <rPr>
        <sz val="11"/>
        <rFont val="微软雅黑"/>
        <family val="0"/>
        <charset val="1"/>
      </rPr>
      <t xml:space="preserve">________________</t>
    </r>
  </si>
  <si>
    <t xml:space="preserve">（企业公章）</t>
  </si>
  <si>
    <r>
      <rPr>
        <sz val="11"/>
        <rFont val="WenQuanYi Zen Hei"/>
        <family val="2"/>
      </rPr>
      <t xml:space="preserve">填报部门：</t>
    </r>
    <r>
      <rPr>
        <sz val="11"/>
        <rFont val="微软雅黑"/>
        <family val="0"/>
        <charset val="1"/>
      </rPr>
      <t xml:space="preserve">__________</t>
    </r>
  </si>
  <si>
    <r>
      <rPr>
        <sz val="11"/>
        <rFont val="WenQuanYi Zen Hei"/>
        <family val="2"/>
      </rPr>
      <t xml:space="preserve">日期（年</t>
    </r>
    <r>
      <rPr>
        <sz val="11"/>
        <rFont val="微软雅黑"/>
        <family val="0"/>
        <charset val="1"/>
      </rPr>
      <t xml:space="preserve">/</t>
    </r>
    <r>
      <rPr>
        <sz val="11"/>
        <rFont val="WenQuanYi Zen Hei"/>
        <family val="2"/>
      </rPr>
      <t xml:space="preserve">月）：</t>
    </r>
    <r>
      <rPr>
        <sz val="11"/>
        <rFont val="微软雅黑"/>
        <family val="0"/>
        <charset val="1"/>
      </rPr>
      <t xml:space="preserve">__________</t>
    </r>
  </si>
  <si>
    <r>
      <rPr>
        <b val="true"/>
        <sz val="10"/>
        <color rgb="FF1F3864"/>
        <rFont val="WenQuanYi Zen Hei"/>
        <family val="2"/>
      </rPr>
      <t xml:space="preserve">非研发工时
</t>
    </r>
    <r>
      <rPr>
        <b val="true"/>
        <sz val="10"/>
        <color rgb="FF1F3864"/>
        <rFont val="微软雅黑"/>
        <family val="0"/>
        <charset val="1"/>
      </rPr>
      <t xml:space="preserve">(</t>
    </r>
    <r>
      <rPr>
        <b val="true"/>
        <sz val="10"/>
        <color rgb="FF1F3864"/>
        <rFont val="WenQuanYi Zen Hei"/>
        <family val="2"/>
      </rPr>
      <t xml:space="preserve">生产及其他</t>
    </r>
    <r>
      <rPr>
        <b val="true"/>
        <sz val="10"/>
        <color rgb="FF1F3864"/>
        <rFont val="微软雅黑"/>
        <family val="0"/>
        <charset val="1"/>
      </rPr>
      <t xml:space="preserve">)</t>
    </r>
  </si>
  <si>
    <r>
      <rPr>
        <b val="true"/>
        <sz val="10"/>
        <color rgb="FF1F3864"/>
        <rFont val="WenQuanYi Zen Hei"/>
        <family val="2"/>
      </rPr>
      <t xml:space="preserve">分摊系数
</t>
    </r>
    <r>
      <rPr>
        <b val="true"/>
        <sz val="10"/>
        <color rgb="FF1F3864"/>
        <rFont val="微软雅黑"/>
        <family val="0"/>
        <charset val="1"/>
      </rPr>
      <t xml:space="preserve">(</t>
    </r>
    <r>
      <rPr>
        <b val="true"/>
        <sz val="10"/>
        <color rgb="FF1F3864"/>
        <rFont val="WenQuanYi Zen Hei"/>
        <family val="2"/>
      </rPr>
      <t xml:space="preserve">研发工时</t>
    </r>
    <r>
      <rPr>
        <b val="true"/>
        <sz val="10"/>
        <color rgb="FF1F3864"/>
        <rFont val="微软雅黑"/>
        <family val="0"/>
        <charset val="1"/>
      </rPr>
      <t xml:space="preserve">/</t>
    </r>
    <r>
      <rPr>
        <b val="true"/>
        <sz val="10"/>
        <color rgb="FF1F3864"/>
        <rFont val="WenQuanYi Zen Hei"/>
        <family val="2"/>
      </rPr>
      <t xml:space="preserve">总工时</t>
    </r>
    <r>
      <rPr>
        <b val="true"/>
        <sz val="10"/>
        <color rgb="FF1F3864"/>
        <rFont val="微软雅黑"/>
        <family val="0"/>
        <charset val="1"/>
      </rPr>
      <t xml:space="preserve">)</t>
    </r>
  </si>
  <si>
    <t xml:space="preserve">本人签字</t>
  </si>
  <si>
    <r>
      <rPr>
        <sz val="9"/>
        <color rgb="FF843C0C"/>
        <rFont val="WenQuanYi Zen Hei"/>
        <family val="2"/>
      </rPr>
      <t xml:space="preserve">填报要求：</t>
    </r>
    <r>
      <rPr>
        <sz val="9"/>
        <color rgb="FF843C0C"/>
        <rFont val="微软雅黑"/>
        <family val="0"/>
        <charset val="1"/>
      </rPr>
      <t xml:space="preserve">1. </t>
    </r>
    <r>
      <rPr>
        <sz val="9"/>
        <color rgb="FF843C0C"/>
        <rFont val="WenQuanYi Zen Hei"/>
        <family val="2"/>
      </rPr>
      <t xml:space="preserve">逐人如实填报，当月出勤总工时须与考勤记录一致；</t>
    </r>
    <r>
      <rPr>
        <sz val="9"/>
        <color rgb="FF843C0C"/>
        <rFont val="微软雅黑"/>
        <family val="0"/>
        <charset val="1"/>
      </rPr>
      <t xml:space="preserve">2. “</t>
    </r>
    <r>
      <rPr>
        <sz val="9"/>
        <color rgb="FF843C0C"/>
        <rFont val="WenQuanYi Zen Hei"/>
        <family val="2"/>
      </rPr>
      <t xml:space="preserve">当月出勤总工时 </t>
    </r>
    <r>
      <rPr>
        <sz val="9"/>
        <color rgb="FF843C0C"/>
        <rFont val="微软雅黑"/>
        <family val="0"/>
        <charset val="1"/>
      </rPr>
      <t xml:space="preserve">= </t>
    </r>
    <r>
      <rPr>
        <sz val="9"/>
        <color rgb="FF843C0C"/>
        <rFont val="WenQuanYi Zen Hei"/>
        <family val="2"/>
      </rPr>
      <t xml:space="preserve">非研发工时 </t>
    </r>
    <r>
      <rPr>
        <sz val="9"/>
        <color rgb="FF843C0C"/>
        <rFont val="微软雅黑"/>
        <family val="0"/>
        <charset val="1"/>
      </rPr>
      <t xml:space="preserve">+ </t>
    </r>
    <r>
      <rPr>
        <sz val="9"/>
        <color rgb="FF843C0C"/>
        <rFont val="WenQuanYi Zen Hei"/>
        <family val="2"/>
      </rPr>
      <t xml:space="preserve">各研发项目工时合计”，务必核对平衡；</t>
    </r>
    <r>
      <rPr>
        <sz val="9"/>
        <color rgb="FF843C0C"/>
        <rFont val="微软雅黑"/>
        <family val="0"/>
        <charset val="1"/>
      </rPr>
      <t xml:space="preserve">3. </t>
    </r>
    <r>
      <rPr>
        <sz val="9"/>
        <color rgb="FF843C0C"/>
        <rFont val="WenQuanYi Zen Hei"/>
        <family val="2"/>
      </rPr>
      <t xml:space="preserve">研发专用人员记录全额工时，研发生产共用人员按实际投入分别记录；</t>
    </r>
    <r>
      <rPr>
        <sz val="9"/>
        <color rgb="FF843C0C"/>
        <rFont val="微软雅黑"/>
        <family val="0"/>
        <charset val="1"/>
      </rPr>
      <t xml:space="preserve">4. </t>
    </r>
    <r>
      <rPr>
        <sz val="9"/>
        <color rgb="FF843C0C"/>
        <rFont val="WenQuanYi Zen Hei"/>
        <family val="2"/>
      </rPr>
      <t xml:space="preserve">研发工作内容须简明具体（如“</t>
    </r>
    <r>
      <rPr>
        <sz val="9"/>
        <color rgb="FF843C0C"/>
        <rFont val="微软雅黑"/>
        <family val="0"/>
        <charset val="1"/>
      </rPr>
      <t xml:space="preserve">RD03 </t>
    </r>
    <r>
      <rPr>
        <sz val="9"/>
        <color rgb="FF843C0C"/>
        <rFont val="WenQuanYi Zen Hei"/>
        <family val="2"/>
      </rPr>
      <t xml:space="preserve">无溶剂贴合线速匹配试验</t>
    </r>
    <r>
      <rPr>
        <sz val="9"/>
        <color rgb="FF843C0C"/>
        <rFont val="微软雅黑"/>
        <family val="0"/>
        <charset val="1"/>
      </rPr>
      <t xml:space="preserve">3</t>
    </r>
    <r>
      <rPr>
        <sz val="9"/>
        <color rgb="FF843C0C"/>
        <rFont val="WenQuanYi Zen Hei"/>
        <family val="2"/>
      </rPr>
      <t xml:space="preserve">批次”）；</t>
    </r>
    <r>
      <rPr>
        <sz val="9"/>
        <color rgb="FF843C0C"/>
        <rFont val="微软雅黑"/>
        <family val="0"/>
        <charset val="1"/>
      </rPr>
      <t xml:space="preserve">5. </t>
    </r>
    <r>
      <rPr>
        <sz val="9"/>
        <color rgb="FF843C0C"/>
        <rFont val="WenQuanYi Zen Hei"/>
        <family val="2"/>
      </rPr>
      <t xml:space="preserve">本表经签批后交财务，原件按月装订留存备查。</t>
    </r>
  </si>
  <si>
    <r>
      <rPr>
        <sz val="11"/>
        <rFont val="WenQuanYi Zen Hei"/>
        <family val="2"/>
      </rPr>
      <t xml:space="preserve">填报人：</t>
    </r>
    <r>
      <rPr>
        <sz val="11"/>
        <rFont val="微软雅黑"/>
        <family val="0"/>
        <charset val="1"/>
      </rPr>
      <t xml:space="preserve">____________</t>
    </r>
  </si>
  <si>
    <r>
      <rPr>
        <sz val="11"/>
        <rFont val="WenQuanYi Zen Hei"/>
        <family val="2"/>
      </rPr>
      <t xml:space="preserve">项目负责人（确认）：</t>
    </r>
    <r>
      <rPr>
        <sz val="11"/>
        <rFont val="微软雅黑"/>
        <family val="0"/>
        <charset val="1"/>
      </rPr>
      <t xml:space="preserve">____________</t>
    </r>
  </si>
  <si>
    <r>
      <rPr>
        <sz val="11"/>
        <rFont val="WenQuanYi Zen Hei"/>
        <family val="2"/>
      </rPr>
      <t xml:space="preserve">研发部门负责人（审核）：</t>
    </r>
    <r>
      <rPr>
        <sz val="11"/>
        <rFont val="微软雅黑"/>
        <family val="0"/>
        <charset val="1"/>
      </rPr>
      <t xml:space="preserve">____________</t>
    </r>
  </si>
  <si>
    <r>
      <rPr>
        <sz val="11"/>
        <rFont val="WenQuanYi Zen Hei"/>
        <family val="2"/>
      </rPr>
      <t xml:space="preserve">财务复核：</t>
    </r>
    <r>
      <rPr>
        <sz val="11"/>
        <rFont val="微软雅黑"/>
        <family val="0"/>
        <charset val="1"/>
      </rPr>
      <t xml:space="preserve">____________</t>
    </r>
  </si>
  <si>
    <r>
      <rPr>
        <b val="true"/>
        <sz val="10"/>
        <color rgb="FF1F3864"/>
        <rFont val="WenQuanYi Zen Hei"/>
        <family val="2"/>
      </rPr>
      <t xml:space="preserve">当月总运行
</t>
    </r>
    <r>
      <rPr>
        <b val="true"/>
        <sz val="10"/>
        <color rgb="FF1F3864"/>
        <rFont val="微软雅黑"/>
        <family val="0"/>
        <charset val="1"/>
      </rPr>
      <t xml:space="preserve">(</t>
    </r>
    <r>
      <rPr>
        <b val="true"/>
        <sz val="10"/>
        <color rgb="FF1F3864"/>
        <rFont val="WenQuanYi Zen Hei"/>
        <family val="2"/>
      </rPr>
      <t xml:space="preserve">使用</t>
    </r>
    <r>
      <rPr>
        <b val="true"/>
        <sz val="10"/>
        <color rgb="FF1F3864"/>
        <rFont val="微软雅黑"/>
        <family val="0"/>
        <charset val="1"/>
      </rPr>
      <t xml:space="preserve">)</t>
    </r>
    <r>
      <rPr>
        <b val="true"/>
        <sz val="10"/>
        <color rgb="FF1F3864"/>
        <rFont val="WenQuanYi Zen Hei"/>
        <family val="2"/>
      </rPr>
      <t xml:space="preserve">工时</t>
    </r>
  </si>
  <si>
    <r>
      <rPr>
        <b val="true"/>
        <sz val="10"/>
        <color rgb="FF1F3864"/>
        <rFont val="WenQuanYi Zen Hei"/>
        <family val="2"/>
      </rPr>
      <t xml:space="preserve">非研发使用工时
</t>
    </r>
    <r>
      <rPr>
        <b val="true"/>
        <sz val="10"/>
        <color rgb="FF1F3864"/>
        <rFont val="微软雅黑"/>
        <family val="0"/>
        <charset val="1"/>
      </rPr>
      <t xml:space="preserve">(</t>
    </r>
    <r>
      <rPr>
        <b val="true"/>
        <sz val="10"/>
        <color rgb="FF1F3864"/>
        <rFont val="WenQuanYi Zen Hei"/>
        <family val="2"/>
      </rPr>
      <t xml:space="preserve">生产及其他</t>
    </r>
    <r>
      <rPr>
        <b val="true"/>
        <sz val="10"/>
        <color rgb="FF1F3864"/>
        <rFont val="微软雅黑"/>
        <family val="0"/>
        <charset val="1"/>
      </rPr>
      <t xml:space="preserve">)</t>
    </r>
  </si>
  <si>
    <t xml:space="preserve">研发使用工时
合计</t>
  </si>
  <si>
    <t xml:space="preserve">研发使用占比</t>
  </si>
  <si>
    <r>
      <rPr>
        <b val="true"/>
        <sz val="10"/>
        <color rgb="FF1F3864"/>
        <rFont val="WenQuanYi Zen Hei"/>
        <family val="2"/>
      </rPr>
      <t xml:space="preserve">备注（试制单号</t>
    </r>
    <r>
      <rPr>
        <b val="true"/>
        <sz val="10"/>
        <color rgb="FF1F3864"/>
        <rFont val="微软雅黑"/>
        <family val="0"/>
        <charset val="1"/>
      </rPr>
      <t xml:space="preserve">/</t>
    </r>
    <r>
      <rPr>
        <b val="true"/>
        <sz val="10"/>
        <color rgb="FF1F3864"/>
        <rFont val="WenQuanYi Zen Hei"/>
        <family val="2"/>
      </rPr>
      <t xml:space="preserve">试验编号）</t>
    </r>
  </si>
  <si>
    <t xml:space="preserve">记录人签字</t>
  </si>
  <si>
    <r>
      <rPr>
        <sz val="9"/>
        <color rgb="FF843C0C"/>
        <rFont val="WenQuanYi Zen Hei"/>
        <family val="2"/>
      </rPr>
      <t xml:space="preserve">填报要求：</t>
    </r>
    <r>
      <rPr>
        <sz val="9"/>
        <color rgb="FF843C0C"/>
        <rFont val="微软雅黑"/>
        <family val="0"/>
        <charset val="1"/>
      </rPr>
      <t xml:space="preserve">1. </t>
    </r>
    <r>
      <rPr>
        <sz val="9"/>
        <color rgb="FF843C0C"/>
        <rFont val="WenQuanYi Zen Hei"/>
        <family val="2"/>
      </rPr>
      <t xml:space="preserve">按资产逐台填报，“当月总运行</t>
    </r>
    <r>
      <rPr>
        <sz val="9"/>
        <color rgb="FF843C0C"/>
        <rFont val="微软雅黑"/>
        <family val="0"/>
        <charset val="1"/>
      </rPr>
      <t xml:space="preserve">(</t>
    </r>
    <r>
      <rPr>
        <sz val="9"/>
        <color rgb="FF843C0C"/>
        <rFont val="WenQuanYi Zen Hei"/>
        <family val="2"/>
      </rPr>
      <t xml:space="preserve">使用</t>
    </r>
    <r>
      <rPr>
        <sz val="9"/>
        <color rgb="FF843C0C"/>
        <rFont val="微软雅黑"/>
        <family val="0"/>
        <charset val="1"/>
      </rPr>
      <t xml:space="preserve">)</t>
    </r>
    <r>
      <rPr>
        <sz val="9"/>
        <color rgb="FF843C0C"/>
        <rFont val="WenQuanYi Zen Hei"/>
        <family val="2"/>
      </rPr>
      <t xml:space="preserve">工时”须与设备运行台账、点检记录一致；</t>
    </r>
    <r>
      <rPr>
        <sz val="9"/>
        <color rgb="FF843C0C"/>
        <rFont val="微软雅黑"/>
        <family val="0"/>
        <charset val="1"/>
      </rPr>
      <t xml:space="preserve">2. “</t>
    </r>
    <r>
      <rPr>
        <sz val="9"/>
        <color rgb="FF843C0C"/>
        <rFont val="WenQuanYi Zen Hei"/>
        <family val="2"/>
      </rPr>
      <t xml:space="preserve">总运行工时 </t>
    </r>
    <r>
      <rPr>
        <sz val="9"/>
        <color rgb="FF843C0C"/>
        <rFont val="微软雅黑"/>
        <family val="0"/>
        <charset val="1"/>
      </rPr>
      <t xml:space="preserve">= </t>
    </r>
    <r>
      <rPr>
        <sz val="9"/>
        <color rgb="FF843C0C"/>
        <rFont val="WenQuanYi Zen Hei"/>
        <family val="2"/>
      </rPr>
      <t xml:space="preserve">非研发使用工时 </t>
    </r>
    <r>
      <rPr>
        <sz val="9"/>
        <color rgb="FF843C0C"/>
        <rFont val="微软雅黑"/>
        <family val="0"/>
        <charset val="1"/>
      </rPr>
      <t xml:space="preserve">+ </t>
    </r>
    <r>
      <rPr>
        <sz val="9"/>
        <color rgb="FF843C0C"/>
        <rFont val="WenQuanYi Zen Hei"/>
        <family val="2"/>
      </rPr>
      <t xml:space="preserve">各研发项目使用工时合计”，务必核对平衡；</t>
    </r>
    <r>
      <rPr>
        <sz val="9"/>
        <color rgb="FF843C0C"/>
        <rFont val="微软雅黑"/>
        <family val="0"/>
        <charset val="1"/>
      </rPr>
      <t xml:space="preserve">3. </t>
    </r>
    <r>
      <rPr>
        <sz val="9"/>
        <color rgb="FF843C0C"/>
        <rFont val="WenQuanYi Zen Hei"/>
        <family val="2"/>
      </rPr>
      <t xml:space="preserve">备注列填写对应的试制通知单号或试验编号，便于追溯；</t>
    </r>
    <r>
      <rPr>
        <sz val="9"/>
        <color rgb="FF843C0C"/>
        <rFont val="微软雅黑"/>
        <family val="0"/>
        <charset val="1"/>
      </rPr>
      <t xml:space="preserve">4. </t>
    </r>
    <r>
      <rPr>
        <sz val="9"/>
        <color rgb="FF843C0C"/>
        <rFont val="WenQuanYi Zen Hei"/>
        <family val="2"/>
      </rPr>
      <t xml:space="preserve">研发专用设备记录全额运行工时，研发生产共用设备按实际使用分别记录，无形资产不在本表填报；</t>
    </r>
    <r>
      <rPr>
        <sz val="9"/>
        <color rgb="FF843C0C"/>
        <rFont val="微软雅黑"/>
        <family val="0"/>
        <charset val="1"/>
      </rPr>
      <t xml:space="preserve">5. </t>
    </r>
    <r>
      <rPr>
        <sz val="9"/>
        <color rgb="FF843C0C"/>
        <rFont val="WenQuanYi Zen Hei"/>
        <family val="2"/>
      </rPr>
      <t xml:space="preserve">本表经签批后交财务，原件按月装订留存备查。</t>
    </r>
  </si>
  <si>
    <r>
      <rPr>
        <sz val="11"/>
        <rFont val="WenQuanYi Zen Hei"/>
        <family val="2"/>
      </rPr>
      <t xml:space="preserve">记录人：</t>
    </r>
    <r>
      <rPr>
        <sz val="11"/>
        <rFont val="微软雅黑"/>
        <family val="0"/>
        <charset val="1"/>
      </rPr>
      <t xml:space="preserve">____________</t>
    </r>
  </si>
  <si>
    <r>
      <rPr>
        <sz val="11"/>
        <rFont val="WenQuanYi Zen Hei"/>
        <family val="2"/>
      </rPr>
      <t xml:space="preserve">设备管理员：</t>
    </r>
    <r>
      <rPr>
        <sz val="11"/>
        <rFont val="微软雅黑"/>
        <family val="0"/>
        <charset val="1"/>
      </rPr>
      <t xml:space="preserve">____________</t>
    </r>
  </si>
  <si>
    <r>
      <rPr>
        <b val="true"/>
        <sz val="10"/>
        <color rgb="FF1F3864"/>
        <rFont val="WenQuanYi Zen Hei"/>
        <family val="2"/>
      </rPr>
      <t xml:space="preserve">用途</t>
    </r>
    <r>
      <rPr>
        <b val="true"/>
        <sz val="10"/>
        <color rgb="FF1F3864"/>
        <rFont val="微软雅黑"/>
        <family val="0"/>
        <charset val="1"/>
      </rPr>
      <t xml:space="preserve">/</t>
    </r>
    <r>
      <rPr>
        <b val="true"/>
        <sz val="10"/>
        <color rgb="FF1F3864"/>
        <rFont val="WenQuanYi Zen Hei"/>
        <family val="2"/>
      </rPr>
      <t xml:space="preserve">说明</t>
    </r>
  </si>
  <si>
    <r>
      <rPr>
        <b val="true"/>
        <sz val="10"/>
        <color rgb="FF1F3864"/>
        <rFont val="WenQuanYi Zen Hei"/>
        <family val="2"/>
      </rPr>
      <t xml:space="preserve">备注（对应项目</t>
    </r>
    <r>
      <rPr>
        <b val="true"/>
        <sz val="10"/>
        <color rgb="FF1F3864"/>
        <rFont val="微软雅黑"/>
        <family val="0"/>
        <charset val="1"/>
      </rPr>
      <t xml:space="preserve">/</t>
    </r>
    <r>
      <rPr>
        <b val="true"/>
        <sz val="10"/>
        <color rgb="FF1F3864"/>
        <rFont val="WenQuanYi Zen Hei"/>
        <family val="2"/>
      </rPr>
      <t xml:space="preserve">试验编号）</t>
    </r>
  </si>
  <si>
    <r>
      <rPr>
        <sz val="9"/>
        <color rgb="FF843C0C"/>
        <rFont val="WenQuanYi Zen Hei"/>
        <family val="2"/>
      </rPr>
      <t xml:space="preserve">填报要求：</t>
    </r>
    <r>
      <rPr>
        <sz val="9"/>
        <color rgb="FF843C0C"/>
        <rFont val="微软雅黑"/>
        <family val="0"/>
        <charset val="1"/>
      </rPr>
      <t xml:space="preserve">1. </t>
    </r>
    <r>
      <rPr>
        <sz val="9"/>
        <color rgb="FF843C0C"/>
        <rFont val="WenQuanYi Zen Hei"/>
        <family val="2"/>
      </rPr>
      <t xml:space="preserve">按无形资产（配方模拟软件、专利技术、专有技术等）逐项填报，“当月总使用工时”须与系统使用日志、使用登记簿一致；</t>
    </r>
    <r>
      <rPr>
        <sz val="9"/>
        <color rgb="FF843C0C"/>
        <rFont val="微软雅黑"/>
        <family val="0"/>
        <charset val="1"/>
      </rPr>
      <t xml:space="preserve">2. “</t>
    </r>
    <r>
      <rPr>
        <sz val="9"/>
        <color rgb="FF843C0C"/>
        <rFont val="WenQuanYi Zen Hei"/>
        <family val="2"/>
      </rPr>
      <t xml:space="preserve">总使用工时 </t>
    </r>
    <r>
      <rPr>
        <sz val="9"/>
        <color rgb="FF843C0C"/>
        <rFont val="微软雅黑"/>
        <family val="0"/>
        <charset val="1"/>
      </rPr>
      <t xml:space="preserve">= </t>
    </r>
    <r>
      <rPr>
        <sz val="9"/>
        <color rgb="FF843C0C"/>
        <rFont val="WenQuanYi Zen Hei"/>
        <family val="2"/>
      </rPr>
      <t xml:space="preserve">非研发使用工时 </t>
    </r>
    <r>
      <rPr>
        <sz val="9"/>
        <color rgb="FF843C0C"/>
        <rFont val="微软雅黑"/>
        <family val="0"/>
        <charset val="1"/>
      </rPr>
      <t xml:space="preserve">+ </t>
    </r>
    <r>
      <rPr>
        <sz val="9"/>
        <color rgb="FF843C0C"/>
        <rFont val="WenQuanYi Zen Hei"/>
        <family val="2"/>
      </rPr>
      <t xml:space="preserve">各研发项目使用工时合计”，务必核对平衡；</t>
    </r>
    <r>
      <rPr>
        <sz val="9"/>
        <color rgb="FF843C0C"/>
        <rFont val="微软雅黑"/>
        <family val="0"/>
        <charset val="1"/>
      </rPr>
      <t xml:space="preserve">3. </t>
    </r>
    <r>
      <rPr>
        <sz val="9"/>
        <color rgb="FF843C0C"/>
        <rFont val="WenQuanYi Zen Hei"/>
        <family val="2"/>
      </rPr>
      <t xml:space="preserve">研发专用无形资产记录全额使用工时，研发生产共用的按实际使用分别记录；</t>
    </r>
    <r>
      <rPr>
        <sz val="9"/>
        <color rgb="FF843C0C"/>
        <rFont val="微软雅黑"/>
        <family val="0"/>
        <charset val="1"/>
      </rPr>
      <t xml:space="preserve">4. </t>
    </r>
    <r>
      <rPr>
        <sz val="9"/>
        <color rgb="FF843C0C"/>
        <rFont val="WenQuanYi Zen Hei"/>
        <family val="2"/>
      </rPr>
      <t xml:space="preserve">备注列填写对应项目或试验编号，便于追溯；</t>
    </r>
    <r>
      <rPr>
        <sz val="9"/>
        <color rgb="FF843C0C"/>
        <rFont val="微软雅黑"/>
        <family val="0"/>
        <charset val="1"/>
      </rPr>
      <t xml:space="preserve">5. </t>
    </r>
    <r>
      <rPr>
        <sz val="9"/>
        <color rgb="FF843C0C"/>
        <rFont val="WenQuanYi Zen Hei"/>
        <family val="2"/>
      </rPr>
      <t xml:space="preserve">本表经签批后交财务，原件按月装订留存备查。</t>
    </r>
  </si>
  <si>
    <r>
      <rPr>
        <sz val="11"/>
        <rFont val="WenQuanYi Zen Hei"/>
        <family val="2"/>
      </rPr>
      <t xml:space="preserve">无形资产管理员：</t>
    </r>
    <r>
      <rPr>
        <sz val="11"/>
        <rFont val="微软雅黑"/>
        <family val="0"/>
        <charset val="1"/>
      </rPr>
      <t xml:space="preserve">____________</t>
    </r>
  </si>
</sst>
</file>

<file path=xl/styles.xml><?xml version="1.0" encoding="utf-8"?>
<styleSheet xmlns="http://schemas.openxmlformats.org/spreadsheetml/2006/main">
  <numFmts count="6">
    <numFmt numFmtId="164" formatCode="General"/>
    <numFmt numFmtId="165" formatCode="0"/>
    <numFmt numFmtId="166" formatCode="0.00%"/>
    <numFmt numFmtId="167" formatCode="#,##0.00"/>
    <numFmt numFmtId="168" formatCode="0.00"/>
    <numFmt numFmtId="169" formatCode="General"/>
  </numFmts>
  <fonts count="39">
    <font>
      <sz val="11"/>
      <color theme="1"/>
      <name val="Calibri"/>
      <family val="2"/>
      <charset val="1"/>
    </font>
    <font>
      <sz val="10"/>
      <name val="Arial"/>
      <family val="0"/>
    </font>
    <font>
      <sz val="10"/>
      <name val="Arial"/>
      <family val="0"/>
    </font>
    <font>
      <sz val="10"/>
      <name val="Arial"/>
      <family val="0"/>
    </font>
    <font>
      <sz val="8.5"/>
      <color rgb="FF808080"/>
      <name val="WenQuanYi Zen Hei"/>
      <family val="2"/>
    </font>
    <font>
      <sz val="8.5"/>
      <color rgb="FF808080"/>
      <name val="微软雅黑"/>
      <family val="0"/>
      <charset val="1"/>
    </font>
    <font>
      <b val="true"/>
      <sz val="15"/>
      <color rgb="FFFFFFFF"/>
      <name val="WenQuanYi Zen Hei"/>
      <family val="2"/>
    </font>
    <font>
      <b val="true"/>
      <sz val="10"/>
      <name val="WenQuanYi Zen Hei"/>
      <family val="2"/>
    </font>
    <font>
      <b val="true"/>
      <sz val="12"/>
      <color rgb="FF1F4E79"/>
      <name val="微软雅黑"/>
      <family val="0"/>
      <charset val="1"/>
    </font>
    <font>
      <sz val="9"/>
      <color rgb="FF843C0C"/>
      <name val="WenQuanYi Zen Hei"/>
      <family val="2"/>
    </font>
    <font>
      <b val="true"/>
      <sz val="11"/>
      <color rgb="FF1F4E79"/>
      <name val="WenQuanYi Zen Hei"/>
      <family val="2"/>
    </font>
    <font>
      <sz val="10"/>
      <name val="WenQuanYi Zen Hei"/>
      <family val="2"/>
    </font>
    <font>
      <sz val="10"/>
      <name val="微软雅黑"/>
      <family val="0"/>
      <charset val="1"/>
    </font>
    <font>
      <b val="true"/>
      <sz val="11"/>
      <color rgb="FF1F4E79"/>
      <name val="微软雅黑"/>
      <family val="0"/>
      <charset val="1"/>
    </font>
    <font>
      <b val="true"/>
      <sz val="10"/>
      <name val="微软雅黑"/>
      <family val="0"/>
      <charset val="1"/>
    </font>
    <font>
      <sz val="9"/>
      <color rgb="FFC00000"/>
      <name val="WenQuanYi Zen Hei"/>
      <family val="2"/>
    </font>
    <font>
      <sz val="9"/>
      <color rgb="FF843C0C"/>
      <name val="微软雅黑"/>
      <family val="0"/>
      <charset val="1"/>
    </font>
    <font>
      <b val="true"/>
      <sz val="10"/>
      <color rgb="FFFFFFFF"/>
      <name val="WenQuanYi Zen Hei"/>
      <family val="2"/>
    </font>
    <font>
      <b val="true"/>
      <sz val="10"/>
      <color rgb="FFFFFFFF"/>
      <name val="微软雅黑"/>
      <family val="0"/>
      <charset val="1"/>
    </font>
    <font>
      <sz val="10"/>
      <color rgb="FF404040"/>
      <name val="微软雅黑"/>
      <family val="0"/>
      <charset val="1"/>
    </font>
    <font>
      <b val="true"/>
      <sz val="10"/>
      <color rgb="FF1F3864"/>
      <name val="微软雅黑"/>
      <family val="0"/>
      <charset val="1"/>
    </font>
    <font>
      <sz val="8"/>
      <color rgb="FF1F3864"/>
      <name val="WenQuanYi Zen Hei"/>
      <family val="2"/>
    </font>
    <font>
      <sz val="8"/>
      <color rgb="FF808080"/>
      <name val="WenQuanYi Zen Hei"/>
      <family val="2"/>
    </font>
    <font>
      <sz val="8"/>
      <color rgb="FF808080"/>
      <name val="微软雅黑"/>
      <family val="0"/>
      <charset val="1"/>
    </font>
    <font>
      <sz val="10"/>
      <color rgb="FF404040"/>
      <name val="WenQuanYi Zen Hei"/>
      <family val="2"/>
    </font>
    <font>
      <sz val="10"/>
      <name val="Arial"/>
      <family val="2"/>
    </font>
    <font>
      <b val="true"/>
      <sz val="11"/>
      <color rgb="FFFFFFFF"/>
      <name val="微软雅黑"/>
      <family val="0"/>
      <charset val="1"/>
    </font>
    <font>
      <b val="true"/>
      <sz val="11"/>
      <color rgb="FFFFFFFF"/>
      <name val="WenQuanYi Zen Hei"/>
      <family val="2"/>
    </font>
    <font>
      <b val="true"/>
      <sz val="16"/>
      <name val="WenQuanYi Zen Hei"/>
      <family val="2"/>
    </font>
    <font>
      <sz val="11"/>
      <name val="WenQuanYi Zen Hei"/>
      <family val="2"/>
    </font>
    <font>
      <sz val="11"/>
      <name val="微软雅黑"/>
      <family val="0"/>
      <charset val="1"/>
    </font>
    <font>
      <b val="true"/>
      <sz val="12"/>
      <color rgb="FF1F4E79"/>
      <name val="WenQuanYi Zen Hei"/>
      <family val="2"/>
    </font>
    <font>
      <sz val="10.5"/>
      <name val="WenQuanYi Zen Hei"/>
      <family val="2"/>
    </font>
    <font>
      <sz val="10.5"/>
      <name val="微软雅黑"/>
      <family val="0"/>
      <charset val="1"/>
    </font>
    <font>
      <b val="true"/>
      <sz val="10"/>
      <color rgb="FFC00000"/>
      <name val="WenQuanYi Zen Hei"/>
      <family val="2"/>
    </font>
    <font>
      <b val="true"/>
      <sz val="10"/>
      <color rgb="FFC00000"/>
      <name val="微软雅黑"/>
      <family val="0"/>
      <charset val="1"/>
    </font>
    <font>
      <b val="true"/>
      <sz val="15"/>
      <name val="WenQuanYi Zen Hei"/>
      <family val="2"/>
    </font>
    <font>
      <b val="true"/>
      <sz val="10"/>
      <color rgb="FF1F3864"/>
      <name val="WenQuanYi Zen Hei"/>
      <family val="2"/>
    </font>
    <font>
      <sz val="8"/>
      <name val="WenQuanYi Zen Hei"/>
      <family val="2"/>
    </font>
  </fonts>
  <fills count="10">
    <fill>
      <patternFill patternType="none"/>
    </fill>
    <fill>
      <patternFill patternType="gray125"/>
    </fill>
    <fill>
      <patternFill patternType="solid">
        <fgColor rgb="FFFFFFFF"/>
        <bgColor rgb="FFFFF9E3"/>
      </patternFill>
    </fill>
    <fill>
      <patternFill patternType="solid">
        <fgColor rgb="FF1F4E79"/>
        <bgColor rgb="FF1F3864"/>
      </patternFill>
    </fill>
    <fill>
      <patternFill patternType="solid">
        <fgColor rgb="FFFFF9E3"/>
        <bgColor rgb="FFFFF2CC"/>
      </patternFill>
    </fill>
    <fill>
      <patternFill patternType="solid">
        <fgColor rgb="FFBDD7EE"/>
        <bgColor rgb="FFC6EFCE"/>
      </patternFill>
    </fill>
    <fill>
      <patternFill patternType="solid">
        <fgColor rgb="FFDDEBF7"/>
        <bgColor rgb="FFF2F2F2"/>
      </patternFill>
    </fill>
    <fill>
      <patternFill patternType="solid">
        <fgColor rgb="FFF2F2F2"/>
        <bgColor rgb="FFFFF9E3"/>
      </patternFill>
    </fill>
    <fill>
      <patternFill patternType="solid">
        <fgColor rgb="FFFFF2CC"/>
        <bgColor rgb="FFFFF9E3"/>
      </patternFill>
    </fill>
    <fill>
      <patternFill patternType="solid">
        <fgColor rgb="FF2E75B6"/>
        <bgColor rgb="FF0066CC"/>
      </patternFill>
    </fill>
  </fills>
  <borders count="4">
    <border diagonalUp="false" diagonalDown="false">
      <left/>
      <right/>
      <top/>
      <bottom/>
      <diagonal/>
    </border>
    <border diagonalUp="false" diagonalDown="false">
      <left style="dashed">
        <color rgb="FF9BA6B2"/>
      </left>
      <right style="dashed">
        <color rgb="FF9BA6B2"/>
      </right>
      <top style="dashed">
        <color rgb="FF9BA6B2"/>
      </top>
      <bottom style="dashed">
        <color rgb="FF9BA6B2"/>
      </bottom>
      <diagonal/>
    </border>
    <border diagonalUp="false" diagonalDown="false">
      <left style="thin">
        <color rgb="FF9BA6B2"/>
      </left>
      <right/>
      <top style="thin">
        <color rgb="FF9BA6B2"/>
      </top>
      <bottom style="thin">
        <color rgb="FF9BA6B2"/>
      </bottom>
      <diagonal/>
    </border>
    <border diagonalUp="false" diagonalDown="false">
      <left style="thin">
        <color rgb="FF9BA6B2"/>
      </left>
      <right style="thin">
        <color rgb="FF9BA6B2"/>
      </right>
      <top style="thin">
        <color rgb="FF9BA6B2"/>
      </top>
      <bottom style="thin">
        <color rgb="FF9BA6B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right" vertical="center" textRotation="0" wrapText="false" indent="0" shrinkToFit="false"/>
      <protection locked="true" hidden="false"/>
    </xf>
    <xf numFmtId="164" fontId="8" fillId="4" borderId="2"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10" fillId="5"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7" fillId="6" borderId="3" xfId="0" applyFont="true" applyBorder="true" applyAlignment="true" applyProtection="false">
      <alignment horizontal="left" vertical="center" textRotation="0" wrapText="true" indent="0" shrinkToFit="false"/>
      <protection locked="true" hidden="false"/>
    </xf>
    <xf numFmtId="164" fontId="11" fillId="0" borderId="2" xfId="0" applyFont="true" applyBorder="true" applyAlignment="true" applyProtection="false">
      <alignment horizontal="left" vertical="top" textRotation="0" wrapText="true" indent="0" shrinkToFit="false"/>
      <protection locked="true" hidden="false"/>
    </xf>
    <xf numFmtId="164" fontId="0" fillId="4" borderId="3"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0" fillId="7" borderId="3" xfId="0" applyFont="false" applyBorder="true" applyAlignment="false" applyProtection="false">
      <alignment horizontal="general" vertical="bottom" textRotation="0" wrapText="false" indent="0" shrinkToFit="false"/>
      <protection locked="true" hidden="false"/>
    </xf>
    <xf numFmtId="164" fontId="0" fillId="6" borderId="3"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9" fillId="8" borderId="0" xfId="0" applyFont="true" applyBorder="true" applyAlignment="true" applyProtection="false">
      <alignment horizontal="left" vertical="center" textRotation="0" wrapText="true" indent="0" shrinkToFit="false"/>
      <protection locked="true" hidden="false"/>
    </xf>
    <xf numFmtId="164" fontId="17" fillId="9" borderId="3" xfId="0" applyFont="true" applyBorder="true" applyAlignment="true" applyProtection="false">
      <alignment horizontal="center" vertical="center" textRotation="0" wrapText="true" indent="0" shrinkToFit="false"/>
      <protection locked="true" hidden="false"/>
    </xf>
    <xf numFmtId="164" fontId="11" fillId="7" borderId="3" xfId="0" applyFont="true" applyBorder="true" applyAlignment="true" applyProtection="false">
      <alignment horizontal="left" vertical="center" textRotation="0" wrapText="true" indent="0" shrinkToFit="false"/>
      <protection locked="true" hidden="false"/>
    </xf>
    <xf numFmtId="165" fontId="12" fillId="4" borderId="3" xfId="0" applyFont="true" applyBorder="true" applyAlignment="true" applyProtection="false">
      <alignment horizontal="center" vertical="center" textRotation="0" wrapText="true" indent="0" shrinkToFit="false"/>
      <protection locked="true" hidden="false"/>
    </xf>
    <xf numFmtId="164" fontId="12" fillId="7" borderId="3" xfId="0" applyFont="true" applyBorder="true" applyAlignment="true" applyProtection="false">
      <alignment horizontal="center" vertical="center" textRotation="0" wrapText="true" indent="0" shrinkToFit="false"/>
      <protection locked="true" hidden="false"/>
    </xf>
    <xf numFmtId="164" fontId="14" fillId="7" borderId="3" xfId="0" applyFont="true" applyBorder="true" applyAlignment="true" applyProtection="false">
      <alignment horizontal="center" vertical="center" textRotation="0" wrapText="true" indent="0" shrinkToFit="false"/>
      <protection locked="true" hidden="false"/>
    </xf>
    <xf numFmtId="166" fontId="12" fillId="7" borderId="3" xfId="0" applyFont="true" applyBorder="true" applyAlignment="true" applyProtection="false">
      <alignment horizontal="center" vertical="center" textRotation="0" wrapText="true" indent="0" shrinkToFit="false"/>
      <protection locked="true" hidden="false"/>
    </xf>
    <xf numFmtId="164" fontId="11" fillId="7" borderId="3" xfId="0" applyFont="true" applyBorder="true" applyAlignment="true" applyProtection="false">
      <alignment horizontal="center" vertical="center" textRotation="0" wrapText="true" indent="0" shrinkToFit="false"/>
      <protection locked="true" hidden="false"/>
    </xf>
    <xf numFmtId="167" fontId="12" fillId="4" borderId="3" xfId="0" applyFont="true" applyBorder="true" applyAlignment="true" applyProtection="false">
      <alignment horizontal="center" vertical="center" textRotation="0" wrapText="true" indent="0" shrinkToFit="false"/>
      <protection locked="true" hidden="false"/>
    </xf>
    <xf numFmtId="167" fontId="12" fillId="7" borderId="3" xfId="0" applyFont="true" applyBorder="true" applyAlignment="true" applyProtection="false">
      <alignment horizontal="center" vertical="center" textRotation="0" wrapText="true" indent="0" shrinkToFit="false"/>
      <protection locked="true" hidden="false"/>
    </xf>
    <xf numFmtId="167" fontId="19" fillId="7" borderId="3" xfId="0" applyFont="true" applyBorder="true" applyAlignment="true" applyProtection="false">
      <alignment horizontal="center" vertical="center" textRotation="0" wrapText="true" indent="0" shrinkToFit="false"/>
      <protection locked="true" hidden="false"/>
    </xf>
    <xf numFmtId="166" fontId="19" fillId="7" borderId="3" xfId="0" applyFont="true" applyBorder="true" applyAlignment="true" applyProtection="false">
      <alignment horizontal="center" vertical="center" textRotation="0" wrapText="true" indent="0" shrinkToFit="false"/>
      <protection locked="true" hidden="false"/>
    </xf>
    <xf numFmtId="164" fontId="19" fillId="7" borderId="3" xfId="0" applyFont="true" applyBorder="true" applyAlignment="true" applyProtection="false">
      <alignment horizontal="center" vertical="center" textRotation="0" wrapText="true" indent="0" shrinkToFit="false"/>
      <protection locked="true" hidden="false"/>
    </xf>
    <xf numFmtId="164" fontId="7" fillId="6" borderId="3" xfId="0" applyFont="true" applyBorder="true" applyAlignment="true" applyProtection="false">
      <alignment horizontal="center" vertical="center" textRotation="0" wrapText="true" indent="0" shrinkToFit="false"/>
      <protection locked="true" hidden="false"/>
    </xf>
    <xf numFmtId="167" fontId="14" fillId="6" borderId="3" xfId="0" applyFont="true" applyBorder="true" applyAlignment="true" applyProtection="false">
      <alignment horizontal="center" vertical="center" textRotation="0" wrapText="true" indent="0" shrinkToFit="false"/>
      <protection locked="true" hidden="false"/>
    </xf>
    <xf numFmtId="166" fontId="14" fillId="6" borderId="3" xfId="0" applyFont="true" applyBorder="true" applyAlignment="true" applyProtection="false">
      <alignment horizontal="center" vertical="center" textRotation="0" wrapText="true" indent="0" shrinkToFit="false"/>
      <protection locked="true" hidden="false"/>
    </xf>
    <xf numFmtId="164" fontId="12" fillId="0" borderId="3" xfId="0" applyFont="true" applyBorder="true" applyAlignment="true" applyProtection="false">
      <alignment horizontal="center" vertical="center" textRotation="0" wrapText="true" indent="0" shrinkToFit="false"/>
      <protection locked="true" hidden="false"/>
    </xf>
    <xf numFmtId="164" fontId="14" fillId="0" borderId="3" xfId="0" applyFont="true" applyBorder="true" applyAlignment="true" applyProtection="false">
      <alignment horizontal="center" vertical="center" textRotation="0" wrapText="true" indent="0" shrinkToFit="false"/>
      <protection locked="true" hidden="false"/>
    </xf>
    <xf numFmtId="164" fontId="11" fillId="4" borderId="3" xfId="0" applyFont="true" applyBorder="true" applyAlignment="true" applyProtection="false">
      <alignment horizontal="left" vertical="center" textRotation="0" wrapText="true" indent="0" shrinkToFit="false"/>
      <protection locked="true" hidden="false"/>
    </xf>
    <xf numFmtId="164" fontId="12" fillId="4" borderId="3" xfId="0" applyFont="true" applyBorder="true" applyAlignment="true" applyProtection="false">
      <alignment horizontal="center" vertical="center" textRotation="0" wrapText="true" indent="0" shrinkToFit="false"/>
      <protection locked="true" hidden="false"/>
    </xf>
    <xf numFmtId="164" fontId="11" fillId="4" borderId="3"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4" fontId="15" fillId="4" borderId="3" xfId="0" applyFont="true" applyBorder="true" applyAlignment="true" applyProtection="false">
      <alignment horizontal="left" vertical="center" textRotation="0" wrapText="true" indent="0" shrinkToFit="false"/>
      <protection locked="true" hidden="false"/>
    </xf>
    <xf numFmtId="164" fontId="20" fillId="5" borderId="3" xfId="0" applyFont="true" applyBorder="true" applyAlignment="true" applyProtection="false">
      <alignment horizontal="center" vertical="center" textRotation="0" wrapText="true" indent="0" shrinkToFit="false"/>
      <protection locked="true" hidden="false"/>
    </xf>
    <xf numFmtId="164" fontId="21" fillId="5" borderId="3"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4" fillId="7" borderId="3" xfId="0" applyFont="true" applyBorder="true" applyAlignment="true" applyProtection="false">
      <alignment horizontal="center" vertical="center" textRotation="0" wrapText="true" indent="0" shrinkToFit="false"/>
      <protection locked="true" hidden="false"/>
    </xf>
    <xf numFmtId="168" fontId="12" fillId="4" borderId="3" xfId="0" applyFont="true" applyBorder="true" applyAlignment="true" applyProtection="false">
      <alignment horizontal="center" vertical="center" textRotation="0" wrapText="true" indent="0" shrinkToFit="false"/>
      <protection locked="true" hidden="false"/>
    </xf>
    <xf numFmtId="168" fontId="19" fillId="7" borderId="3" xfId="0" applyFont="true" applyBorder="true" applyAlignment="true" applyProtection="false">
      <alignment horizontal="center" vertical="center" textRotation="0" wrapText="true" indent="0" shrinkToFit="false"/>
      <protection locked="true" hidden="false"/>
    </xf>
    <xf numFmtId="164" fontId="17" fillId="9" borderId="0" xfId="0" applyFont="true" applyBorder="true" applyAlignment="true" applyProtection="false">
      <alignment horizontal="center" vertical="center"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24" fillId="7" borderId="3" xfId="0" applyFont="true" applyBorder="true" applyAlignment="true" applyProtection="false">
      <alignment horizontal="left" vertical="center" textRotation="0" wrapText="true" indent="0" shrinkToFit="false"/>
      <protection locked="true" hidden="false"/>
    </xf>
    <xf numFmtId="167" fontId="12" fillId="8" borderId="3" xfId="0" applyFont="true" applyBorder="true" applyAlignment="true" applyProtection="false">
      <alignment horizontal="center" vertical="center" textRotation="0" wrapText="true" indent="0" shrinkToFit="false"/>
      <protection locked="true" hidden="false"/>
    </xf>
    <xf numFmtId="164" fontId="14" fillId="6" borderId="3" xfId="0" applyFont="true" applyBorder="true" applyAlignment="true" applyProtection="false">
      <alignment horizontal="center" vertical="center" textRotation="0" wrapText="true" indent="0" shrinkToFit="false"/>
      <protection locked="true" hidden="false"/>
    </xf>
    <xf numFmtId="168" fontId="14" fillId="6" borderId="3" xfId="0" applyFont="true" applyBorder="true" applyAlignment="true" applyProtection="false">
      <alignment horizontal="center" vertical="center" textRotation="0" wrapText="true" indent="0" shrinkToFit="false"/>
      <protection locked="true" hidden="false"/>
    </xf>
    <xf numFmtId="164" fontId="26" fillId="3" borderId="3" xfId="0" applyFont="true" applyBorder="true" applyAlignment="true" applyProtection="false">
      <alignment horizontal="center" vertical="center" textRotation="0" wrapText="true" indent="0" shrinkToFit="false"/>
      <protection locked="true" hidden="false"/>
    </xf>
    <xf numFmtId="167" fontId="26" fillId="3" borderId="3" xfId="0" applyFont="true" applyBorder="true" applyAlignment="true" applyProtection="false">
      <alignment horizontal="center" vertical="center" textRotation="0" wrapText="true" indent="0" shrinkToFit="false"/>
      <protection locked="true" hidden="false"/>
    </xf>
    <xf numFmtId="168" fontId="26" fillId="3" borderId="3" xfId="0" applyFont="true" applyBorder="true" applyAlignment="true" applyProtection="false">
      <alignment horizontal="center" vertical="center" textRotation="0" wrapText="true" indent="0" shrinkToFit="false"/>
      <protection locked="true" hidden="false"/>
    </xf>
    <xf numFmtId="164" fontId="18" fillId="9" borderId="3" xfId="0" applyFont="true" applyBorder="true" applyAlignment="true" applyProtection="false">
      <alignment horizontal="center" vertical="center" textRotation="0" wrapText="true" indent="0" shrinkToFit="false"/>
      <protection locked="true" hidden="false"/>
    </xf>
    <xf numFmtId="164" fontId="28" fillId="0" borderId="0"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true" applyAlignment="true" applyProtection="false">
      <alignment horizontal="center" vertical="center" textRotation="0" wrapText="true" indent="0" shrinkToFit="false"/>
      <protection locked="true" hidden="false"/>
    </xf>
    <xf numFmtId="164" fontId="31" fillId="0" borderId="0" xfId="0" applyFont="true" applyBorder="true" applyAlignment="true" applyProtection="false">
      <alignment horizontal="left" vertical="center" textRotation="0" wrapText="true" indent="0" shrinkToFit="false"/>
      <protection locked="true" hidden="false"/>
    </xf>
    <xf numFmtId="164" fontId="32" fillId="0" borderId="0" xfId="0" applyFont="true" applyBorder="true" applyAlignment="true" applyProtection="false">
      <alignment horizontal="left" vertical="top" textRotation="0" wrapText="true" indent="0" shrinkToFit="false"/>
      <protection locked="true" hidden="false"/>
    </xf>
    <xf numFmtId="164" fontId="33"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34" fillId="8" borderId="2" xfId="0" applyFont="true" applyBorder="true" applyAlignment="true" applyProtection="false">
      <alignment horizontal="left" vertical="top" textRotation="0" wrapText="true" indent="0" shrinkToFit="false"/>
      <protection locked="true" hidden="false"/>
    </xf>
    <xf numFmtId="164" fontId="35" fillId="8" borderId="2" xfId="0" applyFont="true" applyBorder="true" applyAlignment="true" applyProtection="false">
      <alignment horizontal="left" vertical="top" textRotation="0" wrapText="true" indent="0" shrinkToFit="false"/>
      <protection locked="true" hidden="false"/>
    </xf>
    <xf numFmtId="164" fontId="29" fillId="0" borderId="0" xfId="0" applyFont="true" applyBorder="true" applyAlignment="true" applyProtection="false">
      <alignment horizontal="left" vertical="center" textRotation="0" wrapText="true" indent="0" shrinkToFit="false"/>
      <protection locked="true" hidden="false"/>
    </xf>
    <xf numFmtId="164" fontId="36" fillId="0" borderId="0"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true" applyAlignment="true" applyProtection="false">
      <alignment horizontal="right" vertical="center" textRotation="0" wrapText="false" indent="0" shrinkToFit="false"/>
      <protection locked="true" hidden="false"/>
    </xf>
    <xf numFmtId="164" fontId="37" fillId="5" borderId="3" xfId="0" applyFont="true" applyBorder="true" applyAlignment="true" applyProtection="false">
      <alignment horizontal="center" vertical="center" textRotation="0" wrapText="true" indent="0" shrinkToFit="false"/>
      <protection locked="true" hidden="false"/>
    </xf>
    <xf numFmtId="164" fontId="38" fillId="5" borderId="3" xfId="0" applyFont="true" applyBorder="true" applyAlignment="true" applyProtection="false">
      <alignment horizontal="center" vertical="center" textRotation="0" wrapText="true" indent="0" shrinkToFit="false"/>
      <protection locked="true" hidden="false"/>
    </xf>
    <xf numFmtId="168" fontId="12" fillId="0" borderId="3" xfId="0" applyFont="true" applyBorder="true" applyAlignment="true" applyProtection="false">
      <alignment horizontal="center" vertical="center" textRotation="0" wrapText="true" indent="0" shrinkToFit="false"/>
      <protection locked="true" hidden="false"/>
    </xf>
    <xf numFmtId="166" fontId="12" fillId="0" borderId="3" xfId="0" applyFont="true" applyBorder="true" applyAlignment="true" applyProtection="false">
      <alignment horizontal="center" vertical="center" textRotation="0" wrapText="true" indent="0" shrinkToFit="false"/>
      <protection locked="true" hidden="false"/>
    </xf>
    <xf numFmtId="164" fontId="12" fillId="0" borderId="3"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ont>
        <name val="微软雅黑"/>
        <charset val="1"/>
        <family val="0"/>
        <b val="1"/>
        <color rgb="FF9C0006"/>
        <sz val="10"/>
      </font>
      <fill>
        <patternFill>
          <bgColor rgb="FFFFC7CE"/>
        </patternFill>
      </fill>
    </dxf>
    <dxf>
      <font>
        <name val="微软雅黑"/>
        <charset val="1"/>
        <family val="0"/>
        <b val="1"/>
        <color rgb="FF006100"/>
        <sz val="10"/>
      </font>
      <fill>
        <patternFill>
          <bgColor rgb="FFC6EFCE"/>
        </patternFill>
      </fill>
    </dxf>
    <dxf>
      <fill>
        <patternFill patternType="solid">
          <fgColor rgb="FFFFF9E3"/>
          <bgColor rgb="FF000000"/>
        </patternFill>
      </fill>
    </dxf>
    <dxf>
      <fill>
        <patternFill patternType="solid">
          <bgColor rgb="FF000000"/>
        </patternFill>
      </fill>
    </dxf>
    <dxf>
      <fill>
        <patternFill patternType="solid">
          <fgColor rgb="FF000000"/>
          <bgColor rgb="FF000000"/>
        </patternFill>
      </fill>
    </dxf>
    <dxf>
      <fill>
        <patternFill patternType="solid">
          <fgColor rgb="FFF2F2F2"/>
          <bgColor rgb="FF000000"/>
        </patternFill>
      </fill>
    </dxf>
    <dxf>
      <fill>
        <patternFill patternType="solid">
          <fgColor rgb="FF404040"/>
          <bgColor rgb="FF000000"/>
        </patternFill>
      </fill>
    </dxf>
    <dxf>
      <fill>
        <patternFill patternType="solid">
          <fgColor rgb="FFBDD7EE"/>
          <bgColor rgb="FF000000"/>
        </patternFill>
      </fill>
    </dxf>
    <dxf>
      <fill>
        <patternFill patternType="solid">
          <fgColor rgb="FF1F3864"/>
          <bgColor rgb="FF000000"/>
        </patternFill>
      </fill>
    </dxf>
    <dxf>
      <fill>
        <patternFill patternType="solid">
          <fgColor rgb="FFC00000"/>
          <bgColor rgb="FF000000"/>
        </patternFill>
      </fill>
    </dxf>
    <dxf>
      <fill>
        <patternFill patternType="solid">
          <fgColor rgb="FFFFF2CC"/>
          <bgColor rgb="FF000000"/>
        </patternFill>
      </fill>
    </dxf>
    <dxf>
      <fill>
        <patternFill patternType="solid">
          <fgColor rgb="FF2E75B6"/>
          <bgColor rgb="FF000000"/>
        </patternFill>
      </fill>
    </dxf>
    <dxf>
      <fill>
        <patternFill patternType="solid">
          <fgColor rgb="FFFFFFFF"/>
          <bgColor rgb="FF000000"/>
        </patternFill>
      </fill>
    </dxf>
    <dxf>
      <fill>
        <patternFill patternType="solid">
          <fgColor rgb="FFDDEBF7"/>
          <bgColor rgb="FF000000"/>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A9550A"/>
      <rgbColor rgb="FF800080"/>
      <rgbColor rgb="FF008080"/>
      <rgbColor rgb="FFC0C0C0"/>
      <rgbColor rgb="FF808080"/>
      <rgbColor rgb="FF9999FF"/>
      <rgbColor rgb="FF7030A0"/>
      <rgbColor rgb="FFFFF9E3"/>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C6EFCE"/>
      <rgbColor rgb="FFFFF2CC"/>
      <rgbColor rgb="FF99CCFF"/>
      <rgbColor rgb="FFFF99CC"/>
      <rgbColor rgb="FFCC99FF"/>
      <rgbColor rgb="FFFFC7CE"/>
      <rgbColor rgb="FF2E75B6"/>
      <rgbColor rgb="FF33CCCC"/>
      <rgbColor rgb="FF99CC00"/>
      <rgbColor rgb="FFFFCC00"/>
      <rgbColor rgb="FFBF8F00"/>
      <rgbColor rgb="FFED7D31"/>
      <rgbColor rgb="FF666699"/>
      <rgbColor rgb="FF9BA6B2"/>
      <rgbColor rgb="FF1F3864"/>
      <rgbColor rgb="FF70AD47"/>
      <rgbColor rgb="FF003300"/>
      <rgbColor rgb="FF333300"/>
      <rgbColor rgb="FF843C0C"/>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4.xml"/><Relationship Id="rId3"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6.xml"/><Relationship Id="rId3" Type="http://schemas.openxmlformats.org/officeDocument/2006/relationships/vmlDrawing" Target="../drawings/vmlDrawing2.vml"/>
</Relationships>
</file>

<file path=xl/worksheets/_rels/sheet12.xml.rels><?xml version="1.0" encoding="UTF-8"?>
<Relationships xmlns="http://schemas.openxmlformats.org/package/2006/relationships"><Relationship Id="rId1" Type="http://schemas.openxmlformats.org/officeDocument/2006/relationships/drawing" Target="../drawings/drawing7.xml"/>
</Relationships>
</file>

<file path=xl/worksheets/_rels/sheet13.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G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3" min="3" style="0" width="26"/>
    <col collapsed="false" customWidth="true" hidden="false" outlineLevel="0" max="5" min="4" style="0" width="30"/>
    <col collapsed="false" customWidth="true" hidden="false" outlineLevel="0" max="6" min="6" style="0" width="26"/>
    <col collapsed="false" customWidth="true" hidden="false" outlineLevel="0" max="7" min="7" style="0" width="22"/>
  </cols>
  <sheetData>
    <row r="1" customFormat="false" ht="43.5" hidden="false" customHeight="true" outlineLevel="0" collapsed="false">
      <c r="A1" s="1" t="s">
        <v>0</v>
      </c>
      <c r="B1" s="1"/>
      <c r="C1" s="2" t="str">
        <f aca="false">IF(使用说明!$B$2="","",使用说明!$B$2&amp;"    ")&amp;"研发费用归集与分摊台账（2026年度）  使用说明"</f>
        <v>研发费用归集与分摊台账（2026年度）  使用说明</v>
      </c>
      <c r="D1" s="2"/>
      <c r="E1" s="2"/>
      <c r="F1" s="2"/>
      <c r="G1" s="2"/>
    </row>
    <row r="2" customFormat="false" ht="25.5" hidden="false" customHeight="true" outlineLevel="0" collapsed="false">
      <c r="A2" s="3" t="s">
        <v>1</v>
      </c>
      <c r="B2" s="3"/>
      <c r="C2" s="4"/>
      <c r="D2" s="4"/>
      <c r="E2" s="4"/>
      <c r="F2" s="5" t="s">
        <v>2</v>
      </c>
      <c r="G2" s="5"/>
    </row>
    <row r="4" customFormat="false" ht="21.75" hidden="false" customHeight="true" outlineLevel="0" collapsed="false">
      <c r="A4" s="6" t="s">
        <v>3</v>
      </c>
      <c r="B4" s="6"/>
      <c r="C4" s="6"/>
      <c r="D4" s="6"/>
      <c r="E4" s="6"/>
      <c r="F4" s="6"/>
      <c r="G4" s="6"/>
    </row>
    <row r="5" customFormat="false" ht="15" hidden="false" customHeight="true" outlineLevel="0" collapsed="false">
      <c r="B5" s="7" t="s">
        <v>4</v>
      </c>
      <c r="C5" s="7"/>
      <c r="D5" s="7"/>
      <c r="E5" s="7"/>
      <c r="F5" s="7"/>
      <c r="G5" s="7"/>
    </row>
    <row r="6" customFormat="false" ht="40.5" hidden="false" customHeight="true" outlineLevel="0" collapsed="false">
      <c r="B6" s="7" t="s">
        <v>5</v>
      </c>
      <c r="C6" s="7"/>
      <c r="D6" s="7"/>
      <c r="E6" s="7"/>
      <c r="F6" s="7"/>
      <c r="G6" s="7"/>
    </row>
    <row r="7" customFormat="false" ht="21.75" hidden="false" customHeight="true" outlineLevel="0" collapsed="false">
      <c r="A7" s="6" t="s">
        <v>6</v>
      </c>
      <c r="B7" s="6"/>
      <c r="C7" s="6"/>
      <c r="D7" s="6"/>
      <c r="E7" s="6"/>
      <c r="F7" s="6"/>
      <c r="G7" s="6"/>
    </row>
    <row r="8" customFormat="false" ht="15" hidden="false" customHeight="true" outlineLevel="0" collapsed="false">
      <c r="B8" s="7" t="s">
        <v>7</v>
      </c>
      <c r="C8" s="7"/>
      <c r="D8" s="7"/>
      <c r="E8" s="7"/>
      <c r="F8" s="7"/>
      <c r="G8" s="7"/>
    </row>
    <row r="9" customFormat="false" ht="27.75" hidden="false" customHeight="true" outlineLevel="0" collapsed="false">
      <c r="B9" s="7" t="s">
        <v>8</v>
      </c>
      <c r="C9" s="7"/>
      <c r="D9" s="7"/>
      <c r="E9" s="7"/>
      <c r="F9" s="7"/>
      <c r="G9" s="7"/>
    </row>
    <row r="10" customFormat="false" ht="27.75" hidden="false" customHeight="true" outlineLevel="0" collapsed="false">
      <c r="B10" s="7" t="s">
        <v>9</v>
      </c>
      <c r="C10" s="7"/>
      <c r="D10" s="7"/>
      <c r="E10" s="7"/>
      <c r="F10" s="7"/>
      <c r="G10" s="7"/>
    </row>
    <row r="11" customFormat="false" ht="27.75" hidden="false" customHeight="true" outlineLevel="0" collapsed="false">
      <c r="B11" s="7" t="s">
        <v>10</v>
      </c>
      <c r="C11" s="7"/>
      <c r="D11" s="7"/>
      <c r="E11" s="7"/>
      <c r="F11" s="7"/>
      <c r="G11" s="7"/>
    </row>
    <row r="12" customFormat="false" ht="15" hidden="false" customHeight="true" outlineLevel="0" collapsed="false">
      <c r="B12" s="7" t="s">
        <v>11</v>
      </c>
      <c r="C12" s="7"/>
      <c r="D12" s="7"/>
      <c r="E12" s="7"/>
      <c r="F12" s="7"/>
      <c r="G12" s="7"/>
    </row>
    <row r="13" customFormat="false" ht="15" hidden="false" customHeight="true" outlineLevel="0" collapsed="false">
      <c r="B13" s="7" t="s">
        <v>12</v>
      </c>
      <c r="C13" s="7"/>
      <c r="D13" s="7"/>
      <c r="E13" s="7"/>
      <c r="F13" s="7"/>
      <c r="G13" s="7"/>
    </row>
    <row r="14" customFormat="false" ht="15" hidden="false" customHeight="true" outlineLevel="0" collapsed="false">
      <c r="B14" s="7" t="s">
        <v>13</v>
      </c>
      <c r="C14" s="7"/>
      <c r="D14" s="7"/>
      <c r="E14" s="7"/>
      <c r="F14" s="7"/>
      <c r="G14" s="7"/>
    </row>
    <row r="15" customFormat="false" ht="21.75" hidden="false" customHeight="true" outlineLevel="0" collapsed="false">
      <c r="A15" s="6" t="s">
        <v>14</v>
      </c>
      <c r="B15" s="6"/>
      <c r="C15" s="6"/>
      <c r="D15" s="6"/>
      <c r="E15" s="6"/>
      <c r="F15" s="6"/>
      <c r="G15" s="6"/>
    </row>
    <row r="16" customFormat="false" ht="28.5" hidden="false" customHeight="true" outlineLevel="0" collapsed="false">
      <c r="B16" s="8" t="s">
        <v>15</v>
      </c>
      <c r="C16" s="9" t="s">
        <v>16</v>
      </c>
      <c r="D16" s="9"/>
      <c r="E16" s="9"/>
      <c r="F16" s="9"/>
      <c r="G16" s="9"/>
    </row>
    <row r="17" customFormat="false" ht="28.5" hidden="false" customHeight="true" outlineLevel="0" collapsed="false">
      <c r="B17" s="8" t="s">
        <v>17</v>
      </c>
      <c r="C17" s="9" t="s">
        <v>18</v>
      </c>
      <c r="D17" s="9"/>
      <c r="E17" s="9"/>
      <c r="F17" s="9"/>
      <c r="G17" s="9"/>
    </row>
    <row r="18" customFormat="false" ht="28.5" hidden="false" customHeight="true" outlineLevel="0" collapsed="false">
      <c r="B18" s="8" t="s">
        <v>19</v>
      </c>
      <c r="C18" s="9" t="s">
        <v>20</v>
      </c>
      <c r="D18" s="9"/>
      <c r="E18" s="9"/>
      <c r="F18" s="9"/>
      <c r="G18" s="9"/>
    </row>
    <row r="19" customFormat="false" ht="28.5" hidden="false" customHeight="true" outlineLevel="0" collapsed="false">
      <c r="B19" s="8" t="s">
        <v>21</v>
      </c>
      <c r="C19" s="9" t="s">
        <v>22</v>
      </c>
      <c r="D19" s="9"/>
      <c r="E19" s="9"/>
      <c r="F19" s="9"/>
      <c r="G19" s="9"/>
    </row>
    <row r="20" customFormat="false" ht="28.5" hidden="false" customHeight="true" outlineLevel="0" collapsed="false">
      <c r="B20" s="8" t="s">
        <v>23</v>
      </c>
      <c r="C20" s="9" t="s">
        <v>24</v>
      </c>
      <c r="D20" s="9"/>
      <c r="E20" s="9"/>
      <c r="F20" s="9"/>
      <c r="G20" s="9"/>
    </row>
    <row r="21" customFormat="false" ht="21.75" hidden="false" customHeight="true" outlineLevel="0" collapsed="false">
      <c r="A21" s="6" t="s">
        <v>25</v>
      </c>
      <c r="B21" s="6"/>
      <c r="C21" s="6"/>
      <c r="D21" s="6"/>
      <c r="E21" s="6"/>
      <c r="F21" s="6"/>
      <c r="G21" s="6"/>
    </row>
    <row r="22" customFormat="false" ht="28.5" hidden="false" customHeight="true" outlineLevel="0" collapsed="false">
      <c r="B22" s="8" t="s">
        <v>26</v>
      </c>
      <c r="C22" s="9" t="s">
        <v>27</v>
      </c>
      <c r="D22" s="9"/>
      <c r="E22" s="9"/>
      <c r="F22" s="9"/>
      <c r="G22" s="9"/>
    </row>
    <row r="23" customFormat="false" ht="28.5" hidden="false" customHeight="true" outlineLevel="0" collapsed="false">
      <c r="B23" s="8" t="s">
        <v>28</v>
      </c>
      <c r="C23" s="9" t="s">
        <v>29</v>
      </c>
      <c r="D23" s="9"/>
      <c r="E23" s="9"/>
      <c r="F23" s="9"/>
      <c r="G23" s="9"/>
    </row>
    <row r="24" customFormat="false" ht="28.5" hidden="false" customHeight="true" outlineLevel="0" collapsed="false">
      <c r="B24" s="8" t="s">
        <v>30</v>
      </c>
      <c r="C24" s="9" t="s">
        <v>31</v>
      </c>
      <c r="D24" s="9"/>
      <c r="E24" s="9"/>
      <c r="F24" s="9"/>
      <c r="G24" s="9"/>
    </row>
    <row r="25" customFormat="false" ht="28.5" hidden="false" customHeight="true" outlineLevel="0" collapsed="false">
      <c r="B25" s="8" t="s">
        <v>32</v>
      </c>
      <c r="C25" s="9" t="s">
        <v>33</v>
      </c>
      <c r="D25" s="9"/>
      <c r="E25" s="9"/>
      <c r="F25" s="9"/>
      <c r="G25" s="9"/>
    </row>
    <row r="26" customFormat="false" ht="21.75" hidden="false" customHeight="true" outlineLevel="0" collapsed="false">
      <c r="A26" s="6" t="s">
        <v>34</v>
      </c>
      <c r="B26" s="6"/>
      <c r="C26" s="6"/>
      <c r="D26" s="6"/>
      <c r="E26" s="6"/>
      <c r="F26" s="6"/>
      <c r="G26" s="6"/>
    </row>
    <row r="27" customFormat="false" ht="18" hidden="false" customHeight="true" outlineLevel="0" collapsed="false">
      <c r="B27" s="10"/>
      <c r="C27" s="11" t="s">
        <v>35</v>
      </c>
      <c r="D27" s="12" t="s">
        <v>36</v>
      </c>
      <c r="E27" s="12"/>
      <c r="F27" s="12"/>
      <c r="G27" s="12"/>
    </row>
    <row r="28" customFormat="false" ht="18" hidden="false" customHeight="true" outlineLevel="0" collapsed="false">
      <c r="B28" s="13"/>
      <c r="C28" s="11" t="s">
        <v>37</v>
      </c>
      <c r="D28" s="12" t="s">
        <v>38</v>
      </c>
      <c r="E28" s="12"/>
      <c r="F28" s="12"/>
      <c r="G28" s="12"/>
    </row>
    <row r="29" customFormat="false" ht="18" hidden="false" customHeight="true" outlineLevel="0" collapsed="false">
      <c r="B29" s="14"/>
      <c r="C29" s="11" t="s">
        <v>39</v>
      </c>
      <c r="D29" s="12" t="s">
        <v>40</v>
      </c>
      <c r="E29" s="12"/>
      <c r="F29" s="12"/>
      <c r="G29" s="12"/>
    </row>
    <row r="31" customFormat="false" ht="15" hidden="false" customHeight="true" outlineLevel="0" collapsed="false">
      <c r="A31" s="6" t="s">
        <v>41</v>
      </c>
      <c r="B31" s="6"/>
      <c r="C31" s="6"/>
      <c r="D31" s="6"/>
      <c r="E31" s="6"/>
      <c r="F31" s="6"/>
      <c r="G31" s="6"/>
    </row>
    <row r="32" customFormat="false" ht="15" hidden="false" customHeight="true" outlineLevel="0" collapsed="false">
      <c r="B32" s="15" t="s">
        <v>42</v>
      </c>
      <c r="C32" s="15"/>
      <c r="D32" s="15"/>
      <c r="E32" s="15"/>
      <c r="F32" s="15"/>
      <c r="G32" s="15"/>
    </row>
    <row r="33" customFormat="false" ht="15" hidden="false" customHeight="true" outlineLevel="0" collapsed="false">
      <c r="B33" s="15" t="s">
        <v>43</v>
      </c>
      <c r="C33" s="15"/>
      <c r="D33" s="15"/>
      <c r="E33" s="15"/>
      <c r="F33" s="15"/>
      <c r="G33" s="15"/>
    </row>
    <row r="34" customFormat="false" ht="15" hidden="false" customHeight="true" outlineLevel="0" collapsed="false">
      <c r="B34" s="15" t="s">
        <v>44</v>
      </c>
      <c r="C34" s="15"/>
      <c r="D34" s="15"/>
      <c r="E34" s="15"/>
      <c r="F34" s="15"/>
      <c r="G34" s="15"/>
    </row>
    <row r="35" customFormat="false" ht="15" hidden="false" customHeight="true" outlineLevel="0" collapsed="false">
      <c r="B35" s="15" t="s">
        <v>45</v>
      </c>
      <c r="C35" s="15"/>
      <c r="D35" s="15"/>
      <c r="E35" s="15"/>
      <c r="F35" s="15"/>
      <c r="G35" s="15"/>
    </row>
    <row r="36" customFormat="false" ht="15" hidden="false" customHeight="true" outlineLevel="0" collapsed="false">
      <c r="B36" s="15" t="s">
        <v>46</v>
      </c>
      <c r="C36" s="15"/>
      <c r="D36" s="15"/>
      <c r="E36" s="15"/>
      <c r="F36" s="15"/>
      <c r="G36" s="15"/>
    </row>
    <row r="37" customFormat="false" ht="15" hidden="false" customHeight="true" outlineLevel="0" collapsed="false">
      <c r="B37" s="15" t="s">
        <v>47</v>
      </c>
      <c r="C37" s="15"/>
      <c r="D37" s="15"/>
      <c r="E37" s="15"/>
      <c r="F37" s="15"/>
      <c r="G37" s="15"/>
    </row>
    <row r="38" customFormat="false" ht="15" hidden="false" customHeight="true" outlineLevel="0" collapsed="false">
      <c r="B38" s="15" t="s">
        <v>48</v>
      </c>
      <c r="C38" s="15"/>
      <c r="D38" s="15"/>
      <c r="E38" s="15"/>
      <c r="F38" s="15"/>
      <c r="G38" s="15"/>
    </row>
    <row r="40" customFormat="false" ht="15" hidden="false" customHeight="true" outlineLevel="0" collapsed="false">
      <c r="B40" s="16" t="s">
        <v>49</v>
      </c>
      <c r="C40" s="16"/>
      <c r="D40" s="16"/>
      <c r="E40" s="16"/>
      <c r="F40" s="16"/>
      <c r="G40" s="16"/>
    </row>
  </sheetData>
  <mergeCells count="40">
    <mergeCell ref="A1:B1"/>
    <mergeCell ref="C1:G1"/>
    <mergeCell ref="A2:B2"/>
    <mergeCell ref="C2:E2"/>
    <mergeCell ref="F2:G2"/>
    <mergeCell ref="A4:G4"/>
    <mergeCell ref="B5:G5"/>
    <mergeCell ref="B6:G6"/>
    <mergeCell ref="A7:G7"/>
    <mergeCell ref="B8:G8"/>
    <mergeCell ref="B9:G9"/>
    <mergeCell ref="B10:G10"/>
    <mergeCell ref="B11:G11"/>
    <mergeCell ref="B12:G12"/>
    <mergeCell ref="B13:G13"/>
    <mergeCell ref="B14:G14"/>
    <mergeCell ref="A15:G15"/>
    <mergeCell ref="C16:G16"/>
    <mergeCell ref="C17:G17"/>
    <mergeCell ref="C18:G18"/>
    <mergeCell ref="C19:G19"/>
    <mergeCell ref="C20:G20"/>
    <mergeCell ref="A21:G21"/>
    <mergeCell ref="C22:G22"/>
    <mergeCell ref="C23:G23"/>
    <mergeCell ref="C24:G24"/>
    <mergeCell ref="C25:G25"/>
    <mergeCell ref="A26:G26"/>
    <mergeCell ref="D27:G27"/>
    <mergeCell ref="D28:G28"/>
    <mergeCell ref="D29:G29"/>
    <mergeCell ref="A31:G31"/>
    <mergeCell ref="B32:G32"/>
    <mergeCell ref="B33:G33"/>
    <mergeCell ref="B34:G34"/>
    <mergeCell ref="B35:G35"/>
    <mergeCell ref="B36:G36"/>
    <mergeCell ref="B37:G37"/>
    <mergeCell ref="B38:G38"/>
    <mergeCell ref="B40:G40"/>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J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16"/>
    <col collapsed="false" customWidth="true" hidden="false" outlineLevel="0" max="4" min="3" style="0" width="18"/>
    <col collapsed="false" customWidth="true" hidden="false" outlineLevel="0" max="5" min="5" style="0" width="16"/>
    <col collapsed="false" customWidth="true" hidden="false" outlineLevel="0" max="6" min="6" style="0" width="15"/>
    <col collapsed="false" customWidth="true" hidden="false" outlineLevel="0" max="9" min="7" style="0" width="17"/>
    <col collapsed="false" customWidth="true" hidden="false" outlineLevel="0" max="10" min="10" style="0" width="24"/>
  </cols>
  <sheetData>
    <row r="1" customFormat="false" ht="43.5" hidden="false" customHeight="true" outlineLevel="0" collapsed="false">
      <c r="A1" s="1" t="s">
        <v>0</v>
      </c>
      <c r="B1" s="1"/>
      <c r="C1" s="2" t="str">
        <f aca="false">IF(使用说明!$B$2="","",使用说明!$B$2&amp;"    ")&amp;"一、高新技术企业各项指标监测表（2026年度）"</f>
        <v>一、高新技术企业各项指标监测表（2026年度）</v>
      </c>
      <c r="D1" s="2"/>
      <c r="E1" s="2"/>
      <c r="F1" s="2"/>
      <c r="G1" s="2"/>
      <c r="H1" s="2"/>
      <c r="I1" s="2"/>
      <c r="J1" s="2"/>
    </row>
    <row r="2" customFormat="false" ht="30" hidden="false" customHeight="true" outlineLevel="0" collapsed="false">
      <c r="A2" s="17" t="s">
        <v>50</v>
      </c>
      <c r="B2" s="17"/>
      <c r="C2" s="17"/>
      <c r="D2" s="17"/>
      <c r="E2" s="17"/>
      <c r="F2" s="17"/>
      <c r="G2" s="17"/>
      <c r="H2" s="17"/>
      <c r="I2" s="17"/>
      <c r="J2" s="17"/>
    </row>
    <row r="4" customFormat="false" ht="21.75" hidden="false" customHeight="true" outlineLevel="0" collapsed="false">
      <c r="A4" s="6" t="s">
        <v>51</v>
      </c>
      <c r="B4" s="6"/>
      <c r="C4" s="6"/>
      <c r="D4" s="6"/>
      <c r="E4" s="6"/>
      <c r="F4" s="6"/>
      <c r="G4" s="6"/>
      <c r="H4" s="6"/>
      <c r="I4" s="6"/>
      <c r="J4" s="6"/>
    </row>
    <row r="5" customFormat="false" ht="25.5" hidden="false" customHeight="true" outlineLevel="0" collapsed="false">
      <c r="A5" s="18" t="s">
        <v>52</v>
      </c>
      <c r="B5" s="18"/>
      <c r="C5" s="18" t="s">
        <v>53</v>
      </c>
      <c r="D5" s="18" t="s">
        <v>54</v>
      </c>
      <c r="E5" s="18" t="s">
        <v>55</v>
      </c>
      <c r="F5" s="18" t="s">
        <v>56</v>
      </c>
      <c r="G5" s="18"/>
      <c r="H5" s="18"/>
      <c r="I5" s="18"/>
      <c r="J5" s="18"/>
    </row>
    <row r="6" customFormat="false" ht="21.75" hidden="false" customHeight="true" outlineLevel="0" collapsed="false">
      <c r="A6" s="19" t="s">
        <v>57</v>
      </c>
      <c r="B6" s="19"/>
      <c r="C6" s="20"/>
      <c r="D6" s="21"/>
      <c r="E6" s="22"/>
      <c r="F6" s="19" t="s">
        <v>58</v>
      </c>
      <c r="G6" s="19"/>
      <c r="H6" s="19"/>
      <c r="I6" s="19"/>
      <c r="J6" s="19"/>
    </row>
    <row r="7" customFormat="false" ht="21.75" hidden="false" customHeight="true" outlineLevel="0" collapsed="false">
      <c r="A7" s="19" t="s">
        <v>59</v>
      </c>
      <c r="B7" s="19"/>
      <c r="C7" s="20"/>
      <c r="D7" s="21" t="n">
        <f aca="false">COUNTIF(人员名册!$H$4:$H$53,"是")</f>
        <v>4</v>
      </c>
      <c r="E7" s="22"/>
      <c r="F7" s="19" t="s">
        <v>60</v>
      </c>
      <c r="G7" s="19"/>
      <c r="H7" s="19"/>
      <c r="I7" s="19"/>
      <c r="J7" s="19"/>
    </row>
    <row r="8" customFormat="false" ht="21.75" hidden="false" customHeight="true" outlineLevel="0" collapsed="false">
      <c r="A8" s="19" t="s">
        <v>61</v>
      </c>
      <c r="B8" s="19"/>
      <c r="C8" s="23" t="str">
        <f aca="false">IF($C$6=0,"",$C$7/$C$6)</f>
        <v/>
      </c>
      <c r="D8" s="24" t="s">
        <v>62</v>
      </c>
      <c r="E8" s="22" t="str">
        <f aca="false">IF($C$8="","",IF($C$8&gt;=0.1,"√ 达标","✗ 未达标"))</f>
        <v/>
      </c>
      <c r="F8" s="19" t="s">
        <v>63</v>
      </c>
      <c r="G8" s="19"/>
      <c r="H8" s="19"/>
      <c r="I8" s="19"/>
      <c r="J8" s="19"/>
    </row>
    <row r="9" customFormat="false" ht="21.75" hidden="false" customHeight="true" outlineLevel="0" collapsed="false">
      <c r="A9" s="19" t="s">
        <v>64</v>
      </c>
      <c r="B9" s="19"/>
      <c r="C9" s="25"/>
      <c r="D9" s="24"/>
      <c r="E9" s="22"/>
      <c r="F9" s="19" t="s">
        <v>65</v>
      </c>
      <c r="G9" s="19"/>
      <c r="H9" s="19"/>
      <c r="I9" s="19"/>
      <c r="J9" s="19"/>
    </row>
    <row r="10" customFormat="false" ht="21.75" hidden="false" customHeight="true" outlineLevel="0" collapsed="false">
      <c r="A10" s="19" t="s">
        <v>66</v>
      </c>
      <c r="B10" s="19"/>
      <c r="C10" s="26" t="n">
        <f aca="false">年度汇总!$O$16</f>
        <v>126067.89</v>
      </c>
      <c r="D10" s="24" t="s">
        <v>67</v>
      </c>
      <c r="E10" s="22"/>
      <c r="F10" s="19" t="s">
        <v>68</v>
      </c>
      <c r="G10" s="19"/>
      <c r="H10" s="19"/>
      <c r="I10" s="19"/>
      <c r="J10" s="19"/>
    </row>
    <row r="11" customFormat="false" ht="21.75" hidden="false" customHeight="true" outlineLevel="0" collapsed="false">
      <c r="A11" s="19" t="s">
        <v>69</v>
      </c>
      <c r="B11" s="19"/>
      <c r="C11" s="23" t="str">
        <f aca="false">IF($C$9=0,"",IF($C$9&lt;50000000,0.05,IF($C$9&lt;=200000000,0.04,0.03)))</f>
        <v/>
      </c>
      <c r="D11" s="24" t="s">
        <v>70</v>
      </c>
      <c r="E11" s="22"/>
      <c r="F11" s="19" t="s">
        <v>71</v>
      </c>
      <c r="G11" s="19"/>
      <c r="H11" s="19"/>
      <c r="I11" s="19"/>
      <c r="J11" s="19"/>
    </row>
    <row r="12" customFormat="false" ht="21.75" hidden="false" customHeight="true" outlineLevel="0" collapsed="false">
      <c r="A12" s="19" t="s">
        <v>72</v>
      </c>
      <c r="B12" s="19"/>
      <c r="C12" s="23" t="str">
        <f aca="false">IF($C$9=0,"",$C$10/$C$9)</f>
        <v/>
      </c>
      <c r="D12" s="23" t="str">
        <f aca="false">IF($C$11="","",$C$11)</f>
        <v/>
      </c>
      <c r="E12" s="22" t="str">
        <f aca="false">IF(OR($C$12="",$C$11=""),"",IF($C$12&gt;=$C$11,"√ 达标","✗ 未达标"))</f>
        <v/>
      </c>
      <c r="F12" s="19" t="s">
        <v>73</v>
      </c>
      <c r="G12" s="19"/>
      <c r="H12" s="19"/>
      <c r="I12" s="19"/>
      <c r="J12" s="19"/>
    </row>
    <row r="13" customFormat="false" ht="21.75" hidden="false" customHeight="true" outlineLevel="0" collapsed="false">
      <c r="A13" s="19" t="s">
        <v>74</v>
      </c>
      <c r="B13" s="19"/>
      <c r="C13" s="25"/>
      <c r="D13" s="24"/>
      <c r="E13" s="22"/>
      <c r="F13" s="19" t="s">
        <v>75</v>
      </c>
      <c r="G13" s="19"/>
      <c r="H13" s="19"/>
      <c r="I13" s="19"/>
      <c r="J13" s="19"/>
    </row>
    <row r="14" customFormat="false" ht="21.75" hidden="false" customHeight="true" outlineLevel="0" collapsed="false">
      <c r="A14" s="19" t="s">
        <v>76</v>
      </c>
      <c r="B14" s="19"/>
      <c r="C14" s="25"/>
      <c r="D14" s="24"/>
      <c r="E14" s="22"/>
      <c r="F14" s="19" t="s">
        <v>77</v>
      </c>
      <c r="G14" s="19"/>
      <c r="H14" s="19"/>
      <c r="I14" s="19"/>
      <c r="J14" s="19"/>
    </row>
    <row r="15" customFormat="false" ht="21.75" hidden="false" customHeight="true" outlineLevel="0" collapsed="false">
      <c r="A15" s="19" t="s">
        <v>78</v>
      </c>
      <c r="B15" s="19"/>
      <c r="C15" s="23" t="str">
        <f aca="false">IF($C$13=0,"",$C$14/$C$13)</f>
        <v/>
      </c>
      <c r="D15" s="24" t="s">
        <v>79</v>
      </c>
      <c r="E15" s="22" t="str">
        <f aca="false">IF($C$15="","",IF($C$15&gt;=0.6,"√ 达标","✗ 未达标"))</f>
        <v/>
      </c>
      <c r="F15" s="19" t="s">
        <v>80</v>
      </c>
      <c r="G15" s="19"/>
      <c r="H15" s="19"/>
      <c r="I15" s="19"/>
      <c r="J15" s="19"/>
    </row>
    <row r="17" customFormat="false" ht="21.75" hidden="false" customHeight="true" outlineLevel="0" collapsed="false">
      <c r="A17" s="6" t="s">
        <v>81</v>
      </c>
      <c r="B17" s="6"/>
      <c r="C17" s="6"/>
      <c r="D17" s="6"/>
      <c r="E17" s="6"/>
      <c r="F17" s="6"/>
      <c r="G17" s="6"/>
      <c r="H17" s="6"/>
      <c r="I17" s="6"/>
      <c r="J17" s="6"/>
    </row>
    <row r="18" customFormat="false" ht="37.5" hidden="false" customHeight="true" outlineLevel="0" collapsed="false">
      <c r="A18" s="18" t="s">
        <v>82</v>
      </c>
      <c r="B18" s="18" t="s">
        <v>83</v>
      </c>
      <c r="C18" s="18" t="s">
        <v>84</v>
      </c>
      <c r="D18" s="18" t="s">
        <v>85</v>
      </c>
      <c r="E18" s="18" t="s">
        <v>86</v>
      </c>
      <c r="F18" s="18" t="s">
        <v>87</v>
      </c>
      <c r="G18" s="18" t="s">
        <v>88</v>
      </c>
      <c r="H18" s="18" t="s">
        <v>89</v>
      </c>
      <c r="I18" s="18" t="s">
        <v>90</v>
      </c>
      <c r="J18" s="18" t="s">
        <v>91</v>
      </c>
    </row>
    <row r="19" customFormat="false" ht="18.75" hidden="false" customHeight="true" outlineLevel="0" collapsed="false">
      <c r="A19" s="21" t="s">
        <v>92</v>
      </c>
      <c r="B19" s="25"/>
      <c r="C19" s="25"/>
      <c r="D19" s="25"/>
      <c r="E19" s="27" t="n">
        <f aca="false">月度归集汇总!$K$14</f>
        <v>0</v>
      </c>
      <c r="F19" s="27" t="n">
        <f aca="false">SUM($B$19:B19)</f>
        <v>0</v>
      </c>
      <c r="G19" s="27" t="n">
        <f aca="false">SUM($E$19:E19)</f>
        <v>0</v>
      </c>
      <c r="H19" s="28" t="str">
        <f aca="false">IF($F19=0,"",$G19/$F19)</f>
        <v/>
      </c>
      <c r="I19" s="28" t="str">
        <f aca="false">IF(SUM($D$19:D19)=0,"",SUM($C$19:C19)/SUM($D$19:D19))</f>
        <v/>
      </c>
      <c r="J19" s="29" t="str">
        <f aca="false">IF(OR($H19="",$C$11=""),"",IF($H19&lt;$C$11,"⚠ 研发费用占比低于标准","√ 正常"))</f>
        <v/>
      </c>
    </row>
    <row r="20" customFormat="false" ht="18.75" hidden="false" customHeight="true" outlineLevel="0" collapsed="false">
      <c r="A20" s="21" t="s">
        <v>93</v>
      </c>
      <c r="B20" s="25"/>
      <c r="C20" s="25"/>
      <c r="D20" s="25"/>
      <c r="E20" s="27" t="n">
        <f aca="false">月度归集汇总!$K$25</f>
        <v>0</v>
      </c>
      <c r="F20" s="27" t="n">
        <f aca="false">SUM($B$19:B20)</f>
        <v>0</v>
      </c>
      <c r="G20" s="27" t="n">
        <f aca="false">SUM($E$19:E20)</f>
        <v>0</v>
      </c>
      <c r="H20" s="28" t="str">
        <f aca="false">IF($F20=0,"",$G20/$F20)</f>
        <v/>
      </c>
      <c r="I20" s="28" t="str">
        <f aca="false">IF(SUM($D$19:D20)=0,"",SUM($C$19:C20)/SUM($D$19:D20))</f>
        <v/>
      </c>
      <c r="J20" s="29" t="str">
        <f aca="false">IF(OR($H20="",$C$11=""),"",IF($H20&lt;$C$11,"⚠ 研发费用占比低于标准","√ 正常"))</f>
        <v/>
      </c>
    </row>
    <row r="21" customFormat="false" ht="18.75" hidden="false" customHeight="true" outlineLevel="0" collapsed="false">
      <c r="A21" s="21" t="s">
        <v>94</v>
      </c>
      <c r="B21" s="25"/>
      <c r="C21" s="25"/>
      <c r="D21" s="25"/>
      <c r="E21" s="27" t="n">
        <f aca="false">月度归集汇总!$K$36</f>
        <v>0</v>
      </c>
      <c r="F21" s="27" t="n">
        <f aca="false">SUM($B$19:B21)</f>
        <v>0</v>
      </c>
      <c r="G21" s="27" t="n">
        <f aca="false">SUM($E$19:E21)</f>
        <v>0</v>
      </c>
      <c r="H21" s="28" t="str">
        <f aca="false">IF($F21=0,"",$G21/$F21)</f>
        <v/>
      </c>
      <c r="I21" s="28" t="str">
        <f aca="false">IF(SUM($D$19:D21)=0,"",SUM($C$19:C21)/SUM($D$19:D21))</f>
        <v/>
      </c>
      <c r="J21" s="29" t="str">
        <f aca="false">IF(OR($H21="",$C$11=""),"",IF($H21&lt;$C$11,"⚠ 研发费用占比低于标准","√ 正常"))</f>
        <v/>
      </c>
    </row>
    <row r="22" customFormat="false" ht="18.75" hidden="false" customHeight="true" outlineLevel="0" collapsed="false">
      <c r="A22" s="21" t="s">
        <v>95</v>
      </c>
      <c r="B22" s="25"/>
      <c r="C22" s="25"/>
      <c r="D22" s="25"/>
      <c r="E22" s="27" t="n">
        <f aca="false">月度归集汇总!$K$47</f>
        <v>0</v>
      </c>
      <c r="F22" s="27" t="n">
        <f aca="false">SUM($B$19:B22)</f>
        <v>0</v>
      </c>
      <c r="G22" s="27" t="n">
        <f aca="false">SUM($E$19:E22)</f>
        <v>0</v>
      </c>
      <c r="H22" s="28" t="str">
        <f aca="false">IF($F22=0,"",$G22/$F22)</f>
        <v/>
      </c>
      <c r="I22" s="28" t="str">
        <f aca="false">IF(SUM($D$19:D22)=0,"",SUM($C$19:C22)/SUM($D$19:D22))</f>
        <v/>
      </c>
      <c r="J22" s="29" t="str">
        <f aca="false">IF(OR($H22="",$C$11=""),"",IF($H22&lt;$C$11,"⚠ 研发费用占比低于标准","√ 正常"))</f>
        <v/>
      </c>
    </row>
    <row r="23" customFormat="false" ht="18.75" hidden="false" customHeight="true" outlineLevel="0" collapsed="false">
      <c r="A23" s="21" t="s">
        <v>96</v>
      </c>
      <c r="B23" s="25"/>
      <c r="C23" s="25"/>
      <c r="D23" s="25"/>
      <c r="E23" s="27" t="n">
        <f aca="false">月度归集汇总!$K$58</f>
        <v>0</v>
      </c>
      <c r="F23" s="27" t="n">
        <f aca="false">SUM($B$19:B23)</f>
        <v>0</v>
      </c>
      <c r="G23" s="27" t="n">
        <f aca="false">SUM($E$19:E23)</f>
        <v>0</v>
      </c>
      <c r="H23" s="28" t="str">
        <f aca="false">IF($F23=0,"",$G23/$F23)</f>
        <v/>
      </c>
      <c r="I23" s="28" t="str">
        <f aca="false">IF(SUM($D$19:D23)=0,"",SUM($C$19:C23)/SUM($D$19:D23))</f>
        <v/>
      </c>
      <c r="J23" s="29" t="str">
        <f aca="false">IF(OR($H23="",$C$11=""),"",IF($H23&lt;$C$11,"⚠ 研发费用占比低于标准","√ 正常"))</f>
        <v/>
      </c>
    </row>
    <row r="24" customFormat="false" ht="18.75" hidden="false" customHeight="true" outlineLevel="0" collapsed="false">
      <c r="A24" s="21" t="s">
        <v>97</v>
      </c>
      <c r="B24" s="25"/>
      <c r="C24" s="25"/>
      <c r="D24" s="25"/>
      <c r="E24" s="27" t="n">
        <f aca="false">月度归集汇总!$K$69</f>
        <v>0</v>
      </c>
      <c r="F24" s="27" t="n">
        <f aca="false">SUM($B$19:B24)</f>
        <v>0</v>
      </c>
      <c r="G24" s="27" t="n">
        <f aca="false">SUM($E$19:E24)</f>
        <v>0</v>
      </c>
      <c r="H24" s="28" t="str">
        <f aca="false">IF($F24=0,"",$G24/$F24)</f>
        <v/>
      </c>
      <c r="I24" s="28" t="str">
        <f aca="false">IF(SUM($D$19:D24)=0,"",SUM($C$19:C24)/SUM($D$19:D24))</f>
        <v/>
      </c>
      <c r="J24" s="29" t="str">
        <f aca="false">IF(OR($H24="",$C$11=""),"",IF($H24&lt;$C$11,"⚠ 研发费用占比低于标准","√ 正常"))</f>
        <v/>
      </c>
    </row>
    <row r="25" customFormat="false" ht="18.75" hidden="false" customHeight="true" outlineLevel="0" collapsed="false">
      <c r="A25" s="21" t="s">
        <v>98</v>
      </c>
      <c r="B25" s="25"/>
      <c r="C25" s="25"/>
      <c r="D25" s="25"/>
      <c r="E25" s="27" t="n">
        <f aca="false">月度归集汇总!$K$80</f>
        <v>0</v>
      </c>
      <c r="F25" s="27" t="n">
        <f aca="false">SUM($B$19:B25)</f>
        <v>0</v>
      </c>
      <c r="G25" s="27" t="n">
        <f aca="false">SUM($E$19:E25)</f>
        <v>0</v>
      </c>
      <c r="H25" s="28" t="str">
        <f aca="false">IF($F25=0,"",$G25/$F25)</f>
        <v/>
      </c>
      <c r="I25" s="28" t="str">
        <f aca="false">IF(SUM($D$19:D25)=0,"",SUM($C$19:C25)/SUM($D$19:D25))</f>
        <v/>
      </c>
      <c r="J25" s="29" t="str">
        <f aca="false">IF(OR($H25="",$C$11=""),"",IF($H25&lt;$C$11,"⚠ 研发费用占比低于标准","√ 正常"))</f>
        <v/>
      </c>
    </row>
    <row r="26" customFormat="false" ht="18.75" hidden="false" customHeight="true" outlineLevel="0" collapsed="false">
      <c r="A26" s="21" t="s">
        <v>99</v>
      </c>
      <c r="B26" s="25"/>
      <c r="C26" s="25"/>
      <c r="D26" s="25"/>
      <c r="E26" s="27" t="n">
        <f aca="false">月度归集汇总!$K$91</f>
        <v>0</v>
      </c>
      <c r="F26" s="27" t="n">
        <f aca="false">SUM($B$19:B26)</f>
        <v>0</v>
      </c>
      <c r="G26" s="27" t="n">
        <f aca="false">SUM($E$19:E26)</f>
        <v>0</v>
      </c>
      <c r="H26" s="28" t="str">
        <f aca="false">IF($F26=0,"",$G26/$F26)</f>
        <v/>
      </c>
      <c r="I26" s="28" t="str">
        <f aca="false">IF(SUM($D$19:D26)=0,"",SUM($C$19:C26)/SUM($D$19:D26))</f>
        <v/>
      </c>
      <c r="J26" s="29" t="str">
        <f aca="false">IF(OR($H26="",$C$11=""),"",IF($H26&lt;$C$11,"⚠ 研发费用占比低于标准","√ 正常"))</f>
        <v/>
      </c>
    </row>
    <row r="27" customFormat="false" ht="18.75" hidden="false" customHeight="true" outlineLevel="0" collapsed="false">
      <c r="A27" s="21" t="s">
        <v>100</v>
      </c>
      <c r="B27" s="25"/>
      <c r="C27" s="25"/>
      <c r="D27" s="25"/>
      <c r="E27" s="27" t="n">
        <f aca="false">月度归集汇总!$K$102</f>
        <v>126067.89</v>
      </c>
      <c r="F27" s="27" t="n">
        <f aca="false">SUM($B$19:B27)</f>
        <v>0</v>
      </c>
      <c r="G27" s="27" t="n">
        <f aca="false">SUM($E$19:E27)</f>
        <v>126067.89</v>
      </c>
      <c r="H27" s="28" t="str">
        <f aca="false">IF($F27=0,"",$G27/$F27)</f>
        <v/>
      </c>
      <c r="I27" s="28" t="str">
        <f aca="false">IF(SUM($D$19:D27)=0,"",SUM($C$19:C27)/SUM($D$19:D27))</f>
        <v/>
      </c>
      <c r="J27" s="29" t="str">
        <f aca="false">IF(OR($H27="",$C$11=""),"",IF($H27&lt;$C$11,"⚠ 研发费用占比低于标准","√ 正常"))</f>
        <v/>
      </c>
    </row>
    <row r="28" customFormat="false" ht="18.75" hidden="false" customHeight="true" outlineLevel="0" collapsed="false">
      <c r="A28" s="21" t="s">
        <v>101</v>
      </c>
      <c r="B28" s="25"/>
      <c r="C28" s="25"/>
      <c r="D28" s="25"/>
      <c r="E28" s="27" t="n">
        <f aca="false">月度归集汇总!$K$113</f>
        <v>0</v>
      </c>
      <c r="F28" s="27" t="n">
        <f aca="false">SUM($B$19:B28)</f>
        <v>0</v>
      </c>
      <c r="G28" s="27" t="n">
        <f aca="false">SUM($E$19:E28)</f>
        <v>126067.89</v>
      </c>
      <c r="H28" s="28" t="str">
        <f aca="false">IF($F28=0,"",$G28/$F28)</f>
        <v/>
      </c>
      <c r="I28" s="28" t="str">
        <f aca="false">IF(SUM($D$19:D28)=0,"",SUM($C$19:C28)/SUM($D$19:D28))</f>
        <v/>
      </c>
      <c r="J28" s="29" t="str">
        <f aca="false">IF(OR($H28="",$C$11=""),"",IF($H28&lt;$C$11,"⚠ 研发费用占比低于标准","√ 正常"))</f>
        <v/>
      </c>
    </row>
    <row r="29" customFormat="false" ht="18.75" hidden="false" customHeight="true" outlineLevel="0" collapsed="false">
      <c r="A29" s="21" t="s">
        <v>102</v>
      </c>
      <c r="B29" s="25"/>
      <c r="C29" s="25"/>
      <c r="D29" s="25"/>
      <c r="E29" s="27" t="n">
        <f aca="false">月度归集汇总!$K$124</f>
        <v>0</v>
      </c>
      <c r="F29" s="27" t="n">
        <f aca="false">SUM($B$19:B29)</f>
        <v>0</v>
      </c>
      <c r="G29" s="27" t="n">
        <f aca="false">SUM($E$19:E29)</f>
        <v>126067.89</v>
      </c>
      <c r="H29" s="28" t="str">
        <f aca="false">IF($F29=0,"",$G29/$F29)</f>
        <v/>
      </c>
      <c r="I29" s="28" t="str">
        <f aca="false">IF(SUM($D$19:D29)=0,"",SUM($C$19:C29)/SUM($D$19:D29))</f>
        <v/>
      </c>
      <c r="J29" s="29" t="str">
        <f aca="false">IF(OR($H29="",$C$11=""),"",IF($H29&lt;$C$11,"⚠ 研发费用占比低于标准","√ 正常"))</f>
        <v/>
      </c>
    </row>
    <row r="30" customFormat="false" ht="18.75" hidden="false" customHeight="true" outlineLevel="0" collapsed="false">
      <c r="A30" s="21" t="s">
        <v>103</v>
      </c>
      <c r="B30" s="25"/>
      <c r="C30" s="25"/>
      <c r="D30" s="25"/>
      <c r="E30" s="27" t="n">
        <f aca="false">月度归集汇总!$K$135</f>
        <v>0</v>
      </c>
      <c r="F30" s="27" t="n">
        <f aca="false">SUM($B$19:B30)</f>
        <v>0</v>
      </c>
      <c r="G30" s="27" t="n">
        <f aca="false">SUM($E$19:E30)</f>
        <v>126067.89</v>
      </c>
      <c r="H30" s="28" t="str">
        <f aca="false">IF($F30=0,"",$G30/$F30)</f>
        <v/>
      </c>
      <c r="I30" s="28" t="str">
        <f aca="false">IF(SUM($D$19:D30)=0,"",SUM($C$19:C30)/SUM($D$19:D30))</f>
        <v/>
      </c>
      <c r="J30" s="29" t="str">
        <f aca="false">IF(OR($H30="",$C$11=""),"",IF($H30&lt;$C$11,"⚠ 研发费用占比低于标准","√ 正常"))</f>
        <v/>
      </c>
    </row>
    <row r="31" customFormat="false" ht="21.75" hidden="false" customHeight="true" outlineLevel="0" collapsed="false">
      <c r="A31" s="30" t="s">
        <v>104</v>
      </c>
      <c r="B31" s="31" t="n">
        <f aca="false">ROUND(SUM(B19:B30),2)</f>
        <v>0</v>
      </c>
      <c r="C31" s="31" t="n">
        <f aca="false">ROUND(SUM(C19:C30),2)</f>
        <v>0</v>
      </c>
      <c r="D31" s="31" t="n">
        <f aca="false">ROUND(SUM(D19:D30),2)</f>
        <v>0</v>
      </c>
      <c r="E31" s="31" t="n">
        <f aca="false">ROUND(SUM(E19:E30),2)</f>
        <v>126067.89</v>
      </c>
      <c r="F31" s="30"/>
      <c r="G31" s="30"/>
      <c r="H31" s="32" t="str">
        <f aca="false">IF($B31=0,"",$E31/$B31)</f>
        <v/>
      </c>
      <c r="I31" s="32" t="str">
        <f aca="false">IF($D31=0,"",$C31/$D31)</f>
        <v/>
      </c>
      <c r="J31" s="30"/>
    </row>
    <row r="33" customFormat="false" ht="31.5" hidden="false" customHeight="true" outlineLevel="0" collapsed="false">
      <c r="A33" s="17" t="s">
        <v>105</v>
      </c>
      <c r="B33" s="17"/>
      <c r="C33" s="17"/>
      <c r="D33" s="17"/>
      <c r="E33" s="17"/>
      <c r="F33" s="17"/>
      <c r="G33" s="17"/>
      <c r="H33" s="17"/>
      <c r="I33" s="17"/>
      <c r="J33" s="17"/>
    </row>
  </sheetData>
  <mergeCells count="28">
    <mergeCell ref="A1:B1"/>
    <mergeCell ref="C1:J1"/>
    <mergeCell ref="A2:J2"/>
    <mergeCell ref="A4:J4"/>
    <mergeCell ref="A5:B5"/>
    <mergeCell ref="F5:J5"/>
    <mergeCell ref="A6:B6"/>
    <mergeCell ref="F6:J6"/>
    <mergeCell ref="A7:B7"/>
    <mergeCell ref="F7:J7"/>
    <mergeCell ref="A8:B8"/>
    <mergeCell ref="F8:J8"/>
    <mergeCell ref="A9:B9"/>
    <mergeCell ref="F9:J9"/>
    <mergeCell ref="A10:B10"/>
    <mergeCell ref="F10:J10"/>
    <mergeCell ref="A11:B11"/>
    <mergeCell ref="F11:J11"/>
    <mergeCell ref="A12:B12"/>
    <mergeCell ref="F12:J12"/>
    <mergeCell ref="A13:B13"/>
    <mergeCell ref="F13:J13"/>
    <mergeCell ref="A14:B14"/>
    <mergeCell ref="F14:J14"/>
    <mergeCell ref="A15:B15"/>
    <mergeCell ref="F15:J15"/>
    <mergeCell ref="A17:J17"/>
    <mergeCell ref="A33:J33"/>
  </mergeCells>
  <conditionalFormatting sqref="E6:E15">
    <cfRule type="expression" priority="2" aboveAverage="0" equalAverage="0" bottom="0" percent="0" rank="0" text="" dxfId="0">
      <formula>LEFT($E6,1)="✗"</formula>
    </cfRule>
    <cfRule type="expression" priority="3" aboveAverage="0" equalAverage="0" bottom="0" percent="0" rank="0" text="" dxfId="1">
      <formula>LEFT($E6,1)="√"</formula>
    </cfRule>
  </conditionalFormatting>
  <conditionalFormatting sqref="J19:J30">
    <cfRule type="expression" priority="4" aboveAverage="0" equalAverage="0" bottom="0" percent="0" rank="0" text="" dxfId="0">
      <formula>LEFT($J19,1)="⚠"</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44"/>
    <col collapsed="false" customWidth="true" hidden="false" outlineLevel="0" max="7" min="4" style="0" width="13"/>
    <col collapsed="false" customWidth="true" hidden="false" outlineLevel="0" max="8" min="8" style="0" width="12"/>
    <col collapsed="false" customWidth="true" hidden="false" outlineLevel="0" max="9" min="9" style="0" width="11"/>
    <col collapsed="false" customWidth="true" hidden="false" outlineLevel="0" max="10" min="10" style="0" width="24"/>
  </cols>
  <sheetData>
    <row r="1" customFormat="false" ht="43.5" hidden="false" customHeight="true" outlineLevel="0" collapsed="false">
      <c r="A1" s="1" t="s">
        <v>0</v>
      </c>
      <c r="B1" s="1"/>
      <c r="C1" s="2" t="str">
        <f aca="false">IF(使用说明!$B$2="","",使用说明!$B$2&amp;"    ")&amp;"二、研发项目清单（2026年度）"</f>
        <v>二、研发项目清单（2026年度）</v>
      </c>
      <c r="D1" s="2"/>
      <c r="E1" s="2"/>
      <c r="F1" s="2"/>
      <c r="G1" s="2"/>
      <c r="H1" s="2"/>
      <c r="I1" s="2"/>
      <c r="J1" s="2"/>
    </row>
    <row r="2" customFormat="false" ht="30" hidden="false" customHeight="true" outlineLevel="0" collapsed="false">
      <c r="A2" s="17" t="s">
        <v>106</v>
      </c>
      <c r="B2" s="17"/>
      <c r="C2" s="17"/>
      <c r="D2" s="17"/>
      <c r="E2" s="17"/>
      <c r="F2" s="17"/>
      <c r="G2" s="17"/>
      <c r="H2" s="17"/>
      <c r="I2" s="17"/>
      <c r="J2" s="17"/>
    </row>
    <row r="3" customFormat="false" ht="30" hidden="false" customHeight="true" outlineLevel="0" collapsed="false">
      <c r="A3" s="18" t="s">
        <v>107</v>
      </c>
      <c r="B3" s="18" t="s">
        <v>108</v>
      </c>
      <c r="C3" s="18" t="s">
        <v>109</v>
      </c>
      <c r="D3" s="18" t="s">
        <v>110</v>
      </c>
      <c r="E3" s="18" t="s">
        <v>111</v>
      </c>
      <c r="F3" s="18" t="s">
        <v>112</v>
      </c>
      <c r="G3" s="18" t="s">
        <v>113</v>
      </c>
      <c r="H3" s="18" t="s">
        <v>114</v>
      </c>
      <c r="I3" s="18" t="s">
        <v>115</v>
      </c>
      <c r="J3" s="18" t="s">
        <v>116</v>
      </c>
    </row>
    <row r="4" customFormat="false" ht="21.75" hidden="false" customHeight="true" outlineLevel="0" collapsed="false">
      <c r="A4" s="33" t="n">
        <v>1</v>
      </c>
      <c r="B4" s="34" t="s">
        <v>117</v>
      </c>
      <c r="C4" s="35" t="s">
        <v>118</v>
      </c>
      <c r="D4" s="36" t="s">
        <v>119</v>
      </c>
      <c r="E4" s="37" t="s">
        <v>120</v>
      </c>
      <c r="F4" s="36" t="s">
        <v>121</v>
      </c>
      <c r="G4" s="36" t="s">
        <v>122</v>
      </c>
      <c r="H4" s="37"/>
      <c r="I4" s="37" t="s">
        <v>123</v>
      </c>
      <c r="J4" s="37"/>
    </row>
    <row r="5" customFormat="false" ht="21.75" hidden="false" customHeight="true" outlineLevel="0" collapsed="false">
      <c r="A5" s="33" t="n">
        <v>2</v>
      </c>
      <c r="B5" s="34" t="s">
        <v>124</v>
      </c>
      <c r="C5" s="35" t="s">
        <v>125</v>
      </c>
      <c r="D5" s="37" t="s">
        <v>126</v>
      </c>
      <c r="E5" s="37" t="s">
        <v>120</v>
      </c>
      <c r="F5" s="36" t="s">
        <v>121</v>
      </c>
      <c r="G5" s="36" t="s">
        <v>122</v>
      </c>
      <c r="H5" s="37"/>
      <c r="I5" s="37" t="s">
        <v>123</v>
      </c>
      <c r="J5" s="37"/>
    </row>
    <row r="6" customFormat="false" ht="21.75" hidden="false" customHeight="true" outlineLevel="0" collapsed="false">
      <c r="A6" s="33" t="n">
        <v>3</v>
      </c>
      <c r="B6" s="34" t="s">
        <v>127</v>
      </c>
      <c r="C6" s="35" t="s">
        <v>128</v>
      </c>
      <c r="D6" s="37" t="s">
        <v>129</v>
      </c>
      <c r="E6" s="36" t="s">
        <v>130</v>
      </c>
      <c r="F6" s="36" t="s">
        <v>131</v>
      </c>
      <c r="G6" s="36" t="s">
        <v>132</v>
      </c>
      <c r="H6" s="37"/>
      <c r="I6" s="37" t="s">
        <v>123</v>
      </c>
      <c r="J6" s="37"/>
    </row>
    <row r="7" customFormat="false" ht="21.75" hidden="false" customHeight="true" outlineLevel="0" collapsed="false">
      <c r="A7" s="33" t="n">
        <v>4</v>
      </c>
      <c r="B7" s="34" t="s">
        <v>133</v>
      </c>
      <c r="C7" s="35" t="s">
        <v>134</v>
      </c>
      <c r="D7" s="36" t="s">
        <v>119</v>
      </c>
      <c r="E7" s="37" t="s">
        <v>135</v>
      </c>
      <c r="F7" s="36" t="s">
        <v>136</v>
      </c>
      <c r="G7" s="36" t="s">
        <v>137</v>
      </c>
      <c r="H7" s="37"/>
      <c r="I7" s="37" t="s">
        <v>123</v>
      </c>
      <c r="J7" s="37"/>
    </row>
    <row r="8" customFormat="false" ht="21.75" hidden="false" customHeight="true" outlineLevel="0" collapsed="false">
      <c r="A8" s="33" t="n">
        <v>5</v>
      </c>
      <c r="B8" s="34" t="s">
        <v>138</v>
      </c>
      <c r="C8" s="35" t="s">
        <v>139</v>
      </c>
      <c r="D8" s="37" t="s">
        <v>126</v>
      </c>
      <c r="E8" s="36" t="s">
        <v>130</v>
      </c>
      <c r="F8" s="36" t="s">
        <v>136</v>
      </c>
      <c r="G8" s="36" t="s">
        <v>140</v>
      </c>
      <c r="H8" s="37"/>
      <c r="I8" s="37" t="s">
        <v>123</v>
      </c>
      <c r="J8" s="37"/>
    </row>
    <row r="9" customFormat="false" ht="21.75" hidden="false" customHeight="true" outlineLevel="0" collapsed="false">
      <c r="A9" s="33" t="n">
        <v>6</v>
      </c>
      <c r="B9" s="34" t="s">
        <v>141</v>
      </c>
      <c r="C9" s="38" t="s">
        <v>142</v>
      </c>
      <c r="D9" s="36" t="s">
        <v>119</v>
      </c>
      <c r="E9" s="37" t="s">
        <v>120</v>
      </c>
      <c r="F9" s="37"/>
      <c r="G9" s="37"/>
      <c r="H9" s="37"/>
      <c r="I9" s="37" t="s">
        <v>123</v>
      </c>
      <c r="J9" s="37"/>
    </row>
    <row r="10" customFormat="false" ht="21.75" hidden="false" customHeight="true" outlineLevel="0" collapsed="false">
      <c r="A10" s="33" t="n">
        <v>7</v>
      </c>
      <c r="B10" s="34" t="s">
        <v>143</v>
      </c>
      <c r="C10" s="35" t="s">
        <v>144</v>
      </c>
      <c r="D10" s="37" t="s">
        <v>129</v>
      </c>
      <c r="E10" s="36" t="s">
        <v>130</v>
      </c>
      <c r="F10" s="37"/>
      <c r="G10" s="37"/>
      <c r="H10" s="37"/>
      <c r="I10" s="37" t="s">
        <v>123</v>
      </c>
      <c r="J10" s="37"/>
    </row>
    <row r="11" customFormat="false" ht="21.75" hidden="false" customHeight="true" outlineLevel="0" collapsed="false">
      <c r="A11" s="33" t="n">
        <v>8</v>
      </c>
      <c r="B11" s="34" t="s">
        <v>145</v>
      </c>
      <c r="C11" s="35" t="s">
        <v>146</v>
      </c>
      <c r="D11" s="36" t="s">
        <v>119</v>
      </c>
      <c r="E11" s="37" t="s">
        <v>147</v>
      </c>
      <c r="F11" s="37"/>
      <c r="G11" s="37"/>
      <c r="H11" s="37"/>
      <c r="I11" s="37" t="s">
        <v>123</v>
      </c>
      <c r="J11" s="37"/>
    </row>
    <row r="12" customFormat="false" ht="21.75" hidden="false" customHeight="true" outlineLevel="0" collapsed="false">
      <c r="A12" s="33" t="n">
        <v>9</v>
      </c>
      <c r="B12" s="34" t="s">
        <v>148</v>
      </c>
      <c r="C12" s="35"/>
      <c r="D12" s="37"/>
      <c r="E12" s="37"/>
      <c r="F12" s="37"/>
      <c r="G12" s="37"/>
      <c r="H12" s="37"/>
      <c r="I12" s="37"/>
      <c r="J12" s="37"/>
    </row>
    <row r="13" customFormat="false" ht="21.75" hidden="false" customHeight="true" outlineLevel="0" collapsed="false">
      <c r="A13" s="33" t="n">
        <v>10</v>
      </c>
      <c r="B13" s="34" t="s">
        <v>149</v>
      </c>
      <c r="C13" s="35"/>
      <c r="D13" s="37"/>
      <c r="E13" s="37"/>
      <c r="F13" s="37"/>
      <c r="G13" s="37"/>
      <c r="H13" s="37"/>
      <c r="I13" s="37"/>
      <c r="J13" s="37"/>
    </row>
  </sheetData>
  <mergeCells count="3">
    <mergeCell ref="A1:B1"/>
    <mergeCell ref="C1:J1"/>
    <mergeCell ref="A2:J2"/>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13"/>
    <col collapsed="false" customWidth="true" hidden="false" outlineLevel="0" max="4" min="4" style="0" width="15"/>
    <col collapsed="false" customWidth="true" hidden="false" outlineLevel="0" max="5" min="5" style="0" width="24"/>
    <col collapsed="false" customWidth="true" hidden="false" outlineLevel="0" max="6" min="6" style="0" width="11"/>
    <col collapsed="false" customWidth="true" hidden="false" outlineLevel="0" max="7" min="7" style="0" width="15"/>
    <col collapsed="false" customWidth="true" hidden="false" outlineLevel="0" max="8" min="8" style="0" width="13"/>
    <col collapsed="false" customWidth="true" hidden="false" outlineLevel="0" max="9" min="9" style="0" width="15"/>
    <col collapsed="false" customWidth="true" hidden="false" outlineLevel="0" max="10" min="10" style="0" width="24"/>
  </cols>
  <sheetData>
    <row r="1" customFormat="false" ht="43.5" hidden="false" customHeight="true" outlineLevel="0" collapsed="false">
      <c r="A1" s="1" t="s">
        <v>0</v>
      </c>
      <c r="B1" s="1"/>
      <c r="C1" s="2" t="str">
        <f aca="false">IF(使用说明!$B$2="","",使用说明!$B$2&amp;"    ")&amp;"三、研发人员名册（含外聘人员）"</f>
        <v>三、研发人员名册（含外聘人员）</v>
      </c>
      <c r="D1" s="2"/>
      <c r="E1" s="2"/>
      <c r="F1" s="2"/>
      <c r="G1" s="2"/>
      <c r="H1" s="2"/>
      <c r="I1" s="2"/>
      <c r="J1" s="2"/>
    </row>
    <row r="2" customFormat="false" ht="30" hidden="false" customHeight="true" outlineLevel="0" collapsed="false">
      <c r="A2" s="17" t="s">
        <v>150</v>
      </c>
      <c r="B2" s="17"/>
      <c r="C2" s="17"/>
      <c r="D2" s="17"/>
      <c r="E2" s="17"/>
      <c r="F2" s="17"/>
      <c r="G2" s="17"/>
      <c r="H2" s="17"/>
      <c r="I2" s="17"/>
      <c r="J2" s="17"/>
    </row>
    <row r="3" customFormat="false" ht="30" hidden="false" customHeight="true" outlineLevel="0" collapsed="false">
      <c r="A3" s="18" t="s">
        <v>107</v>
      </c>
      <c r="B3" s="18" t="s">
        <v>151</v>
      </c>
      <c r="C3" s="18" t="s">
        <v>152</v>
      </c>
      <c r="D3" s="18" t="s">
        <v>153</v>
      </c>
      <c r="E3" s="18" t="s">
        <v>154</v>
      </c>
      <c r="F3" s="18" t="s">
        <v>155</v>
      </c>
      <c r="G3" s="18" t="s">
        <v>156</v>
      </c>
      <c r="H3" s="18" t="s">
        <v>157</v>
      </c>
      <c r="I3" s="18" t="s">
        <v>158</v>
      </c>
      <c r="J3" s="18" t="s">
        <v>116</v>
      </c>
    </row>
    <row r="4" customFormat="false" ht="19.5" hidden="false" customHeight="true" outlineLevel="0" collapsed="false">
      <c r="A4" s="33" t="n">
        <v>1</v>
      </c>
      <c r="B4" s="36" t="s">
        <v>159</v>
      </c>
      <c r="C4" s="37" t="s">
        <v>160</v>
      </c>
      <c r="D4" s="37" t="s">
        <v>161</v>
      </c>
      <c r="E4" s="35" t="s">
        <v>162</v>
      </c>
      <c r="F4" s="37" t="s">
        <v>163</v>
      </c>
      <c r="G4" s="37" t="s">
        <v>164</v>
      </c>
      <c r="H4" s="37" t="s">
        <v>165</v>
      </c>
      <c r="I4" s="37"/>
      <c r="J4" s="39" t="s">
        <v>166</v>
      </c>
    </row>
    <row r="5" customFormat="false" ht="19.5" hidden="false" customHeight="true" outlineLevel="0" collapsed="false">
      <c r="A5" s="33" t="n">
        <v>2</v>
      </c>
      <c r="B5" s="36" t="s">
        <v>167</v>
      </c>
      <c r="C5" s="37" t="s">
        <v>168</v>
      </c>
      <c r="D5" s="37" t="s">
        <v>161</v>
      </c>
      <c r="E5" s="35" t="s">
        <v>169</v>
      </c>
      <c r="F5" s="37" t="s">
        <v>163</v>
      </c>
      <c r="G5" s="37" t="s">
        <v>164</v>
      </c>
      <c r="H5" s="37" t="s">
        <v>165</v>
      </c>
      <c r="I5" s="37"/>
      <c r="J5" s="39" t="s">
        <v>166</v>
      </c>
    </row>
    <row r="6" customFormat="false" ht="19.5" hidden="false" customHeight="true" outlineLevel="0" collapsed="false">
      <c r="A6" s="33" t="n">
        <v>3</v>
      </c>
      <c r="B6" s="36" t="s">
        <v>170</v>
      </c>
      <c r="C6" s="37" t="s">
        <v>171</v>
      </c>
      <c r="D6" s="37" t="s">
        <v>172</v>
      </c>
      <c r="E6" s="35" t="s">
        <v>173</v>
      </c>
      <c r="F6" s="37" t="s">
        <v>163</v>
      </c>
      <c r="G6" s="37" t="s">
        <v>174</v>
      </c>
      <c r="H6" s="37" t="s">
        <v>165</v>
      </c>
      <c r="I6" s="37"/>
      <c r="J6" s="39" t="s">
        <v>166</v>
      </c>
    </row>
    <row r="7" customFormat="false" ht="19.5" hidden="false" customHeight="true" outlineLevel="0" collapsed="false">
      <c r="A7" s="33" t="n">
        <v>4</v>
      </c>
      <c r="B7" s="36" t="s">
        <v>175</v>
      </c>
      <c r="C7" s="37" t="s">
        <v>176</v>
      </c>
      <c r="D7" s="37" t="s">
        <v>177</v>
      </c>
      <c r="E7" s="35" t="s">
        <v>178</v>
      </c>
      <c r="F7" s="37" t="s">
        <v>179</v>
      </c>
      <c r="G7" s="37" t="s">
        <v>174</v>
      </c>
      <c r="H7" s="37" t="s">
        <v>165</v>
      </c>
      <c r="I7" s="37"/>
      <c r="J7" s="39" t="s">
        <v>166</v>
      </c>
    </row>
    <row r="8" customFormat="false" ht="19.5" hidden="false" customHeight="true" outlineLevel="0" collapsed="false">
      <c r="A8" s="33" t="n">
        <v>5</v>
      </c>
      <c r="B8" s="37"/>
      <c r="C8" s="37"/>
      <c r="D8" s="37"/>
      <c r="E8" s="35"/>
      <c r="F8" s="37"/>
      <c r="G8" s="37"/>
      <c r="H8" s="37"/>
      <c r="I8" s="37"/>
      <c r="J8" s="35"/>
    </row>
    <row r="9" customFormat="false" ht="19.5" hidden="false" customHeight="true" outlineLevel="0" collapsed="false">
      <c r="A9" s="33" t="n">
        <v>6</v>
      </c>
      <c r="B9" s="37"/>
      <c r="C9" s="37"/>
      <c r="D9" s="37"/>
      <c r="E9" s="35"/>
      <c r="F9" s="37"/>
      <c r="G9" s="37"/>
      <c r="H9" s="37"/>
      <c r="I9" s="37"/>
      <c r="J9" s="35"/>
    </row>
    <row r="10" customFormat="false" ht="19.5" hidden="false" customHeight="true" outlineLevel="0" collapsed="false">
      <c r="A10" s="33" t="n">
        <v>7</v>
      </c>
      <c r="B10" s="37"/>
      <c r="C10" s="37"/>
      <c r="D10" s="37"/>
      <c r="E10" s="35"/>
      <c r="F10" s="37"/>
      <c r="G10" s="37"/>
      <c r="H10" s="37"/>
      <c r="I10" s="37"/>
      <c r="J10" s="35"/>
    </row>
    <row r="11" customFormat="false" ht="19.5" hidden="false" customHeight="true" outlineLevel="0" collapsed="false">
      <c r="A11" s="33" t="n">
        <v>8</v>
      </c>
      <c r="B11" s="37"/>
      <c r="C11" s="37"/>
      <c r="D11" s="37"/>
      <c r="E11" s="35"/>
      <c r="F11" s="37"/>
      <c r="G11" s="37"/>
      <c r="H11" s="37"/>
      <c r="I11" s="37"/>
      <c r="J11" s="35"/>
    </row>
    <row r="12" customFormat="false" ht="19.5" hidden="false" customHeight="true" outlineLevel="0" collapsed="false">
      <c r="A12" s="33" t="n">
        <v>9</v>
      </c>
      <c r="B12" s="37"/>
      <c r="C12" s="37"/>
      <c r="D12" s="37"/>
      <c r="E12" s="35"/>
      <c r="F12" s="37"/>
      <c r="G12" s="37"/>
      <c r="H12" s="37"/>
      <c r="I12" s="37"/>
      <c r="J12" s="35"/>
    </row>
    <row r="13" customFormat="false" ht="19.5" hidden="false" customHeight="true" outlineLevel="0" collapsed="false">
      <c r="A13" s="33" t="n">
        <v>10</v>
      </c>
      <c r="B13" s="37"/>
      <c r="C13" s="37"/>
      <c r="D13" s="37"/>
      <c r="E13" s="35"/>
      <c r="F13" s="37"/>
      <c r="G13" s="37"/>
      <c r="H13" s="37"/>
      <c r="I13" s="37"/>
      <c r="J13" s="35"/>
    </row>
    <row r="14" customFormat="false" ht="19.5" hidden="false" customHeight="true" outlineLevel="0" collapsed="false">
      <c r="A14" s="33" t="n">
        <v>11</v>
      </c>
      <c r="B14" s="37"/>
      <c r="C14" s="37"/>
      <c r="D14" s="37"/>
      <c r="E14" s="35"/>
      <c r="F14" s="37"/>
      <c r="G14" s="37"/>
      <c r="H14" s="37"/>
      <c r="I14" s="37"/>
      <c r="J14" s="35"/>
    </row>
    <row r="15" customFormat="false" ht="19.5" hidden="false" customHeight="true" outlineLevel="0" collapsed="false">
      <c r="A15" s="33" t="n">
        <v>12</v>
      </c>
      <c r="B15" s="37"/>
      <c r="C15" s="37"/>
      <c r="D15" s="37"/>
      <c r="E15" s="35"/>
      <c r="F15" s="37"/>
      <c r="G15" s="37"/>
      <c r="H15" s="37"/>
      <c r="I15" s="37"/>
      <c r="J15" s="35"/>
    </row>
    <row r="16" customFormat="false" ht="19.5" hidden="false" customHeight="true" outlineLevel="0" collapsed="false">
      <c r="A16" s="33" t="n">
        <v>13</v>
      </c>
      <c r="B16" s="37"/>
      <c r="C16" s="37"/>
      <c r="D16" s="37"/>
      <c r="E16" s="35"/>
      <c r="F16" s="37"/>
      <c r="G16" s="37"/>
      <c r="H16" s="37"/>
      <c r="I16" s="37"/>
      <c r="J16" s="35"/>
    </row>
    <row r="17" customFormat="false" ht="19.5" hidden="false" customHeight="true" outlineLevel="0" collapsed="false">
      <c r="A17" s="33" t="n">
        <v>14</v>
      </c>
      <c r="B17" s="37"/>
      <c r="C17" s="37"/>
      <c r="D17" s="37"/>
      <c r="E17" s="35"/>
      <c r="F17" s="37"/>
      <c r="G17" s="37"/>
      <c r="H17" s="37"/>
      <c r="I17" s="37"/>
      <c r="J17" s="35"/>
    </row>
    <row r="18" customFormat="false" ht="19.5" hidden="false" customHeight="true" outlineLevel="0" collapsed="false">
      <c r="A18" s="33" t="n">
        <v>15</v>
      </c>
      <c r="B18" s="37"/>
      <c r="C18" s="37"/>
      <c r="D18" s="37"/>
      <c r="E18" s="35"/>
      <c r="F18" s="37"/>
      <c r="G18" s="37"/>
      <c r="H18" s="37"/>
      <c r="I18" s="37"/>
      <c r="J18" s="35"/>
    </row>
    <row r="19" customFormat="false" ht="19.5" hidden="false" customHeight="true" outlineLevel="0" collapsed="false">
      <c r="A19" s="33" t="n">
        <v>16</v>
      </c>
      <c r="B19" s="37"/>
      <c r="C19" s="37"/>
      <c r="D19" s="37"/>
      <c r="E19" s="35"/>
      <c r="F19" s="37"/>
      <c r="G19" s="37"/>
      <c r="H19" s="37"/>
      <c r="I19" s="37"/>
      <c r="J19" s="35"/>
    </row>
    <row r="20" customFormat="false" ht="19.5" hidden="false" customHeight="true" outlineLevel="0" collapsed="false">
      <c r="A20" s="33" t="n">
        <v>17</v>
      </c>
      <c r="B20" s="37"/>
      <c r="C20" s="37"/>
      <c r="D20" s="37"/>
      <c r="E20" s="35"/>
      <c r="F20" s="37"/>
      <c r="G20" s="37"/>
      <c r="H20" s="37"/>
      <c r="I20" s="37"/>
      <c r="J20" s="35"/>
    </row>
    <row r="21" customFormat="false" ht="19.5" hidden="false" customHeight="true" outlineLevel="0" collapsed="false">
      <c r="A21" s="33" t="n">
        <v>18</v>
      </c>
      <c r="B21" s="37"/>
      <c r="C21" s="37"/>
      <c r="D21" s="37"/>
      <c r="E21" s="35"/>
      <c r="F21" s="37"/>
      <c r="G21" s="37"/>
      <c r="H21" s="37"/>
      <c r="I21" s="37"/>
      <c r="J21" s="35"/>
    </row>
    <row r="22" customFormat="false" ht="19.5" hidden="false" customHeight="true" outlineLevel="0" collapsed="false">
      <c r="A22" s="33" t="n">
        <v>19</v>
      </c>
      <c r="B22" s="37"/>
      <c r="C22" s="37"/>
      <c r="D22" s="37"/>
      <c r="E22" s="35"/>
      <c r="F22" s="37"/>
      <c r="G22" s="37"/>
      <c r="H22" s="37"/>
      <c r="I22" s="37"/>
      <c r="J22" s="35"/>
    </row>
    <row r="23" customFormat="false" ht="19.5" hidden="false" customHeight="true" outlineLevel="0" collapsed="false">
      <c r="A23" s="33" t="n">
        <v>20</v>
      </c>
      <c r="B23" s="37"/>
      <c r="C23" s="37"/>
      <c r="D23" s="37"/>
      <c r="E23" s="35"/>
      <c r="F23" s="37"/>
      <c r="G23" s="37"/>
      <c r="H23" s="37"/>
      <c r="I23" s="37"/>
      <c r="J23" s="35"/>
    </row>
    <row r="24" customFormat="false" ht="19.5" hidden="false" customHeight="true" outlineLevel="0" collapsed="false">
      <c r="A24" s="33" t="n">
        <v>21</v>
      </c>
      <c r="B24" s="37"/>
      <c r="C24" s="37"/>
      <c r="D24" s="37"/>
      <c r="E24" s="35"/>
      <c r="F24" s="37"/>
      <c r="G24" s="37"/>
      <c r="H24" s="37"/>
      <c r="I24" s="37"/>
      <c r="J24" s="35"/>
    </row>
    <row r="25" customFormat="false" ht="19.5" hidden="false" customHeight="true" outlineLevel="0" collapsed="false">
      <c r="A25" s="33" t="n">
        <v>22</v>
      </c>
      <c r="B25" s="37"/>
      <c r="C25" s="37"/>
      <c r="D25" s="37"/>
      <c r="E25" s="35"/>
      <c r="F25" s="37"/>
      <c r="G25" s="37"/>
      <c r="H25" s="37"/>
      <c r="I25" s="37"/>
      <c r="J25" s="35"/>
    </row>
    <row r="26" customFormat="false" ht="19.5" hidden="false" customHeight="true" outlineLevel="0" collapsed="false">
      <c r="A26" s="33" t="n">
        <v>23</v>
      </c>
      <c r="B26" s="37"/>
      <c r="C26" s="37"/>
      <c r="D26" s="37"/>
      <c r="E26" s="35"/>
      <c r="F26" s="37"/>
      <c r="G26" s="37"/>
      <c r="H26" s="37"/>
      <c r="I26" s="37"/>
      <c r="J26" s="35"/>
    </row>
    <row r="27" customFormat="false" ht="19.5" hidden="false" customHeight="true" outlineLevel="0" collapsed="false">
      <c r="A27" s="33" t="n">
        <v>24</v>
      </c>
      <c r="B27" s="37"/>
      <c r="C27" s="37"/>
      <c r="D27" s="37"/>
      <c r="E27" s="35"/>
      <c r="F27" s="37"/>
      <c r="G27" s="37"/>
      <c r="H27" s="37"/>
      <c r="I27" s="37"/>
      <c r="J27" s="35"/>
    </row>
    <row r="28" customFormat="false" ht="19.5" hidden="false" customHeight="true" outlineLevel="0" collapsed="false">
      <c r="A28" s="33" t="n">
        <v>25</v>
      </c>
      <c r="B28" s="37"/>
      <c r="C28" s="37"/>
      <c r="D28" s="37"/>
      <c r="E28" s="35"/>
      <c r="F28" s="37"/>
      <c r="G28" s="37"/>
      <c r="H28" s="37"/>
      <c r="I28" s="37"/>
      <c r="J28" s="35"/>
    </row>
    <row r="29" customFormat="false" ht="19.5" hidden="false" customHeight="true" outlineLevel="0" collapsed="false">
      <c r="A29" s="33" t="n">
        <v>26</v>
      </c>
      <c r="B29" s="37"/>
      <c r="C29" s="37"/>
      <c r="D29" s="37"/>
      <c r="E29" s="35"/>
      <c r="F29" s="37"/>
      <c r="G29" s="37"/>
      <c r="H29" s="37"/>
      <c r="I29" s="37"/>
      <c r="J29" s="35"/>
    </row>
    <row r="30" customFormat="false" ht="19.5" hidden="false" customHeight="true" outlineLevel="0" collapsed="false">
      <c r="A30" s="33" t="n">
        <v>27</v>
      </c>
      <c r="B30" s="37"/>
      <c r="C30" s="37"/>
      <c r="D30" s="37"/>
      <c r="E30" s="35"/>
      <c r="F30" s="37"/>
      <c r="G30" s="37"/>
      <c r="H30" s="37"/>
      <c r="I30" s="37"/>
      <c r="J30" s="35"/>
    </row>
    <row r="31" customFormat="false" ht="19.5" hidden="false" customHeight="true" outlineLevel="0" collapsed="false">
      <c r="A31" s="33" t="n">
        <v>28</v>
      </c>
      <c r="B31" s="37"/>
      <c r="C31" s="37"/>
      <c r="D31" s="37"/>
      <c r="E31" s="35"/>
      <c r="F31" s="37"/>
      <c r="G31" s="37"/>
      <c r="H31" s="37"/>
      <c r="I31" s="37"/>
      <c r="J31" s="35"/>
    </row>
    <row r="32" customFormat="false" ht="19.5" hidden="false" customHeight="true" outlineLevel="0" collapsed="false">
      <c r="A32" s="33" t="n">
        <v>29</v>
      </c>
      <c r="B32" s="37"/>
      <c r="C32" s="37"/>
      <c r="D32" s="37"/>
      <c r="E32" s="35"/>
      <c r="F32" s="37"/>
      <c r="G32" s="37"/>
      <c r="H32" s="37"/>
      <c r="I32" s="37"/>
      <c r="J32" s="35"/>
    </row>
    <row r="33" customFormat="false" ht="19.5" hidden="false" customHeight="true" outlineLevel="0" collapsed="false">
      <c r="A33" s="33" t="n">
        <v>30</v>
      </c>
      <c r="B33" s="37"/>
      <c r="C33" s="37"/>
      <c r="D33" s="37"/>
      <c r="E33" s="35"/>
      <c r="F33" s="37"/>
      <c r="G33" s="37"/>
      <c r="H33" s="37"/>
      <c r="I33" s="37"/>
      <c r="J33" s="35"/>
    </row>
    <row r="34" customFormat="false" ht="19.5" hidden="false" customHeight="true" outlineLevel="0" collapsed="false">
      <c r="A34" s="33" t="n">
        <v>31</v>
      </c>
      <c r="B34" s="37"/>
      <c r="C34" s="37"/>
      <c r="D34" s="37"/>
      <c r="E34" s="35"/>
      <c r="F34" s="37"/>
      <c r="G34" s="37"/>
      <c r="H34" s="37"/>
      <c r="I34" s="37"/>
      <c r="J34" s="35"/>
    </row>
    <row r="35" customFormat="false" ht="19.5" hidden="false" customHeight="true" outlineLevel="0" collapsed="false">
      <c r="A35" s="33" t="n">
        <v>32</v>
      </c>
      <c r="B35" s="37"/>
      <c r="C35" s="37"/>
      <c r="D35" s="37"/>
      <c r="E35" s="35"/>
      <c r="F35" s="37"/>
      <c r="G35" s="37"/>
      <c r="H35" s="37"/>
      <c r="I35" s="37"/>
      <c r="J35" s="35"/>
    </row>
    <row r="36" customFormat="false" ht="19.5" hidden="false" customHeight="true" outlineLevel="0" collapsed="false">
      <c r="A36" s="33" t="n">
        <v>33</v>
      </c>
      <c r="B36" s="37"/>
      <c r="C36" s="37"/>
      <c r="D36" s="37"/>
      <c r="E36" s="35"/>
      <c r="F36" s="37"/>
      <c r="G36" s="37"/>
      <c r="H36" s="37"/>
      <c r="I36" s="37"/>
      <c r="J36" s="35"/>
    </row>
    <row r="37" customFormat="false" ht="19.5" hidden="false" customHeight="true" outlineLevel="0" collapsed="false">
      <c r="A37" s="33" t="n">
        <v>34</v>
      </c>
      <c r="B37" s="37"/>
      <c r="C37" s="37"/>
      <c r="D37" s="37"/>
      <c r="E37" s="35"/>
      <c r="F37" s="37"/>
      <c r="G37" s="37"/>
      <c r="H37" s="37"/>
      <c r="I37" s="37"/>
      <c r="J37" s="35"/>
    </row>
    <row r="38" customFormat="false" ht="19.5" hidden="false" customHeight="true" outlineLevel="0" collapsed="false">
      <c r="A38" s="33" t="n">
        <v>35</v>
      </c>
      <c r="B38" s="37"/>
      <c r="C38" s="37"/>
      <c r="D38" s="37"/>
      <c r="E38" s="35"/>
      <c r="F38" s="37"/>
      <c r="G38" s="37"/>
      <c r="H38" s="37"/>
      <c r="I38" s="37"/>
      <c r="J38" s="35"/>
    </row>
    <row r="39" customFormat="false" ht="19.5" hidden="false" customHeight="true" outlineLevel="0" collapsed="false">
      <c r="A39" s="33" t="n">
        <v>36</v>
      </c>
      <c r="B39" s="37"/>
      <c r="C39" s="37"/>
      <c r="D39" s="37"/>
      <c r="E39" s="35"/>
      <c r="F39" s="37"/>
      <c r="G39" s="37"/>
      <c r="H39" s="37"/>
      <c r="I39" s="37"/>
      <c r="J39" s="35"/>
    </row>
    <row r="40" customFormat="false" ht="19.5" hidden="false" customHeight="true" outlineLevel="0" collapsed="false">
      <c r="A40" s="33" t="n">
        <v>37</v>
      </c>
      <c r="B40" s="37"/>
      <c r="C40" s="37"/>
      <c r="D40" s="37"/>
      <c r="E40" s="35"/>
      <c r="F40" s="37"/>
      <c r="G40" s="37"/>
      <c r="H40" s="37"/>
      <c r="I40" s="37"/>
      <c r="J40" s="35"/>
    </row>
    <row r="41" customFormat="false" ht="19.5" hidden="false" customHeight="true" outlineLevel="0" collapsed="false">
      <c r="A41" s="33" t="n">
        <v>38</v>
      </c>
      <c r="B41" s="37"/>
      <c r="C41" s="37"/>
      <c r="D41" s="37"/>
      <c r="E41" s="35"/>
      <c r="F41" s="37"/>
      <c r="G41" s="37"/>
      <c r="H41" s="37"/>
      <c r="I41" s="37"/>
      <c r="J41" s="35"/>
    </row>
    <row r="42" customFormat="false" ht="19.5" hidden="false" customHeight="true" outlineLevel="0" collapsed="false">
      <c r="A42" s="33" t="n">
        <v>39</v>
      </c>
      <c r="B42" s="37"/>
      <c r="C42" s="37"/>
      <c r="D42" s="37"/>
      <c r="E42" s="35"/>
      <c r="F42" s="37"/>
      <c r="G42" s="37"/>
      <c r="H42" s="37"/>
      <c r="I42" s="37"/>
      <c r="J42" s="35"/>
    </row>
    <row r="43" customFormat="false" ht="19.5" hidden="false" customHeight="true" outlineLevel="0" collapsed="false">
      <c r="A43" s="33" t="n">
        <v>40</v>
      </c>
      <c r="B43" s="37"/>
      <c r="C43" s="37"/>
      <c r="D43" s="37"/>
      <c r="E43" s="35"/>
      <c r="F43" s="37"/>
      <c r="G43" s="37"/>
      <c r="H43" s="37"/>
      <c r="I43" s="37"/>
      <c r="J43" s="35"/>
    </row>
    <row r="44" customFormat="false" ht="19.5" hidden="false" customHeight="true" outlineLevel="0" collapsed="false">
      <c r="A44" s="33" t="n">
        <v>41</v>
      </c>
      <c r="B44" s="37"/>
      <c r="C44" s="37"/>
      <c r="D44" s="37"/>
      <c r="E44" s="35"/>
      <c r="F44" s="37"/>
      <c r="G44" s="37"/>
      <c r="H44" s="37"/>
      <c r="I44" s="37"/>
      <c r="J44" s="35"/>
    </row>
    <row r="45" customFormat="false" ht="19.5" hidden="false" customHeight="true" outlineLevel="0" collapsed="false">
      <c r="A45" s="33" t="n">
        <v>42</v>
      </c>
      <c r="B45" s="37"/>
      <c r="C45" s="37"/>
      <c r="D45" s="37"/>
      <c r="E45" s="35"/>
      <c r="F45" s="37"/>
      <c r="G45" s="37"/>
      <c r="H45" s="37"/>
      <c r="I45" s="37"/>
      <c r="J45" s="35"/>
    </row>
    <row r="46" customFormat="false" ht="19.5" hidden="false" customHeight="true" outlineLevel="0" collapsed="false">
      <c r="A46" s="33" t="n">
        <v>43</v>
      </c>
      <c r="B46" s="37"/>
      <c r="C46" s="37"/>
      <c r="D46" s="37"/>
      <c r="E46" s="35"/>
      <c r="F46" s="37"/>
      <c r="G46" s="37"/>
      <c r="H46" s="37"/>
      <c r="I46" s="37"/>
      <c r="J46" s="35"/>
    </row>
    <row r="47" customFormat="false" ht="19.5" hidden="false" customHeight="true" outlineLevel="0" collapsed="false">
      <c r="A47" s="33" t="n">
        <v>44</v>
      </c>
      <c r="B47" s="37"/>
      <c r="C47" s="37"/>
      <c r="D47" s="37"/>
      <c r="E47" s="35"/>
      <c r="F47" s="37"/>
      <c r="G47" s="37"/>
      <c r="H47" s="37"/>
      <c r="I47" s="37"/>
      <c r="J47" s="35"/>
    </row>
    <row r="48" customFormat="false" ht="19.5" hidden="false" customHeight="true" outlineLevel="0" collapsed="false">
      <c r="A48" s="33" t="n">
        <v>45</v>
      </c>
      <c r="B48" s="37"/>
      <c r="C48" s="37"/>
      <c r="D48" s="37"/>
      <c r="E48" s="35"/>
      <c r="F48" s="37"/>
      <c r="G48" s="37"/>
      <c r="H48" s="37"/>
      <c r="I48" s="37"/>
      <c r="J48" s="35"/>
    </row>
    <row r="49" customFormat="false" ht="19.5" hidden="false" customHeight="true" outlineLevel="0" collapsed="false">
      <c r="A49" s="33" t="n">
        <v>46</v>
      </c>
      <c r="B49" s="37"/>
      <c r="C49" s="37"/>
      <c r="D49" s="37"/>
      <c r="E49" s="35"/>
      <c r="F49" s="37"/>
      <c r="G49" s="37"/>
      <c r="H49" s="37"/>
      <c r="I49" s="37"/>
      <c r="J49" s="35"/>
    </row>
    <row r="50" customFormat="false" ht="19.5" hidden="false" customHeight="true" outlineLevel="0" collapsed="false">
      <c r="A50" s="33" t="n">
        <v>47</v>
      </c>
      <c r="B50" s="37"/>
      <c r="C50" s="37"/>
      <c r="D50" s="37"/>
      <c r="E50" s="35"/>
      <c r="F50" s="37"/>
      <c r="G50" s="37"/>
      <c r="H50" s="37"/>
      <c r="I50" s="37"/>
      <c r="J50" s="35"/>
    </row>
    <row r="51" customFormat="false" ht="19.5" hidden="false" customHeight="true" outlineLevel="0" collapsed="false">
      <c r="A51" s="33" t="n">
        <v>48</v>
      </c>
      <c r="B51" s="37"/>
      <c r="C51" s="37"/>
      <c r="D51" s="37"/>
      <c r="E51" s="35"/>
      <c r="F51" s="37"/>
      <c r="G51" s="37"/>
      <c r="H51" s="37"/>
      <c r="I51" s="37"/>
      <c r="J51" s="35"/>
    </row>
    <row r="52" customFormat="false" ht="19.5" hidden="false" customHeight="true" outlineLevel="0" collapsed="false">
      <c r="A52" s="33" t="n">
        <v>49</v>
      </c>
      <c r="B52" s="37"/>
      <c r="C52" s="37"/>
      <c r="D52" s="37"/>
      <c r="E52" s="35"/>
      <c r="F52" s="37"/>
      <c r="G52" s="37"/>
      <c r="H52" s="37"/>
      <c r="I52" s="37"/>
      <c r="J52" s="35"/>
    </row>
    <row r="53" customFormat="false" ht="19.5" hidden="false" customHeight="true" outlineLevel="0" collapsed="false">
      <c r="A53" s="33" t="n">
        <v>50</v>
      </c>
      <c r="B53" s="37"/>
      <c r="C53" s="37"/>
      <c r="D53" s="37"/>
      <c r="E53" s="35"/>
      <c r="F53" s="37"/>
      <c r="G53" s="37"/>
      <c r="H53" s="37"/>
      <c r="I53" s="37"/>
      <c r="J53" s="35"/>
    </row>
  </sheetData>
  <mergeCells count="3">
    <mergeCell ref="A1:B1"/>
    <mergeCell ref="C1:J1"/>
    <mergeCell ref="A2:J2"/>
  </mergeCells>
  <dataValidations count="3">
    <dataValidation allowBlank="true" errorStyle="stop" operator="between" showDropDown="false" showErrorMessage="false" showInputMessage="false" sqref="F4:F53" type="list">
      <formula1>"在职,外聘"</formula1>
      <formula2>0</formula2>
    </dataValidation>
    <dataValidation allowBlank="true" errorStyle="stop" operator="between" showDropDown="false" showErrorMessage="false" showInputMessage="false" sqref="G4:G53" type="list">
      <formula1>"研发专用,研发生产共用"</formula1>
      <formula2>0</formula2>
    </dataValidation>
    <dataValidation allowBlank="true" errorStyle="stop" operator="between" showDropDown="false" showErrorMessage="false" showInputMessage="false" sqref="H4:H53" type="list">
      <formula1>"是,否"</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N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26"/>
    <col collapsed="false" customWidth="true" hidden="false" outlineLevel="0" max="4" min="4" style="0" width="11"/>
    <col collapsed="false" customWidth="true" hidden="false" outlineLevel="0" max="7" min="5" style="0" width="13"/>
    <col collapsed="false" customWidth="true" hidden="false" outlineLevel="0" max="8" min="8" style="0" width="14"/>
    <col collapsed="false" customWidth="true" hidden="false" outlineLevel="0" max="9" min="9" style="0" width="11"/>
    <col collapsed="false" customWidth="true" hidden="false" outlineLevel="0" max="10" min="10" style="0" width="15"/>
    <col collapsed="false" customWidth="true" hidden="false" outlineLevel="0" max="11" min="11" style="0" width="11"/>
    <col collapsed="false" customWidth="true" hidden="false" outlineLevel="0" max="12" min="12" style="0" width="15"/>
    <col collapsed="false" customWidth="true" hidden="false" outlineLevel="0" max="13" min="13" style="0" width="13"/>
    <col collapsed="false" customWidth="true" hidden="false" outlineLevel="0" max="14" min="14" style="0" width="22"/>
  </cols>
  <sheetData>
    <row r="1" customFormat="false" ht="43.5" hidden="false" customHeight="true" outlineLevel="0" collapsed="false">
      <c r="A1" s="1" t="s">
        <v>0</v>
      </c>
      <c r="B1" s="1"/>
      <c r="C1" s="2" t="str">
        <f aca="false">IF(使用说明!$B$2="","",使用说明!$B$2&amp;"    ")&amp;"四、研发用仪器设备及无形资产台账（含研发生产共用资产）"</f>
        <v>四、研发用仪器设备及无形资产台账（含研发生产共用资产）</v>
      </c>
      <c r="D1" s="2"/>
      <c r="E1" s="2"/>
      <c r="F1" s="2"/>
      <c r="G1" s="2"/>
      <c r="H1" s="2"/>
      <c r="I1" s="2"/>
      <c r="J1" s="2"/>
      <c r="K1" s="2"/>
      <c r="L1" s="2"/>
      <c r="M1" s="2"/>
      <c r="N1" s="2"/>
    </row>
    <row r="2" customFormat="false" ht="30" hidden="false" customHeight="true" outlineLevel="0" collapsed="false">
      <c r="A2" s="17" t="s">
        <v>180</v>
      </c>
      <c r="B2" s="17"/>
      <c r="C2" s="17"/>
      <c r="D2" s="17"/>
      <c r="E2" s="17"/>
      <c r="F2" s="17"/>
      <c r="G2" s="17"/>
      <c r="H2" s="17"/>
      <c r="I2" s="17"/>
      <c r="J2" s="17"/>
      <c r="K2" s="17"/>
      <c r="L2" s="17"/>
      <c r="M2" s="17"/>
      <c r="N2" s="17"/>
    </row>
    <row r="3" customFormat="false" ht="37.5" hidden="false" customHeight="true" outlineLevel="0" collapsed="false">
      <c r="A3" s="18" t="s">
        <v>107</v>
      </c>
      <c r="B3" s="18" t="s">
        <v>181</v>
      </c>
      <c r="C3" s="18" t="s">
        <v>182</v>
      </c>
      <c r="D3" s="18" t="s">
        <v>183</v>
      </c>
      <c r="E3" s="18" t="s">
        <v>184</v>
      </c>
      <c r="F3" s="18" t="s">
        <v>185</v>
      </c>
      <c r="G3" s="18" t="s">
        <v>186</v>
      </c>
      <c r="H3" s="18" t="s">
        <v>187</v>
      </c>
      <c r="I3" s="18" t="s">
        <v>188</v>
      </c>
      <c r="J3" s="18" t="s">
        <v>189</v>
      </c>
      <c r="K3" s="18" t="s">
        <v>190</v>
      </c>
      <c r="L3" s="18" t="s">
        <v>191</v>
      </c>
      <c r="M3" s="18" t="s">
        <v>192</v>
      </c>
      <c r="N3" s="18" t="s">
        <v>116</v>
      </c>
    </row>
    <row r="4" customFormat="false" ht="19.5" hidden="false" customHeight="true" outlineLevel="0" collapsed="false">
      <c r="A4" s="33" t="n">
        <v>1</v>
      </c>
      <c r="B4" s="36" t="s">
        <v>193</v>
      </c>
      <c r="C4" s="35" t="s">
        <v>194</v>
      </c>
      <c r="D4" s="37" t="s">
        <v>195</v>
      </c>
      <c r="E4" s="36" t="s">
        <v>196</v>
      </c>
      <c r="F4" s="37" t="s">
        <v>120</v>
      </c>
      <c r="G4" s="36" t="s">
        <v>197</v>
      </c>
      <c r="H4" s="25" t="n">
        <v>1800000</v>
      </c>
      <c r="I4" s="37" t="n">
        <v>10</v>
      </c>
      <c r="J4" s="25" t="n">
        <v>15000</v>
      </c>
      <c r="K4" s="37" t="s">
        <v>198</v>
      </c>
      <c r="L4" s="37" t="s">
        <v>174</v>
      </c>
      <c r="M4" s="37"/>
      <c r="N4" s="39" t="s">
        <v>166</v>
      </c>
    </row>
    <row r="5" customFormat="false" ht="19.5" hidden="false" customHeight="true" outlineLevel="0" collapsed="false">
      <c r="A5" s="33" t="n">
        <v>2</v>
      </c>
      <c r="B5" s="36" t="s">
        <v>199</v>
      </c>
      <c r="C5" s="35" t="s">
        <v>200</v>
      </c>
      <c r="D5" s="37" t="s">
        <v>195</v>
      </c>
      <c r="E5" s="36" t="s">
        <v>201</v>
      </c>
      <c r="F5" s="36" t="s">
        <v>130</v>
      </c>
      <c r="G5" s="36" t="s">
        <v>202</v>
      </c>
      <c r="H5" s="25" t="n">
        <v>960000</v>
      </c>
      <c r="I5" s="37" t="n">
        <v>10</v>
      </c>
      <c r="J5" s="25" t="n">
        <v>8000</v>
      </c>
      <c r="K5" s="37" t="s">
        <v>198</v>
      </c>
      <c r="L5" s="37" t="s">
        <v>174</v>
      </c>
      <c r="M5" s="37"/>
      <c r="N5" s="39" t="s">
        <v>166</v>
      </c>
    </row>
    <row r="6" customFormat="false" ht="19.5" hidden="false" customHeight="true" outlineLevel="0" collapsed="false">
      <c r="A6" s="33" t="n">
        <v>3</v>
      </c>
      <c r="B6" s="36" t="s">
        <v>203</v>
      </c>
      <c r="C6" s="35" t="s">
        <v>204</v>
      </c>
      <c r="D6" s="37" t="s">
        <v>195</v>
      </c>
      <c r="E6" s="36" t="s">
        <v>205</v>
      </c>
      <c r="F6" s="37" t="s">
        <v>135</v>
      </c>
      <c r="G6" s="36" t="s">
        <v>206</v>
      </c>
      <c r="H6" s="25" t="n">
        <v>620000</v>
      </c>
      <c r="I6" s="37" t="n">
        <v>10</v>
      </c>
      <c r="J6" s="25" t="n">
        <v>5166.67</v>
      </c>
      <c r="K6" s="37" t="s">
        <v>198</v>
      </c>
      <c r="L6" s="37" t="s">
        <v>174</v>
      </c>
      <c r="M6" s="37"/>
      <c r="N6" s="39" t="s">
        <v>166</v>
      </c>
    </row>
    <row r="7" customFormat="false" ht="19.5" hidden="false" customHeight="true" outlineLevel="0" collapsed="false">
      <c r="A7" s="33" t="n">
        <v>4</v>
      </c>
      <c r="B7" s="36" t="s">
        <v>207</v>
      </c>
      <c r="C7" s="35" t="s">
        <v>208</v>
      </c>
      <c r="D7" s="37" t="s">
        <v>195</v>
      </c>
      <c r="E7" s="36" t="s">
        <v>209</v>
      </c>
      <c r="F7" s="37" t="s">
        <v>210</v>
      </c>
      <c r="G7" s="36" t="s">
        <v>211</v>
      </c>
      <c r="H7" s="25" t="n">
        <v>180000</v>
      </c>
      <c r="I7" s="37" t="n">
        <v>5</v>
      </c>
      <c r="J7" s="25" t="n">
        <v>3000</v>
      </c>
      <c r="K7" s="37" t="s">
        <v>198</v>
      </c>
      <c r="L7" s="37" t="s">
        <v>174</v>
      </c>
      <c r="M7" s="37"/>
      <c r="N7" s="39" t="s">
        <v>166</v>
      </c>
    </row>
    <row r="8" customFormat="false" ht="19.5" hidden="false" customHeight="true" outlineLevel="0" collapsed="false">
      <c r="A8" s="33" t="n">
        <v>5</v>
      </c>
      <c r="B8" s="36" t="s">
        <v>212</v>
      </c>
      <c r="C8" s="35" t="s">
        <v>213</v>
      </c>
      <c r="D8" s="37" t="s">
        <v>195</v>
      </c>
      <c r="E8" s="36" t="s">
        <v>214</v>
      </c>
      <c r="F8" s="37" t="s">
        <v>147</v>
      </c>
      <c r="G8" s="36" t="s">
        <v>215</v>
      </c>
      <c r="H8" s="25" t="n">
        <v>0</v>
      </c>
      <c r="I8" s="37" t="n">
        <v>0</v>
      </c>
      <c r="J8" s="25" t="n">
        <v>12000</v>
      </c>
      <c r="K8" s="37" t="s">
        <v>216</v>
      </c>
      <c r="L8" s="37" t="s">
        <v>174</v>
      </c>
      <c r="M8" s="37"/>
      <c r="N8" s="39" t="s">
        <v>166</v>
      </c>
    </row>
    <row r="9" customFormat="false" ht="19.5" hidden="false" customHeight="true" outlineLevel="0" collapsed="false">
      <c r="A9" s="33" t="n">
        <v>6</v>
      </c>
      <c r="B9" s="36" t="s">
        <v>217</v>
      </c>
      <c r="C9" s="35" t="s">
        <v>218</v>
      </c>
      <c r="D9" s="37" t="s">
        <v>32</v>
      </c>
      <c r="E9" s="36" t="s">
        <v>219</v>
      </c>
      <c r="F9" s="37" t="s">
        <v>220</v>
      </c>
      <c r="G9" s="36" t="s">
        <v>221</v>
      </c>
      <c r="H9" s="25" t="n">
        <v>240000</v>
      </c>
      <c r="I9" s="37" t="n">
        <v>5</v>
      </c>
      <c r="J9" s="25" t="n">
        <v>4000</v>
      </c>
      <c r="K9" s="37" t="s">
        <v>222</v>
      </c>
      <c r="L9" s="37" t="s">
        <v>164</v>
      </c>
      <c r="M9" s="37"/>
      <c r="N9" s="39" t="s">
        <v>166</v>
      </c>
    </row>
    <row r="10" customFormat="false" ht="19.5" hidden="false" customHeight="true" outlineLevel="0" collapsed="false">
      <c r="A10" s="33" t="n">
        <v>7</v>
      </c>
      <c r="B10" s="37"/>
      <c r="C10" s="35"/>
      <c r="D10" s="37"/>
      <c r="E10" s="37"/>
      <c r="F10" s="37"/>
      <c r="G10" s="37"/>
      <c r="H10" s="25"/>
      <c r="I10" s="37"/>
      <c r="J10" s="25"/>
      <c r="K10" s="37"/>
      <c r="L10" s="37"/>
      <c r="M10" s="37"/>
      <c r="N10" s="35"/>
    </row>
    <row r="11" customFormat="false" ht="19.5" hidden="false" customHeight="true" outlineLevel="0" collapsed="false">
      <c r="A11" s="33" t="n">
        <v>8</v>
      </c>
      <c r="B11" s="37"/>
      <c r="C11" s="35"/>
      <c r="D11" s="37"/>
      <c r="E11" s="37"/>
      <c r="F11" s="37"/>
      <c r="G11" s="37"/>
      <c r="H11" s="25"/>
      <c r="I11" s="37"/>
      <c r="J11" s="25"/>
      <c r="K11" s="37"/>
      <c r="L11" s="37"/>
      <c r="M11" s="37"/>
      <c r="N11" s="35"/>
    </row>
    <row r="12" customFormat="false" ht="19.5" hidden="false" customHeight="true" outlineLevel="0" collapsed="false">
      <c r="A12" s="33" t="n">
        <v>9</v>
      </c>
      <c r="B12" s="37"/>
      <c r="C12" s="35"/>
      <c r="D12" s="37"/>
      <c r="E12" s="37"/>
      <c r="F12" s="37"/>
      <c r="G12" s="37"/>
      <c r="H12" s="25"/>
      <c r="I12" s="37"/>
      <c r="J12" s="25"/>
      <c r="K12" s="37"/>
      <c r="L12" s="37"/>
      <c r="M12" s="37"/>
      <c r="N12" s="35"/>
    </row>
    <row r="13" customFormat="false" ht="19.5" hidden="false" customHeight="true" outlineLevel="0" collapsed="false">
      <c r="A13" s="33" t="n">
        <v>10</v>
      </c>
      <c r="B13" s="37"/>
      <c r="C13" s="35"/>
      <c r="D13" s="37"/>
      <c r="E13" s="37"/>
      <c r="F13" s="37"/>
      <c r="G13" s="37"/>
      <c r="H13" s="25"/>
      <c r="I13" s="37"/>
      <c r="J13" s="25"/>
      <c r="K13" s="37"/>
      <c r="L13" s="37"/>
      <c r="M13" s="37"/>
      <c r="N13" s="35"/>
    </row>
    <row r="14" customFormat="false" ht="19.5" hidden="false" customHeight="true" outlineLevel="0" collapsed="false">
      <c r="A14" s="33" t="n">
        <v>11</v>
      </c>
      <c r="B14" s="37"/>
      <c r="C14" s="35"/>
      <c r="D14" s="37"/>
      <c r="E14" s="37"/>
      <c r="F14" s="37"/>
      <c r="G14" s="37"/>
      <c r="H14" s="25"/>
      <c r="I14" s="37"/>
      <c r="J14" s="25"/>
      <c r="K14" s="37"/>
      <c r="L14" s="37"/>
      <c r="M14" s="37"/>
      <c r="N14" s="35"/>
    </row>
    <row r="15" customFormat="false" ht="19.5" hidden="false" customHeight="true" outlineLevel="0" collapsed="false">
      <c r="A15" s="33" t="n">
        <v>12</v>
      </c>
      <c r="B15" s="37"/>
      <c r="C15" s="35"/>
      <c r="D15" s="37"/>
      <c r="E15" s="37"/>
      <c r="F15" s="37"/>
      <c r="G15" s="37"/>
      <c r="H15" s="25"/>
      <c r="I15" s="37"/>
      <c r="J15" s="25"/>
      <c r="K15" s="37"/>
      <c r="L15" s="37"/>
      <c r="M15" s="37"/>
      <c r="N15" s="35"/>
    </row>
    <row r="16" customFormat="false" ht="19.5" hidden="false" customHeight="true" outlineLevel="0" collapsed="false">
      <c r="A16" s="33" t="n">
        <v>13</v>
      </c>
      <c r="B16" s="37"/>
      <c r="C16" s="35"/>
      <c r="D16" s="37"/>
      <c r="E16" s="37"/>
      <c r="F16" s="37"/>
      <c r="G16" s="37"/>
      <c r="H16" s="25"/>
      <c r="I16" s="37"/>
      <c r="J16" s="25"/>
      <c r="K16" s="37"/>
      <c r="L16" s="37"/>
      <c r="M16" s="37"/>
      <c r="N16" s="35"/>
    </row>
    <row r="17" customFormat="false" ht="19.5" hidden="false" customHeight="true" outlineLevel="0" collapsed="false">
      <c r="A17" s="33" t="n">
        <v>14</v>
      </c>
      <c r="B17" s="37"/>
      <c r="C17" s="35"/>
      <c r="D17" s="37"/>
      <c r="E17" s="37"/>
      <c r="F17" s="37"/>
      <c r="G17" s="37"/>
      <c r="H17" s="25"/>
      <c r="I17" s="37"/>
      <c r="J17" s="25"/>
      <c r="K17" s="37"/>
      <c r="L17" s="37"/>
      <c r="M17" s="37"/>
      <c r="N17" s="35"/>
    </row>
    <row r="18" customFormat="false" ht="19.5" hidden="false" customHeight="true" outlineLevel="0" collapsed="false">
      <c r="A18" s="33" t="n">
        <v>15</v>
      </c>
      <c r="B18" s="37"/>
      <c r="C18" s="35"/>
      <c r="D18" s="37"/>
      <c r="E18" s="37"/>
      <c r="F18" s="37"/>
      <c r="G18" s="37"/>
      <c r="H18" s="25"/>
      <c r="I18" s="37"/>
      <c r="J18" s="25"/>
      <c r="K18" s="37"/>
      <c r="L18" s="37"/>
      <c r="M18" s="37"/>
      <c r="N18" s="35"/>
    </row>
    <row r="19" customFormat="false" ht="19.5" hidden="false" customHeight="true" outlineLevel="0" collapsed="false">
      <c r="A19" s="33" t="n">
        <v>16</v>
      </c>
      <c r="B19" s="37"/>
      <c r="C19" s="35"/>
      <c r="D19" s="37"/>
      <c r="E19" s="37"/>
      <c r="F19" s="37"/>
      <c r="G19" s="37"/>
      <c r="H19" s="25"/>
      <c r="I19" s="37"/>
      <c r="J19" s="25"/>
      <c r="K19" s="37"/>
      <c r="L19" s="37"/>
      <c r="M19" s="37"/>
      <c r="N19" s="35"/>
    </row>
    <row r="20" customFormat="false" ht="19.5" hidden="false" customHeight="true" outlineLevel="0" collapsed="false">
      <c r="A20" s="33" t="n">
        <v>17</v>
      </c>
      <c r="B20" s="37"/>
      <c r="C20" s="35"/>
      <c r="D20" s="37"/>
      <c r="E20" s="37"/>
      <c r="F20" s="37"/>
      <c r="G20" s="37"/>
      <c r="H20" s="25"/>
      <c r="I20" s="37"/>
      <c r="J20" s="25"/>
      <c r="K20" s="37"/>
      <c r="L20" s="37"/>
      <c r="M20" s="37"/>
      <c r="N20" s="35"/>
    </row>
    <row r="21" customFormat="false" ht="19.5" hidden="false" customHeight="true" outlineLevel="0" collapsed="false">
      <c r="A21" s="33" t="n">
        <v>18</v>
      </c>
      <c r="B21" s="37"/>
      <c r="C21" s="35"/>
      <c r="D21" s="37"/>
      <c r="E21" s="37"/>
      <c r="F21" s="37"/>
      <c r="G21" s="37"/>
      <c r="H21" s="25"/>
      <c r="I21" s="37"/>
      <c r="J21" s="25"/>
      <c r="K21" s="37"/>
      <c r="L21" s="37"/>
      <c r="M21" s="37"/>
      <c r="N21" s="35"/>
    </row>
    <row r="22" customFormat="false" ht="19.5" hidden="false" customHeight="true" outlineLevel="0" collapsed="false">
      <c r="A22" s="33" t="n">
        <v>19</v>
      </c>
      <c r="B22" s="37"/>
      <c r="C22" s="35"/>
      <c r="D22" s="37"/>
      <c r="E22" s="37"/>
      <c r="F22" s="37"/>
      <c r="G22" s="37"/>
      <c r="H22" s="25"/>
      <c r="I22" s="37"/>
      <c r="J22" s="25"/>
      <c r="K22" s="37"/>
      <c r="L22" s="37"/>
      <c r="M22" s="37"/>
      <c r="N22" s="35"/>
    </row>
    <row r="23" customFormat="false" ht="19.5" hidden="false" customHeight="true" outlineLevel="0" collapsed="false">
      <c r="A23" s="33" t="n">
        <v>20</v>
      </c>
      <c r="B23" s="37"/>
      <c r="C23" s="35"/>
      <c r="D23" s="37"/>
      <c r="E23" s="37"/>
      <c r="F23" s="37"/>
      <c r="G23" s="37"/>
      <c r="H23" s="25"/>
      <c r="I23" s="37"/>
      <c r="J23" s="25"/>
      <c r="K23" s="37"/>
      <c r="L23" s="37"/>
      <c r="M23" s="37"/>
      <c r="N23" s="35"/>
    </row>
    <row r="24" customFormat="false" ht="19.5" hidden="false" customHeight="true" outlineLevel="0" collapsed="false">
      <c r="A24" s="33" t="n">
        <v>21</v>
      </c>
      <c r="B24" s="37"/>
      <c r="C24" s="35"/>
      <c r="D24" s="37"/>
      <c r="E24" s="37"/>
      <c r="F24" s="37"/>
      <c r="G24" s="37"/>
      <c r="H24" s="25"/>
      <c r="I24" s="37"/>
      <c r="J24" s="25"/>
      <c r="K24" s="37"/>
      <c r="L24" s="37"/>
      <c r="M24" s="37"/>
      <c r="N24" s="35"/>
    </row>
    <row r="25" customFormat="false" ht="19.5" hidden="false" customHeight="true" outlineLevel="0" collapsed="false">
      <c r="A25" s="33" t="n">
        <v>22</v>
      </c>
      <c r="B25" s="37"/>
      <c r="C25" s="35"/>
      <c r="D25" s="37"/>
      <c r="E25" s="37"/>
      <c r="F25" s="37"/>
      <c r="G25" s="37"/>
      <c r="H25" s="25"/>
      <c r="I25" s="37"/>
      <c r="J25" s="25"/>
      <c r="K25" s="37"/>
      <c r="L25" s="37"/>
      <c r="M25" s="37"/>
      <c r="N25" s="35"/>
    </row>
    <row r="26" customFormat="false" ht="19.5" hidden="false" customHeight="true" outlineLevel="0" collapsed="false">
      <c r="A26" s="33" t="n">
        <v>23</v>
      </c>
      <c r="B26" s="37"/>
      <c r="C26" s="35"/>
      <c r="D26" s="37"/>
      <c r="E26" s="37"/>
      <c r="F26" s="37"/>
      <c r="G26" s="37"/>
      <c r="H26" s="25"/>
      <c r="I26" s="37"/>
      <c r="J26" s="25"/>
      <c r="K26" s="37"/>
      <c r="L26" s="37"/>
      <c r="M26" s="37"/>
      <c r="N26" s="35"/>
    </row>
    <row r="27" customFormat="false" ht="19.5" hidden="false" customHeight="true" outlineLevel="0" collapsed="false">
      <c r="A27" s="33" t="n">
        <v>24</v>
      </c>
      <c r="B27" s="37"/>
      <c r="C27" s="35"/>
      <c r="D27" s="37"/>
      <c r="E27" s="37"/>
      <c r="F27" s="37"/>
      <c r="G27" s="37"/>
      <c r="H27" s="25"/>
      <c r="I27" s="37"/>
      <c r="J27" s="25"/>
      <c r="K27" s="37"/>
      <c r="L27" s="37"/>
      <c r="M27" s="37"/>
      <c r="N27" s="35"/>
    </row>
    <row r="28" customFormat="false" ht="19.5" hidden="false" customHeight="true" outlineLevel="0" collapsed="false">
      <c r="A28" s="33" t="n">
        <v>25</v>
      </c>
      <c r="B28" s="37"/>
      <c r="C28" s="35"/>
      <c r="D28" s="37"/>
      <c r="E28" s="37"/>
      <c r="F28" s="37"/>
      <c r="G28" s="37"/>
      <c r="H28" s="25"/>
      <c r="I28" s="37"/>
      <c r="J28" s="25"/>
      <c r="K28" s="37"/>
      <c r="L28" s="37"/>
      <c r="M28" s="37"/>
      <c r="N28" s="35"/>
    </row>
    <row r="29" customFormat="false" ht="19.5" hidden="false" customHeight="true" outlineLevel="0" collapsed="false">
      <c r="A29" s="33" t="n">
        <v>26</v>
      </c>
      <c r="B29" s="37"/>
      <c r="C29" s="35"/>
      <c r="D29" s="37"/>
      <c r="E29" s="37"/>
      <c r="F29" s="37"/>
      <c r="G29" s="37"/>
      <c r="H29" s="25"/>
      <c r="I29" s="37"/>
      <c r="J29" s="25"/>
      <c r="K29" s="37"/>
      <c r="L29" s="37"/>
      <c r="M29" s="37"/>
      <c r="N29" s="35"/>
    </row>
    <row r="30" customFormat="false" ht="19.5" hidden="false" customHeight="true" outlineLevel="0" collapsed="false">
      <c r="A30" s="33" t="n">
        <v>27</v>
      </c>
      <c r="B30" s="37"/>
      <c r="C30" s="35"/>
      <c r="D30" s="37"/>
      <c r="E30" s="37"/>
      <c r="F30" s="37"/>
      <c r="G30" s="37"/>
      <c r="H30" s="25"/>
      <c r="I30" s="37"/>
      <c r="J30" s="25"/>
      <c r="K30" s="37"/>
      <c r="L30" s="37"/>
      <c r="M30" s="37"/>
      <c r="N30" s="35"/>
    </row>
    <row r="31" customFormat="false" ht="19.5" hidden="false" customHeight="true" outlineLevel="0" collapsed="false">
      <c r="A31" s="33" t="n">
        <v>28</v>
      </c>
      <c r="B31" s="37"/>
      <c r="C31" s="35"/>
      <c r="D31" s="37"/>
      <c r="E31" s="37"/>
      <c r="F31" s="37"/>
      <c r="G31" s="37"/>
      <c r="H31" s="25"/>
      <c r="I31" s="37"/>
      <c r="J31" s="25"/>
      <c r="K31" s="37"/>
      <c r="L31" s="37"/>
      <c r="M31" s="37"/>
      <c r="N31" s="35"/>
    </row>
    <row r="32" customFormat="false" ht="19.5" hidden="false" customHeight="true" outlineLevel="0" collapsed="false">
      <c r="A32" s="33" t="n">
        <v>29</v>
      </c>
      <c r="B32" s="37"/>
      <c r="C32" s="35"/>
      <c r="D32" s="37"/>
      <c r="E32" s="37"/>
      <c r="F32" s="37"/>
      <c r="G32" s="37"/>
      <c r="H32" s="25"/>
      <c r="I32" s="37"/>
      <c r="J32" s="25"/>
      <c r="K32" s="37"/>
      <c r="L32" s="37"/>
      <c r="M32" s="37"/>
      <c r="N32" s="35"/>
    </row>
    <row r="33" customFormat="false" ht="19.5" hidden="false" customHeight="true" outlineLevel="0" collapsed="false">
      <c r="A33" s="33" t="n">
        <v>30</v>
      </c>
      <c r="B33" s="37"/>
      <c r="C33" s="35"/>
      <c r="D33" s="37"/>
      <c r="E33" s="37"/>
      <c r="F33" s="37"/>
      <c r="G33" s="37"/>
      <c r="H33" s="25"/>
      <c r="I33" s="37"/>
      <c r="J33" s="25"/>
      <c r="K33" s="37"/>
      <c r="L33" s="37"/>
      <c r="M33" s="37"/>
      <c r="N33" s="35"/>
    </row>
    <row r="34" customFormat="false" ht="19.5" hidden="false" customHeight="true" outlineLevel="0" collapsed="false">
      <c r="A34" s="33" t="n">
        <v>31</v>
      </c>
      <c r="B34" s="37"/>
      <c r="C34" s="35"/>
      <c r="D34" s="37"/>
      <c r="E34" s="37"/>
      <c r="F34" s="37"/>
      <c r="G34" s="37"/>
      <c r="H34" s="25"/>
      <c r="I34" s="37"/>
      <c r="J34" s="25"/>
      <c r="K34" s="37"/>
      <c r="L34" s="37"/>
      <c r="M34" s="37"/>
      <c r="N34" s="35"/>
    </row>
    <row r="35" customFormat="false" ht="19.5" hidden="false" customHeight="true" outlineLevel="0" collapsed="false">
      <c r="A35" s="33" t="n">
        <v>32</v>
      </c>
      <c r="B35" s="37"/>
      <c r="C35" s="35"/>
      <c r="D35" s="37"/>
      <c r="E35" s="37"/>
      <c r="F35" s="37"/>
      <c r="G35" s="37"/>
      <c r="H35" s="25"/>
      <c r="I35" s="37"/>
      <c r="J35" s="25"/>
      <c r="K35" s="37"/>
      <c r="L35" s="37"/>
      <c r="M35" s="37"/>
      <c r="N35" s="35"/>
    </row>
    <row r="36" customFormat="false" ht="19.5" hidden="false" customHeight="true" outlineLevel="0" collapsed="false">
      <c r="A36" s="33" t="n">
        <v>33</v>
      </c>
      <c r="B36" s="37"/>
      <c r="C36" s="35"/>
      <c r="D36" s="37"/>
      <c r="E36" s="37"/>
      <c r="F36" s="37"/>
      <c r="G36" s="37"/>
      <c r="H36" s="25"/>
      <c r="I36" s="37"/>
      <c r="J36" s="25"/>
      <c r="K36" s="37"/>
      <c r="L36" s="37"/>
      <c r="M36" s="37"/>
      <c r="N36" s="35"/>
    </row>
    <row r="37" customFormat="false" ht="19.5" hidden="false" customHeight="true" outlineLevel="0" collapsed="false">
      <c r="A37" s="33" t="n">
        <v>34</v>
      </c>
      <c r="B37" s="37"/>
      <c r="C37" s="35"/>
      <c r="D37" s="37"/>
      <c r="E37" s="37"/>
      <c r="F37" s="37"/>
      <c r="G37" s="37"/>
      <c r="H37" s="25"/>
      <c r="I37" s="37"/>
      <c r="J37" s="25"/>
      <c r="K37" s="37"/>
      <c r="L37" s="37"/>
      <c r="M37" s="37"/>
      <c r="N37" s="35"/>
    </row>
    <row r="38" customFormat="false" ht="19.5" hidden="false" customHeight="true" outlineLevel="0" collapsed="false">
      <c r="A38" s="33" t="n">
        <v>35</v>
      </c>
      <c r="B38" s="37"/>
      <c r="C38" s="35"/>
      <c r="D38" s="37"/>
      <c r="E38" s="37"/>
      <c r="F38" s="37"/>
      <c r="G38" s="37"/>
      <c r="H38" s="25"/>
      <c r="I38" s="37"/>
      <c r="J38" s="25"/>
      <c r="K38" s="37"/>
      <c r="L38" s="37"/>
      <c r="M38" s="37"/>
      <c r="N38" s="35"/>
    </row>
    <row r="39" customFormat="false" ht="19.5" hidden="false" customHeight="true" outlineLevel="0" collapsed="false">
      <c r="A39" s="33" t="n">
        <v>36</v>
      </c>
      <c r="B39" s="37"/>
      <c r="C39" s="35"/>
      <c r="D39" s="37"/>
      <c r="E39" s="37"/>
      <c r="F39" s="37"/>
      <c r="G39" s="37"/>
      <c r="H39" s="25"/>
      <c r="I39" s="37"/>
      <c r="J39" s="25"/>
      <c r="K39" s="37"/>
      <c r="L39" s="37"/>
      <c r="M39" s="37"/>
      <c r="N39" s="35"/>
    </row>
    <row r="40" customFormat="false" ht="19.5" hidden="false" customHeight="true" outlineLevel="0" collapsed="false">
      <c r="A40" s="33" t="n">
        <v>37</v>
      </c>
      <c r="B40" s="37"/>
      <c r="C40" s="35"/>
      <c r="D40" s="37"/>
      <c r="E40" s="37"/>
      <c r="F40" s="37"/>
      <c r="G40" s="37"/>
      <c r="H40" s="25"/>
      <c r="I40" s="37"/>
      <c r="J40" s="25"/>
      <c r="K40" s="37"/>
      <c r="L40" s="37"/>
      <c r="M40" s="37"/>
      <c r="N40" s="35"/>
    </row>
    <row r="41" customFormat="false" ht="19.5" hidden="false" customHeight="true" outlineLevel="0" collapsed="false">
      <c r="A41" s="33" t="n">
        <v>38</v>
      </c>
      <c r="B41" s="37"/>
      <c r="C41" s="35"/>
      <c r="D41" s="37"/>
      <c r="E41" s="37"/>
      <c r="F41" s="37"/>
      <c r="G41" s="37"/>
      <c r="H41" s="25"/>
      <c r="I41" s="37"/>
      <c r="J41" s="25"/>
      <c r="K41" s="37"/>
      <c r="L41" s="37"/>
      <c r="M41" s="37"/>
      <c r="N41" s="35"/>
    </row>
    <row r="42" customFormat="false" ht="19.5" hidden="false" customHeight="true" outlineLevel="0" collapsed="false">
      <c r="A42" s="33" t="n">
        <v>39</v>
      </c>
      <c r="B42" s="37"/>
      <c r="C42" s="35"/>
      <c r="D42" s="37"/>
      <c r="E42" s="37"/>
      <c r="F42" s="37"/>
      <c r="G42" s="37"/>
      <c r="H42" s="25"/>
      <c r="I42" s="37"/>
      <c r="J42" s="25"/>
      <c r="K42" s="37"/>
      <c r="L42" s="37"/>
      <c r="M42" s="37"/>
      <c r="N42" s="35"/>
    </row>
    <row r="43" customFormat="false" ht="19.5" hidden="false" customHeight="true" outlineLevel="0" collapsed="false">
      <c r="A43" s="33" t="n">
        <v>40</v>
      </c>
      <c r="B43" s="37"/>
      <c r="C43" s="35"/>
      <c r="D43" s="37"/>
      <c r="E43" s="37"/>
      <c r="F43" s="37"/>
      <c r="G43" s="37"/>
      <c r="H43" s="25"/>
      <c r="I43" s="37"/>
      <c r="J43" s="25"/>
      <c r="K43" s="37"/>
      <c r="L43" s="37"/>
      <c r="M43" s="37"/>
      <c r="N43" s="35"/>
    </row>
    <row r="44" customFormat="false" ht="19.5" hidden="false" customHeight="true" outlineLevel="0" collapsed="false">
      <c r="A44" s="33" t="n">
        <v>41</v>
      </c>
      <c r="B44" s="37"/>
      <c r="C44" s="35"/>
      <c r="D44" s="37"/>
      <c r="E44" s="37"/>
      <c r="F44" s="37"/>
      <c r="G44" s="37"/>
      <c r="H44" s="25"/>
      <c r="I44" s="37"/>
      <c r="J44" s="25"/>
      <c r="K44" s="37"/>
      <c r="L44" s="37"/>
      <c r="M44" s="37"/>
      <c r="N44" s="35"/>
    </row>
    <row r="45" customFormat="false" ht="19.5" hidden="false" customHeight="true" outlineLevel="0" collapsed="false">
      <c r="A45" s="33" t="n">
        <v>42</v>
      </c>
      <c r="B45" s="37"/>
      <c r="C45" s="35"/>
      <c r="D45" s="37"/>
      <c r="E45" s="37"/>
      <c r="F45" s="37"/>
      <c r="G45" s="37"/>
      <c r="H45" s="25"/>
      <c r="I45" s="37"/>
      <c r="J45" s="25"/>
      <c r="K45" s="37"/>
      <c r="L45" s="37"/>
      <c r="M45" s="37"/>
      <c r="N45" s="35"/>
    </row>
    <row r="46" customFormat="false" ht="19.5" hidden="false" customHeight="true" outlineLevel="0" collapsed="false">
      <c r="A46" s="33" t="n">
        <v>43</v>
      </c>
      <c r="B46" s="37"/>
      <c r="C46" s="35"/>
      <c r="D46" s="37"/>
      <c r="E46" s="37"/>
      <c r="F46" s="37"/>
      <c r="G46" s="37"/>
      <c r="H46" s="25"/>
      <c r="I46" s="37"/>
      <c r="J46" s="25"/>
      <c r="K46" s="37"/>
      <c r="L46" s="37"/>
      <c r="M46" s="37"/>
      <c r="N46" s="35"/>
    </row>
    <row r="47" customFormat="false" ht="19.5" hidden="false" customHeight="true" outlineLevel="0" collapsed="false">
      <c r="A47" s="33" t="n">
        <v>44</v>
      </c>
      <c r="B47" s="37"/>
      <c r="C47" s="35"/>
      <c r="D47" s="37"/>
      <c r="E47" s="37"/>
      <c r="F47" s="37"/>
      <c r="G47" s="37"/>
      <c r="H47" s="25"/>
      <c r="I47" s="37"/>
      <c r="J47" s="25"/>
      <c r="K47" s="37"/>
      <c r="L47" s="37"/>
      <c r="M47" s="37"/>
      <c r="N47" s="35"/>
    </row>
    <row r="48" customFormat="false" ht="19.5" hidden="false" customHeight="true" outlineLevel="0" collapsed="false">
      <c r="A48" s="33" t="n">
        <v>45</v>
      </c>
      <c r="B48" s="37"/>
      <c r="C48" s="35"/>
      <c r="D48" s="37"/>
      <c r="E48" s="37"/>
      <c r="F48" s="37"/>
      <c r="G48" s="37"/>
      <c r="H48" s="25"/>
      <c r="I48" s="37"/>
      <c r="J48" s="25"/>
      <c r="K48" s="37"/>
      <c r="L48" s="37"/>
      <c r="M48" s="37"/>
      <c r="N48" s="35"/>
    </row>
    <row r="49" customFormat="false" ht="19.5" hidden="false" customHeight="true" outlineLevel="0" collapsed="false">
      <c r="A49" s="33" t="n">
        <v>46</v>
      </c>
      <c r="B49" s="37"/>
      <c r="C49" s="35"/>
      <c r="D49" s="37"/>
      <c r="E49" s="37"/>
      <c r="F49" s="37"/>
      <c r="G49" s="37"/>
      <c r="H49" s="25"/>
      <c r="I49" s="37"/>
      <c r="J49" s="25"/>
      <c r="K49" s="37"/>
      <c r="L49" s="37"/>
      <c r="M49" s="37"/>
      <c r="N49" s="35"/>
    </row>
    <row r="50" customFormat="false" ht="19.5" hidden="false" customHeight="true" outlineLevel="0" collapsed="false">
      <c r="A50" s="33" t="n">
        <v>47</v>
      </c>
      <c r="B50" s="37"/>
      <c r="C50" s="35"/>
      <c r="D50" s="37"/>
      <c r="E50" s="37"/>
      <c r="F50" s="37"/>
      <c r="G50" s="37"/>
      <c r="H50" s="25"/>
      <c r="I50" s="37"/>
      <c r="J50" s="25"/>
      <c r="K50" s="37"/>
      <c r="L50" s="37"/>
      <c r="M50" s="37"/>
      <c r="N50" s="35"/>
    </row>
    <row r="51" customFormat="false" ht="19.5" hidden="false" customHeight="true" outlineLevel="0" collapsed="false">
      <c r="A51" s="33" t="n">
        <v>48</v>
      </c>
      <c r="B51" s="37"/>
      <c r="C51" s="35"/>
      <c r="D51" s="37"/>
      <c r="E51" s="37"/>
      <c r="F51" s="37"/>
      <c r="G51" s="37"/>
      <c r="H51" s="25"/>
      <c r="I51" s="37"/>
      <c r="J51" s="25"/>
      <c r="K51" s="37"/>
      <c r="L51" s="37"/>
      <c r="M51" s="37"/>
      <c r="N51" s="35"/>
    </row>
    <row r="52" customFormat="false" ht="19.5" hidden="false" customHeight="true" outlineLevel="0" collapsed="false">
      <c r="A52" s="33" t="n">
        <v>49</v>
      </c>
      <c r="B52" s="37"/>
      <c r="C52" s="35"/>
      <c r="D52" s="37"/>
      <c r="E52" s="37"/>
      <c r="F52" s="37"/>
      <c r="G52" s="37"/>
      <c r="H52" s="25"/>
      <c r="I52" s="37"/>
      <c r="J52" s="25"/>
      <c r="K52" s="37"/>
      <c r="L52" s="37"/>
      <c r="M52" s="37"/>
      <c r="N52" s="35"/>
    </row>
    <row r="53" customFormat="false" ht="19.5" hidden="false" customHeight="true" outlineLevel="0" collapsed="false">
      <c r="A53" s="33" t="n">
        <v>50</v>
      </c>
      <c r="B53" s="37"/>
      <c r="C53" s="35"/>
      <c r="D53" s="37"/>
      <c r="E53" s="37"/>
      <c r="F53" s="37"/>
      <c r="G53" s="37"/>
      <c r="H53" s="25"/>
      <c r="I53" s="37"/>
      <c r="J53" s="25"/>
      <c r="K53" s="37"/>
      <c r="L53" s="37"/>
      <c r="M53" s="37"/>
      <c r="N53" s="35"/>
    </row>
  </sheetData>
  <mergeCells count="3">
    <mergeCell ref="A1:B1"/>
    <mergeCell ref="C1:N1"/>
    <mergeCell ref="A2:N2"/>
  </mergeCells>
  <dataValidations count="4">
    <dataValidation allowBlank="true" errorStyle="stop" operator="between" showDropDown="false" showErrorMessage="false" showInputMessage="false" sqref="D4:D53" type="list">
      <formula1>"设备,无形资产"</formula1>
      <formula2>0</formula2>
    </dataValidation>
    <dataValidation allowBlank="true" errorStyle="stop" operator="between" showDropDown="false" showErrorMessage="false" showInputMessage="false" sqref="F4:F53" type="list">
      <formula1>"发泡成型,熟化,PET贴合,分切,模切,检测试验,研发通用,其他"</formula1>
      <formula2>0</formula2>
    </dataValidation>
    <dataValidation allowBlank="true" errorStyle="stop" operator="between" showDropDown="false" showErrorMessage="false" showInputMessage="false" sqref="K4:K53" type="list">
      <formula1>"折旧,摊销,租赁费"</formula1>
      <formula2>0</formula2>
    </dataValidation>
    <dataValidation allowBlank="true" errorStyle="stop" operator="between" showDropDown="false" showErrorMessage="false" showInputMessage="false" sqref="L4:L53" type="list">
      <formula1>"研发专用,研发生产共用"</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W2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11"/>
    <col collapsed="false" customWidth="true" hidden="false" outlineLevel="0" max="4" min="4" style="0" width="13"/>
    <col collapsed="false" customWidth="true" hidden="false" outlineLevel="0" max="5" min="5" style="0" width="10"/>
    <col collapsed="false" customWidth="true" hidden="false" outlineLevel="0" max="6" min="6" style="0" width="11"/>
    <col collapsed="false" customWidth="true" hidden="false" outlineLevel="0" max="7" min="7" style="0" width="12"/>
    <col collapsed="false" customWidth="true" hidden="false" outlineLevel="0" max="17" min="8" style="0" width="9"/>
    <col collapsed="false" customWidth="true" hidden="false" outlineLevel="0" max="20" min="18" style="0" width="10"/>
    <col collapsed="false" customWidth="true" hidden="false" outlineLevel="0" max="21" min="21" style="0" width="30"/>
    <col collapsed="false" customWidth="true" hidden="false" outlineLevel="0" max="22" min="22" style="0" width="18"/>
    <col collapsed="false" customWidth="true" hidden="true" outlineLevel="0" max="23" min="23" style="0" width="13"/>
  </cols>
  <sheetData>
    <row r="1" customFormat="false" ht="43.5" hidden="false" customHeight="true" outlineLevel="0" collapsed="false">
      <c r="A1" s="1" t="s">
        <v>0</v>
      </c>
      <c r="B1" s="1"/>
      <c r="C1" s="2" t="str">
        <f aca="false">IF(使用说明!$B$2="","",使用说明!$B$2&amp;"    ")&amp;"五、《研发人员工时分配表》（研发部门按月填报，2026年度）"</f>
        <v>五、《研发人员工时分配表》（研发部门按月填报，2026年度）</v>
      </c>
      <c r="D1" s="2"/>
      <c r="E1" s="2"/>
      <c r="F1" s="2"/>
      <c r="G1" s="2"/>
      <c r="H1" s="2"/>
      <c r="I1" s="2"/>
      <c r="J1" s="2"/>
      <c r="K1" s="2"/>
      <c r="L1" s="2"/>
      <c r="M1" s="2"/>
      <c r="N1" s="2"/>
      <c r="O1" s="2"/>
      <c r="P1" s="2"/>
      <c r="Q1" s="2"/>
      <c r="R1" s="2"/>
      <c r="S1" s="2"/>
      <c r="T1" s="2"/>
      <c r="U1" s="2"/>
      <c r="V1" s="2"/>
    </row>
    <row r="2" customFormat="false" ht="30" hidden="false" customHeight="true" outlineLevel="0" collapsed="false">
      <c r="A2" s="17" t="s">
        <v>223</v>
      </c>
      <c r="B2" s="17"/>
      <c r="C2" s="17"/>
      <c r="D2" s="17"/>
      <c r="E2" s="17"/>
      <c r="F2" s="17"/>
      <c r="G2" s="17"/>
      <c r="H2" s="17"/>
      <c r="I2" s="17"/>
      <c r="J2" s="17"/>
      <c r="K2" s="17"/>
      <c r="L2" s="17"/>
      <c r="M2" s="17"/>
      <c r="N2" s="17"/>
      <c r="O2" s="17"/>
      <c r="P2" s="17"/>
      <c r="Q2" s="17"/>
      <c r="R2" s="17"/>
      <c r="S2" s="17"/>
      <c r="T2" s="17"/>
      <c r="U2" s="17"/>
      <c r="V2" s="17"/>
    </row>
    <row r="3" customFormat="false" ht="25.5" hidden="false" customHeight="true" outlineLevel="0" collapsed="false">
      <c r="A3" s="18" t="s">
        <v>224</v>
      </c>
      <c r="B3" s="18" t="s">
        <v>151</v>
      </c>
      <c r="C3" s="18" t="s">
        <v>152</v>
      </c>
      <c r="D3" s="18" t="s">
        <v>153</v>
      </c>
      <c r="E3" s="18" t="s">
        <v>155</v>
      </c>
      <c r="F3" s="18" t="s">
        <v>225</v>
      </c>
      <c r="G3" s="18" t="s">
        <v>226</v>
      </c>
      <c r="H3" s="18" t="s">
        <v>227</v>
      </c>
      <c r="I3" s="18"/>
      <c r="J3" s="18"/>
      <c r="K3" s="18"/>
      <c r="L3" s="18"/>
      <c r="M3" s="18"/>
      <c r="N3" s="18"/>
      <c r="O3" s="18"/>
      <c r="P3" s="18"/>
      <c r="Q3" s="18"/>
      <c r="R3" s="18" t="s">
        <v>228</v>
      </c>
      <c r="S3" s="18" t="s">
        <v>229</v>
      </c>
      <c r="T3" s="18" t="s">
        <v>230</v>
      </c>
      <c r="U3" s="18" t="s">
        <v>231</v>
      </c>
      <c r="V3" s="18" t="s">
        <v>116</v>
      </c>
    </row>
    <row r="4" customFormat="false" ht="18" hidden="false" customHeight="true" outlineLevel="0" collapsed="false">
      <c r="A4" s="18"/>
      <c r="B4" s="18"/>
      <c r="C4" s="18"/>
      <c r="D4" s="18"/>
      <c r="E4" s="18"/>
      <c r="F4" s="18"/>
      <c r="G4" s="18"/>
      <c r="H4" s="40" t="str">
        <f aca="false">项目清单!$B$4</f>
        <v>RD01</v>
      </c>
      <c r="I4" s="40" t="str">
        <f aca="false">项目清单!$B$5</f>
        <v>RD02</v>
      </c>
      <c r="J4" s="40" t="str">
        <f aca="false">项目清单!$B$6</f>
        <v>RD03</v>
      </c>
      <c r="K4" s="40" t="str">
        <f aca="false">项目清单!$B$7</f>
        <v>RD04</v>
      </c>
      <c r="L4" s="40" t="str">
        <f aca="false">项目清单!$B$8</f>
        <v>RD05</v>
      </c>
      <c r="M4" s="40" t="str">
        <f aca="false">项目清单!$B$9</f>
        <v>RD06</v>
      </c>
      <c r="N4" s="40" t="str">
        <f aca="false">项目清单!$B$10</f>
        <v>RD07</v>
      </c>
      <c r="O4" s="40" t="str">
        <f aca="false">项目清单!$B$11</f>
        <v>RD08</v>
      </c>
      <c r="P4" s="40" t="str">
        <f aca="false">项目清单!$B$12</f>
        <v>RD09</v>
      </c>
      <c r="Q4" s="40" t="str">
        <f aca="false">项目清单!$B$13</f>
        <v>RD10</v>
      </c>
      <c r="R4" s="18"/>
      <c r="S4" s="18"/>
      <c r="T4" s="18"/>
      <c r="U4" s="18"/>
      <c r="V4" s="18"/>
    </row>
    <row r="5" customFormat="false" ht="33.75" hidden="false" customHeight="true" outlineLevel="0" collapsed="false">
      <c r="A5" s="18"/>
      <c r="B5" s="18"/>
      <c r="C5" s="18"/>
      <c r="D5" s="18"/>
      <c r="E5" s="18"/>
      <c r="F5" s="18"/>
      <c r="G5" s="18"/>
      <c r="H5" s="41" t="str">
        <f aca="false">IF(H4="","",IFERROR(VLOOKUP(H4,项目清单!$B$4:$C$13,2,0)&amp;"",""))</f>
        <v>高回弹低压缩永久变形3C用聚氨酯泡棉开发</v>
      </c>
      <c r="I5" s="41" t="str">
        <f aca="false">IF(I4="","",IFERROR(VLOOKUP(I4,项目清单!$B$4:$C$13,2,0)&amp;"",""))</f>
        <v>动力电池模组用高阻燃缓冲泡棉研发</v>
      </c>
      <c r="J5" s="41" t="str">
        <f aca="false">IF(J4="","",IFERROR(VLOOKUP(J4,项目清单!$B$4:$C$13,2,0)&amp;"",""))</f>
        <v>泡棉与PET基材无溶剂贴合工艺开发</v>
      </c>
      <c r="K5" s="41" t="str">
        <f aca="false">IF(K4="","",IFERROR(VLOOKUP(K4,项目清单!$B$4:$C$13,2,0)&amp;"",""))</f>
        <v>超薄泡棉高精度分切及毛边控制技术研究</v>
      </c>
      <c r="L5" s="41" t="str">
        <f aca="false">IF(L4="","",IFERROR(VLOOKUP(L4,项目清单!$B$4:$C$13,2,0)&amp;"",""))</f>
        <v>新能源汽车电池包用导热缓冲复合材料开发</v>
      </c>
      <c r="M5" s="41" t="str">
        <f aca="false">IF(M4="","",IFERROR(VLOOKUP(M4,项目清单!$B$4:$C$13,2,0)&amp;"",""))</f>
        <v>3C电子用超薄黑色遮光泡棉制备技术</v>
      </c>
      <c r="N5" s="41" t="str">
        <f aca="false">IF(N4="","",IFERROR(VLOOKUP(N4,项目清单!$B$4:$C$13,2,0)&amp;"",""))</f>
        <v>环保型水性胶泡棉贴合技术开发</v>
      </c>
      <c r="O5" s="41" t="str">
        <f aca="false">IF(O4="","",IFERROR(VLOOKUP(O4,项目清单!$B$4:$C$13,2,0)&amp;"",""))</f>
        <v>泡棉模切自动化在线检测技术研究</v>
      </c>
      <c r="P5" s="41" t="str">
        <f aca="false">IF(P4="","",IFERROR(VLOOKUP(P4,项目清单!$B$4:$C$13,2,0)&amp;"",""))</f>
        <v/>
      </c>
      <c r="Q5" s="41" t="str">
        <f aca="false">IF(Q4="","",IFERROR(VLOOKUP(Q4,项目清单!$B$4:$C$13,2,0)&amp;"",""))</f>
        <v/>
      </c>
      <c r="R5" s="18"/>
      <c r="S5" s="18"/>
      <c r="T5" s="18"/>
      <c r="U5" s="18"/>
      <c r="V5" s="18"/>
      <c r="W5" s="42" t="s">
        <v>232</v>
      </c>
    </row>
    <row r="6" customFormat="false" ht="18" hidden="false" customHeight="true" outlineLevel="0" collapsed="false">
      <c r="A6" s="36" t="s">
        <v>100</v>
      </c>
      <c r="B6" s="36" t="s">
        <v>159</v>
      </c>
      <c r="C6" s="43" t="str">
        <f aca="false">IF($B6="","",IFERROR(VLOOKUP($B6,人员名册!$B$4:$G$53,2,0)&amp;"","名册中未登记"))</f>
        <v>（示例）张工</v>
      </c>
      <c r="D6" s="43" t="str">
        <f aca="false">IF($B6="","",IFERROR(VLOOKUP($B6,人员名册!$B$4:$G$53,3,0)&amp;"",""))</f>
        <v>研发中心</v>
      </c>
      <c r="E6" s="43" t="str">
        <f aca="false">IF($B6="","",IFERROR(VLOOKUP($B6,人员名册!$B$4:$G$53,5,0)&amp;"",""))</f>
        <v>在职</v>
      </c>
      <c r="F6" s="44" t="n">
        <v>176</v>
      </c>
      <c r="G6" s="44" t="n">
        <v>16</v>
      </c>
      <c r="H6" s="44" t="n">
        <v>100</v>
      </c>
      <c r="I6" s="44" t="n">
        <v>60</v>
      </c>
      <c r="J6" s="44"/>
      <c r="K6" s="44"/>
      <c r="L6" s="44"/>
      <c r="M6" s="44"/>
      <c r="N6" s="44"/>
      <c r="O6" s="44"/>
      <c r="P6" s="44"/>
      <c r="Q6" s="44"/>
      <c r="R6" s="45" t="n">
        <f aca="false">IF($A6="","",SUM(H6:Q6))</f>
        <v>160</v>
      </c>
      <c r="S6" s="45" t="n">
        <f aca="false">IF($A6="","",ROUND($F6-$G6-$R6,2))</f>
        <v>0</v>
      </c>
      <c r="T6" s="28" t="n">
        <f aca="false">IF(OR($A6="",$F6=0),"",$R6/$F6)</f>
        <v>0.909090909090909</v>
      </c>
      <c r="U6" s="35" t="s">
        <v>233</v>
      </c>
      <c r="V6" s="39" t="s">
        <v>166</v>
      </c>
      <c r="W6" s="0" t="str">
        <f aca="false">IF($A6="","",$A6&amp;"|"&amp;$B6)</f>
        <v>2026-09|YF001</v>
      </c>
    </row>
    <row r="7" customFormat="false" ht="18" hidden="false" customHeight="true" outlineLevel="0" collapsed="false">
      <c r="A7" s="36" t="s">
        <v>100</v>
      </c>
      <c r="B7" s="36" t="s">
        <v>170</v>
      </c>
      <c r="C7" s="43" t="str">
        <f aca="false">IF($B7="","",IFERROR(VLOOKUP($B7,人员名册!$B$4:$G$53,2,0)&amp;"","名册中未登记"))</f>
        <v>（示例）王工</v>
      </c>
      <c r="D7" s="43" t="str">
        <f aca="false">IF($B7="","",IFERROR(VLOOKUP($B7,人员名册!$B$4:$G$53,3,0)&amp;"",""))</f>
        <v>生产部</v>
      </c>
      <c r="E7" s="43" t="str">
        <f aca="false">IF($B7="","",IFERROR(VLOOKUP($B7,人员名册!$B$4:$G$53,5,0)&amp;"",""))</f>
        <v>在职</v>
      </c>
      <c r="F7" s="44" t="n">
        <v>176</v>
      </c>
      <c r="G7" s="44" t="n">
        <v>120</v>
      </c>
      <c r="H7" s="44"/>
      <c r="I7" s="44"/>
      <c r="J7" s="44" t="n">
        <v>36</v>
      </c>
      <c r="K7" s="44"/>
      <c r="L7" s="44" t="n">
        <v>20</v>
      </c>
      <c r="M7" s="44"/>
      <c r="N7" s="44"/>
      <c r="O7" s="44"/>
      <c r="P7" s="44"/>
      <c r="Q7" s="44"/>
      <c r="R7" s="45" t="n">
        <f aca="false">IF($A7="","",SUM(H7:Q7))</f>
        <v>56</v>
      </c>
      <c r="S7" s="45" t="n">
        <f aca="false">IF($A7="","",ROUND($F7-$G7-$R7,2))</f>
        <v>0</v>
      </c>
      <c r="T7" s="28" t="n">
        <f aca="false">IF(OR($A7="",$F7=0),"",$R7/$F7)</f>
        <v>0.318181818181818</v>
      </c>
      <c r="U7" s="35" t="s">
        <v>234</v>
      </c>
      <c r="V7" s="39" t="s">
        <v>166</v>
      </c>
      <c r="W7" s="0" t="str">
        <f aca="false">IF($A7="","",$A7&amp;"|"&amp;$B7)</f>
        <v>2026-09|YF003</v>
      </c>
    </row>
    <row r="8" customFormat="false" ht="18" hidden="false" customHeight="true" outlineLevel="0" collapsed="false">
      <c r="A8" s="36" t="s">
        <v>100</v>
      </c>
      <c r="B8" s="36" t="s">
        <v>175</v>
      </c>
      <c r="C8" s="43" t="str">
        <f aca="false">IF($B8="","",IFERROR(VLOOKUP($B8,人员名册!$B$4:$G$53,2,0)&amp;"","名册中未登记"))</f>
        <v>（示例）赵博</v>
      </c>
      <c r="D8" s="43" t="str">
        <f aca="false">IF($B8="","",IFERROR(VLOOKUP($B8,人员名册!$B$4:$G$53,3,0)&amp;"",""))</f>
        <v>外聘专家</v>
      </c>
      <c r="E8" s="43" t="str">
        <f aca="false">IF($B8="","",IFERROR(VLOOKUP($B8,人员名册!$B$4:$G$53,5,0)&amp;"",""))</f>
        <v>外聘</v>
      </c>
      <c r="F8" s="44" t="n">
        <v>80</v>
      </c>
      <c r="G8" s="44" t="n">
        <v>0</v>
      </c>
      <c r="H8" s="44"/>
      <c r="I8" s="44" t="n">
        <v>50</v>
      </c>
      <c r="J8" s="44"/>
      <c r="K8" s="44"/>
      <c r="L8" s="44" t="n">
        <v>30</v>
      </c>
      <c r="M8" s="44"/>
      <c r="N8" s="44"/>
      <c r="O8" s="44"/>
      <c r="P8" s="44"/>
      <c r="Q8" s="44"/>
      <c r="R8" s="45" t="n">
        <f aca="false">IF($A8="","",SUM(H8:Q8))</f>
        <v>80</v>
      </c>
      <c r="S8" s="45" t="n">
        <f aca="false">IF($A8="","",ROUND($F8-$G8-$R8,2))</f>
        <v>0</v>
      </c>
      <c r="T8" s="28" t="n">
        <f aca="false">IF(OR($A8="",$F8=0),"",$R8/$F8)</f>
        <v>1</v>
      </c>
      <c r="U8" s="35" t="s">
        <v>235</v>
      </c>
      <c r="V8" s="39" t="s">
        <v>166</v>
      </c>
      <c r="W8" s="0" t="str">
        <f aca="false">IF($A8="","",$A8&amp;"|"&amp;$B8)</f>
        <v>2026-09|WP001</v>
      </c>
    </row>
    <row r="9" customFormat="false" ht="18" hidden="false" customHeight="true" outlineLevel="0" collapsed="false">
      <c r="A9" s="36"/>
      <c r="B9" s="36"/>
      <c r="C9" s="43" t="str">
        <f aca="false">IF($B9="","",IFERROR(VLOOKUP($B9,人员名册!$B$4:$G$53,2,0)&amp;"","名册中未登记"))</f>
        <v/>
      </c>
      <c r="D9" s="43" t="str">
        <f aca="false">IF($B9="","",IFERROR(VLOOKUP($B9,人员名册!$B$4:$G$53,3,0)&amp;"",""))</f>
        <v/>
      </c>
      <c r="E9" s="43" t="str">
        <f aca="false">IF($B9="","",IFERROR(VLOOKUP($B9,人员名册!$B$4:$G$53,5,0)&amp;"",""))</f>
        <v/>
      </c>
      <c r="F9" s="44"/>
      <c r="G9" s="44"/>
      <c r="H9" s="44"/>
      <c r="I9" s="44"/>
      <c r="J9" s="44"/>
      <c r="K9" s="44"/>
      <c r="L9" s="44"/>
      <c r="M9" s="44"/>
      <c r="N9" s="44"/>
      <c r="O9" s="44"/>
      <c r="P9" s="44"/>
      <c r="Q9" s="44"/>
      <c r="R9" s="45" t="str">
        <f aca="false">IF($A9="","",SUM(H9:Q9))</f>
        <v/>
      </c>
      <c r="S9" s="45" t="str">
        <f aca="false">IF($A9="","",ROUND($F9-$G9-$R9,2))</f>
        <v/>
      </c>
      <c r="T9" s="28" t="str">
        <f aca="false">IF(OR($A9="",$F9=0),"",$R9/$F9)</f>
        <v/>
      </c>
      <c r="U9" s="35"/>
      <c r="V9" s="35"/>
      <c r="W9" s="0" t="str">
        <f aca="false">IF($A9="","",$A9&amp;"|"&amp;$B9)</f>
        <v/>
      </c>
    </row>
    <row r="10" customFormat="false" ht="18" hidden="false" customHeight="true" outlineLevel="0" collapsed="false">
      <c r="A10" s="36"/>
      <c r="B10" s="36"/>
      <c r="C10" s="43" t="str">
        <f aca="false">IF($B10="","",IFERROR(VLOOKUP($B10,人员名册!$B$4:$G$53,2,0)&amp;"","名册中未登记"))</f>
        <v/>
      </c>
      <c r="D10" s="43" t="str">
        <f aca="false">IF($B10="","",IFERROR(VLOOKUP($B10,人员名册!$B$4:$G$53,3,0)&amp;"",""))</f>
        <v/>
      </c>
      <c r="E10" s="43" t="str">
        <f aca="false">IF($B10="","",IFERROR(VLOOKUP($B10,人员名册!$B$4:$G$53,5,0)&amp;"",""))</f>
        <v/>
      </c>
      <c r="F10" s="44"/>
      <c r="G10" s="44"/>
      <c r="H10" s="44"/>
      <c r="I10" s="44"/>
      <c r="J10" s="44"/>
      <c r="K10" s="44"/>
      <c r="L10" s="44"/>
      <c r="M10" s="44"/>
      <c r="N10" s="44"/>
      <c r="O10" s="44"/>
      <c r="P10" s="44"/>
      <c r="Q10" s="44"/>
      <c r="R10" s="45" t="str">
        <f aca="false">IF($A10="","",SUM(H10:Q10))</f>
        <v/>
      </c>
      <c r="S10" s="45" t="str">
        <f aca="false">IF($A10="","",ROUND($F10-$G10-$R10,2))</f>
        <v/>
      </c>
      <c r="T10" s="28" t="str">
        <f aca="false">IF(OR($A10="",$F10=0),"",$R10/$F10)</f>
        <v/>
      </c>
      <c r="U10" s="35"/>
      <c r="V10" s="35"/>
      <c r="W10" s="0" t="str">
        <f aca="false">IF($A10="","",$A10&amp;"|"&amp;$B10)</f>
        <v/>
      </c>
    </row>
    <row r="11" customFormat="false" ht="18" hidden="false" customHeight="true" outlineLevel="0" collapsed="false">
      <c r="A11" s="36"/>
      <c r="B11" s="36"/>
      <c r="C11" s="43" t="str">
        <f aca="false">IF($B11="","",IFERROR(VLOOKUP($B11,人员名册!$B$4:$G$53,2,0)&amp;"","名册中未登记"))</f>
        <v/>
      </c>
      <c r="D11" s="43" t="str">
        <f aca="false">IF($B11="","",IFERROR(VLOOKUP($B11,人员名册!$B$4:$G$53,3,0)&amp;"",""))</f>
        <v/>
      </c>
      <c r="E11" s="43" t="str">
        <f aca="false">IF($B11="","",IFERROR(VLOOKUP($B11,人员名册!$B$4:$G$53,5,0)&amp;"",""))</f>
        <v/>
      </c>
      <c r="F11" s="44"/>
      <c r="G11" s="44"/>
      <c r="H11" s="44"/>
      <c r="I11" s="44"/>
      <c r="J11" s="44"/>
      <c r="K11" s="44"/>
      <c r="L11" s="44"/>
      <c r="M11" s="44"/>
      <c r="N11" s="44"/>
      <c r="O11" s="44"/>
      <c r="P11" s="44"/>
      <c r="Q11" s="44"/>
      <c r="R11" s="45" t="str">
        <f aca="false">IF($A11="","",SUM(H11:Q11))</f>
        <v/>
      </c>
      <c r="S11" s="45" t="str">
        <f aca="false">IF($A11="","",ROUND($F11-$G11-$R11,2))</f>
        <v/>
      </c>
      <c r="T11" s="28" t="str">
        <f aca="false">IF(OR($A11="",$F11=0),"",$R11/$F11)</f>
        <v/>
      </c>
      <c r="U11" s="35"/>
      <c r="V11" s="35"/>
      <c r="W11" s="0" t="str">
        <f aca="false">IF($A11="","",$A11&amp;"|"&amp;$B11)</f>
        <v/>
      </c>
    </row>
    <row r="12" customFormat="false" ht="18" hidden="false" customHeight="true" outlineLevel="0" collapsed="false">
      <c r="A12" s="36"/>
      <c r="B12" s="36"/>
      <c r="C12" s="43" t="str">
        <f aca="false">IF($B12="","",IFERROR(VLOOKUP($B12,人员名册!$B$4:$G$53,2,0)&amp;"","名册中未登记"))</f>
        <v/>
      </c>
      <c r="D12" s="43" t="str">
        <f aca="false">IF($B12="","",IFERROR(VLOOKUP($B12,人员名册!$B$4:$G$53,3,0)&amp;"",""))</f>
        <v/>
      </c>
      <c r="E12" s="43" t="str">
        <f aca="false">IF($B12="","",IFERROR(VLOOKUP($B12,人员名册!$B$4:$G$53,5,0)&amp;"",""))</f>
        <v/>
      </c>
      <c r="F12" s="44"/>
      <c r="G12" s="44"/>
      <c r="H12" s="44"/>
      <c r="I12" s="44"/>
      <c r="J12" s="44"/>
      <c r="K12" s="44"/>
      <c r="L12" s="44"/>
      <c r="M12" s="44"/>
      <c r="N12" s="44"/>
      <c r="O12" s="44"/>
      <c r="P12" s="44"/>
      <c r="Q12" s="44"/>
      <c r="R12" s="45" t="str">
        <f aca="false">IF($A12="","",SUM(H12:Q12))</f>
        <v/>
      </c>
      <c r="S12" s="45" t="str">
        <f aca="false">IF($A12="","",ROUND($F12-$G12-$R12,2))</f>
        <v/>
      </c>
      <c r="T12" s="28" t="str">
        <f aca="false">IF(OR($A12="",$F12=0),"",$R12/$F12)</f>
        <v/>
      </c>
      <c r="U12" s="35"/>
      <c r="V12" s="35"/>
      <c r="W12" s="0" t="str">
        <f aca="false">IF($A12="","",$A12&amp;"|"&amp;$B12)</f>
        <v/>
      </c>
    </row>
    <row r="13" customFormat="false" ht="18" hidden="false" customHeight="true" outlineLevel="0" collapsed="false">
      <c r="A13" s="36"/>
      <c r="B13" s="36"/>
      <c r="C13" s="43" t="str">
        <f aca="false">IF($B13="","",IFERROR(VLOOKUP($B13,人员名册!$B$4:$G$53,2,0)&amp;"","名册中未登记"))</f>
        <v/>
      </c>
      <c r="D13" s="43" t="str">
        <f aca="false">IF($B13="","",IFERROR(VLOOKUP($B13,人员名册!$B$4:$G$53,3,0)&amp;"",""))</f>
        <v/>
      </c>
      <c r="E13" s="43" t="str">
        <f aca="false">IF($B13="","",IFERROR(VLOOKUP($B13,人员名册!$B$4:$G$53,5,0)&amp;"",""))</f>
        <v/>
      </c>
      <c r="F13" s="44"/>
      <c r="G13" s="44"/>
      <c r="H13" s="44"/>
      <c r="I13" s="44"/>
      <c r="J13" s="44"/>
      <c r="K13" s="44"/>
      <c r="L13" s="44"/>
      <c r="M13" s="44"/>
      <c r="N13" s="44"/>
      <c r="O13" s="44"/>
      <c r="P13" s="44"/>
      <c r="Q13" s="44"/>
      <c r="R13" s="45" t="str">
        <f aca="false">IF($A13="","",SUM(H13:Q13))</f>
        <v/>
      </c>
      <c r="S13" s="45" t="str">
        <f aca="false">IF($A13="","",ROUND($F13-$G13-$R13,2))</f>
        <v/>
      </c>
      <c r="T13" s="28" t="str">
        <f aca="false">IF(OR($A13="",$F13=0),"",$R13/$F13)</f>
        <v/>
      </c>
      <c r="U13" s="35"/>
      <c r="V13" s="35"/>
      <c r="W13" s="0" t="str">
        <f aca="false">IF($A13="","",$A13&amp;"|"&amp;$B13)</f>
        <v/>
      </c>
    </row>
    <row r="14" customFormat="false" ht="18" hidden="false" customHeight="true" outlineLevel="0" collapsed="false">
      <c r="A14" s="36"/>
      <c r="B14" s="36"/>
      <c r="C14" s="43" t="str">
        <f aca="false">IF($B14="","",IFERROR(VLOOKUP($B14,人员名册!$B$4:$G$53,2,0)&amp;"","名册中未登记"))</f>
        <v/>
      </c>
      <c r="D14" s="43" t="str">
        <f aca="false">IF($B14="","",IFERROR(VLOOKUP($B14,人员名册!$B$4:$G$53,3,0)&amp;"",""))</f>
        <v/>
      </c>
      <c r="E14" s="43" t="str">
        <f aca="false">IF($B14="","",IFERROR(VLOOKUP($B14,人员名册!$B$4:$G$53,5,0)&amp;"",""))</f>
        <v/>
      </c>
      <c r="F14" s="44"/>
      <c r="G14" s="44"/>
      <c r="H14" s="44"/>
      <c r="I14" s="44"/>
      <c r="J14" s="44"/>
      <c r="K14" s="44"/>
      <c r="L14" s="44"/>
      <c r="M14" s="44"/>
      <c r="N14" s="44"/>
      <c r="O14" s="44"/>
      <c r="P14" s="44"/>
      <c r="Q14" s="44"/>
      <c r="R14" s="45" t="str">
        <f aca="false">IF($A14="","",SUM(H14:Q14))</f>
        <v/>
      </c>
      <c r="S14" s="45" t="str">
        <f aca="false">IF($A14="","",ROUND($F14-$G14-$R14,2))</f>
        <v/>
      </c>
      <c r="T14" s="28" t="str">
        <f aca="false">IF(OR($A14="",$F14=0),"",$R14/$F14)</f>
        <v/>
      </c>
      <c r="U14" s="35"/>
      <c r="V14" s="35"/>
      <c r="W14" s="0" t="str">
        <f aca="false">IF($A14="","",$A14&amp;"|"&amp;$B14)</f>
        <v/>
      </c>
    </row>
    <row r="15" customFormat="false" ht="18" hidden="false" customHeight="true" outlineLevel="0" collapsed="false">
      <c r="A15" s="36"/>
      <c r="B15" s="36"/>
      <c r="C15" s="43" t="str">
        <f aca="false">IF($B15="","",IFERROR(VLOOKUP($B15,人员名册!$B$4:$G$53,2,0)&amp;"","名册中未登记"))</f>
        <v/>
      </c>
      <c r="D15" s="43" t="str">
        <f aca="false">IF($B15="","",IFERROR(VLOOKUP($B15,人员名册!$B$4:$G$53,3,0)&amp;"",""))</f>
        <v/>
      </c>
      <c r="E15" s="43" t="str">
        <f aca="false">IF($B15="","",IFERROR(VLOOKUP($B15,人员名册!$B$4:$G$53,5,0)&amp;"",""))</f>
        <v/>
      </c>
      <c r="F15" s="44"/>
      <c r="G15" s="44"/>
      <c r="H15" s="44"/>
      <c r="I15" s="44"/>
      <c r="J15" s="44"/>
      <c r="K15" s="44"/>
      <c r="L15" s="44"/>
      <c r="M15" s="44"/>
      <c r="N15" s="44"/>
      <c r="O15" s="44"/>
      <c r="P15" s="44"/>
      <c r="Q15" s="44"/>
      <c r="R15" s="45" t="str">
        <f aca="false">IF($A15="","",SUM(H15:Q15))</f>
        <v/>
      </c>
      <c r="S15" s="45" t="str">
        <f aca="false">IF($A15="","",ROUND($F15-$G15-$R15,2))</f>
        <v/>
      </c>
      <c r="T15" s="28" t="str">
        <f aca="false">IF(OR($A15="",$F15=0),"",$R15/$F15)</f>
        <v/>
      </c>
      <c r="U15" s="35"/>
      <c r="V15" s="35"/>
      <c r="W15" s="0" t="str">
        <f aca="false">IF($A15="","",$A15&amp;"|"&amp;$B15)</f>
        <v/>
      </c>
    </row>
    <row r="16" customFormat="false" ht="18" hidden="false" customHeight="true" outlineLevel="0" collapsed="false">
      <c r="A16" s="36"/>
      <c r="B16" s="36"/>
      <c r="C16" s="43" t="str">
        <f aca="false">IF($B16="","",IFERROR(VLOOKUP($B16,人员名册!$B$4:$G$53,2,0)&amp;"","名册中未登记"))</f>
        <v/>
      </c>
      <c r="D16" s="43" t="str">
        <f aca="false">IF($B16="","",IFERROR(VLOOKUP($B16,人员名册!$B$4:$G$53,3,0)&amp;"",""))</f>
        <v/>
      </c>
      <c r="E16" s="43" t="str">
        <f aca="false">IF($B16="","",IFERROR(VLOOKUP($B16,人员名册!$B$4:$G$53,5,0)&amp;"",""))</f>
        <v/>
      </c>
      <c r="F16" s="44"/>
      <c r="G16" s="44"/>
      <c r="H16" s="44"/>
      <c r="I16" s="44"/>
      <c r="J16" s="44"/>
      <c r="K16" s="44"/>
      <c r="L16" s="44"/>
      <c r="M16" s="44"/>
      <c r="N16" s="44"/>
      <c r="O16" s="44"/>
      <c r="P16" s="44"/>
      <c r="Q16" s="44"/>
      <c r="R16" s="45" t="str">
        <f aca="false">IF($A16="","",SUM(H16:Q16))</f>
        <v/>
      </c>
      <c r="S16" s="45" t="str">
        <f aca="false">IF($A16="","",ROUND($F16-$G16-$R16,2))</f>
        <v/>
      </c>
      <c r="T16" s="28" t="str">
        <f aca="false">IF(OR($A16="",$F16=0),"",$R16/$F16)</f>
        <v/>
      </c>
      <c r="U16" s="35"/>
      <c r="V16" s="35"/>
      <c r="W16" s="0" t="str">
        <f aca="false">IF($A16="","",$A16&amp;"|"&amp;$B16)</f>
        <v/>
      </c>
    </row>
    <row r="17" customFormat="false" ht="18" hidden="false" customHeight="true" outlineLevel="0" collapsed="false">
      <c r="A17" s="36"/>
      <c r="B17" s="36"/>
      <c r="C17" s="43" t="str">
        <f aca="false">IF($B17="","",IFERROR(VLOOKUP($B17,人员名册!$B$4:$G$53,2,0)&amp;"","名册中未登记"))</f>
        <v/>
      </c>
      <c r="D17" s="43" t="str">
        <f aca="false">IF($B17="","",IFERROR(VLOOKUP($B17,人员名册!$B$4:$G$53,3,0)&amp;"",""))</f>
        <v/>
      </c>
      <c r="E17" s="43" t="str">
        <f aca="false">IF($B17="","",IFERROR(VLOOKUP($B17,人员名册!$B$4:$G$53,5,0)&amp;"",""))</f>
        <v/>
      </c>
      <c r="F17" s="44"/>
      <c r="G17" s="44"/>
      <c r="H17" s="44"/>
      <c r="I17" s="44"/>
      <c r="J17" s="44"/>
      <c r="K17" s="44"/>
      <c r="L17" s="44"/>
      <c r="M17" s="44"/>
      <c r="N17" s="44"/>
      <c r="O17" s="44"/>
      <c r="P17" s="44"/>
      <c r="Q17" s="44"/>
      <c r="R17" s="45" t="str">
        <f aca="false">IF($A17="","",SUM(H17:Q17))</f>
        <v/>
      </c>
      <c r="S17" s="45" t="str">
        <f aca="false">IF($A17="","",ROUND($F17-$G17-$R17,2))</f>
        <v/>
      </c>
      <c r="T17" s="28" t="str">
        <f aca="false">IF(OR($A17="",$F17=0),"",$R17/$F17)</f>
        <v/>
      </c>
      <c r="U17" s="35"/>
      <c r="V17" s="35"/>
      <c r="W17" s="0" t="str">
        <f aca="false">IF($A17="","",$A17&amp;"|"&amp;$B17)</f>
        <v/>
      </c>
    </row>
    <row r="18" customFormat="false" ht="18" hidden="false" customHeight="true" outlineLevel="0" collapsed="false">
      <c r="A18" s="36"/>
      <c r="B18" s="36"/>
      <c r="C18" s="43" t="str">
        <f aca="false">IF($B18="","",IFERROR(VLOOKUP($B18,人员名册!$B$4:$G$53,2,0)&amp;"","名册中未登记"))</f>
        <v/>
      </c>
      <c r="D18" s="43" t="str">
        <f aca="false">IF($B18="","",IFERROR(VLOOKUP($B18,人员名册!$B$4:$G$53,3,0)&amp;"",""))</f>
        <v/>
      </c>
      <c r="E18" s="43" t="str">
        <f aca="false">IF($B18="","",IFERROR(VLOOKUP($B18,人员名册!$B$4:$G$53,5,0)&amp;"",""))</f>
        <v/>
      </c>
      <c r="F18" s="44"/>
      <c r="G18" s="44"/>
      <c r="H18" s="44"/>
      <c r="I18" s="44"/>
      <c r="J18" s="44"/>
      <c r="K18" s="44"/>
      <c r="L18" s="44"/>
      <c r="M18" s="44"/>
      <c r="N18" s="44"/>
      <c r="O18" s="44"/>
      <c r="P18" s="44"/>
      <c r="Q18" s="44"/>
      <c r="R18" s="45" t="str">
        <f aca="false">IF($A18="","",SUM(H18:Q18))</f>
        <v/>
      </c>
      <c r="S18" s="45" t="str">
        <f aca="false">IF($A18="","",ROUND($F18-$G18-$R18,2))</f>
        <v/>
      </c>
      <c r="T18" s="28" t="str">
        <f aca="false">IF(OR($A18="",$F18=0),"",$R18/$F18)</f>
        <v/>
      </c>
      <c r="U18" s="35"/>
      <c r="V18" s="35"/>
      <c r="W18" s="0" t="str">
        <f aca="false">IF($A18="","",$A18&amp;"|"&amp;$B18)</f>
        <v/>
      </c>
    </row>
    <row r="19" customFormat="false" ht="18" hidden="false" customHeight="true" outlineLevel="0" collapsed="false">
      <c r="A19" s="36"/>
      <c r="B19" s="36"/>
      <c r="C19" s="43" t="str">
        <f aca="false">IF($B19="","",IFERROR(VLOOKUP($B19,人员名册!$B$4:$G$53,2,0)&amp;"","名册中未登记"))</f>
        <v/>
      </c>
      <c r="D19" s="43" t="str">
        <f aca="false">IF($B19="","",IFERROR(VLOOKUP($B19,人员名册!$B$4:$G$53,3,0)&amp;"",""))</f>
        <v/>
      </c>
      <c r="E19" s="43" t="str">
        <f aca="false">IF($B19="","",IFERROR(VLOOKUP($B19,人员名册!$B$4:$G$53,5,0)&amp;"",""))</f>
        <v/>
      </c>
      <c r="F19" s="44"/>
      <c r="G19" s="44"/>
      <c r="H19" s="44"/>
      <c r="I19" s="44"/>
      <c r="J19" s="44"/>
      <c r="K19" s="44"/>
      <c r="L19" s="44"/>
      <c r="M19" s="44"/>
      <c r="N19" s="44"/>
      <c r="O19" s="44"/>
      <c r="P19" s="44"/>
      <c r="Q19" s="44"/>
      <c r="R19" s="45" t="str">
        <f aca="false">IF($A19="","",SUM(H19:Q19))</f>
        <v/>
      </c>
      <c r="S19" s="45" t="str">
        <f aca="false">IF($A19="","",ROUND($F19-$G19-$R19,2))</f>
        <v/>
      </c>
      <c r="T19" s="28" t="str">
        <f aca="false">IF(OR($A19="",$F19=0),"",$R19/$F19)</f>
        <v/>
      </c>
      <c r="U19" s="35"/>
      <c r="V19" s="35"/>
      <c r="W19" s="0" t="str">
        <f aca="false">IF($A19="","",$A19&amp;"|"&amp;$B19)</f>
        <v/>
      </c>
    </row>
    <row r="20" customFormat="false" ht="18" hidden="false" customHeight="true" outlineLevel="0" collapsed="false">
      <c r="A20" s="36"/>
      <c r="B20" s="36"/>
      <c r="C20" s="43" t="str">
        <f aca="false">IF($B20="","",IFERROR(VLOOKUP($B20,人员名册!$B$4:$G$53,2,0)&amp;"","名册中未登记"))</f>
        <v/>
      </c>
      <c r="D20" s="43" t="str">
        <f aca="false">IF($B20="","",IFERROR(VLOOKUP($B20,人员名册!$B$4:$G$53,3,0)&amp;"",""))</f>
        <v/>
      </c>
      <c r="E20" s="43" t="str">
        <f aca="false">IF($B20="","",IFERROR(VLOOKUP($B20,人员名册!$B$4:$G$53,5,0)&amp;"",""))</f>
        <v/>
      </c>
      <c r="F20" s="44"/>
      <c r="G20" s="44"/>
      <c r="H20" s="44"/>
      <c r="I20" s="44"/>
      <c r="J20" s="44"/>
      <c r="K20" s="44"/>
      <c r="L20" s="44"/>
      <c r="M20" s="44"/>
      <c r="N20" s="44"/>
      <c r="O20" s="44"/>
      <c r="P20" s="44"/>
      <c r="Q20" s="44"/>
      <c r="R20" s="45" t="str">
        <f aca="false">IF($A20="","",SUM(H20:Q20))</f>
        <v/>
      </c>
      <c r="S20" s="45" t="str">
        <f aca="false">IF($A20="","",ROUND($F20-$G20-$R20,2))</f>
        <v/>
      </c>
      <c r="T20" s="28" t="str">
        <f aca="false">IF(OR($A20="",$F20=0),"",$R20/$F20)</f>
        <v/>
      </c>
      <c r="U20" s="35"/>
      <c r="V20" s="35"/>
      <c r="W20" s="0" t="str">
        <f aca="false">IF($A20="","",$A20&amp;"|"&amp;$B20)</f>
        <v/>
      </c>
    </row>
    <row r="21" customFormat="false" ht="18" hidden="false" customHeight="true" outlineLevel="0" collapsed="false">
      <c r="A21" s="36"/>
      <c r="B21" s="36"/>
      <c r="C21" s="43" t="str">
        <f aca="false">IF($B21="","",IFERROR(VLOOKUP($B21,人员名册!$B$4:$G$53,2,0)&amp;"","名册中未登记"))</f>
        <v/>
      </c>
      <c r="D21" s="43" t="str">
        <f aca="false">IF($B21="","",IFERROR(VLOOKUP($B21,人员名册!$B$4:$G$53,3,0)&amp;"",""))</f>
        <v/>
      </c>
      <c r="E21" s="43" t="str">
        <f aca="false">IF($B21="","",IFERROR(VLOOKUP($B21,人员名册!$B$4:$G$53,5,0)&amp;"",""))</f>
        <v/>
      </c>
      <c r="F21" s="44"/>
      <c r="G21" s="44"/>
      <c r="H21" s="44"/>
      <c r="I21" s="44"/>
      <c r="J21" s="44"/>
      <c r="K21" s="44"/>
      <c r="L21" s="44"/>
      <c r="M21" s="44"/>
      <c r="N21" s="44"/>
      <c r="O21" s="44"/>
      <c r="P21" s="44"/>
      <c r="Q21" s="44"/>
      <c r="R21" s="45" t="str">
        <f aca="false">IF($A21="","",SUM(H21:Q21))</f>
        <v/>
      </c>
      <c r="S21" s="45" t="str">
        <f aca="false">IF($A21="","",ROUND($F21-$G21-$R21,2))</f>
        <v/>
      </c>
      <c r="T21" s="28" t="str">
        <f aca="false">IF(OR($A21="",$F21=0),"",$R21/$F21)</f>
        <v/>
      </c>
      <c r="U21" s="35"/>
      <c r="V21" s="35"/>
      <c r="W21" s="0" t="str">
        <f aca="false">IF($A21="","",$A21&amp;"|"&amp;$B21)</f>
        <v/>
      </c>
    </row>
    <row r="22" customFormat="false" ht="18" hidden="false" customHeight="true" outlineLevel="0" collapsed="false">
      <c r="A22" s="36"/>
      <c r="B22" s="36"/>
      <c r="C22" s="43" t="str">
        <f aca="false">IF($B22="","",IFERROR(VLOOKUP($B22,人员名册!$B$4:$G$53,2,0)&amp;"","名册中未登记"))</f>
        <v/>
      </c>
      <c r="D22" s="43" t="str">
        <f aca="false">IF($B22="","",IFERROR(VLOOKUP($B22,人员名册!$B$4:$G$53,3,0)&amp;"",""))</f>
        <v/>
      </c>
      <c r="E22" s="43" t="str">
        <f aca="false">IF($B22="","",IFERROR(VLOOKUP($B22,人员名册!$B$4:$G$53,5,0)&amp;"",""))</f>
        <v/>
      </c>
      <c r="F22" s="44"/>
      <c r="G22" s="44"/>
      <c r="H22" s="44"/>
      <c r="I22" s="44"/>
      <c r="J22" s="44"/>
      <c r="K22" s="44"/>
      <c r="L22" s="44"/>
      <c r="M22" s="44"/>
      <c r="N22" s="44"/>
      <c r="O22" s="44"/>
      <c r="P22" s="44"/>
      <c r="Q22" s="44"/>
      <c r="R22" s="45" t="str">
        <f aca="false">IF($A22="","",SUM(H22:Q22))</f>
        <v/>
      </c>
      <c r="S22" s="45" t="str">
        <f aca="false">IF($A22="","",ROUND($F22-$G22-$R22,2))</f>
        <v/>
      </c>
      <c r="T22" s="28" t="str">
        <f aca="false">IF(OR($A22="",$F22=0),"",$R22/$F22)</f>
        <v/>
      </c>
      <c r="U22" s="35"/>
      <c r="V22" s="35"/>
      <c r="W22" s="0" t="str">
        <f aca="false">IF($A22="","",$A22&amp;"|"&amp;$B22)</f>
        <v/>
      </c>
    </row>
    <row r="23" customFormat="false" ht="18" hidden="false" customHeight="true" outlineLevel="0" collapsed="false">
      <c r="A23" s="36"/>
      <c r="B23" s="36"/>
      <c r="C23" s="43" t="str">
        <f aca="false">IF($B23="","",IFERROR(VLOOKUP($B23,人员名册!$B$4:$G$53,2,0)&amp;"","名册中未登记"))</f>
        <v/>
      </c>
      <c r="D23" s="43" t="str">
        <f aca="false">IF($B23="","",IFERROR(VLOOKUP($B23,人员名册!$B$4:$G$53,3,0)&amp;"",""))</f>
        <v/>
      </c>
      <c r="E23" s="43" t="str">
        <f aca="false">IF($B23="","",IFERROR(VLOOKUP($B23,人员名册!$B$4:$G$53,5,0)&amp;"",""))</f>
        <v/>
      </c>
      <c r="F23" s="44"/>
      <c r="G23" s="44"/>
      <c r="H23" s="44"/>
      <c r="I23" s="44"/>
      <c r="J23" s="44"/>
      <c r="K23" s="44"/>
      <c r="L23" s="44"/>
      <c r="M23" s="44"/>
      <c r="N23" s="44"/>
      <c r="O23" s="44"/>
      <c r="P23" s="44"/>
      <c r="Q23" s="44"/>
      <c r="R23" s="45" t="str">
        <f aca="false">IF($A23="","",SUM(H23:Q23))</f>
        <v/>
      </c>
      <c r="S23" s="45" t="str">
        <f aca="false">IF($A23="","",ROUND($F23-$G23-$R23,2))</f>
        <v/>
      </c>
      <c r="T23" s="28" t="str">
        <f aca="false">IF(OR($A23="",$F23=0),"",$R23/$F23)</f>
        <v/>
      </c>
      <c r="U23" s="35"/>
      <c r="V23" s="35"/>
      <c r="W23" s="0" t="str">
        <f aca="false">IF($A23="","",$A23&amp;"|"&amp;$B23)</f>
        <v/>
      </c>
    </row>
    <row r="24" customFormat="false" ht="18" hidden="false" customHeight="true" outlineLevel="0" collapsed="false">
      <c r="A24" s="36"/>
      <c r="B24" s="36"/>
      <c r="C24" s="43" t="str">
        <f aca="false">IF($B24="","",IFERROR(VLOOKUP($B24,人员名册!$B$4:$G$53,2,0)&amp;"","名册中未登记"))</f>
        <v/>
      </c>
      <c r="D24" s="43" t="str">
        <f aca="false">IF($B24="","",IFERROR(VLOOKUP($B24,人员名册!$B$4:$G$53,3,0)&amp;"",""))</f>
        <v/>
      </c>
      <c r="E24" s="43" t="str">
        <f aca="false">IF($B24="","",IFERROR(VLOOKUP($B24,人员名册!$B$4:$G$53,5,0)&amp;"",""))</f>
        <v/>
      </c>
      <c r="F24" s="44"/>
      <c r="G24" s="44"/>
      <c r="H24" s="44"/>
      <c r="I24" s="44"/>
      <c r="J24" s="44"/>
      <c r="K24" s="44"/>
      <c r="L24" s="44"/>
      <c r="M24" s="44"/>
      <c r="N24" s="44"/>
      <c r="O24" s="44"/>
      <c r="P24" s="44"/>
      <c r="Q24" s="44"/>
      <c r="R24" s="45" t="str">
        <f aca="false">IF($A24="","",SUM(H24:Q24))</f>
        <v/>
      </c>
      <c r="S24" s="45" t="str">
        <f aca="false">IF($A24="","",ROUND($F24-$G24-$R24,2))</f>
        <v/>
      </c>
      <c r="T24" s="28" t="str">
        <f aca="false">IF(OR($A24="",$F24=0),"",$R24/$F24)</f>
        <v/>
      </c>
      <c r="U24" s="35"/>
      <c r="V24" s="35"/>
      <c r="W24" s="0" t="str">
        <f aca="false">IF($A24="","",$A24&amp;"|"&amp;$B24)</f>
        <v/>
      </c>
    </row>
    <row r="25" customFormat="false" ht="18" hidden="false" customHeight="true" outlineLevel="0" collapsed="false">
      <c r="A25" s="36"/>
      <c r="B25" s="36"/>
      <c r="C25" s="43" t="str">
        <f aca="false">IF($B25="","",IFERROR(VLOOKUP($B25,人员名册!$B$4:$G$53,2,0)&amp;"","名册中未登记"))</f>
        <v/>
      </c>
      <c r="D25" s="43" t="str">
        <f aca="false">IF($B25="","",IFERROR(VLOOKUP($B25,人员名册!$B$4:$G$53,3,0)&amp;"",""))</f>
        <v/>
      </c>
      <c r="E25" s="43" t="str">
        <f aca="false">IF($B25="","",IFERROR(VLOOKUP($B25,人员名册!$B$4:$G$53,5,0)&amp;"",""))</f>
        <v/>
      </c>
      <c r="F25" s="44"/>
      <c r="G25" s="44"/>
      <c r="H25" s="44"/>
      <c r="I25" s="44"/>
      <c r="J25" s="44"/>
      <c r="K25" s="44"/>
      <c r="L25" s="44"/>
      <c r="M25" s="44"/>
      <c r="N25" s="44"/>
      <c r="O25" s="44"/>
      <c r="P25" s="44"/>
      <c r="Q25" s="44"/>
      <c r="R25" s="45" t="str">
        <f aca="false">IF($A25="","",SUM(H25:Q25))</f>
        <v/>
      </c>
      <c r="S25" s="45" t="str">
        <f aca="false">IF($A25="","",ROUND($F25-$G25-$R25,2))</f>
        <v/>
      </c>
      <c r="T25" s="28" t="str">
        <f aca="false">IF(OR($A25="",$F25=0),"",$R25/$F25)</f>
        <v/>
      </c>
      <c r="U25" s="35"/>
      <c r="V25" s="35"/>
      <c r="W25" s="0" t="str">
        <f aca="false">IF($A25="","",$A25&amp;"|"&amp;$B25)</f>
        <v/>
      </c>
    </row>
    <row r="26" customFormat="false" ht="18" hidden="false" customHeight="true" outlineLevel="0" collapsed="false">
      <c r="A26" s="36"/>
      <c r="B26" s="36"/>
      <c r="C26" s="43" t="str">
        <f aca="false">IF($B26="","",IFERROR(VLOOKUP($B26,人员名册!$B$4:$G$53,2,0)&amp;"","名册中未登记"))</f>
        <v/>
      </c>
      <c r="D26" s="43" t="str">
        <f aca="false">IF($B26="","",IFERROR(VLOOKUP($B26,人员名册!$B$4:$G$53,3,0)&amp;"",""))</f>
        <v/>
      </c>
      <c r="E26" s="43" t="str">
        <f aca="false">IF($B26="","",IFERROR(VLOOKUP($B26,人员名册!$B$4:$G$53,5,0)&amp;"",""))</f>
        <v/>
      </c>
      <c r="F26" s="44"/>
      <c r="G26" s="44"/>
      <c r="H26" s="44"/>
      <c r="I26" s="44"/>
      <c r="J26" s="44"/>
      <c r="K26" s="44"/>
      <c r="L26" s="44"/>
      <c r="M26" s="44"/>
      <c r="N26" s="44"/>
      <c r="O26" s="44"/>
      <c r="P26" s="44"/>
      <c r="Q26" s="44"/>
      <c r="R26" s="45" t="str">
        <f aca="false">IF($A26="","",SUM(H26:Q26))</f>
        <v/>
      </c>
      <c r="S26" s="45" t="str">
        <f aca="false">IF($A26="","",ROUND($F26-$G26-$R26,2))</f>
        <v/>
      </c>
      <c r="T26" s="28" t="str">
        <f aca="false">IF(OR($A26="",$F26=0),"",$R26/$F26)</f>
        <v/>
      </c>
      <c r="U26" s="35"/>
      <c r="V26" s="35"/>
      <c r="W26" s="0" t="str">
        <f aca="false">IF($A26="","",$A26&amp;"|"&amp;$B26)</f>
        <v/>
      </c>
    </row>
    <row r="27" customFormat="false" ht="18" hidden="false" customHeight="true" outlineLevel="0" collapsed="false">
      <c r="A27" s="36"/>
      <c r="B27" s="36"/>
      <c r="C27" s="43" t="str">
        <f aca="false">IF($B27="","",IFERROR(VLOOKUP($B27,人员名册!$B$4:$G$53,2,0)&amp;"","名册中未登记"))</f>
        <v/>
      </c>
      <c r="D27" s="43" t="str">
        <f aca="false">IF($B27="","",IFERROR(VLOOKUP($B27,人员名册!$B$4:$G$53,3,0)&amp;"",""))</f>
        <v/>
      </c>
      <c r="E27" s="43" t="str">
        <f aca="false">IF($B27="","",IFERROR(VLOOKUP($B27,人员名册!$B$4:$G$53,5,0)&amp;"",""))</f>
        <v/>
      </c>
      <c r="F27" s="44"/>
      <c r="G27" s="44"/>
      <c r="H27" s="44"/>
      <c r="I27" s="44"/>
      <c r="J27" s="44"/>
      <c r="K27" s="44"/>
      <c r="L27" s="44"/>
      <c r="M27" s="44"/>
      <c r="N27" s="44"/>
      <c r="O27" s="44"/>
      <c r="P27" s="44"/>
      <c r="Q27" s="44"/>
      <c r="R27" s="45" t="str">
        <f aca="false">IF($A27="","",SUM(H27:Q27))</f>
        <v/>
      </c>
      <c r="S27" s="45" t="str">
        <f aca="false">IF($A27="","",ROUND($F27-$G27-$R27,2))</f>
        <v/>
      </c>
      <c r="T27" s="28" t="str">
        <f aca="false">IF(OR($A27="",$F27=0),"",$R27/$F27)</f>
        <v/>
      </c>
      <c r="U27" s="35"/>
      <c r="V27" s="35"/>
      <c r="W27" s="0" t="str">
        <f aca="false">IF($A27="","",$A27&amp;"|"&amp;$B27)</f>
        <v/>
      </c>
    </row>
    <row r="28" customFormat="false" ht="18" hidden="false" customHeight="true" outlineLevel="0" collapsed="false">
      <c r="A28" s="36"/>
      <c r="B28" s="36"/>
      <c r="C28" s="43" t="str">
        <f aca="false">IF($B28="","",IFERROR(VLOOKUP($B28,人员名册!$B$4:$G$53,2,0)&amp;"","名册中未登记"))</f>
        <v/>
      </c>
      <c r="D28" s="43" t="str">
        <f aca="false">IF($B28="","",IFERROR(VLOOKUP($B28,人员名册!$B$4:$G$53,3,0)&amp;"",""))</f>
        <v/>
      </c>
      <c r="E28" s="43" t="str">
        <f aca="false">IF($B28="","",IFERROR(VLOOKUP($B28,人员名册!$B$4:$G$53,5,0)&amp;"",""))</f>
        <v/>
      </c>
      <c r="F28" s="44"/>
      <c r="G28" s="44"/>
      <c r="H28" s="44"/>
      <c r="I28" s="44"/>
      <c r="J28" s="44"/>
      <c r="K28" s="44"/>
      <c r="L28" s="44"/>
      <c r="M28" s="44"/>
      <c r="N28" s="44"/>
      <c r="O28" s="44"/>
      <c r="P28" s="44"/>
      <c r="Q28" s="44"/>
      <c r="R28" s="45" t="str">
        <f aca="false">IF($A28="","",SUM(H28:Q28))</f>
        <v/>
      </c>
      <c r="S28" s="45" t="str">
        <f aca="false">IF($A28="","",ROUND($F28-$G28-$R28,2))</f>
        <v/>
      </c>
      <c r="T28" s="28" t="str">
        <f aca="false">IF(OR($A28="",$F28=0),"",$R28/$F28)</f>
        <v/>
      </c>
      <c r="U28" s="35"/>
      <c r="V28" s="35"/>
      <c r="W28" s="0" t="str">
        <f aca="false">IF($A28="","",$A28&amp;"|"&amp;$B28)</f>
        <v/>
      </c>
    </row>
    <row r="29" customFormat="false" ht="18" hidden="false" customHeight="true" outlineLevel="0" collapsed="false">
      <c r="A29" s="36"/>
      <c r="B29" s="36"/>
      <c r="C29" s="43" t="str">
        <f aca="false">IF($B29="","",IFERROR(VLOOKUP($B29,人员名册!$B$4:$G$53,2,0)&amp;"","名册中未登记"))</f>
        <v/>
      </c>
      <c r="D29" s="43" t="str">
        <f aca="false">IF($B29="","",IFERROR(VLOOKUP($B29,人员名册!$B$4:$G$53,3,0)&amp;"",""))</f>
        <v/>
      </c>
      <c r="E29" s="43" t="str">
        <f aca="false">IF($B29="","",IFERROR(VLOOKUP($B29,人员名册!$B$4:$G$53,5,0)&amp;"",""))</f>
        <v/>
      </c>
      <c r="F29" s="44"/>
      <c r="G29" s="44"/>
      <c r="H29" s="44"/>
      <c r="I29" s="44"/>
      <c r="J29" s="44"/>
      <c r="K29" s="44"/>
      <c r="L29" s="44"/>
      <c r="M29" s="44"/>
      <c r="N29" s="44"/>
      <c r="O29" s="44"/>
      <c r="P29" s="44"/>
      <c r="Q29" s="44"/>
      <c r="R29" s="45" t="str">
        <f aca="false">IF($A29="","",SUM(H29:Q29))</f>
        <v/>
      </c>
      <c r="S29" s="45" t="str">
        <f aca="false">IF($A29="","",ROUND($F29-$G29-$R29,2))</f>
        <v/>
      </c>
      <c r="T29" s="28" t="str">
        <f aca="false">IF(OR($A29="",$F29=0),"",$R29/$F29)</f>
        <v/>
      </c>
      <c r="U29" s="35"/>
      <c r="V29" s="35"/>
      <c r="W29" s="0" t="str">
        <f aca="false">IF($A29="","",$A29&amp;"|"&amp;$B29)</f>
        <v/>
      </c>
    </row>
    <row r="30" customFormat="false" ht="18" hidden="false" customHeight="true" outlineLevel="0" collapsed="false">
      <c r="A30" s="36"/>
      <c r="B30" s="36"/>
      <c r="C30" s="43" t="str">
        <f aca="false">IF($B30="","",IFERROR(VLOOKUP($B30,人员名册!$B$4:$G$53,2,0)&amp;"","名册中未登记"))</f>
        <v/>
      </c>
      <c r="D30" s="43" t="str">
        <f aca="false">IF($B30="","",IFERROR(VLOOKUP($B30,人员名册!$B$4:$G$53,3,0)&amp;"",""))</f>
        <v/>
      </c>
      <c r="E30" s="43" t="str">
        <f aca="false">IF($B30="","",IFERROR(VLOOKUP($B30,人员名册!$B$4:$G$53,5,0)&amp;"",""))</f>
        <v/>
      </c>
      <c r="F30" s="44"/>
      <c r="G30" s="44"/>
      <c r="H30" s="44"/>
      <c r="I30" s="44"/>
      <c r="J30" s="44"/>
      <c r="K30" s="44"/>
      <c r="L30" s="44"/>
      <c r="M30" s="44"/>
      <c r="N30" s="44"/>
      <c r="O30" s="44"/>
      <c r="P30" s="44"/>
      <c r="Q30" s="44"/>
      <c r="R30" s="45" t="str">
        <f aca="false">IF($A30="","",SUM(H30:Q30))</f>
        <v/>
      </c>
      <c r="S30" s="45" t="str">
        <f aca="false">IF($A30="","",ROUND($F30-$G30-$R30,2))</f>
        <v/>
      </c>
      <c r="T30" s="28" t="str">
        <f aca="false">IF(OR($A30="",$F30=0),"",$R30/$F30)</f>
        <v/>
      </c>
      <c r="U30" s="35"/>
      <c r="V30" s="35"/>
      <c r="W30" s="0" t="str">
        <f aca="false">IF($A30="","",$A30&amp;"|"&amp;$B30)</f>
        <v/>
      </c>
    </row>
    <row r="31" customFormat="false" ht="18" hidden="false" customHeight="true" outlineLevel="0" collapsed="false">
      <c r="A31" s="36"/>
      <c r="B31" s="36"/>
      <c r="C31" s="43" t="str">
        <f aca="false">IF($B31="","",IFERROR(VLOOKUP($B31,人员名册!$B$4:$G$53,2,0)&amp;"","名册中未登记"))</f>
        <v/>
      </c>
      <c r="D31" s="43" t="str">
        <f aca="false">IF($B31="","",IFERROR(VLOOKUP($B31,人员名册!$B$4:$G$53,3,0)&amp;"",""))</f>
        <v/>
      </c>
      <c r="E31" s="43" t="str">
        <f aca="false">IF($B31="","",IFERROR(VLOOKUP($B31,人员名册!$B$4:$G$53,5,0)&amp;"",""))</f>
        <v/>
      </c>
      <c r="F31" s="44"/>
      <c r="G31" s="44"/>
      <c r="H31" s="44"/>
      <c r="I31" s="44"/>
      <c r="J31" s="44"/>
      <c r="K31" s="44"/>
      <c r="L31" s="44"/>
      <c r="M31" s="44"/>
      <c r="N31" s="44"/>
      <c r="O31" s="44"/>
      <c r="P31" s="44"/>
      <c r="Q31" s="44"/>
      <c r="R31" s="45" t="str">
        <f aca="false">IF($A31="","",SUM(H31:Q31))</f>
        <v/>
      </c>
      <c r="S31" s="45" t="str">
        <f aca="false">IF($A31="","",ROUND($F31-$G31-$R31,2))</f>
        <v/>
      </c>
      <c r="T31" s="28" t="str">
        <f aca="false">IF(OR($A31="",$F31=0),"",$R31/$F31)</f>
        <v/>
      </c>
      <c r="U31" s="35"/>
      <c r="V31" s="35"/>
      <c r="W31" s="0" t="str">
        <f aca="false">IF($A31="","",$A31&amp;"|"&amp;$B31)</f>
        <v/>
      </c>
    </row>
    <row r="32" customFormat="false" ht="18" hidden="false" customHeight="true" outlineLevel="0" collapsed="false">
      <c r="A32" s="36"/>
      <c r="B32" s="36"/>
      <c r="C32" s="43" t="str">
        <f aca="false">IF($B32="","",IFERROR(VLOOKUP($B32,人员名册!$B$4:$G$53,2,0)&amp;"","名册中未登记"))</f>
        <v/>
      </c>
      <c r="D32" s="43" t="str">
        <f aca="false">IF($B32="","",IFERROR(VLOOKUP($B32,人员名册!$B$4:$G$53,3,0)&amp;"",""))</f>
        <v/>
      </c>
      <c r="E32" s="43" t="str">
        <f aca="false">IF($B32="","",IFERROR(VLOOKUP($B32,人员名册!$B$4:$G$53,5,0)&amp;"",""))</f>
        <v/>
      </c>
      <c r="F32" s="44"/>
      <c r="G32" s="44"/>
      <c r="H32" s="44"/>
      <c r="I32" s="44"/>
      <c r="J32" s="44"/>
      <c r="K32" s="44"/>
      <c r="L32" s="44"/>
      <c r="M32" s="44"/>
      <c r="N32" s="44"/>
      <c r="O32" s="44"/>
      <c r="P32" s="44"/>
      <c r="Q32" s="44"/>
      <c r="R32" s="45" t="str">
        <f aca="false">IF($A32="","",SUM(H32:Q32))</f>
        <v/>
      </c>
      <c r="S32" s="45" t="str">
        <f aca="false">IF($A32="","",ROUND($F32-$G32-$R32,2))</f>
        <v/>
      </c>
      <c r="T32" s="28" t="str">
        <f aca="false">IF(OR($A32="",$F32=0),"",$R32/$F32)</f>
        <v/>
      </c>
      <c r="U32" s="35"/>
      <c r="V32" s="35"/>
      <c r="W32" s="0" t="str">
        <f aca="false">IF($A32="","",$A32&amp;"|"&amp;$B32)</f>
        <v/>
      </c>
    </row>
    <row r="33" customFormat="false" ht="18" hidden="false" customHeight="true" outlineLevel="0" collapsed="false">
      <c r="A33" s="36"/>
      <c r="B33" s="36"/>
      <c r="C33" s="43" t="str">
        <f aca="false">IF($B33="","",IFERROR(VLOOKUP($B33,人员名册!$B$4:$G$53,2,0)&amp;"","名册中未登记"))</f>
        <v/>
      </c>
      <c r="D33" s="43" t="str">
        <f aca="false">IF($B33="","",IFERROR(VLOOKUP($B33,人员名册!$B$4:$G$53,3,0)&amp;"",""))</f>
        <v/>
      </c>
      <c r="E33" s="43" t="str">
        <f aca="false">IF($B33="","",IFERROR(VLOOKUP($B33,人员名册!$B$4:$G$53,5,0)&amp;"",""))</f>
        <v/>
      </c>
      <c r="F33" s="44"/>
      <c r="G33" s="44"/>
      <c r="H33" s="44"/>
      <c r="I33" s="44"/>
      <c r="J33" s="44"/>
      <c r="K33" s="44"/>
      <c r="L33" s="44"/>
      <c r="M33" s="44"/>
      <c r="N33" s="44"/>
      <c r="O33" s="44"/>
      <c r="P33" s="44"/>
      <c r="Q33" s="44"/>
      <c r="R33" s="45" t="str">
        <f aca="false">IF($A33="","",SUM(H33:Q33))</f>
        <v/>
      </c>
      <c r="S33" s="45" t="str">
        <f aca="false">IF($A33="","",ROUND($F33-$G33-$R33,2))</f>
        <v/>
      </c>
      <c r="T33" s="28" t="str">
        <f aca="false">IF(OR($A33="",$F33=0),"",$R33/$F33)</f>
        <v/>
      </c>
      <c r="U33" s="35"/>
      <c r="V33" s="35"/>
      <c r="W33" s="0" t="str">
        <f aca="false">IF($A33="","",$A33&amp;"|"&amp;$B33)</f>
        <v/>
      </c>
    </row>
    <row r="34" customFormat="false" ht="18" hidden="false" customHeight="true" outlineLevel="0" collapsed="false">
      <c r="A34" s="36"/>
      <c r="B34" s="36"/>
      <c r="C34" s="43" t="str">
        <f aca="false">IF($B34="","",IFERROR(VLOOKUP($B34,人员名册!$B$4:$G$53,2,0)&amp;"","名册中未登记"))</f>
        <v/>
      </c>
      <c r="D34" s="43" t="str">
        <f aca="false">IF($B34="","",IFERROR(VLOOKUP($B34,人员名册!$B$4:$G$53,3,0)&amp;"",""))</f>
        <v/>
      </c>
      <c r="E34" s="43" t="str">
        <f aca="false">IF($B34="","",IFERROR(VLOOKUP($B34,人员名册!$B$4:$G$53,5,0)&amp;"",""))</f>
        <v/>
      </c>
      <c r="F34" s="44"/>
      <c r="G34" s="44"/>
      <c r="H34" s="44"/>
      <c r="I34" s="44"/>
      <c r="J34" s="44"/>
      <c r="K34" s="44"/>
      <c r="L34" s="44"/>
      <c r="M34" s="44"/>
      <c r="N34" s="44"/>
      <c r="O34" s="44"/>
      <c r="P34" s="44"/>
      <c r="Q34" s="44"/>
      <c r="R34" s="45" t="str">
        <f aca="false">IF($A34="","",SUM(H34:Q34))</f>
        <v/>
      </c>
      <c r="S34" s="45" t="str">
        <f aca="false">IF($A34="","",ROUND($F34-$G34-$R34,2))</f>
        <v/>
      </c>
      <c r="T34" s="28" t="str">
        <f aca="false">IF(OR($A34="",$F34=0),"",$R34/$F34)</f>
        <v/>
      </c>
      <c r="U34" s="35"/>
      <c r="V34" s="35"/>
      <c r="W34" s="0" t="str">
        <f aca="false">IF($A34="","",$A34&amp;"|"&amp;$B34)</f>
        <v/>
      </c>
    </row>
    <row r="35" customFormat="false" ht="18" hidden="false" customHeight="true" outlineLevel="0" collapsed="false">
      <c r="A35" s="36"/>
      <c r="B35" s="36"/>
      <c r="C35" s="43" t="str">
        <f aca="false">IF($B35="","",IFERROR(VLOOKUP($B35,人员名册!$B$4:$G$53,2,0)&amp;"","名册中未登记"))</f>
        <v/>
      </c>
      <c r="D35" s="43" t="str">
        <f aca="false">IF($B35="","",IFERROR(VLOOKUP($B35,人员名册!$B$4:$G$53,3,0)&amp;"",""))</f>
        <v/>
      </c>
      <c r="E35" s="43" t="str">
        <f aca="false">IF($B35="","",IFERROR(VLOOKUP($B35,人员名册!$B$4:$G$53,5,0)&amp;"",""))</f>
        <v/>
      </c>
      <c r="F35" s="44"/>
      <c r="G35" s="44"/>
      <c r="H35" s="44"/>
      <c r="I35" s="44"/>
      <c r="J35" s="44"/>
      <c r="K35" s="44"/>
      <c r="L35" s="44"/>
      <c r="M35" s="44"/>
      <c r="N35" s="44"/>
      <c r="O35" s="44"/>
      <c r="P35" s="44"/>
      <c r="Q35" s="44"/>
      <c r="R35" s="45" t="str">
        <f aca="false">IF($A35="","",SUM(H35:Q35))</f>
        <v/>
      </c>
      <c r="S35" s="45" t="str">
        <f aca="false">IF($A35="","",ROUND($F35-$G35-$R35,2))</f>
        <v/>
      </c>
      <c r="T35" s="28" t="str">
        <f aca="false">IF(OR($A35="",$F35=0),"",$R35/$F35)</f>
        <v/>
      </c>
      <c r="U35" s="35"/>
      <c r="V35" s="35"/>
      <c r="W35" s="0" t="str">
        <f aca="false">IF($A35="","",$A35&amp;"|"&amp;$B35)</f>
        <v/>
      </c>
    </row>
    <row r="36" customFormat="false" ht="18" hidden="false" customHeight="true" outlineLevel="0" collapsed="false">
      <c r="A36" s="36"/>
      <c r="B36" s="36"/>
      <c r="C36" s="43" t="str">
        <f aca="false">IF($B36="","",IFERROR(VLOOKUP($B36,人员名册!$B$4:$G$53,2,0)&amp;"","名册中未登记"))</f>
        <v/>
      </c>
      <c r="D36" s="43" t="str">
        <f aca="false">IF($B36="","",IFERROR(VLOOKUP($B36,人员名册!$B$4:$G$53,3,0)&amp;"",""))</f>
        <v/>
      </c>
      <c r="E36" s="43" t="str">
        <f aca="false">IF($B36="","",IFERROR(VLOOKUP($B36,人员名册!$B$4:$G$53,5,0)&amp;"",""))</f>
        <v/>
      </c>
      <c r="F36" s="44"/>
      <c r="G36" s="44"/>
      <c r="H36" s="44"/>
      <c r="I36" s="44"/>
      <c r="J36" s="44"/>
      <c r="K36" s="44"/>
      <c r="L36" s="44"/>
      <c r="M36" s="44"/>
      <c r="N36" s="44"/>
      <c r="O36" s="44"/>
      <c r="P36" s="44"/>
      <c r="Q36" s="44"/>
      <c r="R36" s="45" t="str">
        <f aca="false">IF($A36="","",SUM(H36:Q36))</f>
        <v/>
      </c>
      <c r="S36" s="45" t="str">
        <f aca="false">IF($A36="","",ROUND($F36-$G36-$R36,2))</f>
        <v/>
      </c>
      <c r="T36" s="28" t="str">
        <f aca="false">IF(OR($A36="",$F36=0),"",$R36/$F36)</f>
        <v/>
      </c>
      <c r="U36" s="35"/>
      <c r="V36" s="35"/>
      <c r="W36" s="0" t="str">
        <f aca="false">IF($A36="","",$A36&amp;"|"&amp;$B36)</f>
        <v/>
      </c>
    </row>
    <row r="37" customFormat="false" ht="18" hidden="false" customHeight="true" outlineLevel="0" collapsed="false">
      <c r="A37" s="36"/>
      <c r="B37" s="36"/>
      <c r="C37" s="43" t="str">
        <f aca="false">IF($B37="","",IFERROR(VLOOKUP($B37,人员名册!$B$4:$G$53,2,0)&amp;"","名册中未登记"))</f>
        <v/>
      </c>
      <c r="D37" s="43" t="str">
        <f aca="false">IF($B37="","",IFERROR(VLOOKUP($B37,人员名册!$B$4:$G$53,3,0)&amp;"",""))</f>
        <v/>
      </c>
      <c r="E37" s="43" t="str">
        <f aca="false">IF($B37="","",IFERROR(VLOOKUP($B37,人员名册!$B$4:$G$53,5,0)&amp;"",""))</f>
        <v/>
      </c>
      <c r="F37" s="44"/>
      <c r="G37" s="44"/>
      <c r="H37" s="44"/>
      <c r="I37" s="44"/>
      <c r="J37" s="44"/>
      <c r="K37" s="44"/>
      <c r="L37" s="44"/>
      <c r="M37" s="44"/>
      <c r="N37" s="44"/>
      <c r="O37" s="44"/>
      <c r="P37" s="44"/>
      <c r="Q37" s="44"/>
      <c r="R37" s="45" t="str">
        <f aca="false">IF($A37="","",SUM(H37:Q37))</f>
        <v/>
      </c>
      <c r="S37" s="45" t="str">
        <f aca="false">IF($A37="","",ROUND($F37-$G37-$R37,2))</f>
        <v/>
      </c>
      <c r="T37" s="28" t="str">
        <f aca="false">IF(OR($A37="",$F37=0),"",$R37/$F37)</f>
        <v/>
      </c>
      <c r="U37" s="35"/>
      <c r="V37" s="35"/>
      <c r="W37" s="0" t="str">
        <f aca="false">IF($A37="","",$A37&amp;"|"&amp;$B37)</f>
        <v/>
      </c>
    </row>
    <row r="38" customFormat="false" ht="18" hidden="false" customHeight="true" outlineLevel="0" collapsed="false">
      <c r="A38" s="36"/>
      <c r="B38" s="36"/>
      <c r="C38" s="43" t="str">
        <f aca="false">IF($B38="","",IFERROR(VLOOKUP($B38,人员名册!$B$4:$G$53,2,0)&amp;"","名册中未登记"))</f>
        <v/>
      </c>
      <c r="D38" s="43" t="str">
        <f aca="false">IF($B38="","",IFERROR(VLOOKUP($B38,人员名册!$B$4:$G$53,3,0)&amp;"",""))</f>
        <v/>
      </c>
      <c r="E38" s="43" t="str">
        <f aca="false">IF($B38="","",IFERROR(VLOOKUP($B38,人员名册!$B$4:$G$53,5,0)&amp;"",""))</f>
        <v/>
      </c>
      <c r="F38" s="44"/>
      <c r="G38" s="44"/>
      <c r="H38" s="44"/>
      <c r="I38" s="44"/>
      <c r="J38" s="44"/>
      <c r="K38" s="44"/>
      <c r="L38" s="44"/>
      <c r="M38" s="44"/>
      <c r="N38" s="44"/>
      <c r="O38" s="44"/>
      <c r="P38" s="44"/>
      <c r="Q38" s="44"/>
      <c r="R38" s="45" t="str">
        <f aca="false">IF($A38="","",SUM(H38:Q38))</f>
        <v/>
      </c>
      <c r="S38" s="45" t="str">
        <f aca="false">IF($A38="","",ROUND($F38-$G38-$R38,2))</f>
        <v/>
      </c>
      <c r="T38" s="28" t="str">
        <f aca="false">IF(OR($A38="",$F38=0),"",$R38/$F38)</f>
        <v/>
      </c>
      <c r="U38" s="35"/>
      <c r="V38" s="35"/>
      <c r="W38" s="0" t="str">
        <f aca="false">IF($A38="","",$A38&amp;"|"&amp;$B38)</f>
        <v/>
      </c>
    </row>
    <row r="39" customFormat="false" ht="18" hidden="false" customHeight="true" outlineLevel="0" collapsed="false">
      <c r="A39" s="36"/>
      <c r="B39" s="36"/>
      <c r="C39" s="43" t="str">
        <f aca="false">IF($B39="","",IFERROR(VLOOKUP($B39,人员名册!$B$4:$G$53,2,0)&amp;"","名册中未登记"))</f>
        <v/>
      </c>
      <c r="D39" s="43" t="str">
        <f aca="false">IF($B39="","",IFERROR(VLOOKUP($B39,人员名册!$B$4:$G$53,3,0)&amp;"",""))</f>
        <v/>
      </c>
      <c r="E39" s="43" t="str">
        <f aca="false">IF($B39="","",IFERROR(VLOOKUP($B39,人员名册!$B$4:$G$53,5,0)&amp;"",""))</f>
        <v/>
      </c>
      <c r="F39" s="44"/>
      <c r="G39" s="44"/>
      <c r="H39" s="44"/>
      <c r="I39" s="44"/>
      <c r="J39" s="44"/>
      <c r="K39" s="44"/>
      <c r="L39" s="44"/>
      <c r="M39" s="44"/>
      <c r="N39" s="44"/>
      <c r="O39" s="44"/>
      <c r="P39" s="44"/>
      <c r="Q39" s="44"/>
      <c r="R39" s="45" t="str">
        <f aca="false">IF($A39="","",SUM(H39:Q39))</f>
        <v/>
      </c>
      <c r="S39" s="45" t="str">
        <f aca="false">IF($A39="","",ROUND($F39-$G39-$R39,2))</f>
        <v/>
      </c>
      <c r="T39" s="28" t="str">
        <f aca="false">IF(OR($A39="",$F39=0),"",$R39/$F39)</f>
        <v/>
      </c>
      <c r="U39" s="35"/>
      <c r="V39" s="35"/>
      <c r="W39" s="0" t="str">
        <f aca="false">IF($A39="","",$A39&amp;"|"&amp;$B39)</f>
        <v/>
      </c>
    </row>
    <row r="40" customFormat="false" ht="18" hidden="false" customHeight="true" outlineLevel="0" collapsed="false">
      <c r="A40" s="36"/>
      <c r="B40" s="36"/>
      <c r="C40" s="43" t="str">
        <f aca="false">IF($B40="","",IFERROR(VLOOKUP($B40,人员名册!$B$4:$G$53,2,0)&amp;"","名册中未登记"))</f>
        <v/>
      </c>
      <c r="D40" s="43" t="str">
        <f aca="false">IF($B40="","",IFERROR(VLOOKUP($B40,人员名册!$B$4:$G$53,3,0)&amp;"",""))</f>
        <v/>
      </c>
      <c r="E40" s="43" t="str">
        <f aca="false">IF($B40="","",IFERROR(VLOOKUP($B40,人员名册!$B$4:$G$53,5,0)&amp;"",""))</f>
        <v/>
      </c>
      <c r="F40" s="44"/>
      <c r="G40" s="44"/>
      <c r="H40" s="44"/>
      <c r="I40" s="44"/>
      <c r="J40" s="44"/>
      <c r="K40" s="44"/>
      <c r="L40" s="44"/>
      <c r="M40" s="44"/>
      <c r="N40" s="44"/>
      <c r="O40" s="44"/>
      <c r="P40" s="44"/>
      <c r="Q40" s="44"/>
      <c r="R40" s="45" t="str">
        <f aca="false">IF($A40="","",SUM(H40:Q40))</f>
        <v/>
      </c>
      <c r="S40" s="45" t="str">
        <f aca="false">IF($A40="","",ROUND($F40-$G40-$R40,2))</f>
        <v/>
      </c>
      <c r="T40" s="28" t="str">
        <f aca="false">IF(OR($A40="",$F40=0),"",$R40/$F40)</f>
        <v/>
      </c>
      <c r="U40" s="35"/>
      <c r="V40" s="35"/>
      <c r="W40" s="0" t="str">
        <f aca="false">IF($A40="","",$A40&amp;"|"&amp;$B40)</f>
        <v/>
      </c>
    </row>
    <row r="41" customFormat="false" ht="18" hidden="false" customHeight="true" outlineLevel="0" collapsed="false">
      <c r="A41" s="36"/>
      <c r="B41" s="36"/>
      <c r="C41" s="43" t="str">
        <f aca="false">IF($B41="","",IFERROR(VLOOKUP($B41,人员名册!$B$4:$G$53,2,0)&amp;"","名册中未登记"))</f>
        <v/>
      </c>
      <c r="D41" s="43" t="str">
        <f aca="false">IF($B41="","",IFERROR(VLOOKUP($B41,人员名册!$B$4:$G$53,3,0)&amp;"",""))</f>
        <v/>
      </c>
      <c r="E41" s="43" t="str">
        <f aca="false">IF($B41="","",IFERROR(VLOOKUP($B41,人员名册!$B$4:$G$53,5,0)&amp;"",""))</f>
        <v/>
      </c>
      <c r="F41" s="44"/>
      <c r="G41" s="44"/>
      <c r="H41" s="44"/>
      <c r="I41" s="44"/>
      <c r="J41" s="44"/>
      <c r="K41" s="44"/>
      <c r="L41" s="44"/>
      <c r="M41" s="44"/>
      <c r="N41" s="44"/>
      <c r="O41" s="44"/>
      <c r="P41" s="44"/>
      <c r="Q41" s="44"/>
      <c r="R41" s="45" t="str">
        <f aca="false">IF($A41="","",SUM(H41:Q41))</f>
        <v/>
      </c>
      <c r="S41" s="45" t="str">
        <f aca="false">IF($A41="","",ROUND($F41-$G41-$R41,2))</f>
        <v/>
      </c>
      <c r="T41" s="28" t="str">
        <f aca="false">IF(OR($A41="",$F41=0),"",$R41/$F41)</f>
        <v/>
      </c>
      <c r="U41" s="35"/>
      <c r="V41" s="35"/>
      <c r="W41" s="0" t="str">
        <f aca="false">IF($A41="","",$A41&amp;"|"&amp;$B41)</f>
        <v/>
      </c>
    </row>
    <row r="42" customFormat="false" ht="18" hidden="false" customHeight="true" outlineLevel="0" collapsed="false">
      <c r="A42" s="36"/>
      <c r="B42" s="36"/>
      <c r="C42" s="43" t="str">
        <f aca="false">IF($B42="","",IFERROR(VLOOKUP($B42,人员名册!$B$4:$G$53,2,0)&amp;"","名册中未登记"))</f>
        <v/>
      </c>
      <c r="D42" s="43" t="str">
        <f aca="false">IF($B42="","",IFERROR(VLOOKUP($B42,人员名册!$B$4:$G$53,3,0)&amp;"",""))</f>
        <v/>
      </c>
      <c r="E42" s="43" t="str">
        <f aca="false">IF($B42="","",IFERROR(VLOOKUP($B42,人员名册!$B$4:$G$53,5,0)&amp;"",""))</f>
        <v/>
      </c>
      <c r="F42" s="44"/>
      <c r="G42" s="44"/>
      <c r="H42" s="44"/>
      <c r="I42" s="44"/>
      <c r="J42" s="44"/>
      <c r="K42" s="44"/>
      <c r="L42" s="44"/>
      <c r="M42" s="44"/>
      <c r="N42" s="44"/>
      <c r="O42" s="44"/>
      <c r="P42" s="44"/>
      <c r="Q42" s="44"/>
      <c r="R42" s="45" t="str">
        <f aca="false">IF($A42="","",SUM(H42:Q42))</f>
        <v/>
      </c>
      <c r="S42" s="45" t="str">
        <f aca="false">IF($A42="","",ROUND($F42-$G42-$R42,2))</f>
        <v/>
      </c>
      <c r="T42" s="28" t="str">
        <f aca="false">IF(OR($A42="",$F42=0),"",$R42/$F42)</f>
        <v/>
      </c>
      <c r="U42" s="35"/>
      <c r="V42" s="35"/>
      <c r="W42" s="0" t="str">
        <f aca="false">IF($A42="","",$A42&amp;"|"&amp;$B42)</f>
        <v/>
      </c>
    </row>
    <row r="43" customFormat="false" ht="18" hidden="false" customHeight="true" outlineLevel="0" collapsed="false">
      <c r="A43" s="36"/>
      <c r="B43" s="36"/>
      <c r="C43" s="43" t="str">
        <f aca="false">IF($B43="","",IFERROR(VLOOKUP($B43,人员名册!$B$4:$G$53,2,0)&amp;"","名册中未登记"))</f>
        <v/>
      </c>
      <c r="D43" s="43" t="str">
        <f aca="false">IF($B43="","",IFERROR(VLOOKUP($B43,人员名册!$B$4:$G$53,3,0)&amp;"",""))</f>
        <v/>
      </c>
      <c r="E43" s="43" t="str">
        <f aca="false">IF($B43="","",IFERROR(VLOOKUP($B43,人员名册!$B$4:$G$53,5,0)&amp;"",""))</f>
        <v/>
      </c>
      <c r="F43" s="44"/>
      <c r="G43" s="44"/>
      <c r="H43" s="44"/>
      <c r="I43" s="44"/>
      <c r="J43" s="44"/>
      <c r="K43" s="44"/>
      <c r="L43" s="44"/>
      <c r="M43" s="44"/>
      <c r="N43" s="44"/>
      <c r="O43" s="44"/>
      <c r="P43" s="44"/>
      <c r="Q43" s="44"/>
      <c r="R43" s="45" t="str">
        <f aca="false">IF($A43="","",SUM(H43:Q43))</f>
        <v/>
      </c>
      <c r="S43" s="45" t="str">
        <f aca="false">IF($A43="","",ROUND($F43-$G43-$R43,2))</f>
        <v/>
      </c>
      <c r="T43" s="28" t="str">
        <f aca="false">IF(OR($A43="",$F43=0),"",$R43/$F43)</f>
        <v/>
      </c>
      <c r="U43" s="35"/>
      <c r="V43" s="35"/>
      <c r="W43" s="0" t="str">
        <f aca="false">IF($A43="","",$A43&amp;"|"&amp;$B43)</f>
        <v/>
      </c>
    </row>
    <row r="44" customFormat="false" ht="18" hidden="false" customHeight="true" outlineLevel="0" collapsed="false">
      <c r="A44" s="36"/>
      <c r="B44" s="36"/>
      <c r="C44" s="43" t="str">
        <f aca="false">IF($B44="","",IFERROR(VLOOKUP($B44,人员名册!$B$4:$G$53,2,0)&amp;"","名册中未登记"))</f>
        <v/>
      </c>
      <c r="D44" s="43" t="str">
        <f aca="false">IF($B44="","",IFERROR(VLOOKUP($B44,人员名册!$B$4:$G$53,3,0)&amp;"",""))</f>
        <v/>
      </c>
      <c r="E44" s="43" t="str">
        <f aca="false">IF($B44="","",IFERROR(VLOOKUP($B44,人员名册!$B$4:$G$53,5,0)&amp;"",""))</f>
        <v/>
      </c>
      <c r="F44" s="44"/>
      <c r="G44" s="44"/>
      <c r="H44" s="44"/>
      <c r="I44" s="44"/>
      <c r="J44" s="44"/>
      <c r="K44" s="44"/>
      <c r="L44" s="44"/>
      <c r="M44" s="44"/>
      <c r="N44" s="44"/>
      <c r="O44" s="44"/>
      <c r="P44" s="44"/>
      <c r="Q44" s="44"/>
      <c r="R44" s="45" t="str">
        <f aca="false">IF($A44="","",SUM(H44:Q44))</f>
        <v/>
      </c>
      <c r="S44" s="45" t="str">
        <f aca="false">IF($A44="","",ROUND($F44-$G44-$R44,2))</f>
        <v/>
      </c>
      <c r="T44" s="28" t="str">
        <f aca="false">IF(OR($A44="",$F44=0),"",$R44/$F44)</f>
        <v/>
      </c>
      <c r="U44" s="35"/>
      <c r="V44" s="35"/>
      <c r="W44" s="0" t="str">
        <f aca="false">IF($A44="","",$A44&amp;"|"&amp;$B44)</f>
        <v/>
      </c>
    </row>
    <row r="45" customFormat="false" ht="18" hidden="false" customHeight="true" outlineLevel="0" collapsed="false">
      <c r="A45" s="36"/>
      <c r="B45" s="36"/>
      <c r="C45" s="43" t="str">
        <f aca="false">IF($B45="","",IFERROR(VLOOKUP($B45,人员名册!$B$4:$G$53,2,0)&amp;"","名册中未登记"))</f>
        <v/>
      </c>
      <c r="D45" s="43" t="str">
        <f aca="false">IF($B45="","",IFERROR(VLOOKUP($B45,人员名册!$B$4:$G$53,3,0)&amp;"",""))</f>
        <v/>
      </c>
      <c r="E45" s="43" t="str">
        <f aca="false">IF($B45="","",IFERROR(VLOOKUP($B45,人员名册!$B$4:$G$53,5,0)&amp;"",""))</f>
        <v/>
      </c>
      <c r="F45" s="44"/>
      <c r="G45" s="44"/>
      <c r="H45" s="44"/>
      <c r="I45" s="44"/>
      <c r="J45" s="44"/>
      <c r="K45" s="44"/>
      <c r="L45" s="44"/>
      <c r="M45" s="44"/>
      <c r="N45" s="44"/>
      <c r="O45" s="44"/>
      <c r="P45" s="44"/>
      <c r="Q45" s="44"/>
      <c r="R45" s="45" t="str">
        <f aca="false">IF($A45="","",SUM(H45:Q45))</f>
        <v/>
      </c>
      <c r="S45" s="45" t="str">
        <f aca="false">IF($A45="","",ROUND($F45-$G45-$R45,2))</f>
        <v/>
      </c>
      <c r="T45" s="28" t="str">
        <f aca="false">IF(OR($A45="",$F45=0),"",$R45/$F45)</f>
        <v/>
      </c>
      <c r="U45" s="35"/>
      <c r="V45" s="35"/>
      <c r="W45" s="0" t="str">
        <f aca="false">IF($A45="","",$A45&amp;"|"&amp;$B45)</f>
        <v/>
      </c>
    </row>
    <row r="46" customFormat="false" ht="18" hidden="false" customHeight="true" outlineLevel="0" collapsed="false">
      <c r="A46" s="36"/>
      <c r="B46" s="36"/>
      <c r="C46" s="43" t="str">
        <f aca="false">IF($B46="","",IFERROR(VLOOKUP($B46,人员名册!$B$4:$G$53,2,0)&amp;"","名册中未登记"))</f>
        <v/>
      </c>
      <c r="D46" s="43" t="str">
        <f aca="false">IF($B46="","",IFERROR(VLOOKUP($B46,人员名册!$B$4:$G$53,3,0)&amp;"",""))</f>
        <v/>
      </c>
      <c r="E46" s="43" t="str">
        <f aca="false">IF($B46="","",IFERROR(VLOOKUP($B46,人员名册!$B$4:$G$53,5,0)&amp;"",""))</f>
        <v/>
      </c>
      <c r="F46" s="44"/>
      <c r="G46" s="44"/>
      <c r="H46" s="44"/>
      <c r="I46" s="44"/>
      <c r="J46" s="44"/>
      <c r="K46" s="44"/>
      <c r="L46" s="44"/>
      <c r="M46" s="44"/>
      <c r="N46" s="44"/>
      <c r="O46" s="44"/>
      <c r="P46" s="44"/>
      <c r="Q46" s="44"/>
      <c r="R46" s="45" t="str">
        <f aca="false">IF($A46="","",SUM(H46:Q46))</f>
        <v/>
      </c>
      <c r="S46" s="45" t="str">
        <f aca="false">IF($A46="","",ROUND($F46-$G46-$R46,2))</f>
        <v/>
      </c>
      <c r="T46" s="28" t="str">
        <f aca="false">IF(OR($A46="",$F46=0),"",$R46/$F46)</f>
        <v/>
      </c>
      <c r="U46" s="35"/>
      <c r="V46" s="35"/>
      <c r="W46" s="0" t="str">
        <f aca="false">IF($A46="","",$A46&amp;"|"&amp;$B46)</f>
        <v/>
      </c>
    </row>
    <row r="47" customFormat="false" ht="18" hidden="false" customHeight="true" outlineLevel="0" collapsed="false">
      <c r="A47" s="36"/>
      <c r="B47" s="36"/>
      <c r="C47" s="43" t="str">
        <f aca="false">IF($B47="","",IFERROR(VLOOKUP($B47,人员名册!$B$4:$G$53,2,0)&amp;"","名册中未登记"))</f>
        <v/>
      </c>
      <c r="D47" s="43" t="str">
        <f aca="false">IF($B47="","",IFERROR(VLOOKUP($B47,人员名册!$B$4:$G$53,3,0)&amp;"",""))</f>
        <v/>
      </c>
      <c r="E47" s="43" t="str">
        <f aca="false">IF($B47="","",IFERROR(VLOOKUP($B47,人员名册!$B$4:$G$53,5,0)&amp;"",""))</f>
        <v/>
      </c>
      <c r="F47" s="44"/>
      <c r="G47" s="44"/>
      <c r="H47" s="44"/>
      <c r="I47" s="44"/>
      <c r="J47" s="44"/>
      <c r="K47" s="44"/>
      <c r="L47" s="44"/>
      <c r="M47" s="44"/>
      <c r="N47" s="44"/>
      <c r="O47" s="44"/>
      <c r="P47" s="44"/>
      <c r="Q47" s="44"/>
      <c r="R47" s="45" t="str">
        <f aca="false">IF($A47="","",SUM(H47:Q47))</f>
        <v/>
      </c>
      <c r="S47" s="45" t="str">
        <f aca="false">IF($A47="","",ROUND($F47-$G47-$R47,2))</f>
        <v/>
      </c>
      <c r="T47" s="28" t="str">
        <f aca="false">IF(OR($A47="",$F47=0),"",$R47/$F47)</f>
        <v/>
      </c>
      <c r="U47" s="35"/>
      <c r="V47" s="35"/>
      <c r="W47" s="0" t="str">
        <f aca="false">IF($A47="","",$A47&amp;"|"&amp;$B47)</f>
        <v/>
      </c>
    </row>
    <row r="48" customFormat="false" ht="18" hidden="false" customHeight="true" outlineLevel="0" collapsed="false">
      <c r="A48" s="36"/>
      <c r="B48" s="36"/>
      <c r="C48" s="43" t="str">
        <f aca="false">IF($B48="","",IFERROR(VLOOKUP($B48,人员名册!$B$4:$G$53,2,0)&amp;"","名册中未登记"))</f>
        <v/>
      </c>
      <c r="D48" s="43" t="str">
        <f aca="false">IF($B48="","",IFERROR(VLOOKUP($B48,人员名册!$B$4:$G$53,3,0)&amp;"",""))</f>
        <v/>
      </c>
      <c r="E48" s="43" t="str">
        <f aca="false">IF($B48="","",IFERROR(VLOOKUP($B48,人员名册!$B$4:$G$53,5,0)&amp;"",""))</f>
        <v/>
      </c>
      <c r="F48" s="44"/>
      <c r="G48" s="44"/>
      <c r="H48" s="44"/>
      <c r="I48" s="44"/>
      <c r="J48" s="44"/>
      <c r="K48" s="44"/>
      <c r="L48" s="44"/>
      <c r="M48" s="44"/>
      <c r="N48" s="44"/>
      <c r="O48" s="44"/>
      <c r="P48" s="44"/>
      <c r="Q48" s="44"/>
      <c r="R48" s="45" t="str">
        <f aca="false">IF($A48="","",SUM(H48:Q48))</f>
        <v/>
      </c>
      <c r="S48" s="45" t="str">
        <f aca="false">IF($A48="","",ROUND($F48-$G48-$R48,2))</f>
        <v/>
      </c>
      <c r="T48" s="28" t="str">
        <f aca="false">IF(OR($A48="",$F48=0),"",$R48/$F48)</f>
        <v/>
      </c>
      <c r="U48" s="35"/>
      <c r="V48" s="35"/>
      <c r="W48" s="0" t="str">
        <f aca="false">IF($A48="","",$A48&amp;"|"&amp;$B48)</f>
        <v/>
      </c>
    </row>
    <row r="49" customFormat="false" ht="18" hidden="false" customHeight="true" outlineLevel="0" collapsed="false">
      <c r="A49" s="36"/>
      <c r="B49" s="36"/>
      <c r="C49" s="43" t="str">
        <f aca="false">IF($B49="","",IFERROR(VLOOKUP($B49,人员名册!$B$4:$G$53,2,0)&amp;"","名册中未登记"))</f>
        <v/>
      </c>
      <c r="D49" s="43" t="str">
        <f aca="false">IF($B49="","",IFERROR(VLOOKUP($B49,人员名册!$B$4:$G$53,3,0)&amp;"",""))</f>
        <v/>
      </c>
      <c r="E49" s="43" t="str">
        <f aca="false">IF($B49="","",IFERROR(VLOOKUP($B49,人员名册!$B$4:$G$53,5,0)&amp;"",""))</f>
        <v/>
      </c>
      <c r="F49" s="44"/>
      <c r="G49" s="44"/>
      <c r="H49" s="44"/>
      <c r="I49" s="44"/>
      <c r="J49" s="44"/>
      <c r="K49" s="44"/>
      <c r="L49" s="44"/>
      <c r="M49" s="44"/>
      <c r="N49" s="44"/>
      <c r="O49" s="44"/>
      <c r="P49" s="44"/>
      <c r="Q49" s="44"/>
      <c r="R49" s="45" t="str">
        <f aca="false">IF($A49="","",SUM(H49:Q49))</f>
        <v/>
      </c>
      <c r="S49" s="45" t="str">
        <f aca="false">IF($A49="","",ROUND($F49-$G49-$R49,2))</f>
        <v/>
      </c>
      <c r="T49" s="28" t="str">
        <f aca="false">IF(OR($A49="",$F49=0),"",$R49/$F49)</f>
        <v/>
      </c>
      <c r="U49" s="35"/>
      <c r="V49" s="35"/>
      <c r="W49" s="0" t="str">
        <f aca="false">IF($A49="","",$A49&amp;"|"&amp;$B49)</f>
        <v/>
      </c>
    </row>
    <row r="50" customFormat="false" ht="18" hidden="false" customHeight="true" outlineLevel="0" collapsed="false">
      <c r="A50" s="36"/>
      <c r="B50" s="36"/>
      <c r="C50" s="43" t="str">
        <f aca="false">IF($B50="","",IFERROR(VLOOKUP($B50,人员名册!$B$4:$G$53,2,0)&amp;"","名册中未登记"))</f>
        <v/>
      </c>
      <c r="D50" s="43" t="str">
        <f aca="false">IF($B50="","",IFERROR(VLOOKUP($B50,人员名册!$B$4:$G$53,3,0)&amp;"",""))</f>
        <v/>
      </c>
      <c r="E50" s="43" t="str">
        <f aca="false">IF($B50="","",IFERROR(VLOOKUP($B50,人员名册!$B$4:$G$53,5,0)&amp;"",""))</f>
        <v/>
      </c>
      <c r="F50" s="44"/>
      <c r="G50" s="44"/>
      <c r="H50" s="44"/>
      <c r="I50" s="44"/>
      <c r="J50" s="44"/>
      <c r="K50" s="44"/>
      <c r="L50" s="44"/>
      <c r="M50" s="44"/>
      <c r="N50" s="44"/>
      <c r="O50" s="44"/>
      <c r="P50" s="44"/>
      <c r="Q50" s="44"/>
      <c r="R50" s="45" t="str">
        <f aca="false">IF($A50="","",SUM(H50:Q50))</f>
        <v/>
      </c>
      <c r="S50" s="45" t="str">
        <f aca="false">IF($A50="","",ROUND($F50-$G50-$R50,2))</f>
        <v/>
      </c>
      <c r="T50" s="28" t="str">
        <f aca="false">IF(OR($A50="",$F50=0),"",$R50/$F50)</f>
        <v/>
      </c>
      <c r="U50" s="35"/>
      <c r="V50" s="35"/>
      <c r="W50" s="0" t="str">
        <f aca="false">IF($A50="","",$A50&amp;"|"&amp;$B50)</f>
        <v/>
      </c>
    </row>
    <row r="51" customFormat="false" ht="18" hidden="false" customHeight="true" outlineLevel="0" collapsed="false">
      <c r="A51" s="36"/>
      <c r="B51" s="36"/>
      <c r="C51" s="43" t="str">
        <f aca="false">IF($B51="","",IFERROR(VLOOKUP($B51,人员名册!$B$4:$G$53,2,0)&amp;"","名册中未登记"))</f>
        <v/>
      </c>
      <c r="D51" s="43" t="str">
        <f aca="false">IF($B51="","",IFERROR(VLOOKUP($B51,人员名册!$B$4:$G$53,3,0)&amp;"",""))</f>
        <v/>
      </c>
      <c r="E51" s="43" t="str">
        <f aca="false">IF($B51="","",IFERROR(VLOOKUP($B51,人员名册!$B$4:$G$53,5,0)&amp;"",""))</f>
        <v/>
      </c>
      <c r="F51" s="44"/>
      <c r="G51" s="44"/>
      <c r="H51" s="44"/>
      <c r="I51" s="44"/>
      <c r="J51" s="44"/>
      <c r="K51" s="44"/>
      <c r="L51" s="44"/>
      <c r="M51" s="44"/>
      <c r="N51" s="44"/>
      <c r="O51" s="44"/>
      <c r="P51" s="44"/>
      <c r="Q51" s="44"/>
      <c r="R51" s="45" t="str">
        <f aca="false">IF($A51="","",SUM(H51:Q51))</f>
        <v/>
      </c>
      <c r="S51" s="45" t="str">
        <f aca="false">IF($A51="","",ROUND($F51-$G51-$R51,2))</f>
        <v/>
      </c>
      <c r="T51" s="28" t="str">
        <f aca="false">IF(OR($A51="",$F51=0),"",$R51/$F51)</f>
        <v/>
      </c>
      <c r="U51" s="35"/>
      <c r="V51" s="35"/>
      <c r="W51" s="0" t="str">
        <f aca="false">IF($A51="","",$A51&amp;"|"&amp;$B51)</f>
        <v/>
      </c>
    </row>
    <row r="52" customFormat="false" ht="18" hidden="false" customHeight="true" outlineLevel="0" collapsed="false">
      <c r="A52" s="36"/>
      <c r="B52" s="36"/>
      <c r="C52" s="43" t="str">
        <f aca="false">IF($B52="","",IFERROR(VLOOKUP($B52,人员名册!$B$4:$G$53,2,0)&amp;"","名册中未登记"))</f>
        <v/>
      </c>
      <c r="D52" s="43" t="str">
        <f aca="false">IF($B52="","",IFERROR(VLOOKUP($B52,人员名册!$B$4:$G$53,3,0)&amp;"",""))</f>
        <v/>
      </c>
      <c r="E52" s="43" t="str">
        <f aca="false">IF($B52="","",IFERROR(VLOOKUP($B52,人员名册!$B$4:$G$53,5,0)&amp;"",""))</f>
        <v/>
      </c>
      <c r="F52" s="44"/>
      <c r="G52" s="44"/>
      <c r="H52" s="44"/>
      <c r="I52" s="44"/>
      <c r="J52" s="44"/>
      <c r="K52" s="44"/>
      <c r="L52" s="44"/>
      <c r="M52" s="44"/>
      <c r="N52" s="44"/>
      <c r="O52" s="44"/>
      <c r="P52" s="44"/>
      <c r="Q52" s="44"/>
      <c r="R52" s="45" t="str">
        <f aca="false">IF($A52="","",SUM(H52:Q52))</f>
        <v/>
      </c>
      <c r="S52" s="45" t="str">
        <f aca="false">IF($A52="","",ROUND($F52-$G52-$R52,2))</f>
        <v/>
      </c>
      <c r="T52" s="28" t="str">
        <f aca="false">IF(OR($A52="",$F52=0),"",$R52/$F52)</f>
        <v/>
      </c>
      <c r="U52" s="35"/>
      <c r="V52" s="35"/>
      <c r="W52" s="0" t="str">
        <f aca="false">IF($A52="","",$A52&amp;"|"&amp;$B52)</f>
        <v/>
      </c>
    </row>
    <row r="53" customFormat="false" ht="18" hidden="false" customHeight="true" outlineLevel="0" collapsed="false">
      <c r="A53" s="36"/>
      <c r="B53" s="36"/>
      <c r="C53" s="43" t="str">
        <f aca="false">IF($B53="","",IFERROR(VLOOKUP($B53,人员名册!$B$4:$G$53,2,0)&amp;"","名册中未登记"))</f>
        <v/>
      </c>
      <c r="D53" s="43" t="str">
        <f aca="false">IF($B53="","",IFERROR(VLOOKUP($B53,人员名册!$B$4:$G$53,3,0)&amp;"",""))</f>
        <v/>
      </c>
      <c r="E53" s="43" t="str">
        <f aca="false">IF($B53="","",IFERROR(VLOOKUP($B53,人员名册!$B$4:$G$53,5,0)&amp;"",""))</f>
        <v/>
      </c>
      <c r="F53" s="44"/>
      <c r="G53" s="44"/>
      <c r="H53" s="44"/>
      <c r="I53" s="44"/>
      <c r="J53" s="44"/>
      <c r="K53" s="44"/>
      <c r="L53" s="44"/>
      <c r="M53" s="44"/>
      <c r="N53" s="44"/>
      <c r="O53" s="44"/>
      <c r="P53" s="44"/>
      <c r="Q53" s="44"/>
      <c r="R53" s="45" t="str">
        <f aca="false">IF($A53="","",SUM(H53:Q53))</f>
        <v/>
      </c>
      <c r="S53" s="45" t="str">
        <f aca="false">IF($A53="","",ROUND($F53-$G53-$R53,2))</f>
        <v/>
      </c>
      <c r="T53" s="28" t="str">
        <f aca="false">IF(OR($A53="",$F53=0),"",$R53/$F53)</f>
        <v/>
      </c>
      <c r="U53" s="35"/>
      <c r="V53" s="35"/>
      <c r="W53" s="0" t="str">
        <f aca="false">IF($A53="","",$A53&amp;"|"&amp;$B53)</f>
        <v/>
      </c>
    </row>
    <row r="54" customFormat="false" ht="18" hidden="false" customHeight="true" outlineLevel="0" collapsed="false">
      <c r="A54" s="36"/>
      <c r="B54" s="36"/>
      <c r="C54" s="43" t="str">
        <f aca="false">IF($B54="","",IFERROR(VLOOKUP($B54,人员名册!$B$4:$G$53,2,0)&amp;"","名册中未登记"))</f>
        <v/>
      </c>
      <c r="D54" s="43" t="str">
        <f aca="false">IF($B54="","",IFERROR(VLOOKUP($B54,人员名册!$B$4:$G$53,3,0)&amp;"",""))</f>
        <v/>
      </c>
      <c r="E54" s="43" t="str">
        <f aca="false">IF($B54="","",IFERROR(VLOOKUP($B54,人员名册!$B$4:$G$53,5,0)&amp;"",""))</f>
        <v/>
      </c>
      <c r="F54" s="44"/>
      <c r="G54" s="44"/>
      <c r="H54" s="44"/>
      <c r="I54" s="44"/>
      <c r="J54" s="44"/>
      <c r="K54" s="44"/>
      <c r="L54" s="44"/>
      <c r="M54" s="44"/>
      <c r="N54" s="44"/>
      <c r="O54" s="44"/>
      <c r="P54" s="44"/>
      <c r="Q54" s="44"/>
      <c r="R54" s="45" t="str">
        <f aca="false">IF($A54="","",SUM(H54:Q54))</f>
        <v/>
      </c>
      <c r="S54" s="45" t="str">
        <f aca="false">IF($A54="","",ROUND($F54-$G54-$R54,2))</f>
        <v/>
      </c>
      <c r="T54" s="28" t="str">
        <f aca="false">IF(OR($A54="",$F54=0),"",$R54/$F54)</f>
        <v/>
      </c>
      <c r="U54" s="35"/>
      <c r="V54" s="35"/>
      <c r="W54" s="0" t="str">
        <f aca="false">IF($A54="","",$A54&amp;"|"&amp;$B54)</f>
        <v/>
      </c>
    </row>
    <row r="55" customFormat="false" ht="18" hidden="false" customHeight="true" outlineLevel="0" collapsed="false">
      <c r="A55" s="36"/>
      <c r="B55" s="36"/>
      <c r="C55" s="43" t="str">
        <f aca="false">IF($B55="","",IFERROR(VLOOKUP($B55,人员名册!$B$4:$G$53,2,0)&amp;"","名册中未登记"))</f>
        <v/>
      </c>
      <c r="D55" s="43" t="str">
        <f aca="false">IF($B55="","",IFERROR(VLOOKUP($B55,人员名册!$B$4:$G$53,3,0)&amp;"",""))</f>
        <v/>
      </c>
      <c r="E55" s="43" t="str">
        <f aca="false">IF($B55="","",IFERROR(VLOOKUP($B55,人员名册!$B$4:$G$53,5,0)&amp;"",""))</f>
        <v/>
      </c>
      <c r="F55" s="44"/>
      <c r="G55" s="44"/>
      <c r="H55" s="44"/>
      <c r="I55" s="44"/>
      <c r="J55" s="44"/>
      <c r="K55" s="44"/>
      <c r="L55" s="44"/>
      <c r="M55" s="44"/>
      <c r="N55" s="44"/>
      <c r="O55" s="44"/>
      <c r="P55" s="44"/>
      <c r="Q55" s="44"/>
      <c r="R55" s="45" t="str">
        <f aca="false">IF($A55="","",SUM(H55:Q55))</f>
        <v/>
      </c>
      <c r="S55" s="45" t="str">
        <f aca="false">IF($A55="","",ROUND($F55-$G55-$R55,2))</f>
        <v/>
      </c>
      <c r="T55" s="28" t="str">
        <f aca="false">IF(OR($A55="",$F55=0),"",$R55/$F55)</f>
        <v/>
      </c>
      <c r="U55" s="35"/>
      <c r="V55" s="35"/>
      <c r="W55" s="0" t="str">
        <f aca="false">IF($A55="","",$A55&amp;"|"&amp;$B55)</f>
        <v/>
      </c>
    </row>
    <row r="56" customFormat="false" ht="18" hidden="false" customHeight="true" outlineLevel="0" collapsed="false">
      <c r="A56" s="36"/>
      <c r="B56" s="36"/>
      <c r="C56" s="43" t="str">
        <f aca="false">IF($B56="","",IFERROR(VLOOKUP($B56,人员名册!$B$4:$G$53,2,0)&amp;"","名册中未登记"))</f>
        <v/>
      </c>
      <c r="D56" s="43" t="str">
        <f aca="false">IF($B56="","",IFERROR(VLOOKUP($B56,人员名册!$B$4:$G$53,3,0)&amp;"",""))</f>
        <v/>
      </c>
      <c r="E56" s="43" t="str">
        <f aca="false">IF($B56="","",IFERROR(VLOOKUP($B56,人员名册!$B$4:$G$53,5,0)&amp;"",""))</f>
        <v/>
      </c>
      <c r="F56" s="44"/>
      <c r="G56" s="44"/>
      <c r="H56" s="44"/>
      <c r="I56" s="44"/>
      <c r="J56" s="44"/>
      <c r="K56" s="44"/>
      <c r="L56" s="44"/>
      <c r="M56" s="44"/>
      <c r="N56" s="44"/>
      <c r="O56" s="44"/>
      <c r="P56" s="44"/>
      <c r="Q56" s="44"/>
      <c r="R56" s="45" t="str">
        <f aca="false">IF($A56="","",SUM(H56:Q56))</f>
        <v/>
      </c>
      <c r="S56" s="45" t="str">
        <f aca="false">IF($A56="","",ROUND($F56-$G56-$R56,2))</f>
        <v/>
      </c>
      <c r="T56" s="28" t="str">
        <f aca="false">IF(OR($A56="",$F56=0),"",$R56/$F56)</f>
        <v/>
      </c>
      <c r="U56" s="35"/>
      <c r="V56" s="35"/>
      <c r="W56" s="0" t="str">
        <f aca="false">IF($A56="","",$A56&amp;"|"&amp;$B56)</f>
        <v/>
      </c>
    </row>
    <row r="57" customFormat="false" ht="18" hidden="false" customHeight="true" outlineLevel="0" collapsed="false">
      <c r="A57" s="36"/>
      <c r="B57" s="36"/>
      <c r="C57" s="43" t="str">
        <f aca="false">IF($B57="","",IFERROR(VLOOKUP($B57,人员名册!$B$4:$G$53,2,0)&amp;"","名册中未登记"))</f>
        <v/>
      </c>
      <c r="D57" s="43" t="str">
        <f aca="false">IF($B57="","",IFERROR(VLOOKUP($B57,人员名册!$B$4:$G$53,3,0)&amp;"",""))</f>
        <v/>
      </c>
      <c r="E57" s="43" t="str">
        <f aca="false">IF($B57="","",IFERROR(VLOOKUP($B57,人员名册!$B$4:$G$53,5,0)&amp;"",""))</f>
        <v/>
      </c>
      <c r="F57" s="44"/>
      <c r="G57" s="44"/>
      <c r="H57" s="44"/>
      <c r="I57" s="44"/>
      <c r="J57" s="44"/>
      <c r="K57" s="44"/>
      <c r="L57" s="44"/>
      <c r="M57" s="44"/>
      <c r="N57" s="44"/>
      <c r="O57" s="44"/>
      <c r="P57" s="44"/>
      <c r="Q57" s="44"/>
      <c r="R57" s="45" t="str">
        <f aca="false">IF($A57="","",SUM(H57:Q57))</f>
        <v/>
      </c>
      <c r="S57" s="45" t="str">
        <f aca="false">IF($A57="","",ROUND($F57-$G57-$R57,2))</f>
        <v/>
      </c>
      <c r="T57" s="28" t="str">
        <f aca="false">IF(OR($A57="",$F57=0),"",$R57/$F57)</f>
        <v/>
      </c>
      <c r="U57" s="35"/>
      <c r="V57" s="35"/>
      <c r="W57" s="0" t="str">
        <f aca="false">IF($A57="","",$A57&amp;"|"&amp;$B57)</f>
        <v/>
      </c>
    </row>
    <row r="58" customFormat="false" ht="18" hidden="false" customHeight="true" outlineLevel="0" collapsed="false">
      <c r="A58" s="36"/>
      <c r="B58" s="36"/>
      <c r="C58" s="43" t="str">
        <f aca="false">IF($B58="","",IFERROR(VLOOKUP($B58,人员名册!$B$4:$G$53,2,0)&amp;"","名册中未登记"))</f>
        <v/>
      </c>
      <c r="D58" s="43" t="str">
        <f aca="false">IF($B58="","",IFERROR(VLOOKUP($B58,人员名册!$B$4:$G$53,3,0)&amp;"",""))</f>
        <v/>
      </c>
      <c r="E58" s="43" t="str">
        <f aca="false">IF($B58="","",IFERROR(VLOOKUP($B58,人员名册!$B$4:$G$53,5,0)&amp;"",""))</f>
        <v/>
      </c>
      <c r="F58" s="44"/>
      <c r="G58" s="44"/>
      <c r="H58" s="44"/>
      <c r="I58" s="44"/>
      <c r="J58" s="44"/>
      <c r="K58" s="44"/>
      <c r="L58" s="44"/>
      <c r="M58" s="44"/>
      <c r="N58" s="44"/>
      <c r="O58" s="44"/>
      <c r="P58" s="44"/>
      <c r="Q58" s="44"/>
      <c r="R58" s="45" t="str">
        <f aca="false">IF($A58="","",SUM(H58:Q58))</f>
        <v/>
      </c>
      <c r="S58" s="45" t="str">
        <f aca="false">IF($A58="","",ROUND($F58-$G58-$R58,2))</f>
        <v/>
      </c>
      <c r="T58" s="28" t="str">
        <f aca="false">IF(OR($A58="",$F58=0),"",$R58/$F58)</f>
        <v/>
      </c>
      <c r="U58" s="35"/>
      <c r="V58" s="35"/>
      <c r="W58" s="0" t="str">
        <f aca="false">IF($A58="","",$A58&amp;"|"&amp;$B58)</f>
        <v/>
      </c>
    </row>
    <row r="59" customFormat="false" ht="18" hidden="false" customHeight="true" outlineLevel="0" collapsed="false">
      <c r="A59" s="36"/>
      <c r="B59" s="36"/>
      <c r="C59" s="43" t="str">
        <f aca="false">IF($B59="","",IFERROR(VLOOKUP($B59,人员名册!$B$4:$G$53,2,0)&amp;"","名册中未登记"))</f>
        <v/>
      </c>
      <c r="D59" s="43" t="str">
        <f aca="false">IF($B59="","",IFERROR(VLOOKUP($B59,人员名册!$B$4:$G$53,3,0)&amp;"",""))</f>
        <v/>
      </c>
      <c r="E59" s="43" t="str">
        <f aca="false">IF($B59="","",IFERROR(VLOOKUP($B59,人员名册!$B$4:$G$53,5,0)&amp;"",""))</f>
        <v/>
      </c>
      <c r="F59" s="44"/>
      <c r="G59" s="44"/>
      <c r="H59" s="44"/>
      <c r="I59" s="44"/>
      <c r="J59" s="44"/>
      <c r="K59" s="44"/>
      <c r="L59" s="44"/>
      <c r="M59" s="44"/>
      <c r="N59" s="44"/>
      <c r="O59" s="44"/>
      <c r="P59" s="44"/>
      <c r="Q59" s="44"/>
      <c r="R59" s="45" t="str">
        <f aca="false">IF($A59="","",SUM(H59:Q59))</f>
        <v/>
      </c>
      <c r="S59" s="45" t="str">
        <f aca="false">IF($A59="","",ROUND($F59-$G59-$R59,2))</f>
        <v/>
      </c>
      <c r="T59" s="28" t="str">
        <f aca="false">IF(OR($A59="",$F59=0),"",$R59/$F59)</f>
        <v/>
      </c>
      <c r="U59" s="35"/>
      <c r="V59" s="35"/>
      <c r="W59" s="0" t="str">
        <f aca="false">IF($A59="","",$A59&amp;"|"&amp;$B59)</f>
        <v/>
      </c>
    </row>
    <row r="60" customFormat="false" ht="18" hidden="false" customHeight="true" outlineLevel="0" collapsed="false">
      <c r="A60" s="36"/>
      <c r="B60" s="36"/>
      <c r="C60" s="43" t="str">
        <f aca="false">IF($B60="","",IFERROR(VLOOKUP($B60,人员名册!$B$4:$G$53,2,0)&amp;"","名册中未登记"))</f>
        <v/>
      </c>
      <c r="D60" s="43" t="str">
        <f aca="false">IF($B60="","",IFERROR(VLOOKUP($B60,人员名册!$B$4:$G$53,3,0)&amp;"",""))</f>
        <v/>
      </c>
      <c r="E60" s="43" t="str">
        <f aca="false">IF($B60="","",IFERROR(VLOOKUP($B60,人员名册!$B$4:$G$53,5,0)&amp;"",""))</f>
        <v/>
      </c>
      <c r="F60" s="44"/>
      <c r="G60" s="44"/>
      <c r="H60" s="44"/>
      <c r="I60" s="44"/>
      <c r="J60" s="44"/>
      <c r="K60" s="44"/>
      <c r="L60" s="44"/>
      <c r="M60" s="44"/>
      <c r="N60" s="44"/>
      <c r="O60" s="44"/>
      <c r="P60" s="44"/>
      <c r="Q60" s="44"/>
      <c r="R60" s="45" t="str">
        <f aca="false">IF($A60="","",SUM(H60:Q60))</f>
        <v/>
      </c>
      <c r="S60" s="45" t="str">
        <f aca="false">IF($A60="","",ROUND($F60-$G60-$R60,2))</f>
        <v/>
      </c>
      <c r="T60" s="28" t="str">
        <f aca="false">IF(OR($A60="",$F60=0),"",$R60/$F60)</f>
        <v/>
      </c>
      <c r="U60" s="35"/>
      <c r="V60" s="35"/>
      <c r="W60" s="0" t="str">
        <f aca="false">IF($A60="","",$A60&amp;"|"&amp;$B60)</f>
        <v/>
      </c>
    </row>
    <row r="61" customFormat="false" ht="18" hidden="false" customHeight="true" outlineLevel="0" collapsed="false">
      <c r="A61" s="36"/>
      <c r="B61" s="36"/>
      <c r="C61" s="43" t="str">
        <f aca="false">IF($B61="","",IFERROR(VLOOKUP($B61,人员名册!$B$4:$G$53,2,0)&amp;"","名册中未登记"))</f>
        <v/>
      </c>
      <c r="D61" s="43" t="str">
        <f aca="false">IF($B61="","",IFERROR(VLOOKUP($B61,人员名册!$B$4:$G$53,3,0)&amp;"",""))</f>
        <v/>
      </c>
      <c r="E61" s="43" t="str">
        <f aca="false">IF($B61="","",IFERROR(VLOOKUP($B61,人员名册!$B$4:$G$53,5,0)&amp;"",""))</f>
        <v/>
      </c>
      <c r="F61" s="44"/>
      <c r="G61" s="44"/>
      <c r="H61" s="44"/>
      <c r="I61" s="44"/>
      <c r="J61" s="44"/>
      <c r="K61" s="44"/>
      <c r="L61" s="44"/>
      <c r="M61" s="44"/>
      <c r="N61" s="44"/>
      <c r="O61" s="44"/>
      <c r="P61" s="44"/>
      <c r="Q61" s="44"/>
      <c r="R61" s="45" t="str">
        <f aca="false">IF($A61="","",SUM(H61:Q61))</f>
        <v/>
      </c>
      <c r="S61" s="45" t="str">
        <f aca="false">IF($A61="","",ROUND($F61-$G61-$R61,2))</f>
        <v/>
      </c>
      <c r="T61" s="28" t="str">
        <f aca="false">IF(OR($A61="",$F61=0),"",$R61/$F61)</f>
        <v/>
      </c>
      <c r="U61" s="35"/>
      <c r="V61" s="35"/>
      <c r="W61" s="0" t="str">
        <f aca="false">IF($A61="","",$A61&amp;"|"&amp;$B61)</f>
        <v/>
      </c>
    </row>
    <row r="62" customFormat="false" ht="18" hidden="false" customHeight="true" outlineLevel="0" collapsed="false">
      <c r="A62" s="36"/>
      <c r="B62" s="36"/>
      <c r="C62" s="43" t="str">
        <f aca="false">IF($B62="","",IFERROR(VLOOKUP($B62,人员名册!$B$4:$G$53,2,0)&amp;"","名册中未登记"))</f>
        <v/>
      </c>
      <c r="D62" s="43" t="str">
        <f aca="false">IF($B62="","",IFERROR(VLOOKUP($B62,人员名册!$B$4:$G$53,3,0)&amp;"",""))</f>
        <v/>
      </c>
      <c r="E62" s="43" t="str">
        <f aca="false">IF($B62="","",IFERROR(VLOOKUP($B62,人员名册!$B$4:$G$53,5,0)&amp;"",""))</f>
        <v/>
      </c>
      <c r="F62" s="44"/>
      <c r="G62" s="44"/>
      <c r="H62" s="44"/>
      <c r="I62" s="44"/>
      <c r="J62" s="44"/>
      <c r="K62" s="44"/>
      <c r="L62" s="44"/>
      <c r="M62" s="44"/>
      <c r="N62" s="44"/>
      <c r="O62" s="44"/>
      <c r="P62" s="44"/>
      <c r="Q62" s="44"/>
      <c r="R62" s="45" t="str">
        <f aca="false">IF($A62="","",SUM(H62:Q62))</f>
        <v/>
      </c>
      <c r="S62" s="45" t="str">
        <f aca="false">IF($A62="","",ROUND($F62-$G62-$R62,2))</f>
        <v/>
      </c>
      <c r="T62" s="28" t="str">
        <f aca="false">IF(OR($A62="",$F62=0),"",$R62/$F62)</f>
        <v/>
      </c>
      <c r="U62" s="35"/>
      <c r="V62" s="35"/>
      <c r="W62" s="0" t="str">
        <f aca="false">IF($A62="","",$A62&amp;"|"&amp;$B62)</f>
        <v/>
      </c>
    </row>
    <row r="63" customFormat="false" ht="18" hidden="false" customHeight="true" outlineLevel="0" collapsed="false">
      <c r="A63" s="36"/>
      <c r="B63" s="36"/>
      <c r="C63" s="43" t="str">
        <f aca="false">IF($B63="","",IFERROR(VLOOKUP($B63,人员名册!$B$4:$G$53,2,0)&amp;"","名册中未登记"))</f>
        <v/>
      </c>
      <c r="D63" s="43" t="str">
        <f aca="false">IF($B63="","",IFERROR(VLOOKUP($B63,人员名册!$B$4:$G$53,3,0)&amp;"",""))</f>
        <v/>
      </c>
      <c r="E63" s="43" t="str">
        <f aca="false">IF($B63="","",IFERROR(VLOOKUP($B63,人员名册!$B$4:$G$53,5,0)&amp;"",""))</f>
        <v/>
      </c>
      <c r="F63" s="44"/>
      <c r="G63" s="44"/>
      <c r="H63" s="44"/>
      <c r="I63" s="44"/>
      <c r="J63" s="44"/>
      <c r="K63" s="44"/>
      <c r="L63" s="44"/>
      <c r="M63" s="44"/>
      <c r="N63" s="44"/>
      <c r="O63" s="44"/>
      <c r="P63" s="44"/>
      <c r="Q63" s="44"/>
      <c r="R63" s="45" t="str">
        <f aca="false">IF($A63="","",SUM(H63:Q63))</f>
        <v/>
      </c>
      <c r="S63" s="45" t="str">
        <f aca="false">IF($A63="","",ROUND($F63-$G63-$R63,2))</f>
        <v/>
      </c>
      <c r="T63" s="28" t="str">
        <f aca="false">IF(OR($A63="",$F63=0),"",$R63/$F63)</f>
        <v/>
      </c>
      <c r="U63" s="35"/>
      <c r="V63" s="35"/>
      <c r="W63" s="0" t="str">
        <f aca="false">IF($A63="","",$A63&amp;"|"&amp;$B63)</f>
        <v/>
      </c>
    </row>
    <row r="64" customFormat="false" ht="18" hidden="false" customHeight="true" outlineLevel="0" collapsed="false">
      <c r="A64" s="36"/>
      <c r="B64" s="36"/>
      <c r="C64" s="43" t="str">
        <f aca="false">IF($B64="","",IFERROR(VLOOKUP($B64,人员名册!$B$4:$G$53,2,0)&amp;"","名册中未登记"))</f>
        <v/>
      </c>
      <c r="D64" s="43" t="str">
        <f aca="false">IF($B64="","",IFERROR(VLOOKUP($B64,人员名册!$B$4:$G$53,3,0)&amp;"",""))</f>
        <v/>
      </c>
      <c r="E64" s="43" t="str">
        <f aca="false">IF($B64="","",IFERROR(VLOOKUP($B64,人员名册!$B$4:$G$53,5,0)&amp;"",""))</f>
        <v/>
      </c>
      <c r="F64" s="44"/>
      <c r="G64" s="44"/>
      <c r="H64" s="44"/>
      <c r="I64" s="44"/>
      <c r="J64" s="44"/>
      <c r="K64" s="44"/>
      <c r="L64" s="44"/>
      <c r="M64" s="44"/>
      <c r="N64" s="44"/>
      <c r="O64" s="44"/>
      <c r="P64" s="44"/>
      <c r="Q64" s="44"/>
      <c r="R64" s="45" t="str">
        <f aca="false">IF($A64="","",SUM(H64:Q64))</f>
        <v/>
      </c>
      <c r="S64" s="45" t="str">
        <f aca="false">IF($A64="","",ROUND($F64-$G64-$R64,2))</f>
        <v/>
      </c>
      <c r="T64" s="28" t="str">
        <f aca="false">IF(OR($A64="",$F64=0),"",$R64/$F64)</f>
        <v/>
      </c>
      <c r="U64" s="35"/>
      <c r="V64" s="35"/>
      <c r="W64" s="0" t="str">
        <f aca="false">IF($A64="","",$A64&amp;"|"&amp;$B64)</f>
        <v/>
      </c>
    </row>
    <row r="65" customFormat="false" ht="18" hidden="false" customHeight="true" outlineLevel="0" collapsed="false">
      <c r="A65" s="36"/>
      <c r="B65" s="36"/>
      <c r="C65" s="43" t="str">
        <f aca="false">IF($B65="","",IFERROR(VLOOKUP($B65,人员名册!$B$4:$G$53,2,0)&amp;"","名册中未登记"))</f>
        <v/>
      </c>
      <c r="D65" s="43" t="str">
        <f aca="false">IF($B65="","",IFERROR(VLOOKUP($B65,人员名册!$B$4:$G$53,3,0)&amp;"",""))</f>
        <v/>
      </c>
      <c r="E65" s="43" t="str">
        <f aca="false">IF($B65="","",IFERROR(VLOOKUP($B65,人员名册!$B$4:$G$53,5,0)&amp;"",""))</f>
        <v/>
      </c>
      <c r="F65" s="44"/>
      <c r="G65" s="44"/>
      <c r="H65" s="44"/>
      <c r="I65" s="44"/>
      <c r="J65" s="44"/>
      <c r="K65" s="44"/>
      <c r="L65" s="44"/>
      <c r="M65" s="44"/>
      <c r="N65" s="44"/>
      <c r="O65" s="44"/>
      <c r="P65" s="44"/>
      <c r="Q65" s="44"/>
      <c r="R65" s="45" t="str">
        <f aca="false">IF($A65="","",SUM(H65:Q65))</f>
        <v/>
      </c>
      <c r="S65" s="45" t="str">
        <f aca="false">IF($A65="","",ROUND($F65-$G65-$R65,2))</f>
        <v/>
      </c>
      <c r="T65" s="28" t="str">
        <f aca="false">IF(OR($A65="",$F65=0),"",$R65/$F65)</f>
        <v/>
      </c>
      <c r="U65" s="35"/>
      <c r="V65" s="35"/>
      <c r="W65" s="0" t="str">
        <f aca="false">IF($A65="","",$A65&amp;"|"&amp;$B65)</f>
        <v/>
      </c>
    </row>
    <row r="66" customFormat="false" ht="18" hidden="false" customHeight="true" outlineLevel="0" collapsed="false">
      <c r="A66" s="36"/>
      <c r="B66" s="36"/>
      <c r="C66" s="43" t="str">
        <f aca="false">IF($B66="","",IFERROR(VLOOKUP($B66,人员名册!$B$4:$G$53,2,0)&amp;"","名册中未登记"))</f>
        <v/>
      </c>
      <c r="D66" s="43" t="str">
        <f aca="false">IF($B66="","",IFERROR(VLOOKUP($B66,人员名册!$B$4:$G$53,3,0)&amp;"",""))</f>
        <v/>
      </c>
      <c r="E66" s="43" t="str">
        <f aca="false">IF($B66="","",IFERROR(VLOOKUP($B66,人员名册!$B$4:$G$53,5,0)&amp;"",""))</f>
        <v/>
      </c>
      <c r="F66" s="44"/>
      <c r="G66" s="44"/>
      <c r="H66" s="44"/>
      <c r="I66" s="44"/>
      <c r="J66" s="44"/>
      <c r="K66" s="44"/>
      <c r="L66" s="44"/>
      <c r="M66" s="44"/>
      <c r="N66" s="44"/>
      <c r="O66" s="44"/>
      <c r="P66" s="44"/>
      <c r="Q66" s="44"/>
      <c r="R66" s="45" t="str">
        <f aca="false">IF($A66="","",SUM(H66:Q66))</f>
        <v/>
      </c>
      <c r="S66" s="45" t="str">
        <f aca="false">IF($A66="","",ROUND($F66-$G66-$R66,2))</f>
        <v/>
      </c>
      <c r="T66" s="28" t="str">
        <f aca="false">IF(OR($A66="",$F66=0),"",$R66/$F66)</f>
        <v/>
      </c>
      <c r="U66" s="35"/>
      <c r="V66" s="35"/>
      <c r="W66" s="0" t="str">
        <f aca="false">IF($A66="","",$A66&amp;"|"&amp;$B66)</f>
        <v/>
      </c>
    </row>
    <row r="67" customFormat="false" ht="18" hidden="false" customHeight="true" outlineLevel="0" collapsed="false">
      <c r="A67" s="36"/>
      <c r="B67" s="36"/>
      <c r="C67" s="43" t="str">
        <f aca="false">IF($B67="","",IFERROR(VLOOKUP($B67,人员名册!$B$4:$G$53,2,0)&amp;"","名册中未登记"))</f>
        <v/>
      </c>
      <c r="D67" s="43" t="str">
        <f aca="false">IF($B67="","",IFERROR(VLOOKUP($B67,人员名册!$B$4:$G$53,3,0)&amp;"",""))</f>
        <v/>
      </c>
      <c r="E67" s="43" t="str">
        <f aca="false">IF($B67="","",IFERROR(VLOOKUP($B67,人员名册!$B$4:$G$53,5,0)&amp;"",""))</f>
        <v/>
      </c>
      <c r="F67" s="44"/>
      <c r="G67" s="44"/>
      <c r="H67" s="44"/>
      <c r="I67" s="44"/>
      <c r="J67" s="44"/>
      <c r="K67" s="44"/>
      <c r="L67" s="44"/>
      <c r="M67" s="44"/>
      <c r="N67" s="44"/>
      <c r="O67" s="44"/>
      <c r="P67" s="44"/>
      <c r="Q67" s="44"/>
      <c r="R67" s="45" t="str">
        <f aca="false">IF($A67="","",SUM(H67:Q67))</f>
        <v/>
      </c>
      <c r="S67" s="45" t="str">
        <f aca="false">IF($A67="","",ROUND($F67-$G67-$R67,2))</f>
        <v/>
      </c>
      <c r="T67" s="28" t="str">
        <f aca="false">IF(OR($A67="",$F67=0),"",$R67/$F67)</f>
        <v/>
      </c>
      <c r="U67" s="35"/>
      <c r="V67" s="35"/>
      <c r="W67" s="0" t="str">
        <f aca="false">IF($A67="","",$A67&amp;"|"&amp;$B67)</f>
        <v/>
      </c>
    </row>
    <row r="68" customFormat="false" ht="18" hidden="false" customHeight="true" outlineLevel="0" collapsed="false">
      <c r="A68" s="36"/>
      <c r="B68" s="36"/>
      <c r="C68" s="43" t="str">
        <f aca="false">IF($B68="","",IFERROR(VLOOKUP($B68,人员名册!$B$4:$G$53,2,0)&amp;"","名册中未登记"))</f>
        <v/>
      </c>
      <c r="D68" s="43" t="str">
        <f aca="false">IF($B68="","",IFERROR(VLOOKUP($B68,人员名册!$B$4:$G$53,3,0)&amp;"",""))</f>
        <v/>
      </c>
      <c r="E68" s="43" t="str">
        <f aca="false">IF($B68="","",IFERROR(VLOOKUP($B68,人员名册!$B$4:$G$53,5,0)&amp;"",""))</f>
        <v/>
      </c>
      <c r="F68" s="44"/>
      <c r="G68" s="44"/>
      <c r="H68" s="44"/>
      <c r="I68" s="44"/>
      <c r="J68" s="44"/>
      <c r="K68" s="44"/>
      <c r="L68" s="44"/>
      <c r="M68" s="44"/>
      <c r="N68" s="44"/>
      <c r="O68" s="44"/>
      <c r="P68" s="44"/>
      <c r="Q68" s="44"/>
      <c r="R68" s="45" t="str">
        <f aca="false">IF($A68="","",SUM(H68:Q68))</f>
        <v/>
      </c>
      <c r="S68" s="45" t="str">
        <f aca="false">IF($A68="","",ROUND($F68-$G68-$R68,2))</f>
        <v/>
      </c>
      <c r="T68" s="28" t="str">
        <f aca="false">IF(OR($A68="",$F68=0),"",$R68/$F68)</f>
        <v/>
      </c>
      <c r="U68" s="35"/>
      <c r="V68" s="35"/>
      <c r="W68" s="0" t="str">
        <f aca="false">IF($A68="","",$A68&amp;"|"&amp;$B68)</f>
        <v/>
      </c>
    </row>
    <row r="69" customFormat="false" ht="18" hidden="false" customHeight="true" outlineLevel="0" collapsed="false">
      <c r="A69" s="36"/>
      <c r="B69" s="36"/>
      <c r="C69" s="43" t="str">
        <f aca="false">IF($B69="","",IFERROR(VLOOKUP($B69,人员名册!$B$4:$G$53,2,0)&amp;"","名册中未登记"))</f>
        <v/>
      </c>
      <c r="D69" s="43" t="str">
        <f aca="false">IF($B69="","",IFERROR(VLOOKUP($B69,人员名册!$B$4:$G$53,3,0)&amp;"",""))</f>
        <v/>
      </c>
      <c r="E69" s="43" t="str">
        <f aca="false">IF($B69="","",IFERROR(VLOOKUP($B69,人员名册!$B$4:$G$53,5,0)&amp;"",""))</f>
        <v/>
      </c>
      <c r="F69" s="44"/>
      <c r="G69" s="44"/>
      <c r="H69" s="44"/>
      <c r="I69" s="44"/>
      <c r="J69" s="44"/>
      <c r="K69" s="44"/>
      <c r="L69" s="44"/>
      <c r="M69" s="44"/>
      <c r="N69" s="44"/>
      <c r="O69" s="44"/>
      <c r="P69" s="44"/>
      <c r="Q69" s="44"/>
      <c r="R69" s="45" t="str">
        <f aca="false">IF($A69="","",SUM(H69:Q69))</f>
        <v/>
      </c>
      <c r="S69" s="45" t="str">
        <f aca="false">IF($A69="","",ROUND($F69-$G69-$R69,2))</f>
        <v/>
      </c>
      <c r="T69" s="28" t="str">
        <f aca="false">IF(OR($A69="",$F69=0),"",$R69/$F69)</f>
        <v/>
      </c>
      <c r="U69" s="35"/>
      <c r="V69" s="35"/>
      <c r="W69" s="0" t="str">
        <f aca="false">IF($A69="","",$A69&amp;"|"&amp;$B69)</f>
        <v/>
      </c>
    </row>
    <row r="70" customFormat="false" ht="18" hidden="false" customHeight="true" outlineLevel="0" collapsed="false">
      <c r="A70" s="36"/>
      <c r="B70" s="36"/>
      <c r="C70" s="43" t="str">
        <f aca="false">IF($B70="","",IFERROR(VLOOKUP($B70,人员名册!$B$4:$G$53,2,0)&amp;"","名册中未登记"))</f>
        <v/>
      </c>
      <c r="D70" s="43" t="str">
        <f aca="false">IF($B70="","",IFERROR(VLOOKUP($B70,人员名册!$B$4:$G$53,3,0)&amp;"",""))</f>
        <v/>
      </c>
      <c r="E70" s="43" t="str">
        <f aca="false">IF($B70="","",IFERROR(VLOOKUP($B70,人员名册!$B$4:$G$53,5,0)&amp;"",""))</f>
        <v/>
      </c>
      <c r="F70" s="44"/>
      <c r="G70" s="44"/>
      <c r="H70" s="44"/>
      <c r="I70" s="44"/>
      <c r="J70" s="44"/>
      <c r="K70" s="44"/>
      <c r="L70" s="44"/>
      <c r="M70" s="44"/>
      <c r="N70" s="44"/>
      <c r="O70" s="44"/>
      <c r="P70" s="44"/>
      <c r="Q70" s="44"/>
      <c r="R70" s="45" t="str">
        <f aca="false">IF($A70="","",SUM(H70:Q70))</f>
        <v/>
      </c>
      <c r="S70" s="45" t="str">
        <f aca="false">IF($A70="","",ROUND($F70-$G70-$R70,2))</f>
        <v/>
      </c>
      <c r="T70" s="28" t="str">
        <f aca="false">IF(OR($A70="",$F70=0),"",$R70/$F70)</f>
        <v/>
      </c>
      <c r="U70" s="35"/>
      <c r="V70" s="35"/>
      <c r="W70" s="0" t="str">
        <f aca="false">IF($A70="","",$A70&amp;"|"&amp;$B70)</f>
        <v/>
      </c>
    </row>
    <row r="71" customFormat="false" ht="18" hidden="false" customHeight="true" outlineLevel="0" collapsed="false">
      <c r="A71" s="36"/>
      <c r="B71" s="36"/>
      <c r="C71" s="43" t="str">
        <f aca="false">IF($B71="","",IFERROR(VLOOKUP($B71,人员名册!$B$4:$G$53,2,0)&amp;"","名册中未登记"))</f>
        <v/>
      </c>
      <c r="D71" s="43" t="str">
        <f aca="false">IF($B71="","",IFERROR(VLOOKUP($B71,人员名册!$B$4:$G$53,3,0)&amp;"",""))</f>
        <v/>
      </c>
      <c r="E71" s="43" t="str">
        <f aca="false">IF($B71="","",IFERROR(VLOOKUP($B71,人员名册!$B$4:$G$53,5,0)&amp;"",""))</f>
        <v/>
      </c>
      <c r="F71" s="44"/>
      <c r="G71" s="44"/>
      <c r="H71" s="44"/>
      <c r="I71" s="44"/>
      <c r="J71" s="44"/>
      <c r="K71" s="44"/>
      <c r="L71" s="44"/>
      <c r="M71" s="44"/>
      <c r="N71" s="44"/>
      <c r="O71" s="44"/>
      <c r="P71" s="44"/>
      <c r="Q71" s="44"/>
      <c r="R71" s="45" t="str">
        <f aca="false">IF($A71="","",SUM(H71:Q71))</f>
        <v/>
      </c>
      <c r="S71" s="45" t="str">
        <f aca="false">IF($A71="","",ROUND($F71-$G71-$R71,2))</f>
        <v/>
      </c>
      <c r="T71" s="28" t="str">
        <f aca="false">IF(OR($A71="",$F71=0),"",$R71/$F71)</f>
        <v/>
      </c>
      <c r="U71" s="35"/>
      <c r="V71" s="35"/>
      <c r="W71" s="0" t="str">
        <f aca="false">IF($A71="","",$A71&amp;"|"&amp;$B71)</f>
        <v/>
      </c>
    </row>
    <row r="72" customFormat="false" ht="18" hidden="false" customHeight="true" outlineLevel="0" collapsed="false">
      <c r="A72" s="36"/>
      <c r="B72" s="36"/>
      <c r="C72" s="43" t="str">
        <f aca="false">IF($B72="","",IFERROR(VLOOKUP($B72,人员名册!$B$4:$G$53,2,0)&amp;"","名册中未登记"))</f>
        <v/>
      </c>
      <c r="D72" s="43" t="str">
        <f aca="false">IF($B72="","",IFERROR(VLOOKUP($B72,人员名册!$B$4:$G$53,3,0)&amp;"",""))</f>
        <v/>
      </c>
      <c r="E72" s="43" t="str">
        <f aca="false">IF($B72="","",IFERROR(VLOOKUP($B72,人员名册!$B$4:$G$53,5,0)&amp;"",""))</f>
        <v/>
      </c>
      <c r="F72" s="44"/>
      <c r="G72" s="44"/>
      <c r="H72" s="44"/>
      <c r="I72" s="44"/>
      <c r="J72" s="44"/>
      <c r="K72" s="44"/>
      <c r="L72" s="44"/>
      <c r="M72" s="44"/>
      <c r="N72" s="44"/>
      <c r="O72" s="44"/>
      <c r="P72" s="44"/>
      <c r="Q72" s="44"/>
      <c r="R72" s="45" t="str">
        <f aca="false">IF($A72="","",SUM(H72:Q72))</f>
        <v/>
      </c>
      <c r="S72" s="45" t="str">
        <f aca="false">IF($A72="","",ROUND($F72-$G72-$R72,2))</f>
        <v/>
      </c>
      <c r="T72" s="28" t="str">
        <f aca="false">IF(OR($A72="",$F72=0),"",$R72/$F72)</f>
        <v/>
      </c>
      <c r="U72" s="35"/>
      <c r="V72" s="35"/>
      <c r="W72" s="0" t="str">
        <f aca="false">IF($A72="","",$A72&amp;"|"&amp;$B72)</f>
        <v/>
      </c>
    </row>
    <row r="73" customFormat="false" ht="18" hidden="false" customHeight="true" outlineLevel="0" collapsed="false">
      <c r="A73" s="36"/>
      <c r="B73" s="36"/>
      <c r="C73" s="43" t="str">
        <f aca="false">IF($B73="","",IFERROR(VLOOKUP($B73,人员名册!$B$4:$G$53,2,0)&amp;"","名册中未登记"))</f>
        <v/>
      </c>
      <c r="D73" s="43" t="str">
        <f aca="false">IF($B73="","",IFERROR(VLOOKUP($B73,人员名册!$B$4:$G$53,3,0)&amp;"",""))</f>
        <v/>
      </c>
      <c r="E73" s="43" t="str">
        <f aca="false">IF($B73="","",IFERROR(VLOOKUP($B73,人员名册!$B$4:$G$53,5,0)&amp;"",""))</f>
        <v/>
      </c>
      <c r="F73" s="44"/>
      <c r="G73" s="44"/>
      <c r="H73" s="44"/>
      <c r="I73" s="44"/>
      <c r="J73" s="44"/>
      <c r="K73" s="44"/>
      <c r="L73" s="44"/>
      <c r="M73" s="44"/>
      <c r="N73" s="44"/>
      <c r="O73" s="44"/>
      <c r="P73" s="44"/>
      <c r="Q73" s="44"/>
      <c r="R73" s="45" t="str">
        <f aca="false">IF($A73="","",SUM(H73:Q73))</f>
        <v/>
      </c>
      <c r="S73" s="45" t="str">
        <f aca="false">IF($A73="","",ROUND($F73-$G73-$R73,2))</f>
        <v/>
      </c>
      <c r="T73" s="28" t="str">
        <f aca="false">IF(OR($A73="",$F73=0),"",$R73/$F73)</f>
        <v/>
      </c>
      <c r="U73" s="35"/>
      <c r="V73" s="35"/>
      <c r="W73" s="0" t="str">
        <f aca="false">IF($A73="","",$A73&amp;"|"&amp;$B73)</f>
        <v/>
      </c>
    </row>
    <row r="74" customFormat="false" ht="18" hidden="false" customHeight="true" outlineLevel="0" collapsed="false">
      <c r="A74" s="36"/>
      <c r="B74" s="36"/>
      <c r="C74" s="43" t="str">
        <f aca="false">IF($B74="","",IFERROR(VLOOKUP($B74,人员名册!$B$4:$G$53,2,0)&amp;"","名册中未登记"))</f>
        <v/>
      </c>
      <c r="D74" s="43" t="str">
        <f aca="false">IF($B74="","",IFERROR(VLOOKUP($B74,人员名册!$B$4:$G$53,3,0)&amp;"",""))</f>
        <v/>
      </c>
      <c r="E74" s="43" t="str">
        <f aca="false">IF($B74="","",IFERROR(VLOOKUP($B74,人员名册!$B$4:$G$53,5,0)&amp;"",""))</f>
        <v/>
      </c>
      <c r="F74" s="44"/>
      <c r="G74" s="44"/>
      <c r="H74" s="44"/>
      <c r="I74" s="44"/>
      <c r="J74" s="44"/>
      <c r="K74" s="44"/>
      <c r="L74" s="44"/>
      <c r="M74" s="44"/>
      <c r="N74" s="44"/>
      <c r="O74" s="44"/>
      <c r="P74" s="44"/>
      <c r="Q74" s="44"/>
      <c r="R74" s="45" t="str">
        <f aca="false">IF($A74="","",SUM(H74:Q74))</f>
        <v/>
      </c>
      <c r="S74" s="45" t="str">
        <f aca="false">IF($A74="","",ROUND($F74-$G74-$R74,2))</f>
        <v/>
      </c>
      <c r="T74" s="28" t="str">
        <f aca="false">IF(OR($A74="",$F74=0),"",$R74/$F74)</f>
        <v/>
      </c>
      <c r="U74" s="35"/>
      <c r="V74" s="35"/>
      <c r="W74" s="0" t="str">
        <f aca="false">IF($A74="","",$A74&amp;"|"&amp;$B74)</f>
        <v/>
      </c>
    </row>
    <row r="75" customFormat="false" ht="18" hidden="false" customHeight="true" outlineLevel="0" collapsed="false">
      <c r="A75" s="36"/>
      <c r="B75" s="36"/>
      <c r="C75" s="43" t="str">
        <f aca="false">IF($B75="","",IFERROR(VLOOKUP($B75,人员名册!$B$4:$G$53,2,0)&amp;"","名册中未登记"))</f>
        <v/>
      </c>
      <c r="D75" s="43" t="str">
        <f aca="false">IF($B75="","",IFERROR(VLOOKUP($B75,人员名册!$B$4:$G$53,3,0)&amp;"",""))</f>
        <v/>
      </c>
      <c r="E75" s="43" t="str">
        <f aca="false">IF($B75="","",IFERROR(VLOOKUP($B75,人员名册!$B$4:$G$53,5,0)&amp;"",""))</f>
        <v/>
      </c>
      <c r="F75" s="44"/>
      <c r="G75" s="44"/>
      <c r="H75" s="44"/>
      <c r="I75" s="44"/>
      <c r="J75" s="44"/>
      <c r="K75" s="44"/>
      <c r="L75" s="44"/>
      <c r="M75" s="44"/>
      <c r="N75" s="44"/>
      <c r="O75" s="44"/>
      <c r="P75" s="44"/>
      <c r="Q75" s="44"/>
      <c r="R75" s="45" t="str">
        <f aca="false">IF($A75="","",SUM(H75:Q75))</f>
        <v/>
      </c>
      <c r="S75" s="45" t="str">
        <f aca="false">IF($A75="","",ROUND($F75-$G75-$R75,2))</f>
        <v/>
      </c>
      <c r="T75" s="28" t="str">
        <f aca="false">IF(OR($A75="",$F75=0),"",$R75/$F75)</f>
        <v/>
      </c>
      <c r="U75" s="35"/>
      <c r="V75" s="35"/>
      <c r="W75" s="0" t="str">
        <f aca="false">IF($A75="","",$A75&amp;"|"&amp;$B75)</f>
        <v/>
      </c>
    </row>
    <row r="76" customFormat="false" ht="18" hidden="false" customHeight="true" outlineLevel="0" collapsed="false">
      <c r="A76" s="36"/>
      <c r="B76" s="36"/>
      <c r="C76" s="43" t="str">
        <f aca="false">IF($B76="","",IFERROR(VLOOKUP($B76,人员名册!$B$4:$G$53,2,0)&amp;"","名册中未登记"))</f>
        <v/>
      </c>
      <c r="D76" s="43" t="str">
        <f aca="false">IF($B76="","",IFERROR(VLOOKUP($B76,人员名册!$B$4:$G$53,3,0)&amp;"",""))</f>
        <v/>
      </c>
      <c r="E76" s="43" t="str">
        <f aca="false">IF($B76="","",IFERROR(VLOOKUP($B76,人员名册!$B$4:$G$53,5,0)&amp;"",""))</f>
        <v/>
      </c>
      <c r="F76" s="44"/>
      <c r="G76" s="44"/>
      <c r="H76" s="44"/>
      <c r="I76" s="44"/>
      <c r="J76" s="44"/>
      <c r="K76" s="44"/>
      <c r="L76" s="44"/>
      <c r="M76" s="44"/>
      <c r="N76" s="44"/>
      <c r="O76" s="44"/>
      <c r="P76" s="44"/>
      <c r="Q76" s="44"/>
      <c r="R76" s="45" t="str">
        <f aca="false">IF($A76="","",SUM(H76:Q76))</f>
        <v/>
      </c>
      <c r="S76" s="45" t="str">
        <f aca="false">IF($A76="","",ROUND($F76-$G76-$R76,2))</f>
        <v/>
      </c>
      <c r="T76" s="28" t="str">
        <f aca="false">IF(OR($A76="",$F76=0),"",$R76/$F76)</f>
        <v/>
      </c>
      <c r="U76" s="35"/>
      <c r="V76" s="35"/>
      <c r="W76" s="0" t="str">
        <f aca="false">IF($A76="","",$A76&amp;"|"&amp;$B76)</f>
        <v/>
      </c>
    </row>
    <row r="77" customFormat="false" ht="18" hidden="false" customHeight="true" outlineLevel="0" collapsed="false">
      <c r="A77" s="36"/>
      <c r="B77" s="36"/>
      <c r="C77" s="43" t="str">
        <f aca="false">IF($B77="","",IFERROR(VLOOKUP($B77,人员名册!$B$4:$G$53,2,0)&amp;"","名册中未登记"))</f>
        <v/>
      </c>
      <c r="D77" s="43" t="str">
        <f aca="false">IF($B77="","",IFERROR(VLOOKUP($B77,人员名册!$B$4:$G$53,3,0)&amp;"",""))</f>
        <v/>
      </c>
      <c r="E77" s="43" t="str">
        <f aca="false">IF($B77="","",IFERROR(VLOOKUP($B77,人员名册!$B$4:$G$53,5,0)&amp;"",""))</f>
        <v/>
      </c>
      <c r="F77" s="44"/>
      <c r="G77" s="44"/>
      <c r="H77" s="44"/>
      <c r="I77" s="44"/>
      <c r="J77" s="44"/>
      <c r="K77" s="44"/>
      <c r="L77" s="44"/>
      <c r="M77" s="44"/>
      <c r="N77" s="44"/>
      <c r="O77" s="44"/>
      <c r="P77" s="44"/>
      <c r="Q77" s="44"/>
      <c r="R77" s="45" t="str">
        <f aca="false">IF($A77="","",SUM(H77:Q77))</f>
        <v/>
      </c>
      <c r="S77" s="45" t="str">
        <f aca="false">IF($A77="","",ROUND($F77-$G77-$R77,2))</f>
        <v/>
      </c>
      <c r="T77" s="28" t="str">
        <f aca="false">IF(OR($A77="",$F77=0),"",$R77/$F77)</f>
        <v/>
      </c>
      <c r="U77" s="35"/>
      <c r="V77" s="35"/>
      <c r="W77" s="0" t="str">
        <f aca="false">IF($A77="","",$A77&amp;"|"&amp;$B77)</f>
        <v/>
      </c>
    </row>
    <row r="78" customFormat="false" ht="18" hidden="false" customHeight="true" outlineLevel="0" collapsed="false">
      <c r="A78" s="36"/>
      <c r="B78" s="36"/>
      <c r="C78" s="43" t="str">
        <f aca="false">IF($B78="","",IFERROR(VLOOKUP($B78,人员名册!$B$4:$G$53,2,0)&amp;"","名册中未登记"))</f>
        <v/>
      </c>
      <c r="D78" s="43" t="str">
        <f aca="false">IF($B78="","",IFERROR(VLOOKUP($B78,人员名册!$B$4:$G$53,3,0)&amp;"",""))</f>
        <v/>
      </c>
      <c r="E78" s="43" t="str">
        <f aca="false">IF($B78="","",IFERROR(VLOOKUP($B78,人员名册!$B$4:$G$53,5,0)&amp;"",""))</f>
        <v/>
      </c>
      <c r="F78" s="44"/>
      <c r="G78" s="44"/>
      <c r="H78" s="44"/>
      <c r="I78" s="44"/>
      <c r="J78" s="44"/>
      <c r="K78" s="44"/>
      <c r="L78" s="44"/>
      <c r="M78" s="44"/>
      <c r="N78" s="44"/>
      <c r="O78" s="44"/>
      <c r="P78" s="44"/>
      <c r="Q78" s="44"/>
      <c r="R78" s="45" t="str">
        <f aca="false">IF($A78="","",SUM(H78:Q78))</f>
        <v/>
      </c>
      <c r="S78" s="45" t="str">
        <f aca="false">IF($A78="","",ROUND($F78-$G78-$R78,2))</f>
        <v/>
      </c>
      <c r="T78" s="28" t="str">
        <f aca="false">IF(OR($A78="",$F78=0),"",$R78/$F78)</f>
        <v/>
      </c>
      <c r="U78" s="35"/>
      <c r="V78" s="35"/>
      <c r="W78" s="0" t="str">
        <f aca="false">IF($A78="","",$A78&amp;"|"&amp;$B78)</f>
        <v/>
      </c>
    </row>
    <row r="79" customFormat="false" ht="18" hidden="false" customHeight="true" outlineLevel="0" collapsed="false">
      <c r="A79" s="36"/>
      <c r="B79" s="36"/>
      <c r="C79" s="43" t="str">
        <f aca="false">IF($B79="","",IFERROR(VLOOKUP($B79,人员名册!$B$4:$G$53,2,0)&amp;"","名册中未登记"))</f>
        <v/>
      </c>
      <c r="D79" s="43" t="str">
        <f aca="false">IF($B79="","",IFERROR(VLOOKUP($B79,人员名册!$B$4:$G$53,3,0)&amp;"",""))</f>
        <v/>
      </c>
      <c r="E79" s="43" t="str">
        <f aca="false">IF($B79="","",IFERROR(VLOOKUP($B79,人员名册!$B$4:$G$53,5,0)&amp;"",""))</f>
        <v/>
      </c>
      <c r="F79" s="44"/>
      <c r="G79" s="44"/>
      <c r="H79" s="44"/>
      <c r="I79" s="44"/>
      <c r="J79" s="44"/>
      <c r="K79" s="44"/>
      <c r="L79" s="44"/>
      <c r="M79" s="44"/>
      <c r="N79" s="44"/>
      <c r="O79" s="44"/>
      <c r="P79" s="44"/>
      <c r="Q79" s="44"/>
      <c r="R79" s="45" t="str">
        <f aca="false">IF($A79="","",SUM(H79:Q79))</f>
        <v/>
      </c>
      <c r="S79" s="45" t="str">
        <f aca="false">IF($A79="","",ROUND($F79-$G79-$R79,2))</f>
        <v/>
      </c>
      <c r="T79" s="28" t="str">
        <f aca="false">IF(OR($A79="",$F79=0),"",$R79/$F79)</f>
        <v/>
      </c>
      <c r="U79" s="35"/>
      <c r="V79" s="35"/>
      <c r="W79" s="0" t="str">
        <f aca="false">IF($A79="","",$A79&amp;"|"&amp;$B79)</f>
        <v/>
      </c>
    </row>
    <row r="80" customFormat="false" ht="18" hidden="false" customHeight="true" outlineLevel="0" collapsed="false">
      <c r="A80" s="36"/>
      <c r="B80" s="36"/>
      <c r="C80" s="43" t="str">
        <f aca="false">IF($B80="","",IFERROR(VLOOKUP($B80,人员名册!$B$4:$G$53,2,0)&amp;"","名册中未登记"))</f>
        <v/>
      </c>
      <c r="D80" s="43" t="str">
        <f aca="false">IF($B80="","",IFERROR(VLOOKUP($B80,人员名册!$B$4:$G$53,3,0)&amp;"",""))</f>
        <v/>
      </c>
      <c r="E80" s="43" t="str">
        <f aca="false">IF($B80="","",IFERROR(VLOOKUP($B80,人员名册!$B$4:$G$53,5,0)&amp;"",""))</f>
        <v/>
      </c>
      <c r="F80" s="44"/>
      <c r="G80" s="44"/>
      <c r="H80" s="44"/>
      <c r="I80" s="44"/>
      <c r="J80" s="44"/>
      <c r="K80" s="44"/>
      <c r="L80" s="44"/>
      <c r="M80" s="44"/>
      <c r="N80" s="44"/>
      <c r="O80" s="44"/>
      <c r="P80" s="44"/>
      <c r="Q80" s="44"/>
      <c r="R80" s="45" t="str">
        <f aca="false">IF($A80="","",SUM(H80:Q80))</f>
        <v/>
      </c>
      <c r="S80" s="45" t="str">
        <f aca="false">IF($A80="","",ROUND($F80-$G80-$R80,2))</f>
        <v/>
      </c>
      <c r="T80" s="28" t="str">
        <f aca="false">IF(OR($A80="",$F80=0),"",$R80/$F80)</f>
        <v/>
      </c>
      <c r="U80" s="35"/>
      <c r="V80" s="35"/>
      <c r="W80" s="0" t="str">
        <f aca="false">IF($A80="","",$A80&amp;"|"&amp;$B80)</f>
        <v/>
      </c>
    </row>
    <row r="81" customFormat="false" ht="18" hidden="false" customHeight="true" outlineLevel="0" collapsed="false">
      <c r="A81" s="36"/>
      <c r="B81" s="36"/>
      <c r="C81" s="43" t="str">
        <f aca="false">IF($B81="","",IFERROR(VLOOKUP($B81,人员名册!$B$4:$G$53,2,0)&amp;"","名册中未登记"))</f>
        <v/>
      </c>
      <c r="D81" s="43" t="str">
        <f aca="false">IF($B81="","",IFERROR(VLOOKUP($B81,人员名册!$B$4:$G$53,3,0)&amp;"",""))</f>
        <v/>
      </c>
      <c r="E81" s="43" t="str">
        <f aca="false">IF($B81="","",IFERROR(VLOOKUP($B81,人员名册!$B$4:$G$53,5,0)&amp;"",""))</f>
        <v/>
      </c>
      <c r="F81" s="44"/>
      <c r="G81" s="44"/>
      <c r="H81" s="44"/>
      <c r="I81" s="44"/>
      <c r="J81" s="44"/>
      <c r="K81" s="44"/>
      <c r="L81" s="44"/>
      <c r="M81" s="44"/>
      <c r="N81" s="44"/>
      <c r="O81" s="44"/>
      <c r="P81" s="44"/>
      <c r="Q81" s="44"/>
      <c r="R81" s="45" t="str">
        <f aca="false">IF($A81="","",SUM(H81:Q81))</f>
        <v/>
      </c>
      <c r="S81" s="45" t="str">
        <f aca="false">IF($A81="","",ROUND($F81-$G81-$R81,2))</f>
        <v/>
      </c>
      <c r="T81" s="28" t="str">
        <f aca="false">IF(OR($A81="",$F81=0),"",$R81/$F81)</f>
        <v/>
      </c>
      <c r="U81" s="35"/>
      <c r="V81" s="35"/>
      <c r="W81" s="0" t="str">
        <f aca="false">IF($A81="","",$A81&amp;"|"&amp;$B81)</f>
        <v/>
      </c>
    </row>
    <row r="82" customFormat="false" ht="18" hidden="false" customHeight="true" outlineLevel="0" collapsed="false">
      <c r="A82" s="36"/>
      <c r="B82" s="36"/>
      <c r="C82" s="43" t="str">
        <f aca="false">IF($B82="","",IFERROR(VLOOKUP($B82,人员名册!$B$4:$G$53,2,0)&amp;"","名册中未登记"))</f>
        <v/>
      </c>
      <c r="D82" s="43" t="str">
        <f aca="false">IF($B82="","",IFERROR(VLOOKUP($B82,人员名册!$B$4:$G$53,3,0)&amp;"",""))</f>
        <v/>
      </c>
      <c r="E82" s="43" t="str">
        <f aca="false">IF($B82="","",IFERROR(VLOOKUP($B82,人员名册!$B$4:$G$53,5,0)&amp;"",""))</f>
        <v/>
      </c>
      <c r="F82" s="44"/>
      <c r="G82" s="44"/>
      <c r="H82" s="44"/>
      <c r="I82" s="44"/>
      <c r="J82" s="44"/>
      <c r="K82" s="44"/>
      <c r="L82" s="44"/>
      <c r="M82" s="44"/>
      <c r="N82" s="44"/>
      <c r="O82" s="44"/>
      <c r="P82" s="44"/>
      <c r="Q82" s="44"/>
      <c r="R82" s="45" t="str">
        <f aca="false">IF($A82="","",SUM(H82:Q82))</f>
        <v/>
      </c>
      <c r="S82" s="45" t="str">
        <f aca="false">IF($A82="","",ROUND($F82-$G82-$R82,2))</f>
        <v/>
      </c>
      <c r="T82" s="28" t="str">
        <f aca="false">IF(OR($A82="",$F82=0),"",$R82/$F82)</f>
        <v/>
      </c>
      <c r="U82" s="35"/>
      <c r="V82" s="35"/>
      <c r="W82" s="0" t="str">
        <f aca="false">IF($A82="","",$A82&amp;"|"&amp;$B82)</f>
        <v/>
      </c>
    </row>
    <row r="83" customFormat="false" ht="18" hidden="false" customHeight="true" outlineLevel="0" collapsed="false">
      <c r="A83" s="36"/>
      <c r="B83" s="36"/>
      <c r="C83" s="43" t="str">
        <f aca="false">IF($B83="","",IFERROR(VLOOKUP($B83,人员名册!$B$4:$G$53,2,0)&amp;"","名册中未登记"))</f>
        <v/>
      </c>
      <c r="D83" s="43" t="str">
        <f aca="false">IF($B83="","",IFERROR(VLOOKUP($B83,人员名册!$B$4:$G$53,3,0)&amp;"",""))</f>
        <v/>
      </c>
      <c r="E83" s="43" t="str">
        <f aca="false">IF($B83="","",IFERROR(VLOOKUP($B83,人员名册!$B$4:$G$53,5,0)&amp;"",""))</f>
        <v/>
      </c>
      <c r="F83" s="44"/>
      <c r="G83" s="44"/>
      <c r="H83" s="44"/>
      <c r="I83" s="44"/>
      <c r="J83" s="44"/>
      <c r="K83" s="44"/>
      <c r="L83" s="44"/>
      <c r="M83" s="44"/>
      <c r="N83" s="44"/>
      <c r="O83" s="44"/>
      <c r="P83" s="44"/>
      <c r="Q83" s="44"/>
      <c r="R83" s="45" t="str">
        <f aca="false">IF($A83="","",SUM(H83:Q83))</f>
        <v/>
      </c>
      <c r="S83" s="45" t="str">
        <f aca="false">IF($A83="","",ROUND($F83-$G83-$R83,2))</f>
        <v/>
      </c>
      <c r="T83" s="28" t="str">
        <f aca="false">IF(OR($A83="",$F83=0),"",$R83/$F83)</f>
        <v/>
      </c>
      <c r="U83" s="35"/>
      <c r="V83" s="35"/>
      <c r="W83" s="0" t="str">
        <f aca="false">IF($A83="","",$A83&amp;"|"&amp;$B83)</f>
        <v/>
      </c>
    </row>
    <row r="84" customFormat="false" ht="18" hidden="false" customHeight="true" outlineLevel="0" collapsed="false">
      <c r="A84" s="36"/>
      <c r="B84" s="36"/>
      <c r="C84" s="43" t="str">
        <f aca="false">IF($B84="","",IFERROR(VLOOKUP($B84,人员名册!$B$4:$G$53,2,0)&amp;"","名册中未登记"))</f>
        <v/>
      </c>
      <c r="D84" s="43" t="str">
        <f aca="false">IF($B84="","",IFERROR(VLOOKUP($B84,人员名册!$B$4:$G$53,3,0)&amp;"",""))</f>
        <v/>
      </c>
      <c r="E84" s="43" t="str">
        <f aca="false">IF($B84="","",IFERROR(VLOOKUP($B84,人员名册!$B$4:$G$53,5,0)&amp;"",""))</f>
        <v/>
      </c>
      <c r="F84" s="44"/>
      <c r="G84" s="44"/>
      <c r="H84" s="44"/>
      <c r="I84" s="44"/>
      <c r="J84" s="44"/>
      <c r="K84" s="44"/>
      <c r="L84" s="44"/>
      <c r="M84" s="44"/>
      <c r="N84" s="44"/>
      <c r="O84" s="44"/>
      <c r="P84" s="44"/>
      <c r="Q84" s="44"/>
      <c r="R84" s="45" t="str">
        <f aca="false">IF($A84="","",SUM(H84:Q84))</f>
        <v/>
      </c>
      <c r="S84" s="45" t="str">
        <f aca="false">IF($A84="","",ROUND($F84-$G84-$R84,2))</f>
        <v/>
      </c>
      <c r="T84" s="28" t="str">
        <f aca="false">IF(OR($A84="",$F84=0),"",$R84/$F84)</f>
        <v/>
      </c>
      <c r="U84" s="35"/>
      <c r="V84" s="35"/>
      <c r="W84" s="0" t="str">
        <f aca="false">IF($A84="","",$A84&amp;"|"&amp;$B84)</f>
        <v/>
      </c>
    </row>
    <row r="85" customFormat="false" ht="18" hidden="false" customHeight="true" outlineLevel="0" collapsed="false">
      <c r="A85" s="36"/>
      <c r="B85" s="36"/>
      <c r="C85" s="43" t="str">
        <f aca="false">IF($B85="","",IFERROR(VLOOKUP($B85,人员名册!$B$4:$G$53,2,0)&amp;"","名册中未登记"))</f>
        <v/>
      </c>
      <c r="D85" s="43" t="str">
        <f aca="false">IF($B85="","",IFERROR(VLOOKUP($B85,人员名册!$B$4:$G$53,3,0)&amp;"",""))</f>
        <v/>
      </c>
      <c r="E85" s="43" t="str">
        <f aca="false">IF($B85="","",IFERROR(VLOOKUP($B85,人员名册!$B$4:$G$53,5,0)&amp;"",""))</f>
        <v/>
      </c>
      <c r="F85" s="44"/>
      <c r="G85" s="44"/>
      <c r="H85" s="44"/>
      <c r="I85" s="44"/>
      <c r="J85" s="44"/>
      <c r="K85" s="44"/>
      <c r="L85" s="44"/>
      <c r="M85" s="44"/>
      <c r="N85" s="44"/>
      <c r="O85" s="44"/>
      <c r="P85" s="44"/>
      <c r="Q85" s="44"/>
      <c r="R85" s="45" t="str">
        <f aca="false">IF($A85="","",SUM(H85:Q85))</f>
        <v/>
      </c>
      <c r="S85" s="45" t="str">
        <f aca="false">IF($A85="","",ROUND($F85-$G85-$R85,2))</f>
        <v/>
      </c>
      <c r="T85" s="28" t="str">
        <f aca="false">IF(OR($A85="",$F85=0),"",$R85/$F85)</f>
        <v/>
      </c>
      <c r="U85" s="35"/>
      <c r="V85" s="35"/>
      <c r="W85" s="0" t="str">
        <f aca="false">IF($A85="","",$A85&amp;"|"&amp;$B85)</f>
        <v/>
      </c>
    </row>
    <row r="86" customFormat="false" ht="18" hidden="false" customHeight="true" outlineLevel="0" collapsed="false">
      <c r="A86" s="36"/>
      <c r="B86" s="36"/>
      <c r="C86" s="43" t="str">
        <f aca="false">IF($B86="","",IFERROR(VLOOKUP($B86,人员名册!$B$4:$G$53,2,0)&amp;"","名册中未登记"))</f>
        <v/>
      </c>
      <c r="D86" s="43" t="str">
        <f aca="false">IF($B86="","",IFERROR(VLOOKUP($B86,人员名册!$B$4:$G$53,3,0)&amp;"",""))</f>
        <v/>
      </c>
      <c r="E86" s="43" t="str">
        <f aca="false">IF($B86="","",IFERROR(VLOOKUP($B86,人员名册!$B$4:$G$53,5,0)&amp;"",""))</f>
        <v/>
      </c>
      <c r="F86" s="44"/>
      <c r="G86" s="44"/>
      <c r="H86" s="44"/>
      <c r="I86" s="44"/>
      <c r="J86" s="44"/>
      <c r="K86" s="44"/>
      <c r="L86" s="44"/>
      <c r="M86" s="44"/>
      <c r="N86" s="44"/>
      <c r="O86" s="44"/>
      <c r="P86" s="44"/>
      <c r="Q86" s="44"/>
      <c r="R86" s="45" t="str">
        <f aca="false">IF($A86="","",SUM(H86:Q86))</f>
        <v/>
      </c>
      <c r="S86" s="45" t="str">
        <f aca="false">IF($A86="","",ROUND($F86-$G86-$R86,2))</f>
        <v/>
      </c>
      <c r="T86" s="28" t="str">
        <f aca="false">IF(OR($A86="",$F86=0),"",$R86/$F86)</f>
        <v/>
      </c>
      <c r="U86" s="35"/>
      <c r="V86" s="35"/>
      <c r="W86" s="0" t="str">
        <f aca="false">IF($A86="","",$A86&amp;"|"&amp;$B86)</f>
        <v/>
      </c>
    </row>
    <row r="87" customFormat="false" ht="18" hidden="false" customHeight="true" outlineLevel="0" collapsed="false">
      <c r="A87" s="36"/>
      <c r="B87" s="36"/>
      <c r="C87" s="43" t="str">
        <f aca="false">IF($B87="","",IFERROR(VLOOKUP($B87,人员名册!$B$4:$G$53,2,0)&amp;"","名册中未登记"))</f>
        <v/>
      </c>
      <c r="D87" s="43" t="str">
        <f aca="false">IF($B87="","",IFERROR(VLOOKUP($B87,人员名册!$B$4:$G$53,3,0)&amp;"",""))</f>
        <v/>
      </c>
      <c r="E87" s="43" t="str">
        <f aca="false">IF($B87="","",IFERROR(VLOOKUP($B87,人员名册!$B$4:$G$53,5,0)&amp;"",""))</f>
        <v/>
      </c>
      <c r="F87" s="44"/>
      <c r="G87" s="44"/>
      <c r="H87" s="44"/>
      <c r="I87" s="44"/>
      <c r="J87" s="44"/>
      <c r="K87" s="44"/>
      <c r="L87" s="44"/>
      <c r="M87" s="44"/>
      <c r="N87" s="44"/>
      <c r="O87" s="44"/>
      <c r="P87" s="44"/>
      <c r="Q87" s="44"/>
      <c r="R87" s="45" t="str">
        <f aca="false">IF($A87="","",SUM(H87:Q87))</f>
        <v/>
      </c>
      <c r="S87" s="45" t="str">
        <f aca="false">IF($A87="","",ROUND($F87-$G87-$R87,2))</f>
        <v/>
      </c>
      <c r="T87" s="28" t="str">
        <f aca="false">IF(OR($A87="",$F87=0),"",$R87/$F87)</f>
        <v/>
      </c>
      <c r="U87" s="35"/>
      <c r="V87" s="35"/>
      <c r="W87" s="0" t="str">
        <f aca="false">IF($A87="","",$A87&amp;"|"&amp;$B87)</f>
        <v/>
      </c>
    </row>
    <row r="88" customFormat="false" ht="18" hidden="false" customHeight="true" outlineLevel="0" collapsed="false">
      <c r="A88" s="36"/>
      <c r="B88" s="36"/>
      <c r="C88" s="43" t="str">
        <f aca="false">IF($B88="","",IFERROR(VLOOKUP($B88,人员名册!$B$4:$G$53,2,0)&amp;"","名册中未登记"))</f>
        <v/>
      </c>
      <c r="D88" s="43" t="str">
        <f aca="false">IF($B88="","",IFERROR(VLOOKUP($B88,人员名册!$B$4:$G$53,3,0)&amp;"",""))</f>
        <v/>
      </c>
      <c r="E88" s="43" t="str">
        <f aca="false">IF($B88="","",IFERROR(VLOOKUP($B88,人员名册!$B$4:$G$53,5,0)&amp;"",""))</f>
        <v/>
      </c>
      <c r="F88" s="44"/>
      <c r="G88" s="44"/>
      <c r="H88" s="44"/>
      <c r="I88" s="44"/>
      <c r="J88" s="44"/>
      <c r="K88" s="44"/>
      <c r="L88" s="44"/>
      <c r="M88" s="44"/>
      <c r="N88" s="44"/>
      <c r="O88" s="44"/>
      <c r="P88" s="44"/>
      <c r="Q88" s="44"/>
      <c r="R88" s="45" t="str">
        <f aca="false">IF($A88="","",SUM(H88:Q88))</f>
        <v/>
      </c>
      <c r="S88" s="45" t="str">
        <f aca="false">IF($A88="","",ROUND($F88-$G88-$R88,2))</f>
        <v/>
      </c>
      <c r="T88" s="28" t="str">
        <f aca="false">IF(OR($A88="",$F88=0),"",$R88/$F88)</f>
        <v/>
      </c>
      <c r="U88" s="35"/>
      <c r="V88" s="35"/>
      <c r="W88" s="0" t="str">
        <f aca="false">IF($A88="","",$A88&amp;"|"&amp;$B88)</f>
        <v/>
      </c>
    </row>
    <row r="89" customFormat="false" ht="18" hidden="false" customHeight="true" outlineLevel="0" collapsed="false">
      <c r="A89" s="36"/>
      <c r="B89" s="36"/>
      <c r="C89" s="43" t="str">
        <f aca="false">IF($B89="","",IFERROR(VLOOKUP($B89,人员名册!$B$4:$G$53,2,0)&amp;"","名册中未登记"))</f>
        <v/>
      </c>
      <c r="D89" s="43" t="str">
        <f aca="false">IF($B89="","",IFERROR(VLOOKUP($B89,人员名册!$B$4:$G$53,3,0)&amp;"",""))</f>
        <v/>
      </c>
      <c r="E89" s="43" t="str">
        <f aca="false">IF($B89="","",IFERROR(VLOOKUP($B89,人员名册!$B$4:$G$53,5,0)&amp;"",""))</f>
        <v/>
      </c>
      <c r="F89" s="44"/>
      <c r="G89" s="44"/>
      <c r="H89" s="44"/>
      <c r="I89" s="44"/>
      <c r="J89" s="44"/>
      <c r="K89" s="44"/>
      <c r="L89" s="44"/>
      <c r="M89" s="44"/>
      <c r="N89" s="44"/>
      <c r="O89" s="44"/>
      <c r="P89" s="44"/>
      <c r="Q89" s="44"/>
      <c r="R89" s="45" t="str">
        <f aca="false">IF($A89="","",SUM(H89:Q89))</f>
        <v/>
      </c>
      <c r="S89" s="45" t="str">
        <f aca="false">IF($A89="","",ROUND($F89-$G89-$R89,2))</f>
        <v/>
      </c>
      <c r="T89" s="28" t="str">
        <f aca="false">IF(OR($A89="",$F89=0),"",$R89/$F89)</f>
        <v/>
      </c>
      <c r="U89" s="35"/>
      <c r="V89" s="35"/>
      <c r="W89" s="0" t="str">
        <f aca="false">IF($A89="","",$A89&amp;"|"&amp;$B89)</f>
        <v/>
      </c>
    </row>
    <row r="90" customFormat="false" ht="18" hidden="false" customHeight="true" outlineLevel="0" collapsed="false">
      <c r="A90" s="36"/>
      <c r="B90" s="36"/>
      <c r="C90" s="43" t="str">
        <f aca="false">IF($B90="","",IFERROR(VLOOKUP($B90,人员名册!$B$4:$G$53,2,0)&amp;"","名册中未登记"))</f>
        <v/>
      </c>
      <c r="D90" s="43" t="str">
        <f aca="false">IF($B90="","",IFERROR(VLOOKUP($B90,人员名册!$B$4:$G$53,3,0)&amp;"",""))</f>
        <v/>
      </c>
      <c r="E90" s="43" t="str">
        <f aca="false">IF($B90="","",IFERROR(VLOOKUP($B90,人员名册!$B$4:$G$53,5,0)&amp;"",""))</f>
        <v/>
      </c>
      <c r="F90" s="44"/>
      <c r="G90" s="44"/>
      <c r="H90" s="44"/>
      <c r="I90" s="44"/>
      <c r="J90" s="44"/>
      <c r="K90" s="44"/>
      <c r="L90" s="44"/>
      <c r="M90" s="44"/>
      <c r="N90" s="44"/>
      <c r="O90" s="44"/>
      <c r="P90" s="44"/>
      <c r="Q90" s="44"/>
      <c r="R90" s="45" t="str">
        <f aca="false">IF($A90="","",SUM(H90:Q90))</f>
        <v/>
      </c>
      <c r="S90" s="45" t="str">
        <f aca="false">IF($A90="","",ROUND($F90-$G90-$R90,2))</f>
        <v/>
      </c>
      <c r="T90" s="28" t="str">
        <f aca="false">IF(OR($A90="",$F90=0),"",$R90/$F90)</f>
        <v/>
      </c>
      <c r="U90" s="35"/>
      <c r="V90" s="35"/>
      <c r="W90" s="0" t="str">
        <f aca="false">IF($A90="","",$A90&amp;"|"&amp;$B90)</f>
        <v/>
      </c>
    </row>
    <row r="91" customFormat="false" ht="18" hidden="false" customHeight="true" outlineLevel="0" collapsed="false">
      <c r="A91" s="36"/>
      <c r="B91" s="36"/>
      <c r="C91" s="43" t="str">
        <f aca="false">IF($B91="","",IFERROR(VLOOKUP($B91,人员名册!$B$4:$G$53,2,0)&amp;"","名册中未登记"))</f>
        <v/>
      </c>
      <c r="D91" s="43" t="str">
        <f aca="false">IF($B91="","",IFERROR(VLOOKUP($B91,人员名册!$B$4:$G$53,3,0)&amp;"",""))</f>
        <v/>
      </c>
      <c r="E91" s="43" t="str">
        <f aca="false">IF($B91="","",IFERROR(VLOOKUP($B91,人员名册!$B$4:$G$53,5,0)&amp;"",""))</f>
        <v/>
      </c>
      <c r="F91" s="44"/>
      <c r="G91" s="44"/>
      <c r="H91" s="44"/>
      <c r="I91" s="44"/>
      <c r="J91" s="44"/>
      <c r="K91" s="44"/>
      <c r="L91" s="44"/>
      <c r="M91" s="44"/>
      <c r="N91" s="44"/>
      <c r="O91" s="44"/>
      <c r="P91" s="44"/>
      <c r="Q91" s="44"/>
      <c r="R91" s="45" t="str">
        <f aca="false">IF($A91="","",SUM(H91:Q91))</f>
        <v/>
      </c>
      <c r="S91" s="45" t="str">
        <f aca="false">IF($A91="","",ROUND($F91-$G91-$R91,2))</f>
        <v/>
      </c>
      <c r="T91" s="28" t="str">
        <f aca="false">IF(OR($A91="",$F91=0),"",$R91/$F91)</f>
        <v/>
      </c>
      <c r="U91" s="35"/>
      <c r="V91" s="35"/>
      <c r="W91" s="0" t="str">
        <f aca="false">IF($A91="","",$A91&amp;"|"&amp;$B91)</f>
        <v/>
      </c>
    </row>
    <row r="92" customFormat="false" ht="18" hidden="false" customHeight="true" outlineLevel="0" collapsed="false">
      <c r="A92" s="36"/>
      <c r="B92" s="36"/>
      <c r="C92" s="43" t="str">
        <f aca="false">IF($B92="","",IFERROR(VLOOKUP($B92,人员名册!$B$4:$G$53,2,0)&amp;"","名册中未登记"))</f>
        <v/>
      </c>
      <c r="D92" s="43" t="str">
        <f aca="false">IF($B92="","",IFERROR(VLOOKUP($B92,人员名册!$B$4:$G$53,3,0)&amp;"",""))</f>
        <v/>
      </c>
      <c r="E92" s="43" t="str">
        <f aca="false">IF($B92="","",IFERROR(VLOOKUP($B92,人员名册!$B$4:$G$53,5,0)&amp;"",""))</f>
        <v/>
      </c>
      <c r="F92" s="44"/>
      <c r="G92" s="44"/>
      <c r="H92" s="44"/>
      <c r="I92" s="44"/>
      <c r="J92" s="44"/>
      <c r="K92" s="44"/>
      <c r="L92" s="44"/>
      <c r="M92" s="44"/>
      <c r="N92" s="44"/>
      <c r="O92" s="44"/>
      <c r="P92" s="44"/>
      <c r="Q92" s="44"/>
      <c r="R92" s="45" t="str">
        <f aca="false">IF($A92="","",SUM(H92:Q92))</f>
        <v/>
      </c>
      <c r="S92" s="45" t="str">
        <f aca="false">IF($A92="","",ROUND($F92-$G92-$R92,2))</f>
        <v/>
      </c>
      <c r="T92" s="28" t="str">
        <f aca="false">IF(OR($A92="",$F92=0),"",$R92/$F92)</f>
        <v/>
      </c>
      <c r="U92" s="35"/>
      <c r="V92" s="35"/>
      <c r="W92" s="0" t="str">
        <f aca="false">IF($A92="","",$A92&amp;"|"&amp;$B92)</f>
        <v/>
      </c>
    </row>
    <row r="93" customFormat="false" ht="18" hidden="false" customHeight="true" outlineLevel="0" collapsed="false">
      <c r="A93" s="36"/>
      <c r="B93" s="36"/>
      <c r="C93" s="43" t="str">
        <f aca="false">IF($B93="","",IFERROR(VLOOKUP($B93,人员名册!$B$4:$G$53,2,0)&amp;"","名册中未登记"))</f>
        <v/>
      </c>
      <c r="D93" s="43" t="str">
        <f aca="false">IF($B93="","",IFERROR(VLOOKUP($B93,人员名册!$B$4:$G$53,3,0)&amp;"",""))</f>
        <v/>
      </c>
      <c r="E93" s="43" t="str">
        <f aca="false">IF($B93="","",IFERROR(VLOOKUP($B93,人员名册!$B$4:$G$53,5,0)&amp;"",""))</f>
        <v/>
      </c>
      <c r="F93" s="44"/>
      <c r="G93" s="44"/>
      <c r="H93" s="44"/>
      <c r="I93" s="44"/>
      <c r="J93" s="44"/>
      <c r="K93" s="44"/>
      <c r="L93" s="44"/>
      <c r="M93" s="44"/>
      <c r="N93" s="44"/>
      <c r="O93" s="44"/>
      <c r="P93" s="44"/>
      <c r="Q93" s="44"/>
      <c r="R93" s="45" t="str">
        <f aca="false">IF($A93="","",SUM(H93:Q93))</f>
        <v/>
      </c>
      <c r="S93" s="45" t="str">
        <f aca="false">IF($A93="","",ROUND($F93-$G93-$R93,2))</f>
        <v/>
      </c>
      <c r="T93" s="28" t="str">
        <f aca="false">IF(OR($A93="",$F93=0),"",$R93/$F93)</f>
        <v/>
      </c>
      <c r="U93" s="35"/>
      <c r="V93" s="35"/>
      <c r="W93" s="0" t="str">
        <f aca="false">IF($A93="","",$A93&amp;"|"&amp;$B93)</f>
        <v/>
      </c>
    </row>
    <row r="94" customFormat="false" ht="18" hidden="false" customHeight="true" outlineLevel="0" collapsed="false">
      <c r="A94" s="36"/>
      <c r="B94" s="36"/>
      <c r="C94" s="43" t="str">
        <f aca="false">IF($B94="","",IFERROR(VLOOKUP($B94,人员名册!$B$4:$G$53,2,0)&amp;"","名册中未登记"))</f>
        <v/>
      </c>
      <c r="D94" s="43" t="str">
        <f aca="false">IF($B94="","",IFERROR(VLOOKUP($B94,人员名册!$B$4:$G$53,3,0)&amp;"",""))</f>
        <v/>
      </c>
      <c r="E94" s="43" t="str">
        <f aca="false">IF($B94="","",IFERROR(VLOOKUP($B94,人员名册!$B$4:$G$53,5,0)&amp;"",""))</f>
        <v/>
      </c>
      <c r="F94" s="44"/>
      <c r="G94" s="44"/>
      <c r="H94" s="44"/>
      <c r="I94" s="44"/>
      <c r="J94" s="44"/>
      <c r="K94" s="44"/>
      <c r="L94" s="44"/>
      <c r="M94" s="44"/>
      <c r="N94" s="44"/>
      <c r="O94" s="44"/>
      <c r="P94" s="44"/>
      <c r="Q94" s="44"/>
      <c r="R94" s="45" t="str">
        <f aca="false">IF($A94="","",SUM(H94:Q94))</f>
        <v/>
      </c>
      <c r="S94" s="45" t="str">
        <f aca="false">IF($A94="","",ROUND($F94-$G94-$R94,2))</f>
        <v/>
      </c>
      <c r="T94" s="28" t="str">
        <f aca="false">IF(OR($A94="",$F94=0),"",$R94/$F94)</f>
        <v/>
      </c>
      <c r="U94" s="35"/>
      <c r="V94" s="35"/>
      <c r="W94" s="0" t="str">
        <f aca="false">IF($A94="","",$A94&amp;"|"&amp;$B94)</f>
        <v/>
      </c>
    </row>
    <row r="95" customFormat="false" ht="18" hidden="false" customHeight="true" outlineLevel="0" collapsed="false">
      <c r="A95" s="36"/>
      <c r="B95" s="36"/>
      <c r="C95" s="43" t="str">
        <f aca="false">IF($B95="","",IFERROR(VLOOKUP($B95,人员名册!$B$4:$G$53,2,0)&amp;"","名册中未登记"))</f>
        <v/>
      </c>
      <c r="D95" s="43" t="str">
        <f aca="false">IF($B95="","",IFERROR(VLOOKUP($B95,人员名册!$B$4:$G$53,3,0)&amp;"",""))</f>
        <v/>
      </c>
      <c r="E95" s="43" t="str">
        <f aca="false">IF($B95="","",IFERROR(VLOOKUP($B95,人员名册!$B$4:$G$53,5,0)&amp;"",""))</f>
        <v/>
      </c>
      <c r="F95" s="44"/>
      <c r="G95" s="44"/>
      <c r="H95" s="44"/>
      <c r="I95" s="44"/>
      <c r="J95" s="44"/>
      <c r="K95" s="44"/>
      <c r="L95" s="44"/>
      <c r="M95" s="44"/>
      <c r="N95" s="44"/>
      <c r="O95" s="44"/>
      <c r="P95" s="44"/>
      <c r="Q95" s="44"/>
      <c r="R95" s="45" t="str">
        <f aca="false">IF($A95="","",SUM(H95:Q95))</f>
        <v/>
      </c>
      <c r="S95" s="45" t="str">
        <f aca="false">IF($A95="","",ROUND($F95-$G95-$R95,2))</f>
        <v/>
      </c>
      <c r="T95" s="28" t="str">
        <f aca="false">IF(OR($A95="",$F95=0),"",$R95/$F95)</f>
        <v/>
      </c>
      <c r="U95" s="35"/>
      <c r="V95" s="35"/>
      <c r="W95" s="0" t="str">
        <f aca="false">IF($A95="","",$A95&amp;"|"&amp;$B95)</f>
        <v/>
      </c>
    </row>
    <row r="96" customFormat="false" ht="18" hidden="false" customHeight="true" outlineLevel="0" collapsed="false">
      <c r="A96" s="36"/>
      <c r="B96" s="36"/>
      <c r="C96" s="43" t="str">
        <f aca="false">IF($B96="","",IFERROR(VLOOKUP($B96,人员名册!$B$4:$G$53,2,0)&amp;"","名册中未登记"))</f>
        <v/>
      </c>
      <c r="D96" s="43" t="str">
        <f aca="false">IF($B96="","",IFERROR(VLOOKUP($B96,人员名册!$B$4:$G$53,3,0)&amp;"",""))</f>
        <v/>
      </c>
      <c r="E96" s="43" t="str">
        <f aca="false">IF($B96="","",IFERROR(VLOOKUP($B96,人员名册!$B$4:$G$53,5,0)&amp;"",""))</f>
        <v/>
      </c>
      <c r="F96" s="44"/>
      <c r="G96" s="44"/>
      <c r="H96" s="44"/>
      <c r="I96" s="44"/>
      <c r="J96" s="44"/>
      <c r="K96" s="44"/>
      <c r="L96" s="44"/>
      <c r="M96" s="44"/>
      <c r="N96" s="44"/>
      <c r="O96" s="44"/>
      <c r="P96" s="44"/>
      <c r="Q96" s="44"/>
      <c r="R96" s="45" t="str">
        <f aca="false">IF($A96="","",SUM(H96:Q96))</f>
        <v/>
      </c>
      <c r="S96" s="45" t="str">
        <f aca="false">IF($A96="","",ROUND($F96-$G96-$R96,2))</f>
        <v/>
      </c>
      <c r="T96" s="28" t="str">
        <f aca="false">IF(OR($A96="",$F96=0),"",$R96/$F96)</f>
        <v/>
      </c>
      <c r="U96" s="35"/>
      <c r="V96" s="35"/>
      <c r="W96" s="0" t="str">
        <f aca="false">IF($A96="","",$A96&amp;"|"&amp;$B96)</f>
        <v/>
      </c>
    </row>
    <row r="97" customFormat="false" ht="18" hidden="false" customHeight="true" outlineLevel="0" collapsed="false">
      <c r="A97" s="36"/>
      <c r="B97" s="36"/>
      <c r="C97" s="43" t="str">
        <f aca="false">IF($B97="","",IFERROR(VLOOKUP($B97,人员名册!$B$4:$G$53,2,0)&amp;"","名册中未登记"))</f>
        <v/>
      </c>
      <c r="D97" s="43" t="str">
        <f aca="false">IF($B97="","",IFERROR(VLOOKUP($B97,人员名册!$B$4:$G$53,3,0)&amp;"",""))</f>
        <v/>
      </c>
      <c r="E97" s="43" t="str">
        <f aca="false">IF($B97="","",IFERROR(VLOOKUP($B97,人员名册!$B$4:$G$53,5,0)&amp;"",""))</f>
        <v/>
      </c>
      <c r="F97" s="44"/>
      <c r="G97" s="44"/>
      <c r="H97" s="44"/>
      <c r="I97" s="44"/>
      <c r="J97" s="44"/>
      <c r="K97" s="44"/>
      <c r="L97" s="44"/>
      <c r="M97" s="44"/>
      <c r="N97" s="44"/>
      <c r="O97" s="44"/>
      <c r="P97" s="44"/>
      <c r="Q97" s="44"/>
      <c r="R97" s="45" t="str">
        <f aca="false">IF($A97="","",SUM(H97:Q97))</f>
        <v/>
      </c>
      <c r="S97" s="45" t="str">
        <f aca="false">IF($A97="","",ROUND($F97-$G97-$R97,2))</f>
        <v/>
      </c>
      <c r="T97" s="28" t="str">
        <f aca="false">IF(OR($A97="",$F97=0),"",$R97/$F97)</f>
        <v/>
      </c>
      <c r="U97" s="35"/>
      <c r="V97" s="35"/>
      <c r="W97" s="0" t="str">
        <f aca="false">IF($A97="","",$A97&amp;"|"&amp;$B97)</f>
        <v/>
      </c>
    </row>
    <row r="98" customFormat="false" ht="18" hidden="false" customHeight="true" outlineLevel="0" collapsed="false">
      <c r="A98" s="36"/>
      <c r="B98" s="36"/>
      <c r="C98" s="43" t="str">
        <f aca="false">IF($B98="","",IFERROR(VLOOKUP($B98,人员名册!$B$4:$G$53,2,0)&amp;"","名册中未登记"))</f>
        <v/>
      </c>
      <c r="D98" s="43" t="str">
        <f aca="false">IF($B98="","",IFERROR(VLOOKUP($B98,人员名册!$B$4:$G$53,3,0)&amp;"",""))</f>
        <v/>
      </c>
      <c r="E98" s="43" t="str">
        <f aca="false">IF($B98="","",IFERROR(VLOOKUP($B98,人员名册!$B$4:$G$53,5,0)&amp;"",""))</f>
        <v/>
      </c>
      <c r="F98" s="44"/>
      <c r="G98" s="44"/>
      <c r="H98" s="44"/>
      <c r="I98" s="44"/>
      <c r="J98" s="44"/>
      <c r="K98" s="44"/>
      <c r="L98" s="44"/>
      <c r="M98" s="44"/>
      <c r="N98" s="44"/>
      <c r="O98" s="44"/>
      <c r="P98" s="44"/>
      <c r="Q98" s="44"/>
      <c r="R98" s="45" t="str">
        <f aca="false">IF($A98="","",SUM(H98:Q98))</f>
        <v/>
      </c>
      <c r="S98" s="45" t="str">
        <f aca="false">IF($A98="","",ROUND($F98-$G98-$R98,2))</f>
        <v/>
      </c>
      <c r="T98" s="28" t="str">
        <f aca="false">IF(OR($A98="",$F98=0),"",$R98/$F98)</f>
        <v/>
      </c>
      <c r="U98" s="35"/>
      <c r="V98" s="35"/>
      <c r="W98" s="0" t="str">
        <f aca="false">IF($A98="","",$A98&amp;"|"&amp;$B98)</f>
        <v/>
      </c>
    </row>
    <row r="99" customFormat="false" ht="18" hidden="false" customHeight="true" outlineLevel="0" collapsed="false">
      <c r="A99" s="36"/>
      <c r="B99" s="36"/>
      <c r="C99" s="43" t="str">
        <f aca="false">IF($B99="","",IFERROR(VLOOKUP($B99,人员名册!$B$4:$G$53,2,0)&amp;"","名册中未登记"))</f>
        <v/>
      </c>
      <c r="D99" s="43" t="str">
        <f aca="false">IF($B99="","",IFERROR(VLOOKUP($B99,人员名册!$B$4:$G$53,3,0)&amp;"",""))</f>
        <v/>
      </c>
      <c r="E99" s="43" t="str">
        <f aca="false">IF($B99="","",IFERROR(VLOOKUP($B99,人员名册!$B$4:$G$53,5,0)&amp;"",""))</f>
        <v/>
      </c>
      <c r="F99" s="44"/>
      <c r="G99" s="44"/>
      <c r="H99" s="44"/>
      <c r="I99" s="44"/>
      <c r="J99" s="44"/>
      <c r="K99" s="44"/>
      <c r="L99" s="44"/>
      <c r="M99" s="44"/>
      <c r="N99" s="44"/>
      <c r="O99" s="44"/>
      <c r="P99" s="44"/>
      <c r="Q99" s="44"/>
      <c r="R99" s="45" t="str">
        <f aca="false">IF($A99="","",SUM(H99:Q99))</f>
        <v/>
      </c>
      <c r="S99" s="45" t="str">
        <f aca="false">IF($A99="","",ROUND($F99-$G99-$R99,2))</f>
        <v/>
      </c>
      <c r="T99" s="28" t="str">
        <f aca="false">IF(OR($A99="",$F99=0),"",$R99/$F99)</f>
        <v/>
      </c>
      <c r="U99" s="35"/>
      <c r="V99" s="35"/>
      <c r="W99" s="0" t="str">
        <f aca="false">IF($A99="","",$A99&amp;"|"&amp;$B99)</f>
        <v/>
      </c>
    </row>
    <row r="100" customFormat="false" ht="18" hidden="false" customHeight="true" outlineLevel="0" collapsed="false">
      <c r="A100" s="36"/>
      <c r="B100" s="36"/>
      <c r="C100" s="43" t="str">
        <f aca="false">IF($B100="","",IFERROR(VLOOKUP($B100,人员名册!$B$4:$G$53,2,0)&amp;"","名册中未登记"))</f>
        <v/>
      </c>
      <c r="D100" s="43" t="str">
        <f aca="false">IF($B100="","",IFERROR(VLOOKUP($B100,人员名册!$B$4:$G$53,3,0)&amp;"",""))</f>
        <v/>
      </c>
      <c r="E100" s="43" t="str">
        <f aca="false">IF($B100="","",IFERROR(VLOOKUP($B100,人员名册!$B$4:$G$53,5,0)&amp;"",""))</f>
        <v/>
      </c>
      <c r="F100" s="44"/>
      <c r="G100" s="44"/>
      <c r="H100" s="44"/>
      <c r="I100" s="44"/>
      <c r="J100" s="44"/>
      <c r="K100" s="44"/>
      <c r="L100" s="44"/>
      <c r="M100" s="44"/>
      <c r="N100" s="44"/>
      <c r="O100" s="44"/>
      <c r="P100" s="44"/>
      <c r="Q100" s="44"/>
      <c r="R100" s="45" t="str">
        <f aca="false">IF($A100="","",SUM(H100:Q100))</f>
        <v/>
      </c>
      <c r="S100" s="45" t="str">
        <f aca="false">IF($A100="","",ROUND($F100-$G100-$R100,2))</f>
        <v/>
      </c>
      <c r="T100" s="28" t="str">
        <f aca="false">IF(OR($A100="",$F100=0),"",$R100/$F100)</f>
        <v/>
      </c>
      <c r="U100" s="35"/>
      <c r="V100" s="35"/>
      <c r="W100" s="0" t="str">
        <f aca="false">IF($A100="","",$A100&amp;"|"&amp;$B100)</f>
        <v/>
      </c>
    </row>
    <row r="101" customFormat="false" ht="18" hidden="false" customHeight="true" outlineLevel="0" collapsed="false">
      <c r="A101" s="36"/>
      <c r="B101" s="36"/>
      <c r="C101" s="43" t="str">
        <f aca="false">IF($B101="","",IFERROR(VLOOKUP($B101,人员名册!$B$4:$G$53,2,0)&amp;"","名册中未登记"))</f>
        <v/>
      </c>
      <c r="D101" s="43" t="str">
        <f aca="false">IF($B101="","",IFERROR(VLOOKUP($B101,人员名册!$B$4:$G$53,3,0)&amp;"",""))</f>
        <v/>
      </c>
      <c r="E101" s="43" t="str">
        <f aca="false">IF($B101="","",IFERROR(VLOOKUP($B101,人员名册!$B$4:$G$53,5,0)&amp;"",""))</f>
        <v/>
      </c>
      <c r="F101" s="44"/>
      <c r="G101" s="44"/>
      <c r="H101" s="44"/>
      <c r="I101" s="44"/>
      <c r="J101" s="44"/>
      <c r="K101" s="44"/>
      <c r="L101" s="44"/>
      <c r="M101" s="44"/>
      <c r="N101" s="44"/>
      <c r="O101" s="44"/>
      <c r="P101" s="44"/>
      <c r="Q101" s="44"/>
      <c r="R101" s="45" t="str">
        <f aca="false">IF($A101="","",SUM(H101:Q101))</f>
        <v/>
      </c>
      <c r="S101" s="45" t="str">
        <f aca="false">IF($A101="","",ROUND($F101-$G101-$R101,2))</f>
        <v/>
      </c>
      <c r="T101" s="28" t="str">
        <f aca="false">IF(OR($A101="",$F101=0),"",$R101/$F101)</f>
        <v/>
      </c>
      <c r="U101" s="35"/>
      <c r="V101" s="35"/>
      <c r="W101" s="0" t="str">
        <f aca="false">IF($A101="","",$A101&amp;"|"&amp;$B101)</f>
        <v/>
      </c>
    </row>
    <row r="102" customFormat="false" ht="18" hidden="false" customHeight="true" outlineLevel="0" collapsed="false">
      <c r="A102" s="36"/>
      <c r="B102" s="36"/>
      <c r="C102" s="43" t="str">
        <f aca="false">IF($B102="","",IFERROR(VLOOKUP($B102,人员名册!$B$4:$G$53,2,0)&amp;"","名册中未登记"))</f>
        <v/>
      </c>
      <c r="D102" s="43" t="str">
        <f aca="false">IF($B102="","",IFERROR(VLOOKUP($B102,人员名册!$B$4:$G$53,3,0)&amp;"",""))</f>
        <v/>
      </c>
      <c r="E102" s="43" t="str">
        <f aca="false">IF($B102="","",IFERROR(VLOOKUP($B102,人员名册!$B$4:$G$53,5,0)&amp;"",""))</f>
        <v/>
      </c>
      <c r="F102" s="44"/>
      <c r="G102" s="44"/>
      <c r="H102" s="44"/>
      <c r="I102" s="44"/>
      <c r="J102" s="44"/>
      <c r="K102" s="44"/>
      <c r="L102" s="44"/>
      <c r="M102" s="44"/>
      <c r="N102" s="44"/>
      <c r="O102" s="44"/>
      <c r="P102" s="44"/>
      <c r="Q102" s="44"/>
      <c r="R102" s="45" t="str">
        <f aca="false">IF($A102="","",SUM(H102:Q102))</f>
        <v/>
      </c>
      <c r="S102" s="45" t="str">
        <f aca="false">IF($A102="","",ROUND($F102-$G102-$R102,2))</f>
        <v/>
      </c>
      <c r="T102" s="28" t="str">
        <f aca="false">IF(OR($A102="",$F102=0),"",$R102/$F102)</f>
        <v/>
      </c>
      <c r="U102" s="35"/>
      <c r="V102" s="35"/>
      <c r="W102" s="0" t="str">
        <f aca="false">IF($A102="","",$A102&amp;"|"&amp;$B102)</f>
        <v/>
      </c>
    </row>
    <row r="103" customFormat="false" ht="18" hidden="false" customHeight="true" outlineLevel="0" collapsed="false">
      <c r="A103" s="36"/>
      <c r="B103" s="36"/>
      <c r="C103" s="43" t="str">
        <f aca="false">IF($B103="","",IFERROR(VLOOKUP($B103,人员名册!$B$4:$G$53,2,0)&amp;"","名册中未登记"))</f>
        <v/>
      </c>
      <c r="D103" s="43" t="str">
        <f aca="false">IF($B103="","",IFERROR(VLOOKUP($B103,人员名册!$B$4:$G$53,3,0)&amp;"",""))</f>
        <v/>
      </c>
      <c r="E103" s="43" t="str">
        <f aca="false">IF($B103="","",IFERROR(VLOOKUP($B103,人员名册!$B$4:$G$53,5,0)&amp;"",""))</f>
        <v/>
      </c>
      <c r="F103" s="44"/>
      <c r="G103" s="44"/>
      <c r="H103" s="44"/>
      <c r="I103" s="44"/>
      <c r="J103" s="44"/>
      <c r="K103" s="44"/>
      <c r="L103" s="44"/>
      <c r="M103" s="44"/>
      <c r="N103" s="44"/>
      <c r="O103" s="44"/>
      <c r="P103" s="44"/>
      <c r="Q103" s="44"/>
      <c r="R103" s="45" t="str">
        <f aca="false">IF($A103="","",SUM(H103:Q103))</f>
        <v/>
      </c>
      <c r="S103" s="45" t="str">
        <f aca="false">IF($A103="","",ROUND($F103-$G103-$R103,2))</f>
        <v/>
      </c>
      <c r="T103" s="28" t="str">
        <f aca="false">IF(OR($A103="",$F103=0),"",$R103/$F103)</f>
        <v/>
      </c>
      <c r="U103" s="35"/>
      <c r="V103" s="35"/>
      <c r="W103" s="0" t="str">
        <f aca="false">IF($A103="","",$A103&amp;"|"&amp;$B103)</f>
        <v/>
      </c>
    </row>
    <row r="104" customFormat="false" ht="18" hidden="false" customHeight="true" outlineLevel="0" collapsed="false">
      <c r="A104" s="36"/>
      <c r="B104" s="36"/>
      <c r="C104" s="43" t="str">
        <f aca="false">IF($B104="","",IFERROR(VLOOKUP($B104,人员名册!$B$4:$G$53,2,0)&amp;"","名册中未登记"))</f>
        <v/>
      </c>
      <c r="D104" s="43" t="str">
        <f aca="false">IF($B104="","",IFERROR(VLOOKUP($B104,人员名册!$B$4:$G$53,3,0)&amp;"",""))</f>
        <v/>
      </c>
      <c r="E104" s="43" t="str">
        <f aca="false">IF($B104="","",IFERROR(VLOOKUP($B104,人员名册!$B$4:$G$53,5,0)&amp;"",""))</f>
        <v/>
      </c>
      <c r="F104" s="44"/>
      <c r="G104" s="44"/>
      <c r="H104" s="44"/>
      <c r="I104" s="44"/>
      <c r="J104" s="44"/>
      <c r="K104" s="44"/>
      <c r="L104" s="44"/>
      <c r="M104" s="44"/>
      <c r="N104" s="44"/>
      <c r="O104" s="44"/>
      <c r="P104" s="44"/>
      <c r="Q104" s="44"/>
      <c r="R104" s="45" t="str">
        <f aca="false">IF($A104="","",SUM(H104:Q104))</f>
        <v/>
      </c>
      <c r="S104" s="45" t="str">
        <f aca="false">IF($A104="","",ROUND($F104-$G104-$R104,2))</f>
        <v/>
      </c>
      <c r="T104" s="28" t="str">
        <f aca="false">IF(OR($A104="",$F104=0),"",$R104/$F104)</f>
        <v/>
      </c>
      <c r="U104" s="35"/>
      <c r="V104" s="35"/>
      <c r="W104" s="0" t="str">
        <f aca="false">IF($A104="","",$A104&amp;"|"&amp;$B104)</f>
        <v/>
      </c>
    </row>
    <row r="105" customFormat="false" ht="18" hidden="false" customHeight="true" outlineLevel="0" collapsed="false">
      <c r="A105" s="36"/>
      <c r="B105" s="36"/>
      <c r="C105" s="43" t="str">
        <f aca="false">IF($B105="","",IFERROR(VLOOKUP($B105,人员名册!$B$4:$G$53,2,0)&amp;"","名册中未登记"))</f>
        <v/>
      </c>
      <c r="D105" s="43" t="str">
        <f aca="false">IF($B105="","",IFERROR(VLOOKUP($B105,人员名册!$B$4:$G$53,3,0)&amp;"",""))</f>
        <v/>
      </c>
      <c r="E105" s="43" t="str">
        <f aca="false">IF($B105="","",IFERROR(VLOOKUP($B105,人员名册!$B$4:$G$53,5,0)&amp;"",""))</f>
        <v/>
      </c>
      <c r="F105" s="44"/>
      <c r="G105" s="44"/>
      <c r="H105" s="44"/>
      <c r="I105" s="44"/>
      <c r="J105" s="44"/>
      <c r="K105" s="44"/>
      <c r="L105" s="44"/>
      <c r="M105" s="44"/>
      <c r="N105" s="44"/>
      <c r="O105" s="44"/>
      <c r="P105" s="44"/>
      <c r="Q105" s="44"/>
      <c r="R105" s="45" t="str">
        <f aca="false">IF($A105="","",SUM(H105:Q105))</f>
        <v/>
      </c>
      <c r="S105" s="45" t="str">
        <f aca="false">IF($A105="","",ROUND($F105-$G105-$R105,2))</f>
        <v/>
      </c>
      <c r="T105" s="28" t="str">
        <f aca="false">IF(OR($A105="",$F105=0),"",$R105/$F105)</f>
        <v/>
      </c>
      <c r="U105" s="35"/>
      <c r="V105" s="35"/>
      <c r="W105" s="0" t="str">
        <f aca="false">IF($A105="","",$A105&amp;"|"&amp;$B105)</f>
        <v/>
      </c>
    </row>
    <row r="106" customFormat="false" ht="18" hidden="false" customHeight="true" outlineLevel="0" collapsed="false">
      <c r="A106" s="36"/>
      <c r="B106" s="36"/>
      <c r="C106" s="43" t="str">
        <f aca="false">IF($B106="","",IFERROR(VLOOKUP($B106,人员名册!$B$4:$G$53,2,0)&amp;"","名册中未登记"))</f>
        <v/>
      </c>
      <c r="D106" s="43" t="str">
        <f aca="false">IF($B106="","",IFERROR(VLOOKUP($B106,人员名册!$B$4:$G$53,3,0)&amp;"",""))</f>
        <v/>
      </c>
      <c r="E106" s="43" t="str">
        <f aca="false">IF($B106="","",IFERROR(VLOOKUP($B106,人员名册!$B$4:$G$53,5,0)&amp;"",""))</f>
        <v/>
      </c>
      <c r="F106" s="44"/>
      <c r="G106" s="44"/>
      <c r="H106" s="44"/>
      <c r="I106" s="44"/>
      <c r="J106" s="44"/>
      <c r="K106" s="44"/>
      <c r="L106" s="44"/>
      <c r="M106" s="44"/>
      <c r="N106" s="44"/>
      <c r="O106" s="44"/>
      <c r="P106" s="44"/>
      <c r="Q106" s="44"/>
      <c r="R106" s="45" t="str">
        <f aca="false">IF($A106="","",SUM(H106:Q106))</f>
        <v/>
      </c>
      <c r="S106" s="45" t="str">
        <f aca="false">IF($A106="","",ROUND($F106-$G106-$R106,2))</f>
        <v/>
      </c>
      <c r="T106" s="28" t="str">
        <f aca="false">IF(OR($A106="",$F106=0),"",$R106/$F106)</f>
        <v/>
      </c>
      <c r="U106" s="35"/>
      <c r="V106" s="35"/>
      <c r="W106" s="0" t="str">
        <f aca="false">IF($A106="","",$A106&amp;"|"&amp;$B106)</f>
        <v/>
      </c>
    </row>
    <row r="107" customFormat="false" ht="18" hidden="false" customHeight="true" outlineLevel="0" collapsed="false">
      <c r="A107" s="36"/>
      <c r="B107" s="36"/>
      <c r="C107" s="43" t="str">
        <f aca="false">IF($B107="","",IFERROR(VLOOKUP($B107,人员名册!$B$4:$G$53,2,0)&amp;"","名册中未登记"))</f>
        <v/>
      </c>
      <c r="D107" s="43" t="str">
        <f aca="false">IF($B107="","",IFERROR(VLOOKUP($B107,人员名册!$B$4:$G$53,3,0)&amp;"",""))</f>
        <v/>
      </c>
      <c r="E107" s="43" t="str">
        <f aca="false">IF($B107="","",IFERROR(VLOOKUP($B107,人员名册!$B$4:$G$53,5,0)&amp;"",""))</f>
        <v/>
      </c>
      <c r="F107" s="44"/>
      <c r="G107" s="44"/>
      <c r="H107" s="44"/>
      <c r="I107" s="44"/>
      <c r="J107" s="44"/>
      <c r="K107" s="44"/>
      <c r="L107" s="44"/>
      <c r="M107" s="44"/>
      <c r="N107" s="44"/>
      <c r="O107" s="44"/>
      <c r="P107" s="44"/>
      <c r="Q107" s="44"/>
      <c r="R107" s="45" t="str">
        <f aca="false">IF($A107="","",SUM(H107:Q107))</f>
        <v/>
      </c>
      <c r="S107" s="45" t="str">
        <f aca="false">IF($A107="","",ROUND($F107-$G107-$R107,2))</f>
        <v/>
      </c>
      <c r="T107" s="28" t="str">
        <f aca="false">IF(OR($A107="",$F107=0),"",$R107/$F107)</f>
        <v/>
      </c>
      <c r="U107" s="35"/>
      <c r="V107" s="35"/>
      <c r="W107" s="0" t="str">
        <f aca="false">IF($A107="","",$A107&amp;"|"&amp;$B107)</f>
        <v/>
      </c>
    </row>
    <row r="108" customFormat="false" ht="18" hidden="false" customHeight="true" outlineLevel="0" collapsed="false">
      <c r="A108" s="36"/>
      <c r="B108" s="36"/>
      <c r="C108" s="43" t="str">
        <f aca="false">IF($B108="","",IFERROR(VLOOKUP($B108,人员名册!$B$4:$G$53,2,0)&amp;"","名册中未登记"))</f>
        <v/>
      </c>
      <c r="D108" s="43" t="str">
        <f aca="false">IF($B108="","",IFERROR(VLOOKUP($B108,人员名册!$B$4:$G$53,3,0)&amp;"",""))</f>
        <v/>
      </c>
      <c r="E108" s="43" t="str">
        <f aca="false">IF($B108="","",IFERROR(VLOOKUP($B108,人员名册!$B$4:$G$53,5,0)&amp;"",""))</f>
        <v/>
      </c>
      <c r="F108" s="44"/>
      <c r="G108" s="44"/>
      <c r="H108" s="44"/>
      <c r="I108" s="44"/>
      <c r="J108" s="44"/>
      <c r="K108" s="44"/>
      <c r="L108" s="44"/>
      <c r="M108" s="44"/>
      <c r="N108" s="44"/>
      <c r="O108" s="44"/>
      <c r="P108" s="44"/>
      <c r="Q108" s="44"/>
      <c r="R108" s="45" t="str">
        <f aca="false">IF($A108="","",SUM(H108:Q108))</f>
        <v/>
      </c>
      <c r="S108" s="45" t="str">
        <f aca="false">IF($A108="","",ROUND($F108-$G108-$R108,2))</f>
        <v/>
      </c>
      <c r="T108" s="28" t="str">
        <f aca="false">IF(OR($A108="",$F108=0),"",$R108/$F108)</f>
        <v/>
      </c>
      <c r="U108" s="35"/>
      <c r="V108" s="35"/>
      <c r="W108" s="0" t="str">
        <f aca="false">IF($A108="","",$A108&amp;"|"&amp;$B108)</f>
        <v/>
      </c>
    </row>
    <row r="109" customFormat="false" ht="18" hidden="false" customHeight="true" outlineLevel="0" collapsed="false">
      <c r="A109" s="36"/>
      <c r="B109" s="36"/>
      <c r="C109" s="43" t="str">
        <f aca="false">IF($B109="","",IFERROR(VLOOKUP($B109,人员名册!$B$4:$G$53,2,0)&amp;"","名册中未登记"))</f>
        <v/>
      </c>
      <c r="D109" s="43" t="str">
        <f aca="false">IF($B109="","",IFERROR(VLOOKUP($B109,人员名册!$B$4:$G$53,3,0)&amp;"",""))</f>
        <v/>
      </c>
      <c r="E109" s="43" t="str">
        <f aca="false">IF($B109="","",IFERROR(VLOOKUP($B109,人员名册!$B$4:$G$53,5,0)&amp;"",""))</f>
        <v/>
      </c>
      <c r="F109" s="44"/>
      <c r="G109" s="44"/>
      <c r="H109" s="44"/>
      <c r="I109" s="44"/>
      <c r="J109" s="44"/>
      <c r="K109" s="44"/>
      <c r="L109" s="44"/>
      <c r="M109" s="44"/>
      <c r="N109" s="44"/>
      <c r="O109" s="44"/>
      <c r="P109" s="44"/>
      <c r="Q109" s="44"/>
      <c r="R109" s="45" t="str">
        <f aca="false">IF($A109="","",SUM(H109:Q109))</f>
        <v/>
      </c>
      <c r="S109" s="45" t="str">
        <f aca="false">IF($A109="","",ROUND($F109-$G109-$R109,2))</f>
        <v/>
      </c>
      <c r="T109" s="28" t="str">
        <f aca="false">IF(OR($A109="",$F109=0),"",$R109/$F109)</f>
        <v/>
      </c>
      <c r="U109" s="35"/>
      <c r="V109" s="35"/>
      <c r="W109" s="0" t="str">
        <f aca="false">IF($A109="","",$A109&amp;"|"&amp;$B109)</f>
        <v/>
      </c>
    </row>
    <row r="110" customFormat="false" ht="18" hidden="false" customHeight="true" outlineLevel="0" collapsed="false">
      <c r="A110" s="36"/>
      <c r="B110" s="36"/>
      <c r="C110" s="43" t="str">
        <f aca="false">IF($B110="","",IFERROR(VLOOKUP($B110,人员名册!$B$4:$G$53,2,0)&amp;"","名册中未登记"))</f>
        <v/>
      </c>
      <c r="D110" s="43" t="str">
        <f aca="false">IF($B110="","",IFERROR(VLOOKUP($B110,人员名册!$B$4:$G$53,3,0)&amp;"",""))</f>
        <v/>
      </c>
      <c r="E110" s="43" t="str">
        <f aca="false">IF($B110="","",IFERROR(VLOOKUP($B110,人员名册!$B$4:$G$53,5,0)&amp;"",""))</f>
        <v/>
      </c>
      <c r="F110" s="44"/>
      <c r="G110" s="44"/>
      <c r="H110" s="44"/>
      <c r="I110" s="44"/>
      <c r="J110" s="44"/>
      <c r="K110" s="44"/>
      <c r="L110" s="44"/>
      <c r="M110" s="44"/>
      <c r="N110" s="44"/>
      <c r="O110" s="44"/>
      <c r="P110" s="44"/>
      <c r="Q110" s="44"/>
      <c r="R110" s="45" t="str">
        <f aca="false">IF($A110="","",SUM(H110:Q110))</f>
        <v/>
      </c>
      <c r="S110" s="45" t="str">
        <f aca="false">IF($A110="","",ROUND($F110-$G110-$R110,2))</f>
        <v/>
      </c>
      <c r="T110" s="28" t="str">
        <f aca="false">IF(OR($A110="",$F110=0),"",$R110/$F110)</f>
        <v/>
      </c>
      <c r="U110" s="35"/>
      <c r="V110" s="35"/>
      <c r="W110" s="0" t="str">
        <f aca="false">IF($A110="","",$A110&amp;"|"&amp;$B110)</f>
        <v/>
      </c>
    </row>
    <row r="111" customFormat="false" ht="18" hidden="false" customHeight="true" outlineLevel="0" collapsed="false">
      <c r="A111" s="36"/>
      <c r="B111" s="36"/>
      <c r="C111" s="43" t="str">
        <f aca="false">IF($B111="","",IFERROR(VLOOKUP($B111,人员名册!$B$4:$G$53,2,0)&amp;"","名册中未登记"))</f>
        <v/>
      </c>
      <c r="D111" s="43" t="str">
        <f aca="false">IF($B111="","",IFERROR(VLOOKUP($B111,人员名册!$B$4:$G$53,3,0)&amp;"",""))</f>
        <v/>
      </c>
      <c r="E111" s="43" t="str">
        <f aca="false">IF($B111="","",IFERROR(VLOOKUP($B111,人员名册!$B$4:$G$53,5,0)&amp;"",""))</f>
        <v/>
      </c>
      <c r="F111" s="44"/>
      <c r="G111" s="44"/>
      <c r="H111" s="44"/>
      <c r="I111" s="44"/>
      <c r="J111" s="44"/>
      <c r="K111" s="44"/>
      <c r="L111" s="44"/>
      <c r="M111" s="44"/>
      <c r="N111" s="44"/>
      <c r="O111" s="44"/>
      <c r="P111" s="44"/>
      <c r="Q111" s="44"/>
      <c r="R111" s="45" t="str">
        <f aca="false">IF($A111="","",SUM(H111:Q111))</f>
        <v/>
      </c>
      <c r="S111" s="45" t="str">
        <f aca="false">IF($A111="","",ROUND($F111-$G111-$R111,2))</f>
        <v/>
      </c>
      <c r="T111" s="28" t="str">
        <f aca="false">IF(OR($A111="",$F111=0),"",$R111/$F111)</f>
        <v/>
      </c>
      <c r="U111" s="35"/>
      <c r="V111" s="35"/>
      <c r="W111" s="0" t="str">
        <f aca="false">IF($A111="","",$A111&amp;"|"&amp;$B111)</f>
        <v/>
      </c>
    </row>
    <row r="112" customFormat="false" ht="18" hidden="false" customHeight="true" outlineLevel="0" collapsed="false">
      <c r="A112" s="36"/>
      <c r="B112" s="36"/>
      <c r="C112" s="43" t="str">
        <f aca="false">IF($B112="","",IFERROR(VLOOKUP($B112,人员名册!$B$4:$G$53,2,0)&amp;"","名册中未登记"))</f>
        <v/>
      </c>
      <c r="D112" s="43" t="str">
        <f aca="false">IF($B112="","",IFERROR(VLOOKUP($B112,人员名册!$B$4:$G$53,3,0)&amp;"",""))</f>
        <v/>
      </c>
      <c r="E112" s="43" t="str">
        <f aca="false">IF($B112="","",IFERROR(VLOOKUP($B112,人员名册!$B$4:$G$53,5,0)&amp;"",""))</f>
        <v/>
      </c>
      <c r="F112" s="44"/>
      <c r="G112" s="44"/>
      <c r="H112" s="44"/>
      <c r="I112" s="44"/>
      <c r="J112" s="44"/>
      <c r="K112" s="44"/>
      <c r="L112" s="44"/>
      <c r="M112" s="44"/>
      <c r="N112" s="44"/>
      <c r="O112" s="44"/>
      <c r="P112" s="44"/>
      <c r="Q112" s="44"/>
      <c r="R112" s="45" t="str">
        <f aca="false">IF($A112="","",SUM(H112:Q112))</f>
        <v/>
      </c>
      <c r="S112" s="45" t="str">
        <f aca="false">IF($A112="","",ROUND($F112-$G112-$R112,2))</f>
        <v/>
      </c>
      <c r="T112" s="28" t="str">
        <f aca="false">IF(OR($A112="",$F112=0),"",$R112/$F112)</f>
        <v/>
      </c>
      <c r="U112" s="35"/>
      <c r="V112" s="35"/>
      <c r="W112" s="0" t="str">
        <f aca="false">IF($A112="","",$A112&amp;"|"&amp;$B112)</f>
        <v/>
      </c>
    </row>
    <row r="113" customFormat="false" ht="18" hidden="false" customHeight="true" outlineLevel="0" collapsed="false">
      <c r="A113" s="36"/>
      <c r="B113" s="36"/>
      <c r="C113" s="43" t="str">
        <f aca="false">IF($B113="","",IFERROR(VLOOKUP($B113,人员名册!$B$4:$G$53,2,0)&amp;"","名册中未登记"))</f>
        <v/>
      </c>
      <c r="D113" s="43" t="str">
        <f aca="false">IF($B113="","",IFERROR(VLOOKUP($B113,人员名册!$B$4:$G$53,3,0)&amp;"",""))</f>
        <v/>
      </c>
      <c r="E113" s="43" t="str">
        <f aca="false">IF($B113="","",IFERROR(VLOOKUP($B113,人员名册!$B$4:$G$53,5,0)&amp;"",""))</f>
        <v/>
      </c>
      <c r="F113" s="44"/>
      <c r="G113" s="44"/>
      <c r="H113" s="44"/>
      <c r="I113" s="44"/>
      <c r="J113" s="44"/>
      <c r="K113" s="44"/>
      <c r="L113" s="44"/>
      <c r="M113" s="44"/>
      <c r="N113" s="44"/>
      <c r="O113" s="44"/>
      <c r="P113" s="44"/>
      <c r="Q113" s="44"/>
      <c r="R113" s="45" t="str">
        <f aca="false">IF($A113="","",SUM(H113:Q113))</f>
        <v/>
      </c>
      <c r="S113" s="45" t="str">
        <f aca="false">IF($A113="","",ROUND($F113-$G113-$R113,2))</f>
        <v/>
      </c>
      <c r="T113" s="28" t="str">
        <f aca="false">IF(OR($A113="",$F113=0),"",$R113/$F113)</f>
        <v/>
      </c>
      <c r="U113" s="35"/>
      <c r="V113" s="35"/>
      <c r="W113" s="0" t="str">
        <f aca="false">IF($A113="","",$A113&amp;"|"&amp;$B113)</f>
        <v/>
      </c>
    </row>
    <row r="114" customFormat="false" ht="18" hidden="false" customHeight="true" outlineLevel="0" collapsed="false">
      <c r="A114" s="36"/>
      <c r="B114" s="36"/>
      <c r="C114" s="43" t="str">
        <f aca="false">IF($B114="","",IFERROR(VLOOKUP($B114,人员名册!$B$4:$G$53,2,0)&amp;"","名册中未登记"))</f>
        <v/>
      </c>
      <c r="D114" s="43" t="str">
        <f aca="false">IF($B114="","",IFERROR(VLOOKUP($B114,人员名册!$B$4:$G$53,3,0)&amp;"",""))</f>
        <v/>
      </c>
      <c r="E114" s="43" t="str">
        <f aca="false">IF($B114="","",IFERROR(VLOOKUP($B114,人员名册!$B$4:$G$53,5,0)&amp;"",""))</f>
        <v/>
      </c>
      <c r="F114" s="44"/>
      <c r="G114" s="44"/>
      <c r="H114" s="44"/>
      <c r="I114" s="44"/>
      <c r="J114" s="44"/>
      <c r="K114" s="44"/>
      <c r="L114" s="44"/>
      <c r="M114" s="44"/>
      <c r="N114" s="44"/>
      <c r="O114" s="44"/>
      <c r="P114" s="44"/>
      <c r="Q114" s="44"/>
      <c r="R114" s="45" t="str">
        <f aca="false">IF($A114="","",SUM(H114:Q114))</f>
        <v/>
      </c>
      <c r="S114" s="45" t="str">
        <f aca="false">IF($A114="","",ROUND($F114-$G114-$R114,2))</f>
        <v/>
      </c>
      <c r="T114" s="28" t="str">
        <f aca="false">IF(OR($A114="",$F114=0),"",$R114/$F114)</f>
        <v/>
      </c>
      <c r="U114" s="35"/>
      <c r="V114" s="35"/>
      <c r="W114" s="0" t="str">
        <f aca="false">IF($A114="","",$A114&amp;"|"&amp;$B114)</f>
        <v/>
      </c>
    </row>
    <row r="115" customFormat="false" ht="18" hidden="false" customHeight="true" outlineLevel="0" collapsed="false">
      <c r="A115" s="36"/>
      <c r="B115" s="36"/>
      <c r="C115" s="43" t="str">
        <f aca="false">IF($B115="","",IFERROR(VLOOKUP($B115,人员名册!$B$4:$G$53,2,0)&amp;"","名册中未登记"))</f>
        <v/>
      </c>
      <c r="D115" s="43" t="str">
        <f aca="false">IF($B115="","",IFERROR(VLOOKUP($B115,人员名册!$B$4:$G$53,3,0)&amp;"",""))</f>
        <v/>
      </c>
      <c r="E115" s="43" t="str">
        <f aca="false">IF($B115="","",IFERROR(VLOOKUP($B115,人员名册!$B$4:$G$53,5,0)&amp;"",""))</f>
        <v/>
      </c>
      <c r="F115" s="44"/>
      <c r="G115" s="44"/>
      <c r="H115" s="44"/>
      <c r="I115" s="44"/>
      <c r="J115" s="44"/>
      <c r="K115" s="44"/>
      <c r="L115" s="44"/>
      <c r="M115" s="44"/>
      <c r="N115" s="44"/>
      <c r="O115" s="44"/>
      <c r="P115" s="44"/>
      <c r="Q115" s="44"/>
      <c r="R115" s="45" t="str">
        <f aca="false">IF($A115="","",SUM(H115:Q115))</f>
        <v/>
      </c>
      <c r="S115" s="45" t="str">
        <f aca="false">IF($A115="","",ROUND($F115-$G115-$R115,2))</f>
        <v/>
      </c>
      <c r="T115" s="28" t="str">
        <f aca="false">IF(OR($A115="",$F115=0),"",$R115/$F115)</f>
        <v/>
      </c>
      <c r="U115" s="35"/>
      <c r="V115" s="35"/>
      <c r="W115" s="0" t="str">
        <f aca="false">IF($A115="","",$A115&amp;"|"&amp;$B115)</f>
        <v/>
      </c>
    </row>
    <row r="116" customFormat="false" ht="18" hidden="false" customHeight="true" outlineLevel="0" collapsed="false">
      <c r="A116" s="36"/>
      <c r="B116" s="36"/>
      <c r="C116" s="43" t="str">
        <f aca="false">IF($B116="","",IFERROR(VLOOKUP($B116,人员名册!$B$4:$G$53,2,0)&amp;"","名册中未登记"))</f>
        <v/>
      </c>
      <c r="D116" s="43" t="str">
        <f aca="false">IF($B116="","",IFERROR(VLOOKUP($B116,人员名册!$B$4:$G$53,3,0)&amp;"",""))</f>
        <v/>
      </c>
      <c r="E116" s="43" t="str">
        <f aca="false">IF($B116="","",IFERROR(VLOOKUP($B116,人员名册!$B$4:$G$53,5,0)&amp;"",""))</f>
        <v/>
      </c>
      <c r="F116" s="44"/>
      <c r="G116" s="44"/>
      <c r="H116" s="44"/>
      <c r="I116" s="44"/>
      <c r="J116" s="44"/>
      <c r="K116" s="44"/>
      <c r="L116" s="44"/>
      <c r="M116" s="44"/>
      <c r="N116" s="44"/>
      <c r="O116" s="44"/>
      <c r="P116" s="44"/>
      <c r="Q116" s="44"/>
      <c r="R116" s="45" t="str">
        <f aca="false">IF($A116="","",SUM(H116:Q116))</f>
        <v/>
      </c>
      <c r="S116" s="45" t="str">
        <f aca="false">IF($A116="","",ROUND($F116-$G116-$R116,2))</f>
        <v/>
      </c>
      <c r="T116" s="28" t="str">
        <f aca="false">IF(OR($A116="",$F116=0),"",$R116/$F116)</f>
        <v/>
      </c>
      <c r="U116" s="35"/>
      <c r="V116" s="35"/>
      <c r="W116" s="0" t="str">
        <f aca="false">IF($A116="","",$A116&amp;"|"&amp;$B116)</f>
        <v/>
      </c>
    </row>
    <row r="117" customFormat="false" ht="18" hidden="false" customHeight="true" outlineLevel="0" collapsed="false">
      <c r="A117" s="36"/>
      <c r="B117" s="36"/>
      <c r="C117" s="43" t="str">
        <f aca="false">IF($B117="","",IFERROR(VLOOKUP($B117,人员名册!$B$4:$G$53,2,0)&amp;"","名册中未登记"))</f>
        <v/>
      </c>
      <c r="D117" s="43" t="str">
        <f aca="false">IF($B117="","",IFERROR(VLOOKUP($B117,人员名册!$B$4:$G$53,3,0)&amp;"",""))</f>
        <v/>
      </c>
      <c r="E117" s="43" t="str">
        <f aca="false">IF($B117="","",IFERROR(VLOOKUP($B117,人员名册!$B$4:$G$53,5,0)&amp;"",""))</f>
        <v/>
      </c>
      <c r="F117" s="44"/>
      <c r="G117" s="44"/>
      <c r="H117" s="44"/>
      <c r="I117" s="44"/>
      <c r="J117" s="44"/>
      <c r="K117" s="44"/>
      <c r="L117" s="44"/>
      <c r="M117" s="44"/>
      <c r="N117" s="44"/>
      <c r="O117" s="44"/>
      <c r="P117" s="44"/>
      <c r="Q117" s="44"/>
      <c r="R117" s="45" t="str">
        <f aca="false">IF($A117="","",SUM(H117:Q117))</f>
        <v/>
      </c>
      <c r="S117" s="45" t="str">
        <f aca="false">IF($A117="","",ROUND($F117-$G117-$R117,2))</f>
        <v/>
      </c>
      <c r="T117" s="28" t="str">
        <f aca="false">IF(OR($A117="",$F117=0),"",$R117/$F117)</f>
        <v/>
      </c>
      <c r="U117" s="35"/>
      <c r="V117" s="35"/>
      <c r="W117" s="0" t="str">
        <f aca="false">IF($A117="","",$A117&amp;"|"&amp;$B117)</f>
        <v/>
      </c>
    </row>
    <row r="118" customFormat="false" ht="18" hidden="false" customHeight="true" outlineLevel="0" collapsed="false">
      <c r="A118" s="36"/>
      <c r="B118" s="36"/>
      <c r="C118" s="43" t="str">
        <f aca="false">IF($B118="","",IFERROR(VLOOKUP($B118,人员名册!$B$4:$G$53,2,0)&amp;"","名册中未登记"))</f>
        <v/>
      </c>
      <c r="D118" s="43" t="str">
        <f aca="false">IF($B118="","",IFERROR(VLOOKUP($B118,人员名册!$B$4:$G$53,3,0)&amp;"",""))</f>
        <v/>
      </c>
      <c r="E118" s="43" t="str">
        <f aca="false">IF($B118="","",IFERROR(VLOOKUP($B118,人员名册!$B$4:$G$53,5,0)&amp;"",""))</f>
        <v/>
      </c>
      <c r="F118" s="44"/>
      <c r="G118" s="44"/>
      <c r="H118" s="44"/>
      <c r="I118" s="44"/>
      <c r="J118" s="44"/>
      <c r="K118" s="44"/>
      <c r="L118" s="44"/>
      <c r="M118" s="44"/>
      <c r="N118" s="44"/>
      <c r="O118" s="44"/>
      <c r="P118" s="44"/>
      <c r="Q118" s="44"/>
      <c r="R118" s="45" t="str">
        <f aca="false">IF($A118="","",SUM(H118:Q118))</f>
        <v/>
      </c>
      <c r="S118" s="45" t="str">
        <f aca="false">IF($A118="","",ROUND($F118-$G118-$R118,2))</f>
        <v/>
      </c>
      <c r="T118" s="28" t="str">
        <f aca="false">IF(OR($A118="",$F118=0),"",$R118/$F118)</f>
        <v/>
      </c>
      <c r="U118" s="35"/>
      <c r="V118" s="35"/>
      <c r="W118" s="0" t="str">
        <f aca="false">IF($A118="","",$A118&amp;"|"&amp;$B118)</f>
        <v/>
      </c>
    </row>
    <row r="119" customFormat="false" ht="18" hidden="false" customHeight="true" outlineLevel="0" collapsed="false">
      <c r="A119" s="36"/>
      <c r="B119" s="36"/>
      <c r="C119" s="43" t="str">
        <f aca="false">IF($B119="","",IFERROR(VLOOKUP($B119,人员名册!$B$4:$G$53,2,0)&amp;"","名册中未登记"))</f>
        <v/>
      </c>
      <c r="D119" s="43" t="str">
        <f aca="false">IF($B119="","",IFERROR(VLOOKUP($B119,人员名册!$B$4:$G$53,3,0)&amp;"",""))</f>
        <v/>
      </c>
      <c r="E119" s="43" t="str">
        <f aca="false">IF($B119="","",IFERROR(VLOOKUP($B119,人员名册!$B$4:$G$53,5,0)&amp;"",""))</f>
        <v/>
      </c>
      <c r="F119" s="44"/>
      <c r="G119" s="44"/>
      <c r="H119" s="44"/>
      <c r="I119" s="44"/>
      <c r="J119" s="44"/>
      <c r="K119" s="44"/>
      <c r="L119" s="44"/>
      <c r="M119" s="44"/>
      <c r="N119" s="44"/>
      <c r="O119" s="44"/>
      <c r="P119" s="44"/>
      <c r="Q119" s="44"/>
      <c r="R119" s="45" t="str">
        <f aca="false">IF($A119="","",SUM(H119:Q119))</f>
        <v/>
      </c>
      <c r="S119" s="45" t="str">
        <f aca="false">IF($A119="","",ROUND($F119-$G119-$R119,2))</f>
        <v/>
      </c>
      <c r="T119" s="28" t="str">
        <f aca="false">IF(OR($A119="",$F119=0),"",$R119/$F119)</f>
        <v/>
      </c>
      <c r="U119" s="35"/>
      <c r="V119" s="35"/>
      <c r="W119" s="0" t="str">
        <f aca="false">IF($A119="","",$A119&amp;"|"&amp;$B119)</f>
        <v/>
      </c>
    </row>
    <row r="120" customFormat="false" ht="18" hidden="false" customHeight="true" outlineLevel="0" collapsed="false">
      <c r="A120" s="36"/>
      <c r="B120" s="36"/>
      <c r="C120" s="43" t="str">
        <f aca="false">IF($B120="","",IFERROR(VLOOKUP($B120,人员名册!$B$4:$G$53,2,0)&amp;"","名册中未登记"))</f>
        <v/>
      </c>
      <c r="D120" s="43" t="str">
        <f aca="false">IF($B120="","",IFERROR(VLOOKUP($B120,人员名册!$B$4:$G$53,3,0)&amp;"",""))</f>
        <v/>
      </c>
      <c r="E120" s="43" t="str">
        <f aca="false">IF($B120="","",IFERROR(VLOOKUP($B120,人员名册!$B$4:$G$53,5,0)&amp;"",""))</f>
        <v/>
      </c>
      <c r="F120" s="44"/>
      <c r="G120" s="44"/>
      <c r="H120" s="44"/>
      <c r="I120" s="44"/>
      <c r="J120" s="44"/>
      <c r="K120" s="44"/>
      <c r="L120" s="44"/>
      <c r="M120" s="44"/>
      <c r="N120" s="44"/>
      <c r="O120" s="44"/>
      <c r="P120" s="44"/>
      <c r="Q120" s="44"/>
      <c r="R120" s="45" t="str">
        <f aca="false">IF($A120="","",SUM(H120:Q120))</f>
        <v/>
      </c>
      <c r="S120" s="45" t="str">
        <f aca="false">IF($A120="","",ROUND($F120-$G120-$R120,2))</f>
        <v/>
      </c>
      <c r="T120" s="28" t="str">
        <f aca="false">IF(OR($A120="",$F120=0),"",$R120/$F120)</f>
        <v/>
      </c>
      <c r="U120" s="35"/>
      <c r="V120" s="35"/>
      <c r="W120" s="0" t="str">
        <f aca="false">IF($A120="","",$A120&amp;"|"&amp;$B120)</f>
        <v/>
      </c>
    </row>
    <row r="121" customFormat="false" ht="18" hidden="false" customHeight="true" outlineLevel="0" collapsed="false">
      <c r="A121" s="36"/>
      <c r="B121" s="36"/>
      <c r="C121" s="43" t="str">
        <f aca="false">IF($B121="","",IFERROR(VLOOKUP($B121,人员名册!$B$4:$G$53,2,0)&amp;"","名册中未登记"))</f>
        <v/>
      </c>
      <c r="D121" s="43" t="str">
        <f aca="false">IF($B121="","",IFERROR(VLOOKUP($B121,人员名册!$B$4:$G$53,3,0)&amp;"",""))</f>
        <v/>
      </c>
      <c r="E121" s="43" t="str">
        <f aca="false">IF($B121="","",IFERROR(VLOOKUP($B121,人员名册!$B$4:$G$53,5,0)&amp;"",""))</f>
        <v/>
      </c>
      <c r="F121" s="44"/>
      <c r="G121" s="44"/>
      <c r="H121" s="44"/>
      <c r="I121" s="44"/>
      <c r="J121" s="44"/>
      <c r="K121" s="44"/>
      <c r="L121" s="44"/>
      <c r="M121" s="44"/>
      <c r="N121" s="44"/>
      <c r="O121" s="44"/>
      <c r="P121" s="44"/>
      <c r="Q121" s="44"/>
      <c r="R121" s="45" t="str">
        <f aca="false">IF($A121="","",SUM(H121:Q121))</f>
        <v/>
      </c>
      <c r="S121" s="45" t="str">
        <f aca="false">IF($A121="","",ROUND($F121-$G121-$R121,2))</f>
        <v/>
      </c>
      <c r="T121" s="28" t="str">
        <f aca="false">IF(OR($A121="",$F121=0),"",$R121/$F121)</f>
        <v/>
      </c>
      <c r="U121" s="35"/>
      <c r="V121" s="35"/>
      <c r="W121" s="0" t="str">
        <f aca="false">IF($A121="","",$A121&amp;"|"&amp;$B121)</f>
        <v/>
      </c>
    </row>
    <row r="122" customFormat="false" ht="18" hidden="false" customHeight="true" outlineLevel="0" collapsed="false">
      <c r="A122" s="36"/>
      <c r="B122" s="36"/>
      <c r="C122" s="43" t="str">
        <f aca="false">IF($B122="","",IFERROR(VLOOKUP($B122,人员名册!$B$4:$G$53,2,0)&amp;"","名册中未登记"))</f>
        <v/>
      </c>
      <c r="D122" s="43" t="str">
        <f aca="false">IF($B122="","",IFERROR(VLOOKUP($B122,人员名册!$B$4:$G$53,3,0)&amp;"",""))</f>
        <v/>
      </c>
      <c r="E122" s="43" t="str">
        <f aca="false">IF($B122="","",IFERROR(VLOOKUP($B122,人员名册!$B$4:$G$53,5,0)&amp;"",""))</f>
        <v/>
      </c>
      <c r="F122" s="44"/>
      <c r="G122" s="44"/>
      <c r="H122" s="44"/>
      <c r="I122" s="44"/>
      <c r="J122" s="44"/>
      <c r="K122" s="44"/>
      <c r="L122" s="44"/>
      <c r="M122" s="44"/>
      <c r="N122" s="44"/>
      <c r="O122" s="44"/>
      <c r="P122" s="44"/>
      <c r="Q122" s="44"/>
      <c r="R122" s="45" t="str">
        <f aca="false">IF($A122="","",SUM(H122:Q122))</f>
        <v/>
      </c>
      <c r="S122" s="45" t="str">
        <f aca="false">IF($A122="","",ROUND($F122-$G122-$R122,2))</f>
        <v/>
      </c>
      <c r="T122" s="28" t="str">
        <f aca="false">IF(OR($A122="",$F122=0),"",$R122/$F122)</f>
        <v/>
      </c>
      <c r="U122" s="35"/>
      <c r="V122" s="35"/>
      <c r="W122" s="0" t="str">
        <f aca="false">IF($A122="","",$A122&amp;"|"&amp;$B122)</f>
        <v/>
      </c>
    </row>
    <row r="123" customFormat="false" ht="18" hidden="false" customHeight="true" outlineLevel="0" collapsed="false">
      <c r="A123" s="36"/>
      <c r="B123" s="36"/>
      <c r="C123" s="43" t="str">
        <f aca="false">IF($B123="","",IFERROR(VLOOKUP($B123,人员名册!$B$4:$G$53,2,0)&amp;"","名册中未登记"))</f>
        <v/>
      </c>
      <c r="D123" s="43" t="str">
        <f aca="false">IF($B123="","",IFERROR(VLOOKUP($B123,人员名册!$B$4:$G$53,3,0)&amp;"",""))</f>
        <v/>
      </c>
      <c r="E123" s="43" t="str">
        <f aca="false">IF($B123="","",IFERROR(VLOOKUP($B123,人员名册!$B$4:$G$53,5,0)&amp;"",""))</f>
        <v/>
      </c>
      <c r="F123" s="44"/>
      <c r="G123" s="44"/>
      <c r="H123" s="44"/>
      <c r="I123" s="44"/>
      <c r="J123" s="44"/>
      <c r="K123" s="44"/>
      <c r="L123" s="44"/>
      <c r="M123" s="44"/>
      <c r="N123" s="44"/>
      <c r="O123" s="44"/>
      <c r="P123" s="44"/>
      <c r="Q123" s="44"/>
      <c r="R123" s="45" t="str">
        <f aca="false">IF($A123="","",SUM(H123:Q123))</f>
        <v/>
      </c>
      <c r="S123" s="45" t="str">
        <f aca="false">IF($A123="","",ROUND($F123-$G123-$R123,2))</f>
        <v/>
      </c>
      <c r="T123" s="28" t="str">
        <f aca="false">IF(OR($A123="",$F123=0),"",$R123/$F123)</f>
        <v/>
      </c>
      <c r="U123" s="35"/>
      <c r="V123" s="35"/>
      <c r="W123" s="0" t="str">
        <f aca="false">IF($A123="","",$A123&amp;"|"&amp;$B123)</f>
        <v/>
      </c>
    </row>
    <row r="124" customFormat="false" ht="18" hidden="false" customHeight="true" outlineLevel="0" collapsed="false">
      <c r="A124" s="36"/>
      <c r="B124" s="36"/>
      <c r="C124" s="43" t="str">
        <f aca="false">IF($B124="","",IFERROR(VLOOKUP($B124,人员名册!$B$4:$G$53,2,0)&amp;"","名册中未登记"))</f>
        <v/>
      </c>
      <c r="D124" s="43" t="str">
        <f aca="false">IF($B124="","",IFERROR(VLOOKUP($B124,人员名册!$B$4:$G$53,3,0)&amp;"",""))</f>
        <v/>
      </c>
      <c r="E124" s="43" t="str">
        <f aca="false">IF($B124="","",IFERROR(VLOOKUP($B124,人员名册!$B$4:$G$53,5,0)&amp;"",""))</f>
        <v/>
      </c>
      <c r="F124" s="44"/>
      <c r="G124" s="44"/>
      <c r="H124" s="44"/>
      <c r="I124" s="44"/>
      <c r="J124" s="44"/>
      <c r="K124" s="44"/>
      <c r="L124" s="44"/>
      <c r="M124" s="44"/>
      <c r="N124" s="44"/>
      <c r="O124" s="44"/>
      <c r="P124" s="44"/>
      <c r="Q124" s="44"/>
      <c r="R124" s="45" t="str">
        <f aca="false">IF($A124="","",SUM(H124:Q124))</f>
        <v/>
      </c>
      <c r="S124" s="45" t="str">
        <f aca="false">IF($A124="","",ROUND($F124-$G124-$R124,2))</f>
        <v/>
      </c>
      <c r="T124" s="28" t="str">
        <f aca="false">IF(OR($A124="",$F124=0),"",$R124/$F124)</f>
        <v/>
      </c>
      <c r="U124" s="35"/>
      <c r="V124" s="35"/>
      <c r="W124" s="0" t="str">
        <f aca="false">IF($A124="","",$A124&amp;"|"&amp;$B124)</f>
        <v/>
      </c>
    </row>
    <row r="125" customFormat="false" ht="18" hidden="false" customHeight="true" outlineLevel="0" collapsed="false">
      <c r="A125" s="36"/>
      <c r="B125" s="36"/>
      <c r="C125" s="43" t="str">
        <f aca="false">IF($B125="","",IFERROR(VLOOKUP($B125,人员名册!$B$4:$G$53,2,0)&amp;"","名册中未登记"))</f>
        <v/>
      </c>
      <c r="D125" s="43" t="str">
        <f aca="false">IF($B125="","",IFERROR(VLOOKUP($B125,人员名册!$B$4:$G$53,3,0)&amp;"",""))</f>
        <v/>
      </c>
      <c r="E125" s="43" t="str">
        <f aca="false">IF($B125="","",IFERROR(VLOOKUP($B125,人员名册!$B$4:$G$53,5,0)&amp;"",""))</f>
        <v/>
      </c>
      <c r="F125" s="44"/>
      <c r="G125" s="44"/>
      <c r="H125" s="44"/>
      <c r="I125" s="44"/>
      <c r="J125" s="44"/>
      <c r="K125" s="44"/>
      <c r="L125" s="44"/>
      <c r="M125" s="44"/>
      <c r="N125" s="44"/>
      <c r="O125" s="44"/>
      <c r="P125" s="44"/>
      <c r="Q125" s="44"/>
      <c r="R125" s="45" t="str">
        <f aca="false">IF($A125="","",SUM(H125:Q125))</f>
        <v/>
      </c>
      <c r="S125" s="45" t="str">
        <f aca="false">IF($A125="","",ROUND($F125-$G125-$R125,2))</f>
        <v/>
      </c>
      <c r="T125" s="28" t="str">
        <f aca="false">IF(OR($A125="",$F125=0),"",$R125/$F125)</f>
        <v/>
      </c>
      <c r="U125" s="35"/>
      <c r="V125" s="35"/>
      <c r="W125" s="0" t="str">
        <f aca="false">IF($A125="","",$A125&amp;"|"&amp;$B125)</f>
        <v/>
      </c>
    </row>
    <row r="126" customFormat="false" ht="18" hidden="false" customHeight="true" outlineLevel="0" collapsed="false">
      <c r="A126" s="36"/>
      <c r="B126" s="36"/>
      <c r="C126" s="43" t="str">
        <f aca="false">IF($B126="","",IFERROR(VLOOKUP($B126,人员名册!$B$4:$G$53,2,0)&amp;"","名册中未登记"))</f>
        <v/>
      </c>
      <c r="D126" s="43" t="str">
        <f aca="false">IF($B126="","",IFERROR(VLOOKUP($B126,人员名册!$B$4:$G$53,3,0)&amp;"",""))</f>
        <v/>
      </c>
      <c r="E126" s="43" t="str">
        <f aca="false">IF($B126="","",IFERROR(VLOOKUP($B126,人员名册!$B$4:$G$53,5,0)&amp;"",""))</f>
        <v/>
      </c>
      <c r="F126" s="44"/>
      <c r="G126" s="44"/>
      <c r="H126" s="44"/>
      <c r="I126" s="44"/>
      <c r="J126" s="44"/>
      <c r="K126" s="44"/>
      <c r="L126" s="44"/>
      <c r="M126" s="44"/>
      <c r="N126" s="44"/>
      <c r="O126" s="44"/>
      <c r="P126" s="44"/>
      <c r="Q126" s="44"/>
      <c r="R126" s="45" t="str">
        <f aca="false">IF($A126="","",SUM(H126:Q126))</f>
        <v/>
      </c>
      <c r="S126" s="45" t="str">
        <f aca="false">IF($A126="","",ROUND($F126-$G126-$R126,2))</f>
        <v/>
      </c>
      <c r="T126" s="28" t="str">
        <f aca="false">IF(OR($A126="",$F126=0),"",$R126/$F126)</f>
        <v/>
      </c>
      <c r="U126" s="35"/>
      <c r="V126" s="35"/>
      <c r="W126" s="0" t="str">
        <f aca="false">IF($A126="","",$A126&amp;"|"&amp;$B126)</f>
        <v/>
      </c>
    </row>
    <row r="127" customFormat="false" ht="18" hidden="false" customHeight="true" outlineLevel="0" collapsed="false">
      <c r="A127" s="36"/>
      <c r="B127" s="36"/>
      <c r="C127" s="43" t="str">
        <f aca="false">IF($B127="","",IFERROR(VLOOKUP($B127,人员名册!$B$4:$G$53,2,0)&amp;"","名册中未登记"))</f>
        <v/>
      </c>
      <c r="D127" s="43" t="str">
        <f aca="false">IF($B127="","",IFERROR(VLOOKUP($B127,人员名册!$B$4:$G$53,3,0)&amp;"",""))</f>
        <v/>
      </c>
      <c r="E127" s="43" t="str">
        <f aca="false">IF($B127="","",IFERROR(VLOOKUP($B127,人员名册!$B$4:$G$53,5,0)&amp;"",""))</f>
        <v/>
      </c>
      <c r="F127" s="44"/>
      <c r="G127" s="44"/>
      <c r="H127" s="44"/>
      <c r="I127" s="44"/>
      <c r="J127" s="44"/>
      <c r="K127" s="44"/>
      <c r="L127" s="44"/>
      <c r="M127" s="44"/>
      <c r="N127" s="44"/>
      <c r="O127" s="44"/>
      <c r="P127" s="44"/>
      <c r="Q127" s="44"/>
      <c r="R127" s="45" t="str">
        <f aca="false">IF($A127="","",SUM(H127:Q127))</f>
        <v/>
      </c>
      <c r="S127" s="45" t="str">
        <f aca="false">IF($A127="","",ROUND($F127-$G127-$R127,2))</f>
        <v/>
      </c>
      <c r="T127" s="28" t="str">
        <f aca="false">IF(OR($A127="",$F127=0),"",$R127/$F127)</f>
        <v/>
      </c>
      <c r="U127" s="35"/>
      <c r="V127" s="35"/>
      <c r="W127" s="0" t="str">
        <f aca="false">IF($A127="","",$A127&amp;"|"&amp;$B127)</f>
        <v/>
      </c>
    </row>
    <row r="128" customFormat="false" ht="18" hidden="false" customHeight="true" outlineLevel="0" collapsed="false">
      <c r="A128" s="36"/>
      <c r="B128" s="36"/>
      <c r="C128" s="43" t="str">
        <f aca="false">IF($B128="","",IFERROR(VLOOKUP($B128,人员名册!$B$4:$G$53,2,0)&amp;"","名册中未登记"))</f>
        <v/>
      </c>
      <c r="D128" s="43" t="str">
        <f aca="false">IF($B128="","",IFERROR(VLOOKUP($B128,人员名册!$B$4:$G$53,3,0)&amp;"",""))</f>
        <v/>
      </c>
      <c r="E128" s="43" t="str">
        <f aca="false">IF($B128="","",IFERROR(VLOOKUP($B128,人员名册!$B$4:$G$53,5,0)&amp;"",""))</f>
        <v/>
      </c>
      <c r="F128" s="44"/>
      <c r="G128" s="44"/>
      <c r="H128" s="44"/>
      <c r="I128" s="44"/>
      <c r="J128" s="44"/>
      <c r="K128" s="44"/>
      <c r="L128" s="44"/>
      <c r="M128" s="44"/>
      <c r="N128" s="44"/>
      <c r="O128" s="44"/>
      <c r="P128" s="44"/>
      <c r="Q128" s="44"/>
      <c r="R128" s="45" t="str">
        <f aca="false">IF($A128="","",SUM(H128:Q128))</f>
        <v/>
      </c>
      <c r="S128" s="45" t="str">
        <f aca="false">IF($A128="","",ROUND($F128-$G128-$R128,2))</f>
        <v/>
      </c>
      <c r="T128" s="28" t="str">
        <f aca="false">IF(OR($A128="",$F128=0),"",$R128/$F128)</f>
        <v/>
      </c>
      <c r="U128" s="35"/>
      <c r="V128" s="35"/>
      <c r="W128" s="0" t="str">
        <f aca="false">IF($A128="","",$A128&amp;"|"&amp;$B128)</f>
        <v/>
      </c>
    </row>
    <row r="129" customFormat="false" ht="18" hidden="false" customHeight="true" outlineLevel="0" collapsed="false">
      <c r="A129" s="36"/>
      <c r="B129" s="36"/>
      <c r="C129" s="43" t="str">
        <f aca="false">IF($B129="","",IFERROR(VLOOKUP($B129,人员名册!$B$4:$G$53,2,0)&amp;"","名册中未登记"))</f>
        <v/>
      </c>
      <c r="D129" s="43" t="str">
        <f aca="false">IF($B129="","",IFERROR(VLOOKUP($B129,人员名册!$B$4:$G$53,3,0)&amp;"",""))</f>
        <v/>
      </c>
      <c r="E129" s="43" t="str">
        <f aca="false">IF($B129="","",IFERROR(VLOOKUP($B129,人员名册!$B$4:$G$53,5,0)&amp;"",""))</f>
        <v/>
      </c>
      <c r="F129" s="44"/>
      <c r="G129" s="44"/>
      <c r="H129" s="44"/>
      <c r="I129" s="44"/>
      <c r="J129" s="44"/>
      <c r="K129" s="44"/>
      <c r="L129" s="44"/>
      <c r="M129" s="44"/>
      <c r="N129" s="44"/>
      <c r="O129" s="44"/>
      <c r="P129" s="44"/>
      <c r="Q129" s="44"/>
      <c r="R129" s="45" t="str">
        <f aca="false">IF($A129="","",SUM(H129:Q129))</f>
        <v/>
      </c>
      <c r="S129" s="45" t="str">
        <f aca="false">IF($A129="","",ROUND($F129-$G129-$R129,2))</f>
        <v/>
      </c>
      <c r="T129" s="28" t="str">
        <f aca="false">IF(OR($A129="",$F129=0),"",$R129/$F129)</f>
        <v/>
      </c>
      <c r="U129" s="35"/>
      <c r="V129" s="35"/>
      <c r="W129" s="0" t="str">
        <f aca="false">IF($A129="","",$A129&amp;"|"&amp;$B129)</f>
        <v/>
      </c>
    </row>
    <row r="130" customFormat="false" ht="18" hidden="false" customHeight="true" outlineLevel="0" collapsed="false">
      <c r="A130" s="36"/>
      <c r="B130" s="36"/>
      <c r="C130" s="43" t="str">
        <f aca="false">IF($B130="","",IFERROR(VLOOKUP($B130,人员名册!$B$4:$G$53,2,0)&amp;"","名册中未登记"))</f>
        <v/>
      </c>
      <c r="D130" s="43" t="str">
        <f aca="false">IF($B130="","",IFERROR(VLOOKUP($B130,人员名册!$B$4:$G$53,3,0)&amp;"",""))</f>
        <v/>
      </c>
      <c r="E130" s="43" t="str">
        <f aca="false">IF($B130="","",IFERROR(VLOOKUP($B130,人员名册!$B$4:$G$53,5,0)&amp;"",""))</f>
        <v/>
      </c>
      <c r="F130" s="44"/>
      <c r="G130" s="44"/>
      <c r="H130" s="44"/>
      <c r="I130" s="44"/>
      <c r="J130" s="44"/>
      <c r="K130" s="44"/>
      <c r="L130" s="44"/>
      <c r="M130" s="44"/>
      <c r="N130" s="44"/>
      <c r="O130" s="44"/>
      <c r="P130" s="44"/>
      <c r="Q130" s="44"/>
      <c r="R130" s="45" t="str">
        <f aca="false">IF($A130="","",SUM(H130:Q130))</f>
        <v/>
      </c>
      <c r="S130" s="45" t="str">
        <f aca="false">IF($A130="","",ROUND($F130-$G130-$R130,2))</f>
        <v/>
      </c>
      <c r="T130" s="28" t="str">
        <f aca="false">IF(OR($A130="",$F130=0),"",$R130/$F130)</f>
        <v/>
      </c>
      <c r="U130" s="35"/>
      <c r="V130" s="35"/>
      <c r="W130" s="0" t="str">
        <f aca="false">IF($A130="","",$A130&amp;"|"&amp;$B130)</f>
        <v/>
      </c>
    </row>
    <row r="131" customFormat="false" ht="18" hidden="false" customHeight="true" outlineLevel="0" collapsed="false">
      <c r="A131" s="36"/>
      <c r="B131" s="36"/>
      <c r="C131" s="43" t="str">
        <f aca="false">IF($B131="","",IFERROR(VLOOKUP($B131,人员名册!$B$4:$G$53,2,0)&amp;"","名册中未登记"))</f>
        <v/>
      </c>
      <c r="D131" s="43" t="str">
        <f aca="false">IF($B131="","",IFERROR(VLOOKUP($B131,人员名册!$B$4:$G$53,3,0)&amp;"",""))</f>
        <v/>
      </c>
      <c r="E131" s="43" t="str">
        <f aca="false">IF($B131="","",IFERROR(VLOOKUP($B131,人员名册!$B$4:$G$53,5,0)&amp;"",""))</f>
        <v/>
      </c>
      <c r="F131" s="44"/>
      <c r="G131" s="44"/>
      <c r="H131" s="44"/>
      <c r="I131" s="44"/>
      <c r="J131" s="44"/>
      <c r="K131" s="44"/>
      <c r="L131" s="44"/>
      <c r="M131" s="44"/>
      <c r="N131" s="44"/>
      <c r="O131" s="44"/>
      <c r="P131" s="44"/>
      <c r="Q131" s="44"/>
      <c r="R131" s="45" t="str">
        <f aca="false">IF($A131="","",SUM(H131:Q131))</f>
        <v/>
      </c>
      <c r="S131" s="45" t="str">
        <f aca="false">IF($A131="","",ROUND($F131-$G131-$R131,2))</f>
        <v/>
      </c>
      <c r="T131" s="28" t="str">
        <f aca="false">IF(OR($A131="",$F131=0),"",$R131/$F131)</f>
        <v/>
      </c>
      <c r="U131" s="35"/>
      <c r="V131" s="35"/>
      <c r="W131" s="0" t="str">
        <f aca="false">IF($A131="","",$A131&amp;"|"&amp;$B131)</f>
        <v/>
      </c>
    </row>
    <row r="132" customFormat="false" ht="18" hidden="false" customHeight="true" outlineLevel="0" collapsed="false">
      <c r="A132" s="36"/>
      <c r="B132" s="36"/>
      <c r="C132" s="43" t="str">
        <f aca="false">IF($B132="","",IFERROR(VLOOKUP($B132,人员名册!$B$4:$G$53,2,0)&amp;"","名册中未登记"))</f>
        <v/>
      </c>
      <c r="D132" s="43" t="str">
        <f aca="false">IF($B132="","",IFERROR(VLOOKUP($B132,人员名册!$B$4:$G$53,3,0)&amp;"",""))</f>
        <v/>
      </c>
      <c r="E132" s="43" t="str">
        <f aca="false">IF($B132="","",IFERROR(VLOOKUP($B132,人员名册!$B$4:$G$53,5,0)&amp;"",""))</f>
        <v/>
      </c>
      <c r="F132" s="44"/>
      <c r="G132" s="44"/>
      <c r="H132" s="44"/>
      <c r="I132" s="44"/>
      <c r="J132" s="44"/>
      <c r="K132" s="44"/>
      <c r="L132" s="44"/>
      <c r="M132" s="44"/>
      <c r="N132" s="44"/>
      <c r="O132" s="44"/>
      <c r="P132" s="44"/>
      <c r="Q132" s="44"/>
      <c r="R132" s="45" t="str">
        <f aca="false">IF($A132="","",SUM(H132:Q132))</f>
        <v/>
      </c>
      <c r="S132" s="45" t="str">
        <f aca="false">IF($A132="","",ROUND($F132-$G132-$R132,2))</f>
        <v/>
      </c>
      <c r="T132" s="28" t="str">
        <f aca="false">IF(OR($A132="",$F132=0),"",$R132/$F132)</f>
        <v/>
      </c>
      <c r="U132" s="35"/>
      <c r="V132" s="35"/>
      <c r="W132" s="0" t="str">
        <f aca="false">IF($A132="","",$A132&amp;"|"&amp;$B132)</f>
        <v/>
      </c>
    </row>
    <row r="133" customFormat="false" ht="18" hidden="false" customHeight="true" outlineLevel="0" collapsed="false">
      <c r="A133" s="36"/>
      <c r="B133" s="36"/>
      <c r="C133" s="43" t="str">
        <f aca="false">IF($B133="","",IFERROR(VLOOKUP($B133,人员名册!$B$4:$G$53,2,0)&amp;"","名册中未登记"))</f>
        <v/>
      </c>
      <c r="D133" s="43" t="str">
        <f aca="false">IF($B133="","",IFERROR(VLOOKUP($B133,人员名册!$B$4:$G$53,3,0)&amp;"",""))</f>
        <v/>
      </c>
      <c r="E133" s="43" t="str">
        <f aca="false">IF($B133="","",IFERROR(VLOOKUP($B133,人员名册!$B$4:$G$53,5,0)&amp;"",""))</f>
        <v/>
      </c>
      <c r="F133" s="44"/>
      <c r="G133" s="44"/>
      <c r="H133" s="44"/>
      <c r="I133" s="44"/>
      <c r="J133" s="44"/>
      <c r="K133" s="44"/>
      <c r="L133" s="44"/>
      <c r="M133" s="44"/>
      <c r="N133" s="44"/>
      <c r="O133" s="44"/>
      <c r="P133" s="44"/>
      <c r="Q133" s="44"/>
      <c r="R133" s="45" t="str">
        <f aca="false">IF($A133="","",SUM(H133:Q133))</f>
        <v/>
      </c>
      <c r="S133" s="45" t="str">
        <f aca="false">IF($A133="","",ROUND($F133-$G133-$R133,2))</f>
        <v/>
      </c>
      <c r="T133" s="28" t="str">
        <f aca="false">IF(OR($A133="",$F133=0),"",$R133/$F133)</f>
        <v/>
      </c>
      <c r="U133" s="35"/>
      <c r="V133" s="35"/>
      <c r="W133" s="0" t="str">
        <f aca="false">IF($A133="","",$A133&amp;"|"&amp;$B133)</f>
        <v/>
      </c>
    </row>
    <row r="134" customFormat="false" ht="18" hidden="false" customHeight="true" outlineLevel="0" collapsed="false">
      <c r="A134" s="36"/>
      <c r="B134" s="36"/>
      <c r="C134" s="43" t="str">
        <f aca="false">IF($B134="","",IFERROR(VLOOKUP($B134,人员名册!$B$4:$G$53,2,0)&amp;"","名册中未登记"))</f>
        <v/>
      </c>
      <c r="D134" s="43" t="str">
        <f aca="false">IF($B134="","",IFERROR(VLOOKUP($B134,人员名册!$B$4:$G$53,3,0)&amp;"",""))</f>
        <v/>
      </c>
      <c r="E134" s="43" t="str">
        <f aca="false">IF($B134="","",IFERROR(VLOOKUP($B134,人员名册!$B$4:$G$53,5,0)&amp;"",""))</f>
        <v/>
      </c>
      <c r="F134" s="44"/>
      <c r="G134" s="44"/>
      <c r="H134" s="44"/>
      <c r="I134" s="44"/>
      <c r="J134" s="44"/>
      <c r="K134" s="44"/>
      <c r="L134" s="44"/>
      <c r="M134" s="44"/>
      <c r="N134" s="44"/>
      <c r="O134" s="44"/>
      <c r="P134" s="44"/>
      <c r="Q134" s="44"/>
      <c r="R134" s="45" t="str">
        <f aca="false">IF($A134="","",SUM(H134:Q134))</f>
        <v/>
      </c>
      <c r="S134" s="45" t="str">
        <f aca="false">IF($A134="","",ROUND($F134-$G134-$R134,2))</f>
        <v/>
      </c>
      <c r="T134" s="28" t="str">
        <f aca="false">IF(OR($A134="",$F134=0),"",$R134/$F134)</f>
        <v/>
      </c>
      <c r="U134" s="35"/>
      <c r="V134" s="35"/>
      <c r="W134" s="0" t="str">
        <f aca="false">IF($A134="","",$A134&amp;"|"&amp;$B134)</f>
        <v/>
      </c>
    </row>
    <row r="135" customFormat="false" ht="18" hidden="false" customHeight="true" outlineLevel="0" collapsed="false">
      <c r="A135" s="36"/>
      <c r="B135" s="36"/>
      <c r="C135" s="43" t="str">
        <f aca="false">IF($B135="","",IFERROR(VLOOKUP($B135,人员名册!$B$4:$G$53,2,0)&amp;"","名册中未登记"))</f>
        <v/>
      </c>
      <c r="D135" s="43" t="str">
        <f aca="false">IF($B135="","",IFERROR(VLOOKUP($B135,人员名册!$B$4:$G$53,3,0)&amp;"",""))</f>
        <v/>
      </c>
      <c r="E135" s="43" t="str">
        <f aca="false">IF($B135="","",IFERROR(VLOOKUP($B135,人员名册!$B$4:$G$53,5,0)&amp;"",""))</f>
        <v/>
      </c>
      <c r="F135" s="44"/>
      <c r="G135" s="44"/>
      <c r="H135" s="44"/>
      <c r="I135" s="44"/>
      <c r="J135" s="44"/>
      <c r="K135" s="44"/>
      <c r="L135" s="44"/>
      <c r="M135" s="44"/>
      <c r="N135" s="44"/>
      <c r="O135" s="44"/>
      <c r="P135" s="44"/>
      <c r="Q135" s="44"/>
      <c r="R135" s="45" t="str">
        <f aca="false">IF($A135="","",SUM(H135:Q135))</f>
        <v/>
      </c>
      <c r="S135" s="45" t="str">
        <f aca="false">IF($A135="","",ROUND($F135-$G135-$R135,2))</f>
        <v/>
      </c>
      <c r="T135" s="28" t="str">
        <f aca="false">IF(OR($A135="",$F135=0),"",$R135/$F135)</f>
        <v/>
      </c>
      <c r="U135" s="35"/>
      <c r="V135" s="35"/>
      <c r="W135" s="0" t="str">
        <f aca="false">IF($A135="","",$A135&amp;"|"&amp;$B135)</f>
        <v/>
      </c>
    </row>
    <row r="136" customFormat="false" ht="18" hidden="false" customHeight="true" outlineLevel="0" collapsed="false">
      <c r="A136" s="36"/>
      <c r="B136" s="36"/>
      <c r="C136" s="43" t="str">
        <f aca="false">IF($B136="","",IFERROR(VLOOKUP($B136,人员名册!$B$4:$G$53,2,0)&amp;"","名册中未登记"))</f>
        <v/>
      </c>
      <c r="D136" s="43" t="str">
        <f aca="false">IF($B136="","",IFERROR(VLOOKUP($B136,人员名册!$B$4:$G$53,3,0)&amp;"",""))</f>
        <v/>
      </c>
      <c r="E136" s="43" t="str">
        <f aca="false">IF($B136="","",IFERROR(VLOOKUP($B136,人员名册!$B$4:$G$53,5,0)&amp;"",""))</f>
        <v/>
      </c>
      <c r="F136" s="44"/>
      <c r="G136" s="44"/>
      <c r="H136" s="44"/>
      <c r="I136" s="44"/>
      <c r="J136" s="44"/>
      <c r="K136" s="44"/>
      <c r="L136" s="44"/>
      <c r="M136" s="44"/>
      <c r="N136" s="44"/>
      <c r="O136" s="44"/>
      <c r="P136" s="44"/>
      <c r="Q136" s="44"/>
      <c r="R136" s="45" t="str">
        <f aca="false">IF($A136="","",SUM(H136:Q136))</f>
        <v/>
      </c>
      <c r="S136" s="45" t="str">
        <f aca="false">IF($A136="","",ROUND($F136-$G136-$R136,2))</f>
        <v/>
      </c>
      <c r="T136" s="28" t="str">
        <f aca="false">IF(OR($A136="",$F136=0),"",$R136/$F136)</f>
        <v/>
      </c>
      <c r="U136" s="35"/>
      <c r="V136" s="35"/>
      <c r="W136" s="0" t="str">
        <f aca="false">IF($A136="","",$A136&amp;"|"&amp;$B136)</f>
        <v/>
      </c>
    </row>
    <row r="137" customFormat="false" ht="18" hidden="false" customHeight="true" outlineLevel="0" collapsed="false">
      <c r="A137" s="36"/>
      <c r="B137" s="36"/>
      <c r="C137" s="43" t="str">
        <f aca="false">IF($B137="","",IFERROR(VLOOKUP($B137,人员名册!$B$4:$G$53,2,0)&amp;"","名册中未登记"))</f>
        <v/>
      </c>
      <c r="D137" s="43" t="str">
        <f aca="false">IF($B137="","",IFERROR(VLOOKUP($B137,人员名册!$B$4:$G$53,3,0)&amp;"",""))</f>
        <v/>
      </c>
      <c r="E137" s="43" t="str">
        <f aca="false">IF($B137="","",IFERROR(VLOOKUP($B137,人员名册!$B$4:$G$53,5,0)&amp;"",""))</f>
        <v/>
      </c>
      <c r="F137" s="44"/>
      <c r="G137" s="44"/>
      <c r="H137" s="44"/>
      <c r="I137" s="44"/>
      <c r="J137" s="44"/>
      <c r="K137" s="44"/>
      <c r="L137" s="44"/>
      <c r="M137" s="44"/>
      <c r="N137" s="44"/>
      <c r="O137" s="44"/>
      <c r="P137" s="44"/>
      <c r="Q137" s="44"/>
      <c r="R137" s="45" t="str">
        <f aca="false">IF($A137="","",SUM(H137:Q137))</f>
        <v/>
      </c>
      <c r="S137" s="45" t="str">
        <f aca="false">IF($A137="","",ROUND($F137-$G137-$R137,2))</f>
        <v/>
      </c>
      <c r="T137" s="28" t="str">
        <f aca="false">IF(OR($A137="",$F137=0),"",$R137/$F137)</f>
        <v/>
      </c>
      <c r="U137" s="35"/>
      <c r="V137" s="35"/>
      <c r="W137" s="0" t="str">
        <f aca="false">IF($A137="","",$A137&amp;"|"&amp;$B137)</f>
        <v/>
      </c>
    </row>
    <row r="138" customFormat="false" ht="18" hidden="false" customHeight="true" outlineLevel="0" collapsed="false">
      <c r="A138" s="36"/>
      <c r="B138" s="36"/>
      <c r="C138" s="43" t="str">
        <f aca="false">IF($B138="","",IFERROR(VLOOKUP($B138,人员名册!$B$4:$G$53,2,0)&amp;"","名册中未登记"))</f>
        <v/>
      </c>
      <c r="D138" s="43" t="str">
        <f aca="false">IF($B138="","",IFERROR(VLOOKUP($B138,人员名册!$B$4:$G$53,3,0)&amp;"",""))</f>
        <v/>
      </c>
      <c r="E138" s="43" t="str">
        <f aca="false">IF($B138="","",IFERROR(VLOOKUP($B138,人员名册!$B$4:$G$53,5,0)&amp;"",""))</f>
        <v/>
      </c>
      <c r="F138" s="44"/>
      <c r="G138" s="44"/>
      <c r="H138" s="44"/>
      <c r="I138" s="44"/>
      <c r="J138" s="44"/>
      <c r="K138" s="44"/>
      <c r="L138" s="44"/>
      <c r="M138" s="44"/>
      <c r="N138" s="44"/>
      <c r="O138" s="44"/>
      <c r="P138" s="44"/>
      <c r="Q138" s="44"/>
      <c r="R138" s="45" t="str">
        <f aca="false">IF($A138="","",SUM(H138:Q138))</f>
        <v/>
      </c>
      <c r="S138" s="45" t="str">
        <f aca="false">IF($A138="","",ROUND($F138-$G138-$R138,2))</f>
        <v/>
      </c>
      <c r="T138" s="28" t="str">
        <f aca="false">IF(OR($A138="",$F138=0),"",$R138/$F138)</f>
        <v/>
      </c>
      <c r="U138" s="35"/>
      <c r="V138" s="35"/>
      <c r="W138" s="0" t="str">
        <f aca="false">IF($A138="","",$A138&amp;"|"&amp;$B138)</f>
        <v/>
      </c>
    </row>
    <row r="139" customFormat="false" ht="18" hidden="false" customHeight="true" outlineLevel="0" collapsed="false">
      <c r="A139" s="36"/>
      <c r="B139" s="36"/>
      <c r="C139" s="43" t="str">
        <f aca="false">IF($B139="","",IFERROR(VLOOKUP($B139,人员名册!$B$4:$G$53,2,0)&amp;"","名册中未登记"))</f>
        <v/>
      </c>
      <c r="D139" s="43" t="str">
        <f aca="false">IF($B139="","",IFERROR(VLOOKUP($B139,人员名册!$B$4:$G$53,3,0)&amp;"",""))</f>
        <v/>
      </c>
      <c r="E139" s="43" t="str">
        <f aca="false">IF($B139="","",IFERROR(VLOOKUP($B139,人员名册!$B$4:$G$53,5,0)&amp;"",""))</f>
        <v/>
      </c>
      <c r="F139" s="44"/>
      <c r="G139" s="44"/>
      <c r="H139" s="44"/>
      <c r="I139" s="44"/>
      <c r="J139" s="44"/>
      <c r="K139" s="44"/>
      <c r="L139" s="44"/>
      <c r="M139" s="44"/>
      <c r="N139" s="44"/>
      <c r="O139" s="44"/>
      <c r="P139" s="44"/>
      <c r="Q139" s="44"/>
      <c r="R139" s="45" t="str">
        <f aca="false">IF($A139="","",SUM(H139:Q139))</f>
        <v/>
      </c>
      <c r="S139" s="45" t="str">
        <f aca="false">IF($A139="","",ROUND($F139-$G139-$R139,2))</f>
        <v/>
      </c>
      <c r="T139" s="28" t="str">
        <f aca="false">IF(OR($A139="",$F139=0),"",$R139/$F139)</f>
        <v/>
      </c>
      <c r="U139" s="35"/>
      <c r="V139" s="35"/>
      <c r="W139" s="0" t="str">
        <f aca="false">IF($A139="","",$A139&amp;"|"&amp;$B139)</f>
        <v/>
      </c>
    </row>
    <row r="140" customFormat="false" ht="18" hidden="false" customHeight="true" outlineLevel="0" collapsed="false">
      <c r="A140" s="36"/>
      <c r="B140" s="36"/>
      <c r="C140" s="43" t="str">
        <f aca="false">IF($B140="","",IFERROR(VLOOKUP($B140,人员名册!$B$4:$G$53,2,0)&amp;"","名册中未登记"))</f>
        <v/>
      </c>
      <c r="D140" s="43" t="str">
        <f aca="false">IF($B140="","",IFERROR(VLOOKUP($B140,人员名册!$B$4:$G$53,3,0)&amp;"",""))</f>
        <v/>
      </c>
      <c r="E140" s="43" t="str">
        <f aca="false">IF($B140="","",IFERROR(VLOOKUP($B140,人员名册!$B$4:$G$53,5,0)&amp;"",""))</f>
        <v/>
      </c>
      <c r="F140" s="44"/>
      <c r="G140" s="44"/>
      <c r="H140" s="44"/>
      <c r="I140" s="44"/>
      <c r="J140" s="44"/>
      <c r="K140" s="44"/>
      <c r="L140" s="44"/>
      <c r="M140" s="44"/>
      <c r="N140" s="44"/>
      <c r="O140" s="44"/>
      <c r="P140" s="44"/>
      <c r="Q140" s="44"/>
      <c r="R140" s="45" t="str">
        <f aca="false">IF($A140="","",SUM(H140:Q140))</f>
        <v/>
      </c>
      <c r="S140" s="45" t="str">
        <f aca="false">IF($A140="","",ROUND($F140-$G140-$R140,2))</f>
        <v/>
      </c>
      <c r="T140" s="28" t="str">
        <f aca="false">IF(OR($A140="",$F140=0),"",$R140/$F140)</f>
        <v/>
      </c>
      <c r="U140" s="35"/>
      <c r="V140" s="35"/>
      <c r="W140" s="0" t="str">
        <f aca="false">IF($A140="","",$A140&amp;"|"&amp;$B140)</f>
        <v/>
      </c>
    </row>
    <row r="141" customFormat="false" ht="18" hidden="false" customHeight="true" outlineLevel="0" collapsed="false">
      <c r="A141" s="36"/>
      <c r="B141" s="36"/>
      <c r="C141" s="43" t="str">
        <f aca="false">IF($B141="","",IFERROR(VLOOKUP($B141,人员名册!$B$4:$G$53,2,0)&amp;"","名册中未登记"))</f>
        <v/>
      </c>
      <c r="D141" s="43" t="str">
        <f aca="false">IF($B141="","",IFERROR(VLOOKUP($B141,人员名册!$B$4:$G$53,3,0)&amp;"",""))</f>
        <v/>
      </c>
      <c r="E141" s="43" t="str">
        <f aca="false">IF($B141="","",IFERROR(VLOOKUP($B141,人员名册!$B$4:$G$53,5,0)&amp;"",""))</f>
        <v/>
      </c>
      <c r="F141" s="44"/>
      <c r="G141" s="44"/>
      <c r="H141" s="44"/>
      <c r="I141" s="44"/>
      <c r="J141" s="44"/>
      <c r="K141" s="44"/>
      <c r="L141" s="44"/>
      <c r="M141" s="44"/>
      <c r="N141" s="44"/>
      <c r="O141" s="44"/>
      <c r="P141" s="44"/>
      <c r="Q141" s="44"/>
      <c r="R141" s="45" t="str">
        <f aca="false">IF($A141="","",SUM(H141:Q141))</f>
        <v/>
      </c>
      <c r="S141" s="45" t="str">
        <f aca="false">IF($A141="","",ROUND($F141-$G141-$R141,2))</f>
        <v/>
      </c>
      <c r="T141" s="28" t="str">
        <f aca="false">IF(OR($A141="",$F141=0),"",$R141/$F141)</f>
        <v/>
      </c>
      <c r="U141" s="35"/>
      <c r="V141" s="35"/>
      <c r="W141" s="0" t="str">
        <f aca="false">IF($A141="","",$A141&amp;"|"&amp;$B141)</f>
        <v/>
      </c>
    </row>
    <row r="142" customFormat="false" ht="18" hidden="false" customHeight="true" outlineLevel="0" collapsed="false">
      <c r="A142" s="36"/>
      <c r="B142" s="36"/>
      <c r="C142" s="43" t="str">
        <f aca="false">IF($B142="","",IFERROR(VLOOKUP($B142,人员名册!$B$4:$G$53,2,0)&amp;"","名册中未登记"))</f>
        <v/>
      </c>
      <c r="D142" s="43" t="str">
        <f aca="false">IF($B142="","",IFERROR(VLOOKUP($B142,人员名册!$B$4:$G$53,3,0)&amp;"",""))</f>
        <v/>
      </c>
      <c r="E142" s="43" t="str">
        <f aca="false">IF($B142="","",IFERROR(VLOOKUP($B142,人员名册!$B$4:$G$53,5,0)&amp;"",""))</f>
        <v/>
      </c>
      <c r="F142" s="44"/>
      <c r="G142" s="44"/>
      <c r="H142" s="44"/>
      <c r="I142" s="44"/>
      <c r="J142" s="44"/>
      <c r="K142" s="44"/>
      <c r="L142" s="44"/>
      <c r="M142" s="44"/>
      <c r="N142" s="44"/>
      <c r="O142" s="44"/>
      <c r="P142" s="44"/>
      <c r="Q142" s="44"/>
      <c r="R142" s="45" t="str">
        <f aca="false">IF($A142="","",SUM(H142:Q142))</f>
        <v/>
      </c>
      <c r="S142" s="45" t="str">
        <f aca="false">IF($A142="","",ROUND($F142-$G142-$R142,2))</f>
        <v/>
      </c>
      <c r="T142" s="28" t="str">
        <f aca="false">IF(OR($A142="",$F142=0),"",$R142/$F142)</f>
        <v/>
      </c>
      <c r="U142" s="35"/>
      <c r="V142" s="35"/>
      <c r="W142" s="0" t="str">
        <f aca="false">IF($A142="","",$A142&amp;"|"&amp;$B142)</f>
        <v/>
      </c>
    </row>
    <row r="143" customFormat="false" ht="18" hidden="false" customHeight="true" outlineLevel="0" collapsed="false">
      <c r="A143" s="36"/>
      <c r="B143" s="36"/>
      <c r="C143" s="43" t="str">
        <f aca="false">IF($B143="","",IFERROR(VLOOKUP($B143,人员名册!$B$4:$G$53,2,0)&amp;"","名册中未登记"))</f>
        <v/>
      </c>
      <c r="D143" s="43" t="str">
        <f aca="false">IF($B143="","",IFERROR(VLOOKUP($B143,人员名册!$B$4:$G$53,3,0)&amp;"",""))</f>
        <v/>
      </c>
      <c r="E143" s="43" t="str">
        <f aca="false">IF($B143="","",IFERROR(VLOOKUP($B143,人员名册!$B$4:$G$53,5,0)&amp;"",""))</f>
        <v/>
      </c>
      <c r="F143" s="44"/>
      <c r="G143" s="44"/>
      <c r="H143" s="44"/>
      <c r="I143" s="44"/>
      <c r="J143" s="44"/>
      <c r="K143" s="44"/>
      <c r="L143" s="44"/>
      <c r="M143" s="44"/>
      <c r="N143" s="44"/>
      <c r="O143" s="44"/>
      <c r="P143" s="44"/>
      <c r="Q143" s="44"/>
      <c r="R143" s="45" t="str">
        <f aca="false">IF($A143="","",SUM(H143:Q143))</f>
        <v/>
      </c>
      <c r="S143" s="45" t="str">
        <f aca="false">IF($A143="","",ROUND($F143-$G143-$R143,2))</f>
        <v/>
      </c>
      <c r="T143" s="28" t="str">
        <f aca="false">IF(OR($A143="",$F143=0),"",$R143/$F143)</f>
        <v/>
      </c>
      <c r="U143" s="35"/>
      <c r="V143" s="35"/>
      <c r="W143" s="0" t="str">
        <f aca="false">IF($A143="","",$A143&amp;"|"&amp;$B143)</f>
        <v/>
      </c>
    </row>
    <row r="144" customFormat="false" ht="18" hidden="false" customHeight="true" outlineLevel="0" collapsed="false">
      <c r="A144" s="36"/>
      <c r="B144" s="36"/>
      <c r="C144" s="43" t="str">
        <f aca="false">IF($B144="","",IFERROR(VLOOKUP($B144,人员名册!$B$4:$G$53,2,0)&amp;"","名册中未登记"))</f>
        <v/>
      </c>
      <c r="D144" s="43" t="str">
        <f aca="false">IF($B144="","",IFERROR(VLOOKUP($B144,人员名册!$B$4:$G$53,3,0)&amp;"",""))</f>
        <v/>
      </c>
      <c r="E144" s="43" t="str">
        <f aca="false">IF($B144="","",IFERROR(VLOOKUP($B144,人员名册!$B$4:$G$53,5,0)&amp;"",""))</f>
        <v/>
      </c>
      <c r="F144" s="44"/>
      <c r="G144" s="44"/>
      <c r="H144" s="44"/>
      <c r="I144" s="44"/>
      <c r="J144" s="44"/>
      <c r="K144" s="44"/>
      <c r="L144" s="44"/>
      <c r="M144" s="44"/>
      <c r="N144" s="44"/>
      <c r="O144" s="44"/>
      <c r="P144" s="44"/>
      <c r="Q144" s="44"/>
      <c r="R144" s="45" t="str">
        <f aca="false">IF($A144="","",SUM(H144:Q144))</f>
        <v/>
      </c>
      <c r="S144" s="45" t="str">
        <f aca="false">IF($A144="","",ROUND($F144-$G144-$R144,2))</f>
        <v/>
      </c>
      <c r="T144" s="28" t="str">
        <f aca="false">IF(OR($A144="",$F144=0),"",$R144/$F144)</f>
        <v/>
      </c>
      <c r="U144" s="35"/>
      <c r="V144" s="35"/>
      <c r="W144" s="0" t="str">
        <f aca="false">IF($A144="","",$A144&amp;"|"&amp;$B144)</f>
        <v/>
      </c>
    </row>
    <row r="145" customFormat="false" ht="18" hidden="false" customHeight="true" outlineLevel="0" collapsed="false">
      <c r="A145" s="36"/>
      <c r="B145" s="36"/>
      <c r="C145" s="43" t="str">
        <f aca="false">IF($B145="","",IFERROR(VLOOKUP($B145,人员名册!$B$4:$G$53,2,0)&amp;"","名册中未登记"))</f>
        <v/>
      </c>
      <c r="D145" s="43" t="str">
        <f aca="false">IF($B145="","",IFERROR(VLOOKUP($B145,人员名册!$B$4:$G$53,3,0)&amp;"",""))</f>
        <v/>
      </c>
      <c r="E145" s="43" t="str">
        <f aca="false">IF($B145="","",IFERROR(VLOOKUP($B145,人员名册!$B$4:$G$53,5,0)&amp;"",""))</f>
        <v/>
      </c>
      <c r="F145" s="44"/>
      <c r="G145" s="44"/>
      <c r="H145" s="44"/>
      <c r="I145" s="44"/>
      <c r="J145" s="44"/>
      <c r="K145" s="44"/>
      <c r="L145" s="44"/>
      <c r="M145" s="44"/>
      <c r="N145" s="44"/>
      <c r="O145" s="44"/>
      <c r="P145" s="44"/>
      <c r="Q145" s="44"/>
      <c r="R145" s="45" t="str">
        <f aca="false">IF($A145="","",SUM(H145:Q145))</f>
        <v/>
      </c>
      <c r="S145" s="45" t="str">
        <f aca="false">IF($A145="","",ROUND($F145-$G145-$R145,2))</f>
        <v/>
      </c>
      <c r="T145" s="28" t="str">
        <f aca="false">IF(OR($A145="",$F145=0),"",$R145/$F145)</f>
        <v/>
      </c>
      <c r="U145" s="35"/>
      <c r="V145" s="35"/>
      <c r="W145" s="0" t="str">
        <f aca="false">IF($A145="","",$A145&amp;"|"&amp;$B145)</f>
        <v/>
      </c>
    </row>
    <row r="146" customFormat="false" ht="18" hidden="false" customHeight="true" outlineLevel="0" collapsed="false">
      <c r="A146" s="36"/>
      <c r="B146" s="36"/>
      <c r="C146" s="43" t="str">
        <f aca="false">IF($B146="","",IFERROR(VLOOKUP($B146,人员名册!$B$4:$G$53,2,0)&amp;"","名册中未登记"))</f>
        <v/>
      </c>
      <c r="D146" s="43" t="str">
        <f aca="false">IF($B146="","",IFERROR(VLOOKUP($B146,人员名册!$B$4:$G$53,3,0)&amp;"",""))</f>
        <v/>
      </c>
      <c r="E146" s="43" t="str">
        <f aca="false">IF($B146="","",IFERROR(VLOOKUP($B146,人员名册!$B$4:$G$53,5,0)&amp;"",""))</f>
        <v/>
      </c>
      <c r="F146" s="44"/>
      <c r="G146" s="44"/>
      <c r="H146" s="44"/>
      <c r="I146" s="44"/>
      <c r="J146" s="44"/>
      <c r="K146" s="44"/>
      <c r="L146" s="44"/>
      <c r="M146" s="44"/>
      <c r="N146" s="44"/>
      <c r="O146" s="44"/>
      <c r="P146" s="44"/>
      <c r="Q146" s="44"/>
      <c r="R146" s="45" t="str">
        <f aca="false">IF($A146="","",SUM(H146:Q146))</f>
        <v/>
      </c>
      <c r="S146" s="45" t="str">
        <f aca="false">IF($A146="","",ROUND($F146-$G146-$R146,2))</f>
        <v/>
      </c>
      <c r="T146" s="28" t="str">
        <f aca="false">IF(OR($A146="",$F146=0),"",$R146/$F146)</f>
        <v/>
      </c>
      <c r="U146" s="35"/>
      <c r="V146" s="35"/>
      <c r="W146" s="0" t="str">
        <f aca="false">IF($A146="","",$A146&amp;"|"&amp;$B146)</f>
        <v/>
      </c>
    </row>
    <row r="147" customFormat="false" ht="18" hidden="false" customHeight="true" outlineLevel="0" collapsed="false">
      <c r="A147" s="36"/>
      <c r="B147" s="36"/>
      <c r="C147" s="43" t="str">
        <f aca="false">IF($B147="","",IFERROR(VLOOKUP($B147,人员名册!$B$4:$G$53,2,0)&amp;"","名册中未登记"))</f>
        <v/>
      </c>
      <c r="D147" s="43" t="str">
        <f aca="false">IF($B147="","",IFERROR(VLOOKUP($B147,人员名册!$B$4:$G$53,3,0)&amp;"",""))</f>
        <v/>
      </c>
      <c r="E147" s="43" t="str">
        <f aca="false">IF($B147="","",IFERROR(VLOOKUP($B147,人员名册!$B$4:$G$53,5,0)&amp;"",""))</f>
        <v/>
      </c>
      <c r="F147" s="44"/>
      <c r="G147" s="44"/>
      <c r="H147" s="44"/>
      <c r="I147" s="44"/>
      <c r="J147" s="44"/>
      <c r="K147" s="44"/>
      <c r="L147" s="44"/>
      <c r="M147" s="44"/>
      <c r="N147" s="44"/>
      <c r="O147" s="44"/>
      <c r="P147" s="44"/>
      <c r="Q147" s="44"/>
      <c r="R147" s="45" t="str">
        <f aca="false">IF($A147="","",SUM(H147:Q147))</f>
        <v/>
      </c>
      <c r="S147" s="45" t="str">
        <f aca="false">IF($A147="","",ROUND($F147-$G147-$R147,2))</f>
        <v/>
      </c>
      <c r="T147" s="28" t="str">
        <f aca="false">IF(OR($A147="",$F147=0),"",$R147/$F147)</f>
        <v/>
      </c>
      <c r="U147" s="35"/>
      <c r="V147" s="35"/>
      <c r="W147" s="0" t="str">
        <f aca="false">IF($A147="","",$A147&amp;"|"&amp;$B147)</f>
        <v/>
      </c>
    </row>
    <row r="148" customFormat="false" ht="18" hidden="false" customHeight="true" outlineLevel="0" collapsed="false">
      <c r="A148" s="36"/>
      <c r="B148" s="36"/>
      <c r="C148" s="43" t="str">
        <f aca="false">IF($B148="","",IFERROR(VLOOKUP($B148,人员名册!$B$4:$G$53,2,0)&amp;"","名册中未登记"))</f>
        <v/>
      </c>
      <c r="D148" s="43" t="str">
        <f aca="false">IF($B148="","",IFERROR(VLOOKUP($B148,人员名册!$B$4:$G$53,3,0)&amp;"",""))</f>
        <v/>
      </c>
      <c r="E148" s="43" t="str">
        <f aca="false">IF($B148="","",IFERROR(VLOOKUP($B148,人员名册!$B$4:$G$53,5,0)&amp;"",""))</f>
        <v/>
      </c>
      <c r="F148" s="44"/>
      <c r="G148" s="44"/>
      <c r="H148" s="44"/>
      <c r="I148" s="44"/>
      <c r="J148" s="44"/>
      <c r="K148" s="44"/>
      <c r="L148" s="44"/>
      <c r="M148" s="44"/>
      <c r="N148" s="44"/>
      <c r="O148" s="44"/>
      <c r="P148" s="44"/>
      <c r="Q148" s="44"/>
      <c r="R148" s="45" t="str">
        <f aca="false">IF($A148="","",SUM(H148:Q148))</f>
        <v/>
      </c>
      <c r="S148" s="45" t="str">
        <f aca="false">IF($A148="","",ROUND($F148-$G148-$R148,2))</f>
        <v/>
      </c>
      <c r="T148" s="28" t="str">
        <f aca="false">IF(OR($A148="",$F148=0),"",$R148/$F148)</f>
        <v/>
      </c>
      <c r="U148" s="35"/>
      <c r="V148" s="35"/>
      <c r="W148" s="0" t="str">
        <f aca="false">IF($A148="","",$A148&amp;"|"&amp;$B148)</f>
        <v/>
      </c>
    </row>
    <row r="149" customFormat="false" ht="18" hidden="false" customHeight="true" outlineLevel="0" collapsed="false">
      <c r="A149" s="36"/>
      <c r="B149" s="36"/>
      <c r="C149" s="43" t="str">
        <f aca="false">IF($B149="","",IFERROR(VLOOKUP($B149,人员名册!$B$4:$G$53,2,0)&amp;"","名册中未登记"))</f>
        <v/>
      </c>
      <c r="D149" s="43" t="str">
        <f aca="false">IF($B149="","",IFERROR(VLOOKUP($B149,人员名册!$B$4:$G$53,3,0)&amp;"",""))</f>
        <v/>
      </c>
      <c r="E149" s="43" t="str">
        <f aca="false">IF($B149="","",IFERROR(VLOOKUP($B149,人员名册!$B$4:$G$53,5,0)&amp;"",""))</f>
        <v/>
      </c>
      <c r="F149" s="44"/>
      <c r="G149" s="44"/>
      <c r="H149" s="44"/>
      <c r="I149" s="44"/>
      <c r="J149" s="44"/>
      <c r="K149" s="44"/>
      <c r="L149" s="44"/>
      <c r="M149" s="44"/>
      <c r="N149" s="44"/>
      <c r="O149" s="44"/>
      <c r="P149" s="44"/>
      <c r="Q149" s="44"/>
      <c r="R149" s="45" t="str">
        <f aca="false">IF($A149="","",SUM(H149:Q149))</f>
        <v/>
      </c>
      <c r="S149" s="45" t="str">
        <f aca="false">IF($A149="","",ROUND($F149-$G149-$R149,2))</f>
        <v/>
      </c>
      <c r="T149" s="28" t="str">
        <f aca="false">IF(OR($A149="",$F149=0),"",$R149/$F149)</f>
        <v/>
      </c>
      <c r="U149" s="35"/>
      <c r="V149" s="35"/>
      <c r="W149" s="0" t="str">
        <f aca="false">IF($A149="","",$A149&amp;"|"&amp;$B149)</f>
        <v/>
      </c>
    </row>
    <row r="150" customFormat="false" ht="18" hidden="false" customHeight="true" outlineLevel="0" collapsed="false">
      <c r="A150" s="36"/>
      <c r="B150" s="36"/>
      <c r="C150" s="43" t="str">
        <f aca="false">IF($B150="","",IFERROR(VLOOKUP($B150,人员名册!$B$4:$G$53,2,0)&amp;"","名册中未登记"))</f>
        <v/>
      </c>
      <c r="D150" s="43" t="str">
        <f aca="false">IF($B150="","",IFERROR(VLOOKUP($B150,人员名册!$B$4:$G$53,3,0)&amp;"",""))</f>
        <v/>
      </c>
      <c r="E150" s="43" t="str">
        <f aca="false">IF($B150="","",IFERROR(VLOOKUP($B150,人员名册!$B$4:$G$53,5,0)&amp;"",""))</f>
        <v/>
      </c>
      <c r="F150" s="44"/>
      <c r="G150" s="44"/>
      <c r="H150" s="44"/>
      <c r="I150" s="44"/>
      <c r="J150" s="44"/>
      <c r="K150" s="44"/>
      <c r="L150" s="44"/>
      <c r="M150" s="44"/>
      <c r="N150" s="44"/>
      <c r="O150" s="44"/>
      <c r="P150" s="44"/>
      <c r="Q150" s="44"/>
      <c r="R150" s="45" t="str">
        <f aca="false">IF($A150="","",SUM(H150:Q150))</f>
        <v/>
      </c>
      <c r="S150" s="45" t="str">
        <f aca="false">IF($A150="","",ROUND($F150-$G150-$R150,2))</f>
        <v/>
      </c>
      <c r="T150" s="28" t="str">
        <f aca="false">IF(OR($A150="",$F150=0),"",$R150/$F150)</f>
        <v/>
      </c>
      <c r="U150" s="35"/>
      <c r="V150" s="35"/>
      <c r="W150" s="0" t="str">
        <f aca="false">IF($A150="","",$A150&amp;"|"&amp;$B150)</f>
        <v/>
      </c>
    </row>
    <row r="151" customFormat="false" ht="18" hidden="false" customHeight="true" outlineLevel="0" collapsed="false">
      <c r="A151" s="36"/>
      <c r="B151" s="36"/>
      <c r="C151" s="43" t="str">
        <f aca="false">IF($B151="","",IFERROR(VLOOKUP($B151,人员名册!$B$4:$G$53,2,0)&amp;"","名册中未登记"))</f>
        <v/>
      </c>
      <c r="D151" s="43" t="str">
        <f aca="false">IF($B151="","",IFERROR(VLOOKUP($B151,人员名册!$B$4:$G$53,3,0)&amp;"",""))</f>
        <v/>
      </c>
      <c r="E151" s="43" t="str">
        <f aca="false">IF($B151="","",IFERROR(VLOOKUP($B151,人员名册!$B$4:$G$53,5,0)&amp;"",""))</f>
        <v/>
      </c>
      <c r="F151" s="44"/>
      <c r="G151" s="44"/>
      <c r="H151" s="44"/>
      <c r="I151" s="44"/>
      <c r="J151" s="44"/>
      <c r="K151" s="44"/>
      <c r="L151" s="44"/>
      <c r="M151" s="44"/>
      <c r="N151" s="44"/>
      <c r="O151" s="44"/>
      <c r="P151" s="44"/>
      <c r="Q151" s="44"/>
      <c r="R151" s="45" t="str">
        <f aca="false">IF($A151="","",SUM(H151:Q151))</f>
        <v/>
      </c>
      <c r="S151" s="45" t="str">
        <f aca="false">IF($A151="","",ROUND($F151-$G151-$R151,2))</f>
        <v/>
      </c>
      <c r="T151" s="28" t="str">
        <f aca="false">IF(OR($A151="",$F151=0),"",$R151/$F151)</f>
        <v/>
      </c>
      <c r="U151" s="35"/>
      <c r="V151" s="35"/>
      <c r="W151" s="0" t="str">
        <f aca="false">IF($A151="","",$A151&amp;"|"&amp;$B151)</f>
        <v/>
      </c>
    </row>
    <row r="152" customFormat="false" ht="18" hidden="false" customHeight="true" outlineLevel="0" collapsed="false">
      <c r="A152" s="36"/>
      <c r="B152" s="36"/>
      <c r="C152" s="43" t="str">
        <f aca="false">IF($B152="","",IFERROR(VLOOKUP($B152,人员名册!$B$4:$G$53,2,0)&amp;"","名册中未登记"))</f>
        <v/>
      </c>
      <c r="D152" s="43" t="str">
        <f aca="false">IF($B152="","",IFERROR(VLOOKUP($B152,人员名册!$B$4:$G$53,3,0)&amp;"",""))</f>
        <v/>
      </c>
      <c r="E152" s="43" t="str">
        <f aca="false">IF($B152="","",IFERROR(VLOOKUP($B152,人员名册!$B$4:$G$53,5,0)&amp;"",""))</f>
        <v/>
      </c>
      <c r="F152" s="44"/>
      <c r="G152" s="44"/>
      <c r="H152" s="44"/>
      <c r="I152" s="44"/>
      <c r="J152" s="44"/>
      <c r="K152" s="44"/>
      <c r="L152" s="44"/>
      <c r="M152" s="44"/>
      <c r="N152" s="44"/>
      <c r="O152" s="44"/>
      <c r="P152" s="44"/>
      <c r="Q152" s="44"/>
      <c r="R152" s="45" t="str">
        <f aca="false">IF($A152="","",SUM(H152:Q152))</f>
        <v/>
      </c>
      <c r="S152" s="45" t="str">
        <f aca="false">IF($A152="","",ROUND($F152-$G152-$R152,2))</f>
        <v/>
      </c>
      <c r="T152" s="28" t="str">
        <f aca="false">IF(OR($A152="",$F152=0),"",$R152/$F152)</f>
        <v/>
      </c>
      <c r="U152" s="35"/>
      <c r="V152" s="35"/>
      <c r="W152" s="0" t="str">
        <f aca="false">IF($A152="","",$A152&amp;"|"&amp;$B152)</f>
        <v/>
      </c>
    </row>
    <row r="153" customFormat="false" ht="18" hidden="false" customHeight="true" outlineLevel="0" collapsed="false">
      <c r="A153" s="36"/>
      <c r="B153" s="36"/>
      <c r="C153" s="43" t="str">
        <f aca="false">IF($B153="","",IFERROR(VLOOKUP($B153,人员名册!$B$4:$G$53,2,0)&amp;"","名册中未登记"))</f>
        <v/>
      </c>
      <c r="D153" s="43" t="str">
        <f aca="false">IF($B153="","",IFERROR(VLOOKUP($B153,人员名册!$B$4:$G$53,3,0)&amp;"",""))</f>
        <v/>
      </c>
      <c r="E153" s="43" t="str">
        <f aca="false">IF($B153="","",IFERROR(VLOOKUP($B153,人员名册!$B$4:$G$53,5,0)&amp;"",""))</f>
        <v/>
      </c>
      <c r="F153" s="44"/>
      <c r="G153" s="44"/>
      <c r="H153" s="44"/>
      <c r="I153" s="44"/>
      <c r="J153" s="44"/>
      <c r="K153" s="44"/>
      <c r="L153" s="44"/>
      <c r="M153" s="44"/>
      <c r="N153" s="44"/>
      <c r="O153" s="44"/>
      <c r="P153" s="44"/>
      <c r="Q153" s="44"/>
      <c r="R153" s="45" t="str">
        <f aca="false">IF($A153="","",SUM(H153:Q153))</f>
        <v/>
      </c>
      <c r="S153" s="45" t="str">
        <f aca="false">IF($A153="","",ROUND($F153-$G153-$R153,2))</f>
        <v/>
      </c>
      <c r="T153" s="28" t="str">
        <f aca="false">IF(OR($A153="",$F153=0),"",$R153/$F153)</f>
        <v/>
      </c>
      <c r="U153" s="35"/>
      <c r="V153" s="35"/>
      <c r="W153" s="0" t="str">
        <f aca="false">IF($A153="","",$A153&amp;"|"&amp;$B153)</f>
        <v/>
      </c>
    </row>
    <row r="154" customFormat="false" ht="18" hidden="false" customHeight="true" outlineLevel="0" collapsed="false">
      <c r="A154" s="36"/>
      <c r="B154" s="36"/>
      <c r="C154" s="43" t="str">
        <f aca="false">IF($B154="","",IFERROR(VLOOKUP($B154,人员名册!$B$4:$G$53,2,0)&amp;"","名册中未登记"))</f>
        <v/>
      </c>
      <c r="D154" s="43" t="str">
        <f aca="false">IF($B154="","",IFERROR(VLOOKUP($B154,人员名册!$B$4:$G$53,3,0)&amp;"",""))</f>
        <v/>
      </c>
      <c r="E154" s="43" t="str">
        <f aca="false">IF($B154="","",IFERROR(VLOOKUP($B154,人员名册!$B$4:$G$53,5,0)&amp;"",""))</f>
        <v/>
      </c>
      <c r="F154" s="44"/>
      <c r="G154" s="44"/>
      <c r="H154" s="44"/>
      <c r="I154" s="44"/>
      <c r="J154" s="44"/>
      <c r="K154" s="44"/>
      <c r="L154" s="44"/>
      <c r="M154" s="44"/>
      <c r="N154" s="44"/>
      <c r="O154" s="44"/>
      <c r="P154" s="44"/>
      <c r="Q154" s="44"/>
      <c r="R154" s="45" t="str">
        <f aca="false">IF($A154="","",SUM(H154:Q154))</f>
        <v/>
      </c>
      <c r="S154" s="45" t="str">
        <f aca="false">IF($A154="","",ROUND($F154-$G154-$R154,2))</f>
        <v/>
      </c>
      <c r="T154" s="28" t="str">
        <f aca="false">IF(OR($A154="",$F154=0),"",$R154/$F154)</f>
        <v/>
      </c>
      <c r="U154" s="35"/>
      <c r="V154" s="35"/>
      <c r="W154" s="0" t="str">
        <f aca="false">IF($A154="","",$A154&amp;"|"&amp;$B154)</f>
        <v/>
      </c>
    </row>
    <row r="155" customFormat="false" ht="18" hidden="false" customHeight="true" outlineLevel="0" collapsed="false">
      <c r="A155" s="36"/>
      <c r="B155" s="36"/>
      <c r="C155" s="43" t="str">
        <f aca="false">IF($B155="","",IFERROR(VLOOKUP($B155,人员名册!$B$4:$G$53,2,0)&amp;"","名册中未登记"))</f>
        <v/>
      </c>
      <c r="D155" s="43" t="str">
        <f aca="false">IF($B155="","",IFERROR(VLOOKUP($B155,人员名册!$B$4:$G$53,3,0)&amp;"",""))</f>
        <v/>
      </c>
      <c r="E155" s="43" t="str">
        <f aca="false">IF($B155="","",IFERROR(VLOOKUP($B155,人员名册!$B$4:$G$53,5,0)&amp;"",""))</f>
        <v/>
      </c>
      <c r="F155" s="44"/>
      <c r="G155" s="44"/>
      <c r="H155" s="44"/>
      <c r="I155" s="44"/>
      <c r="J155" s="44"/>
      <c r="K155" s="44"/>
      <c r="L155" s="44"/>
      <c r="M155" s="44"/>
      <c r="N155" s="44"/>
      <c r="O155" s="44"/>
      <c r="P155" s="44"/>
      <c r="Q155" s="44"/>
      <c r="R155" s="45" t="str">
        <f aca="false">IF($A155="","",SUM(H155:Q155))</f>
        <v/>
      </c>
      <c r="S155" s="45" t="str">
        <f aca="false">IF($A155="","",ROUND($F155-$G155-$R155,2))</f>
        <v/>
      </c>
      <c r="T155" s="28" t="str">
        <f aca="false">IF(OR($A155="",$F155=0),"",$R155/$F155)</f>
        <v/>
      </c>
      <c r="U155" s="35"/>
      <c r="V155" s="35"/>
      <c r="W155" s="0" t="str">
        <f aca="false">IF($A155="","",$A155&amp;"|"&amp;$B155)</f>
        <v/>
      </c>
    </row>
    <row r="156" customFormat="false" ht="18" hidden="false" customHeight="true" outlineLevel="0" collapsed="false">
      <c r="A156" s="36"/>
      <c r="B156" s="36"/>
      <c r="C156" s="43" t="str">
        <f aca="false">IF($B156="","",IFERROR(VLOOKUP($B156,人员名册!$B$4:$G$53,2,0)&amp;"","名册中未登记"))</f>
        <v/>
      </c>
      <c r="D156" s="43" t="str">
        <f aca="false">IF($B156="","",IFERROR(VLOOKUP($B156,人员名册!$B$4:$G$53,3,0)&amp;"",""))</f>
        <v/>
      </c>
      <c r="E156" s="43" t="str">
        <f aca="false">IF($B156="","",IFERROR(VLOOKUP($B156,人员名册!$B$4:$G$53,5,0)&amp;"",""))</f>
        <v/>
      </c>
      <c r="F156" s="44"/>
      <c r="G156" s="44"/>
      <c r="H156" s="44"/>
      <c r="I156" s="44"/>
      <c r="J156" s="44"/>
      <c r="K156" s="44"/>
      <c r="L156" s="44"/>
      <c r="M156" s="44"/>
      <c r="N156" s="44"/>
      <c r="O156" s="44"/>
      <c r="P156" s="44"/>
      <c r="Q156" s="44"/>
      <c r="R156" s="45" t="str">
        <f aca="false">IF($A156="","",SUM(H156:Q156))</f>
        <v/>
      </c>
      <c r="S156" s="45" t="str">
        <f aca="false">IF($A156="","",ROUND($F156-$G156-$R156,2))</f>
        <v/>
      </c>
      <c r="T156" s="28" t="str">
        <f aca="false">IF(OR($A156="",$F156=0),"",$R156/$F156)</f>
        <v/>
      </c>
      <c r="U156" s="35"/>
      <c r="V156" s="35"/>
      <c r="W156" s="0" t="str">
        <f aca="false">IF($A156="","",$A156&amp;"|"&amp;$B156)</f>
        <v/>
      </c>
    </row>
    <row r="157" customFormat="false" ht="18" hidden="false" customHeight="true" outlineLevel="0" collapsed="false">
      <c r="A157" s="36"/>
      <c r="B157" s="36"/>
      <c r="C157" s="43" t="str">
        <f aca="false">IF($B157="","",IFERROR(VLOOKUP($B157,人员名册!$B$4:$G$53,2,0)&amp;"","名册中未登记"))</f>
        <v/>
      </c>
      <c r="D157" s="43" t="str">
        <f aca="false">IF($B157="","",IFERROR(VLOOKUP($B157,人员名册!$B$4:$G$53,3,0)&amp;"",""))</f>
        <v/>
      </c>
      <c r="E157" s="43" t="str">
        <f aca="false">IF($B157="","",IFERROR(VLOOKUP($B157,人员名册!$B$4:$G$53,5,0)&amp;"",""))</f>
        <v/>
      </c>
      <c r="F157" s="44"/>
      <c r="G157" s="44"/>
      <c r="H157" s="44"/>
      <c r="I157" s="44"/>
      <c r="J157" s="44"/>
      <c r="K157" s="44"/>
      <c r="L157" s="44"/>
      <c r="M157" s="44"/>
      <c r="N157" s="44"/>
      <c r="O157" s="44"/>
      <c r="P157" s="44"/>
      <c r="Q157" s="44"/>
      <c r="R157" s="45" t="str">
        <f aca="false">IF($A157="","",SUM(H157:Q157))</f>
        <v/>
      </c>
      <c r="S157" s="45" t="str">
        <f aca="false">IF($A157="","",ROUND($F157-$G157-$R157,2))</f>
        <v/>
      </c>
      <c r="T157" s="28" t="str">
        <f aca="false">IF(OR($A157="",$F157=0),"",$R157/$F157)</f>
        <v/>
      </c>
      <c r="U157" s="35"/>
      <c r="V157" s="35"/>
      <c r="W157" s="0" t="str">
        <f aca="false">IF($A157="","",$A157&amp;"|"&amp;$B157)</f>
        <v/>
      </c>
    </row>
    <row r="158" customFormat="false" ht="18" hidden="false" customHeight="true" outlineLevel="0" collapsed="false">
      <c r="A158" s="36"/>
      <c r="B158" s="36"/>
      <c r="C158" s="43" t="str">
        <f aca="false">IF($B158="","",IFERROR(VLOOKUP($B158,人员名册!$B$4:$G$53,2,0)&amp;"","名册中未登记"))</f>
        <v/>
      </c>
      <c r="D158" s="43" t="str">
        <f aca="false">IF($B158="","",IFERROR(VLOOKUP($B158,人员名册!$B$4:$G$53,3,0)&amp;"",""))</f>
        <v/>
      </c>
      <c r="E158" s="43" t="str">
        <f aca="false">IF($B158="","",IFERROR(VLOOKUP($B158,人员名册!$B$4:$G$53,5,0)&amp;"",""))</f>
        <v/>
      </c>
      <c r="F158" s="44"/>
      <c r="G158" s="44"/>
      <c r="H158" s="44"/>
      <c r="I158" s="44"/>
      <c r="J158" s="44"/>
      <c r="K158" s="44"/>
      <c r="L158" s="44"/>
      <c r="M158" s="44"/>
      <c r="N158" s="44"/>
      <c r="O158" s="44"/>
      <c r="P158" s="44"/>
      <c r="Q158" s="44"/>
      <c r="R158" s="45" t="str">
        <f aca="false">IF($A158="","",SUM(H158:Q158))</f>
        <v/>
      </c>
      <c r="S158" s="45" t="str">
        <f aca="false">IF($A158="","",ROUND($F158-$G158-$R158,2))</f>
        <v/>
      </c>
      <c r="T158" s="28" t="str">
        <f aca="false">IF(OR($A158="",$F158=0),"",$R158/$F158)</f>
        <v/>
      </c>
      <c r="U158" s="35"/>
      <c r="V158" s="35"/>
      <c r="W158" s="0" t="str">
        <f aca="false">IF($A158="","",$A158&amp;"|"&amp;$B158)</f>
        <v/>
      </c>
    </row>
    <row r="159" customFormat="false" ht="18" hidden="false" customHeight="true" outlineLevel="0" collapsed="false">
      <c r="A159" s="36"/>
      <c r="B159" s="36"/>
      <c r="C159" s="43" t="str">
        <f aca="false">IF($B159="","",IFERROR(VLOOKUP($B159,人员名册!$B$4:$G$53,2,0)&amp;"","名册中未登记"))</f>
        <v/>
      </c>
      <c r="D159" s="43" t="str">
        <f aca="false">IF($B159="","",IFERROR(VLOOKUP($B159,人员名册!$B$4:$G$53,3,0)&amp;"",""))</f>
        <v/>
      </c>
      <c r="E159" s="43" t="str">
        <f aca="false">IF($B159="","",IFERROR(VLOOKUP($B159,人员名册!$B$4:$G$53,5,0)&amp;"",""))</f>
        <v/>
      </c>
      <c r="F159" s="44"/>
      <c r="G159" s="44"/>
      <c r="H159" s="44"/>
      <c r="I159" s="44"/>
      <c r="J159" s="44"/>
      <c r="K159" s="44"/>
      <c r="L159" s="44"/>
      <c r="M159" s="44"/>
      <c r="N159" s="44"/>
      <c r="O159" s="44"/>
      <c r="P159" s="44"/>
      <c r="Q159" s="44"/>
      <c r="R159" s="45" t="str">
        <f aca="false">IF($A159="","",SUM(H159:Q159))</f>
        <v/>
      </c>
      <c r="S159" s="45" t="str">
        <f aca="false">IF($A159="","",ROUND($F159-$G159-$R159,2))</f>
        <v/>
      </c>
      <c r="T159" s="28" t="str">
        <f aca="false">IF(OR($A159="",$F159=0),"",$R159/$F159)</f>
        <v/>
      </c>
      <c r="U159" s="35"/>
      <c r="V159" s="35"/>
      <c r="W159" s="0" t="str">
        <f aca="false">IF($A159="","",$A159&amp;"|"&amp;$B159)</f>
        <v/>
      </c>
    </row>
    <row r="160" customFormat="false" ht="18" hidden="false" customHeight="true" outlineLevel="0" collapsed="false">
      <c r="A160" s="36"/>
      <c r="B160" s="36"/>
      <c r="C160" s="43" t="str">
        <f aca="false">IF($B160="","",IFERROR(VLOOKUP($B160,人员名册!$B$4:$G$53,2,0)&amp;"","名册中未登记"))</f>
        <v/>
      </c>
      <c r="D160" s="43" t="str">
        <f aca="false">IF($B160="","",IFERROR(VLOOKUP($B160,人员名册!$B$4:$G$53,3,0)&amp;"",""))</f>
        <v/>
      </c>
      <c r="E160" s="43" t="str">
        <f aca="false">IF($B160="","",IFERROR(VLOOKUP($B160,人员名册!$B$4:$G$53,5,0)&amp;"",""))</f>
        <v/>
      </c>
      <c r="F160" s="44"/>
      <c r="G160" s="44"/>
      <c r="H160" s="44"/>
      <c r="I160" s="44"/>
      <c r="J160" s="44"/>
      <c r="K160" s="44"/>
      <c r="L160" s="44"/>
      <c r="M160" s="44"/>
      <c r="N160" s="44"/>
      <c r="O160" s="44"/>
      <c r="P160" s="44"/>
      <c r="Q160" s="44"/>
      <c r="R160" s="45" t="str">
        <f aca="false">IF($A160="","",SUM(H160:Q160))</f>
        <v/>
      </c>
      <c r="S160" s="45" t="str">
        <f aca="false">IF($A160="","",ROUND($F160-$G160-$R160,2))</f>
        <v/>
      </c>
      <c r="T160" s="28" t="str">
        <f aca="false">IF(OR($A160="",$F160=0),"",$R160/$F160)</f>
        <v/>
      </c>
      <c r="U160" s="35"/>
      <c r="V160" s="35"/>
      <c r="W160" s="0" t="str">
        <f aca="false">IF($A160="","",$A160&amp;"|"&amp;$B160)</f>
        <v/>
      </c>
    </row>
    <row r="161" customFormat="false" ht="18" hidden="false" customHeight="true" outlineLevel="0" collapsed="false">
      <c r="A161" s="36"/>
      <c r="B161" s="36"/>
      <c r="C161" s="43" t="str">
        <f aca="false">IF($B161="","",IFERROR(VLOOKUP($B161,人员名册!$B$4:$G$53,2,0)&amp;"","名册中未登记"))</f>
        <v/>
      </c>
      <c r="D161" s="43" t="str">
        <f aca="false">IF($B161="","",IFERROR(VLOOKUP($B161,人员名册!$B$4:$G$53,3,0)&amp;"",""))</f>
        <v/>
      </c>
      <c r="E161" s="43" t="str">
        <f aca="false">IF($B161="","",IFERROR(VLOOKUP($B161,人员名册!$B$4:$G$53,5,0)&amp;"",""))</f>
        <v/>
      </c>
      <c r="F161" s="44"/>
      <c r="G161" s="44"/>
      <c r="H161" s="44"/>
      <c r="I161" s="44"/>
      <c r="J161" s="44"/>
      <c r="K161" s="44"/>
      <c r="L161" s="44"/>
      <c r="M161" s="44"/>
      <c r="N161" s="44"/>
      <c r="O161" s="44"/>
      <c r="P161" s="44"/>
      <c r="Q161" s="44"/>
      <c r="R161" s="45" t="str">
        <f aca="false">IF($A161="","",SUM(H161:Q161))</f>
        <v/>
      </c>
      <c r="S161" s="45" t="str">
        <f aca="false">IF($A161="","",ROUND($F161-$G161-$R161,2))</f>
        <v/>
      </c>
      <c r="T161" s="28" t="str">
        <f aca="false">IF(OR($A161="",$F161=0),"",$R161/$F161)</f>
        <v/>
      </c>
      <c r="U161" s="35"/>
      <c r="V161" s="35"/>
      <c r="W161" s="0" t="str">
        <f aca="false">IF($A161="","",$A161&amp;"|"&amp;$B161)</f>
        <v/>
      </c>
    </row>
    <row r="162" customFormat="false" ht="18" hidden="false" customHeight="true" outlineLevel="0" collapsed="false">
      <c r="A162" s="36"/>
      <c r="B162" s="36"/>
      <c r="C162" s="43" t="str">
        <f aca="false">IF($B162="","",IFERROR(VLOOKUP($B162,人员名册!$B$4:$G$53,2,0)&amp;"","名册中未登记"))</f>
        <v/>
      </c>
      <c r="D162" s="43" t="str">
        <f aca="false">IF($B162="","",IFERROR(VLOOKUP($B162,人员名册!$B$4:$G$53,3,0)&amp;"",""))</f>
        <v/>
      </c>
      <c r="E162" s="43" t="str">
        <f aca="false">IF($B162="","",IFERROR(VLOOKUP($B162,人员名册!$B$4:$G$53,5,0)&amp;"",""))</f>
        <v/>
      </c>
      <c r="F162" s="44"/>
      <c r="G162" s="44"/>
      <c r="H162" s="44"/>
      <c r="I162" s="44"/>
      <c r="J162" s="44"/>
      <c r="K162" s="44"/>
      <c r="L162" s="44"/>
      <c r="M162" s="44"/>
      <c r="N162" s="44"/>
      <c r="O162" s="44"/>
      <c r="P162" s="44"/>
      <c r="Q162" s="44"/>
      <c r="R162" s="45" t="str">
        <f aca="false">IF($A162="","",SUM(H162:Q162))</f>
        <v/>
      </c>
      <c r="S162" s="45" t="str">
        <f aca="false">IF($A162="","",ROUND($F162-$G162-$R162,2))</f>
        <v/>
      </c>
      <c r="T162" s="28" t="str">
        <f aca="false">IF(OR($A162="",$F162=0),"",$R162/$F162)</f>
        <v/>
      </c>
      <c r="U162" s="35"/>
      <c r="V162" s="35"/>
      <c r="W162" s="0" t="str">
        <f aca="false">IF($A162="","",$A162&amp;"|"&amp;$B162)</f>
        <v/>
      </c>
    </row>
    <row r="163" customFormat="false" ht="18" hidden="false" customHeight="true" outlineLevel="0" collapsed="false">
      <c r="A163" s="36"/>
      <c r="B163" s="36"/>
      <c r="C163" s="43" t="str">
        <f aca="false">IF($B163="","",IFERROR(VLOOKUP($B163,人员名册!$B$4:$G$53,2,0)&amp;"","名册中未登记"))</f>
        <v/>
      </c>
      <c r="D163" s="43" t="str">
        <f aca="false">IF($B163="","",IFERROR(VLOOKUP($B163,人员名册!$B$4:$G$53,3,0)&amp;"",""))</f>
        <v/>
      </c>
      <c r="E163" s="43" t="str">
        <f aca="false">IF($B163="","",IFERROR(VLOOKUP($B163,人员名册!$B$4:$G$53,5,0)&amp;"",""))</f>
        <v/>
      </c>
      <c r="F163" s="44"/>
      <c r="G163" s="44"/>
      <c r="H163" s="44"/>
      <c r="I163" s="44"/>
      <c r="J163" s="44"/>
      <c r="K163" s="44"/>
      <c r="L163" s="44"/>
      <c r="M163" s="44"/>
      <c r="N163" s="44"/>
      <c r="O163" s="44"/>
      <c r="P163" s="44"/>
      <c r="Q163" s="44"/>
      <c r="R163" s="45" t="str">
        <f aca="false">IF($A163="","",SUM(H163:Q163))</f>
        <v/>
      </c>
      <c r="S163" s="45" t="str">
        <f aca="false">IF($A163="","",ROUND($F163-$G163-$R163,2))</f>
        <v/>
      </c>
      <c r="T163" s="28" t="str">
        <f aca="false">IF(OR($A163="",$F163=0),"",$R163/$F163)</f>
        <v/>
      </c>
      <c r="U163" s="35"/>
      <c r="V163" s="35"/>
      <c r="W163" s="0" t="str">
        <f aca="false">IF($A163="","",$A163&amp;"|"&amp;$B163)</f>
        <v/>
      </c>
    </row>
    <row r="164" customFormat="false" ht="18" hidden="false" customHeight="true" outlineLevel="0" collapsed="false">
      <c r="A164" s="36"/>
      <c r="B164" s="36"/>
      <c r="C164" s="43" t="str">
        <f aca="false">IF($B164="","",IFERROR(VLOOKUP($B164,人员名册!$B$4:$G$53,2,0)&amp;"","名册中未登记"))</f>
        <v/>
      </c>
      <c r="D164" s="43" t="str">
        <f aca="false">IF($B164="","",IFERROR(VLOOKUP($B164,人员名册!$B$4:$G$53,3,0)&amp;"",""))</f>
        <v/>
      </c>
      <c r="E164" s="43" t="str">
        <f aca="false">IF($B164="","",IFERROR(VLOOKUP($B164,人员名册!$B$4:$G$53,5,0)&amp;"",""))</f>
        <v/>
      </c>
      <c r="F164" s="44"/>
      <c r="G164" s="44"/>
      <c r="H164" s="44"/>
      <c r="I164" s="44"/>
      <c r="J164" s="44"/>
      <c r="K164" s="44"/>
      <c r="L164" s="44"/>
      <c r="M164" s="44"/>
      <c r="N164" s="44"/>
      <c r="O164" s="44"/>
      <c r="P164" s="44"/>
      <c r="Q164" s="44"/>
      <c r="R164" s="45" t="str">
        <f aca="false">IF($A164="","",SUM(H164:Q164))</f>
        <v/>
      </c>
      <c r="S164" s="45" t="str">
        <f aca="false">IF($A164="","",ROUND($F164-$G164-$R164,2))</f>
        <v/>
      </c>
      <c r="T164" s="28" t="str">
        <f aca="false">IF(OR($A164="",$F164=0),"",$R164/$F164)</f>
        <v/>
      </c>
      <c r="U164" s="35"/>
      <c r="V164" s="35"/>
      <c r="W164" s="0" t="str">
        <f aca="false">IF($A164="","",$A164&amp;"|"&amp;$B164)</f>
        <v/>
      </c>
    </row>
    <row r="165" customFormat="false" ht="18" hidden="false" customHeight="true" outlineLevel="0" collapsed="false">
      <c r="A165" s="36"/>
      <c r="B165" s="36"/>
      <c r="C165" s="43" t="str">
        <f aca="false">IF($B165="","",IFERROR(VLOOKUP($B165,人员名册!$B$4:$G$53,2,0)&amp;"","名册中未登记"))</f>
        <v/>
      </c>
      <c r="D165" s="43" t="str">
        <f aca="false">IF($B165="","",IFERROR(VLOOKUP($B165,人员名册!$B$4:$G$53,3,0)&amp;"",""))</f>
        <v/>
      </c>
      <c r="E165" s="43" t="str">
        <f aca="false">IF($B165="","",IFERROR(VLOOKUP($B165,人员名册!$B$4:$G$53,5,0)&amp;"",""))</f>
        <v/>
      </c>
      <c r="F165" s="44"/>
      <c r="G165" s="44"/>
      <c r="H165" s="44"/>
      <c r="I165" s="44"/>
      <c r="J165" s="44"/>
      <c r="K165" s="44"/>
      <c r="L165" s="44"/>
      <c r="M165" s="44"/>
      <c r="N165" s="44"/>
      <c r="O165" s="44"/>
      <c r="P165" s="44"/>
      <c r="Q165" s="44"/>
      <c r="R165" s="45" t="str">
        <f aca="false">IF($A165="","",SUM(H165:Q165))</f>
        <v/>
      </c>
      <c r="S165" s="45" t="str">
        <f aca="false">IF($A165="","",ROUND($F165-$G165-$R165,2))</f>
        <v/>
      </c>
      <c r="T165" s="28" t="str">
        <f aca="false">IF(OR($A165="",$F165=0),"",$R165/$F165)</f>
        <v/>
      </c>
      <c r="U165" s="35"/>
      <c r="V165" s="35"/>
      <c r="W165" s="0" t="str">
        <f aca="false">IF($A165="","",$A165&amp;"|"&amp;$B165)</f>
        <v/>
      </c>
    </row>
    <row r="166" customFormat="false" ht="18" hidden="false" customHeight="true" outlineLevel="0" collapsed="false">
      <c r="A166" s="36"/>
      <c r="B166" s="36"/>
      <c r="C166" s="43" t="str">
        <f aca="false">IF($B166="","",IFERROR(VLOOKUP($B166,人员名册!$B$4:$G$53,2,0)&amp;"","名册中未登记"))</f>
        <v/>
      </c>
      <c r="D166" s="43" t="str">
        <f aca="false">IF($B166="","",IFERROR(VLOOKUP($B166,人员名册!$B$4:$G$53,3,0)&amp;"",""))</f>
        <v/>
      </c>
      <c r="E166" s="43" t="str">
        <f aca="false">IF($B166="","",IFERROR(VLOOKUP($B166,人员名册!$B$4:$G$53,5,0)&amp;"",""))</f>
        <v/>
      </c>
      <c r="F166" s="44"/>
      <c r="G166" s="44"/>
      <c r="H166" s="44"/>
      <c r="I166" s="44"/>
      <c r="J166" s="44"/>
      <c r="K166" s="44"/>
      <c r="L166" s="44"/>
      <c r="M166" s="44"/>
      <c r="N166" s="44"/>
      <c r="O166" s="44"/>
      <c r="P166" s="44"/>
      <c r="Q166" s="44"/>
      <c r="R166" s="45" t="str">
        <f aca="false">IF($A166="","",SUM(H166:Q166))</f>
        <v/>
      </c>
      <c r="S166" s="45" t="str">
        <f aca="false">IF($A166="","",ROUND($F166-$G166-$R166,2))</f>
        <v/>
      </c>
      <c r="T166" s="28" t="str">
        <f aca="false">IF(OR($A166="",$F166=0),"",$R166/$F166)</f>
        <v/>
      </c>
      <c r="U166" s="35"/>
      <c r="V166" s="35"/>
      <c r="W166" s="0" t="str">
        <f aca="false">IF($A166="","",$A166&amp;"|"&amp;$B166)</f>
        <v/>
      </c>
    </row>
    <row r="167" customFormat="false" ht="18" hidden="false" customHeight="true" outlineLevel="0" collapsed="false">
      <c r="A167" s="36"/>
      <c r="B167" s="36"/>
      <c r="C167" s="43" t="str">
        <f aca="false">IF($B167="","",IFERROR(VLOOKUP($B167,人员名册!$B$4:$G$53,2,0)&amp;"","名册中未登记"))</f>
        <v/>
      </c>
      <c r="D167" s="43" t="str">
        <f aca="false">IF($B167="","",IFERROR(VLOOKUP($B167,人员名册!$B$4:$G$53,3,0)&amp;"",""))</f>
        <v/>
      </c>
      <c r="E167" s="43" t="str">
        <f aca="false">IF($B167="","",IFERROR(VLOOKUP($B167,人员名册!$B$4:$G$53,5,0)&amp;"",""))</f>
        <v/>
      </c>
      <c r="F167" s="44"/>
      <c r="G167" s="44"/>
      <c r="H167" s="44"/>
      <c r="I167" s="44"/>
      <c r="J167" s="44"/>
      <c r="K167" s="44"/>
      <c r="L167" s="44"/>
      <c r="M167" s="44"/>
      <c r="N167" s="44"/>
      <c r="O167" s="44"/>
      <c r="P167" s="44"/>
      <c r="Q167" s="44"/>
      <c r="R167" s="45" t="str">
        <f aca="false">IF($A167="","",SUM(H167:Q167))</f>
        <v/>
      </c>
      <c r="S167" s="45" t="str">
        <f aca="false">IF($A167="","",ROUND($F167-$G167-$R167,2))</f>
        <v/>
      </c>
      <c r="T167" s="28" t="str">
        <f aca="false">IF(OR($A167="",$F167=0),"",$R167/$F167)</f>
        <v/>
      </c>
      <c r="U167" s="35"/>
      <c r="V167" s="35"/>
      <c r="W167" s="0" t="str">
        <f aca="false">IF($A167="","",$A167&amp;"|"&amp;$B167)</f>
        <v/>
      </c>
    </row>
    <row r="168" customFormat="false" ht="18" hidden="false" customHeight="true" outlineLevel="0" collapsed="false">
      <c r="A168" s="36"/>
      <c r="B168" s="36"/>
      <c r="C168" s="43" t="str">
        <f aca="false">IF($B168="","",IFERROR(VLOOKUP($B168,人员名册!$B$4:$G$53,2,0)&amp;"","名册中未登记"))</f>
        <v/>
      </c>
      <c r="D168" s="43" t="str">
        <f aca="false">IF($B168="","",IFERROR(VLOOKUP($B168,人员名册!$B$4:$G$53,3,0)&amp;"",""))</f>
        <v/>
      </c>
      <c r="E168" s="43" t="str">
        <f aca="false">IF($B168="","",IFERROR(VLOOKUP($B168,人员名册!$B$4:$G$53,5,0)&amp;"",""))</f>
        <v/>
      </c>
      <c r="F168" s="44"/>
      <c r="G168" s="44"/>
      <c r="H168" s="44"/>
      <c r="I168" s="44"/>
      <c r="J168" s="44"/>
      <c r="K168" s="44"/>
      <c r="L168" s="44"/>
      <c r="M168" s="44"/>
      <c r="N168" s="44"/>
      <c r="O168" s="44"/>
      <c r="P168" s="44"/>
      <c r="Q168" s="44"/>
      <c r="R168" s="45" t="str">
        <f aca="false">IF($A168="","",SUM(H168:Q168))</f>
        <v/>
      </c>
      <c r="S168" s="45" t="str">
        <f aca="false">IF($A168="","",ROUND($F168-$G168-$R168,2))</f>
        <v/>
      </c>
      <c r="T168" s="28" t="str">
        <f aca="false">IF(OR($A168="",$F168=0),"",$R168/$F168)</f>
        <v/>
      </c>
      <c r="U168" s="35"/>
      <c r="V168" s="35"/>
      <c r="W168" s="0" t="str">
        <f aca="false">IF($A168="","",$A168&amp;"|"&amp;$B168)</f>
        <v/>
      </c>
    </row>
    <row r="169" customFormat="false" ht="18" hidden="false" customHeight="true" outlineLevel="0" collapsed="false">
      <c r="A169" s="36"/>
      <c r="B169" s="36"/>
      <c r="C169" s="43" t="str">
        <f aca="false">IF($B169="","",IFERROR(VLOOKUP($B169,人员名册!$B$4:$G$53,2,0)&amp;"","名册中未登记"))</f>
        <v/>
      </c>
      <c r="D169" s="43" t="str">
        <f aca="false">IF($B169="","",IFERROR(VLOOKUP($B169,人员名册!$B$4:$G$53,3,0)&amp;"",""))</f>
        <v/>
      </c>
      <c r="E169" s="43" t="str">
        <f aca="false">IF($B169="","",IFERROR(VLOOKUP($B169,人员名册!$B$4:$G$53,5,0)&amp;"",""))</f>
        <v/>
      </c>
      <c r="F169" s="44"/>
      <c r="G169" s="44"/>
      <c r="H169" s="44"/>
      <c r="I169" s="44"/>
      <c r="J169" s="44"/>
      <c r="K169" s="44"/>
      <c r="L169" s="44"/>
      <c r="M169" s="44"/>
      <c r="N169" s="44"/>
      <c r="O169" s="44"/>
      <c r="P169" s="44"/>
      <c r="Q169" s="44"/>
      <c r="R169" s="45" t="str">
        <f aca="false">IF($A169="","",SUM(H169:Q169))</f>
        <v/>
      </c>
      <c r="S169" s="45" t="str">
        <f aca="false">IF($A169="","",ROUND($F169-$G169-$R169,2))</f>
        <v/>
      </c>
      <c r="T169" s="28" t="str">
        <f aca="false">IF(OR($A169="",$F169=0),"",$R169/$F169)</f>
        <v/>
      </c>
      <c r="U169" s="35"/>
      <c r="V169" s="35"/>
      <c r="W169" s="0" t="str">
        <f aca="false">IF($A169="","",$A169&amp;"|"&amp;$B169)</f>
        <v/>
      </c>
    </row>
    <row r="170" customFormat="false" ht="18" hidden="false" customHeight="true" outlineLevel="0" collapsed="false">
      <c r="A170" s="36"/>
      <c r="B170" s="36"/>
      <c r="C170" s="43" t="str">
        <f aca="false">IF($B170="","",IFERROR(VLOOKUP($B170,人员名册!$B$4:$G$53,2,0)&amp;"","名册中未登记"))</f>
        <v/>
      </c>
      <c r="D170" s="43" t="str">
        <f aca="false">IF($B170="","",IFERROR(VLOOKUP($B170,人员名册!$B$4:$G$53,3,0)&amp;"",""))</f>
        <v/>
      </c>
      <c r="E170" s="43" t="str">
        <f aca="false">IF($B170="","",IFERROR(VLOOKUP($B170,人员名册!$B$4:$G$53,5,0)&amp;"",""))</f>
        <v/>
      </c>
      <c r="F170" s="44"/>
      <c r="G170" s="44"/>
      <c r="H170" s="44"/>
      <c r="I170" s="44"/>
      <c r="J170" s="44"/>
      <c r="K170" s="44"/>
      <c r="L170" s="44"/>
      <c r="M170" s="44"/>
      <c r="N170" s="44"/>
      <c r="O170" s="44"/>
      <c r="P170" s="44"/>
      <c r="Q170" s="44"/>
      <c r="R170" s="45" t="str">
        <f aca="false">IF($A170="","",SUM(H170:Q170))</f>
        <v/>
      </c>
      <c r="S170" s="45" t="str">
        <f aca="false">IF($A170="","",ROUND($F170-$G170-$R170,2))</f>
        <v/>
      </c>
      <c r="T170" s="28" t="str">
        <f aca="false">IF(OR($A170="",$F170=0),"",$R170/$F170)</f>
        <v/>
      </c>
      <c r="U170" s="35"/>
      <c r="V170" s="35"/>
      <c r="W170" s="0" t="str">
        <f aca="false">IF($A170="","",$A170&amp;"|"&amp;$B170)</f>
        <v/>
      </c>
    </row>
    <row r="171" customFormat="false" ht="18" hidden="false" customHeight="true" outlineLevel="0" collapsed="false">
      <c r="A171" s="36"/>
      <c r="B171" s="36"/>
      <c r="C171" s="43" t="str">
        <f aca="false">IF($B171="","",IFERROR(VLOOKUP($B171,人员名册!$B$4:$G$53,2,0)&amp;"","名册中未登记"))</f>
        <v/>
      </c>
      <c r="D171" s="43" t="str">
        <f aca="false">IF($B171="","",IFERROR(VLOOKUP($B171,人员名册!$B$4:$G$53,3,0)&amp;"",""))</f>
        <v/>
      </c>
      <c r="E171" s="43" t="str">
        <f aca="false">IF($B171="","",IFERROR(VLOOKUP($B171,人员名册!$B$4:$G$53,5,0)&amp;"",""))</f>
        <v/>
      </c>
      <c r="F171" s="44"/>
      <c r="G171" s="44"/>
      <c r="H171" s="44"/>
      <c r="I171" s="44"/>
      <c r="J171" s="44"/>
      <c r="K171" s="44"/>
      <c r="L171" s="44"/>
      <c r="M171" s="44"/>
      <c r="N171" s="44"/>
      <c r="O171" s="44"/>
      <c r="P171" s="44"/>
      <c r="Q171" s="44"/>
      <c r="R171" s="45" t="str">
        <f aca="false">IF($A171="","",SUM(H171:Q171))</f>
        <v/>
      </c>
      <c r="S171" s="45" t="str">
        <f aca="false">IF($A171="","",ROUND($F171-$G171-$R171,2))</f>
        <v/>
      </c>
      <c r="T171" s="28" t="str">
        <f aca="false">IF(OR($A171="",$F171=0),"",$R171/$F171)</f>
        <v/>
      </c>
      <c r="U171" s="35"/>
      <c r="V171" s="35"/>
      <c r="W171" s="0" t="str">
        <f aca="false">IF($A171="","",$A171&amp;"|"&amp;$B171)</f>
        <v/>
      </c>
    </row>
    <row r="172" customFormat="false" ht="18" hidden="false" customHeight="true" outlineLevel="0" collapsed="false">
      <c r="A172" s="36"/>
      <c r="B172" s="36"/>
      <c r="C172" s="43" t="str">
        <f aca="false">IF($B172="","",IFERROR(VLOOKUP($B172,人员名册!$B$4:$G$53,2,0)&amp;"","名册中未登记"))</f>
        <v/>
      </c>
      <c r="D172" s="43" t="str">
        <f aca="false">IF($B172="","",IFERROR(VLOOKUP($B172,人员名册!$B$4:$G$53,3,0)&amp;"",""))</f>
        <v/>
      </c>
      <c r="E172" s="43" t="str">
        <f aca="false">IF($B172="","",IFERROR(VLOOKUP($B172,人员名册!$B$4:$G$53,5,0)&amp;"",""))</f>
        <v/>
      </c>
      <c r="F172" s="44"/>
      <c r="G172" s="44"/>
      <c r="H172" s="44"/>
      <c r="I172" s="44"/>
      <c r="J172" s="44"/>
      <c r="K172" s="44"/>
      <c r="L172" s="44"/>
      <c r="M172" s="44"/>
      <c r="N172" s="44"/>
      <c r="O172" s="44"/>
      <c r="P172" s="44"/>
      <c r="Q172" s="44"/>
      <c r="R172" s="45" t="str">
        <f aca="false">IF($A172="","",SUM(H172:Q172))</f>
        <v/>
      </c>
      <c r="S172" s="45" t="str">
        <f aca="false">IF($A172="","",ROUND($F172-$G172-$R172,2))</f>
        <v/>
      </c>
      <c r="T172" s="28" t="str">
        <f aca="false">IF(OR($A172="",$F172=0),"",$R172/$F172)</f>
        <v/>
      </c>
      <c r="U172" s="35"/>
      <c r="V172" s="35"/>
      <c r="W172" s="0" t="str">
        <f aca="false">IF($A172="","",$A172&amp;"|"&amp;$B172)</f>
        <v/>
      </c>
    </row>
    <row r="173" customFormat="false" ht="18" hidden="false" customHeight="true" outlineLevel="0" collapsed="false">
      <c r="A173" s="36"/>
      <c r="B173" s="36"/>
      <c r="C173" s="43" t="str">
        <f aca="false">IF($B173="","",IFERROR(VLOOKUP($B173,人员名册!$B$4:$G$53,2,0)&amp;"","名册中未登记"))</f>
        <v/>
      </c>
      <c r="D173" s="43" t="str">
        <f aca="false">IF($B173="","",IFERROR(VLOOKUP($B173,人员名册!$B$4:$G$53,3,0)&amp;"",""))</f>
        <v/>
      </c>
      <c r="E173" s="43" t="str">
        <f aca="false">IF($B173="","",IFERROR(VLOOKUP($B173,人员名册!$B$4:$G$53,5,0)&amp;"",""))</f>
        <v/>
      </c>
      <c r="F173" s="44"/>
      <c r="G173" s="44"/>
      <c r="H173" s="44"/>
      <c r="I173" s="44"/>
      <c r="J173" s="44"/>
      <c r="K173" s="44"/>
      <c r="L173" s="44"/>
      <c r="M173" s="44"/>
      <c r="N173" s="44"/>
      <c r="O173" s="44"/>
      <c r="P173" s="44"/>
      <c r="Q173" s="44"/>
      <c r="R173" s="45" t="str">
        <f aca="false">IF($A173="","",SUM(H173:Q173))</f>
        <v/>
      </c>
      <c r="S173" s="45" t="str">
        <f aca="false">IF($A173="","",ROUND($F173-$G173-$R173,2))</f>
        <v/>
      </c>
      <c r="T173" s="28" t="str">
        <f aca="false">IF(OR($A173="",$F173=0),"",$R173/$F173)</f>
        <v/>
      </c>
      <c r="U173" s="35"/>
      <c r="V173" s="35"/>
      <c r="W173" s="0" t="str">
        <f aca="false">IF($A173="","",$A173&amp;"|"&amp;$B173)</f>
        <v/>
      </c>
    </row>
    <row r="174" customFormat="false" ht="18" hidden="false" customHeight="true" outlineLevel="0" collapsed="false">
      <c r="A174" s="36"/>
      <c r="B174" s="36"/>
      <c r="C174" s="43" t="str">
        <f aca="false">IF($B174="","",IFERROR(VLOOKUP($B174,人员名册!$B$4:$G$53,2,0)&amp;"","名册中未登记"))</f>
        <v/>
      </c>
      <c r="D174" s="43" t="str">
        <f aca="false">IF($B174="","",IFERROR(VLOOKUP($B174,人员名册!$B$4:$G$53,3,0)&amp;"",""))</f>
        <v/>
      </c>
      <c r="E174" s="43" t="str">
        <f aca="false">IF($B174="","",IFERROR(VLOOKUP($B174,人员名册!$B$4:$G$53,5,0)&amp;"",""))</f>
        <v/>
      </c>
      <c r="F174" s="44"/>
      <c r="G174" s="44"/>
      <c r="H174" s="44"/>
      <c r="I174" s="44"/>
      <c r="J174" s="44"/>
      <c r="K174" s="44"/>
      <c r="L174" s="44"/>
      <c r="M174" s="44"/>
      <c r="N174" s="44"/>
      <c r="O174" s="44"/>
      <c r="P174" s="44"/>
      <c r="Q174" s="44"/>
      <c r="R174" s="45" t="str">
        <f aca="false">IF($A174="","",SUM(H174:Q174))</f>
        <v/>
      </c>
      <c r="S174" s="45" t="str">
        <f aca="false">IF($A174="","",ROUND($F174-$G174-$R174,2))</f>
        <v/>
      </c>
      <c r="T174" s="28" t="str">
        <f aca="false">IF(OR($A174="",$F174=0),"",$R174/$F174)</f>
        <v/>
      </c>
      <c r="U174" s="35"/>
      <c r="V174" s="35"/>
      <c r="W174" s="0" t="str">
        <f aca="false">IF($A174="","",$A174&amp;"|"&amp;$B174)</f>
        <v/>
      </c>
    </row>
    <row r="175" customFormat="false" ht="18" hidden="false" customHeight="true" outlineLevel="0" collapsed="false">
      <c r="A175" s="36"/>
      <c r="B175" s="36"/>
      <c r="C175" s="43" t="str">
        <f aca="false">IF($B175="","",IFERROR(VLOOKUP($B175,人员名册!$B$4:$G$53,2,0)&amp;"","名册中未登记"))</f>
        <v/>
      </c>
      <c r="D175" s="43" t="str">
        <f aca="false">IF($B175="","",IFERROR(VLOOKUP($B175,人员名册!$B$4:$G$53,3,0)&amp;"",""))</f>
        <v/>
      </c>
      <c r="E175" s="43" t="str">
        <f aca="false">IF($B175="","",IFERROR(VLOOKUP($B175,人员名册!$B$4:$G$53,5,0)&amp;"",""))</f>
        <v/>
      </c>
      <c r="F175" s="44"/>
      <c r="G175" s="44"/>
      <c r="H175" s="44"/>
      <c r="I175" s="44"/>
      <c r="J175" s="44"/>
      <c r="K175" s="44"/>
      <c r="L175" s="44"/>
      <c r="M175" s="44"/>
      <c r="N175" s="44"/>
      <c r="O175" s="44"/>
      <c r="P175" s="44"/>
      <c r="Q175" s="44"/>
      <c r="R175" s="45" t="str">
        <f aca="false">IF($A175="","",SUM(H175:Q175))</f>
        <v/>
      </c>
      <c r="S175" s="45" t="str">
        <f aca="false">IF($A175="","",ROUND($F175-$G175-$R175,2))</f>
        <v/>
      </c>
      <c r="T175" s="28" t="str">
        <f aca="false">IF(OR($A175="",$F175=0),"",$R175/$F175)</f>
        <v/>
      </c>
      <c r="U175" s="35"/>
      <c r="V175" s="35"/>
      <c r="W175" s="0" t="str">
        <f aca="false">IF($A175="","",$A175&amp;"|"&amp;$B175)</f>
        <v/>
      </c>
    </row>
    <row r="176" customFormat="false" ht="18" hidden="false" customHeight="true" outlineLevel="0" collapsed="false">
      <c r="A176" s="36"/>
      <c r="B176" s="36"/>
      <c r="C176" s="43" t="str">
        <f aca="false">IF($B176="","",IFERROR(VLOOKUP($B176,人员名册!$B$4:$G$53,2,0)&amp;"","名册中未登记"))</f>
        <v/>
      </c>
      <c r="D176" s="43" t="str">
        <f aca="false">IF($B176="","",IFERROR(VLOOKUP($B176,人员名册!$B$4:$G$53,3,0)&amp;"",""))</f>
        <v/>
      </c>
      <c r="E176" s="43" t="str">
        <f aca="false">IF($B176="","",IFERROR(VLOOKUP($B176,人员名册!$B$4:$G$53,5,0)&amp;"",""))</f>
        <v/>
      </c>
      <c r="F176" s="44"/>
      <c r="G176" s="44"/>
      <c r="H176" s="44"/>
      <c r="I176" s="44"/>
      <c r="J176" s="44"/>
      <c r="K176" s="44"/>
      <c r="L176" s="44"/>
      <c r="M176" s="44"/>
      <c r="N176" s="44"/>
      <c r="O176" s="44"/>
      <c r="P176" s="44"/>
      <c r="Q176" s="44"/>
      <c r="R176" s="45" t="str">
        <f aca="false">IF($A176="","",SUM(H176:Q176))</f>
        <v/>
      </c>
      <c r="S176" s="45" t="str">
        <f aca="false">IF($A176="","",ROUND($F176-$G176-$R176,2))</f>
        <v/>
      </c>
      <c r="T176" s="28" t="str">
        <f aca="false">IF(OR($A176="",$F176=0),"",$R176/$F176)</f>
        <v/>
      </c>
      <c r="U176" s="35"/>
      <c r="V176" s="35"/>
      <c r="W176" s="0" t="str">
        <f aca="false">IF($A176="","",$A176&amp;"|"&amp;$B176)</f>
        <v/>
      </c>
    </row>
    <row r="177" customFormat="false" ht="18" hidden="false" customHeight="true" outlineLevel="0" collapsed="false">
      <c r="A177" s="36"/>
      <c r="B177" s="36"/>
      <c r="C177" s="43" t="str">
        <f aca="false">IF($B177="","",IFERROR(VLOOKUP($B177,人员名册!$B$4:$G$53,2,0)&amp;"","名册中未登记"))</f>
        <v/>
      </c>
      <c r="D177" s="43" t="str">
        <f aca="false">IF($B177="","",IFERROR(VLOOKUP($B177,人员名册!$B$4:$G$53,3,0)&amp;"",""))</f>
        <v/>
      </c>
      <c r="E177" s="43" t="str">
        <f aca="false">IF($B177="","",IFERROR(VLOOKUP($B177,人员名册!$B$4:$G$53,5,0)&amp;"",""))</f>
        <v/>
      </c>
      <c r="F177" s="44"/>
      <c r="G177" s="44"/>
      <c r="H177" s="44"/>
      <c r="I177" s="44"/>
      <c r="J177" s="44"/>
      <c r="K177" s="44"/>
      <c r="L177" s="44"/>
      <c r="M177" s="44"/>
      <c r="N177" s="44"/>
      <c r="O177" s="44"/>
      <c r="P177" s="44"/>
      <c r="Q177" s="44"/>
      <c r="R177" s="45" t="str">
        <f aca="false">IF($A177="","",SUM(H177:Q177))</f>
        <v/>
      </c>
      <c r="S177" s="45" t="str">
        <f aca="false">IF($A177="","",ROUND($F177-$G177-$R177,2))</f>
        <v/>
      </c>
      <c r="T177" s="28" t="str">
        <f aca="false">IF(OR($A177="",$F177=0),"",$R177/$F177)</f>
        <v/>
      </c>
      <c r="U177" s="35"/>
      <c r="V177" s="35"/>
      <c r="W177" s="0" t="str">
        <f aca="false">IF($A177="","",$A177&amp;"|"&amp;$B177)</f>
        <v/>
      </c>
    </row>
    <row r="178" customFormat="false" ht="18" hidden="false" customHeight="true" outlineLevel="0" collapsed="false">
      <c r="A178" s="36"/>
      <c r="B178" s="36"/>
      <c r="C178" s="43" t="str">
        <f aca="false">IF($B178="","",IFERROR(VLOOKUP($B178,人员名册!$B$4:$G$53,2,0)&amp;"","名册中未登记"))</f>
        <v/>
      </c>
      <c r="D178" s="43" t="str">
        <f aca="false">IF($B178="","",IFERROR(VLOOKUP($B178,人员名册!$B$4:$G$53,3,0)&amp;"",""))</f>
        <v/>
      </c>
      <c r="E178" s="43" t="str">
        <f aca="false">IF($B178="","",IFERROR(VLOOKUP($B178,人员名册!$B$4:$G$53,5,0)&amp;"",""))</f>
        <v/>
      </c>
      <c r="F178" s="44"/>
      <c r="G178" s="44"/>
      <c r="H178" s="44"/>
      <c r="I178" s="44"/>
      <c r="J178" s="44"/>
      <c r="K178" s="44"/>
      <c r="L178" s="44"/>
      <c r="M178" s="44"/>
      <c r="N178" s="44"/>
      <c r="O178" s="44"/>
      <c r="P178" s="44"/>
      <c r="Q178" s="44"/>
      <c r="R178" s="45" t="str">
        <f aca="false">IF($A178="","",SUM(H178:Q178))</f>
        <v/>
      </c>
      <c r="S178" s="45" t="str">
        <f aca="false">IF($A178="","",ROUND($F178-$G178-$R178,2))</f>
        <v/>
      </c>
      <c r="T178" s="28" t="str">
        <f aca="false">IF(OR($A178="",$F178=0),"",$R178/$F178)</f>
        <v/>
      </c>
      <c r="U178" s="35"/>
      <c r="V178" s="35"/>
      <c r="W178" s="0" t="str">
        <f aca="false">IF($A178="","",$A178&amp;"|"&amp;$B178)</f>
        <v/>
      </c>
    </row>
    <row r="179" customFormat="false" ht="18" hidden="false" customHeight="true" outlineLevel="0" collapsed="false">
      <c r="A179" s="36"/>
      <c r="B179" s="36"/>
      <c r="C179" s="43" t="str">
        <f aca="false">IF($B179="","",IFERROR(VLOOKUP($B179,人员名册!$B$4:$G$53,2,0)&amp;"","名册中未登记"))</f>
        <v/>
      </c>
      <c r="D179" s="43" t="str">
        <f aca="false">IF($B179="","",IFERROR(VLOOKUP($B179,人员名册!$B$4:$G$53,3,0)&amp;"",""))</f>
        <v/>
      </c>
      <c r="E179" s="43" t="str">
        <f aca="false">IF($B179="","",IFERROR(VLOOKUP($B179,人员名册!$B$4:$G$53,5,0)&amp;"",""))</f>
        <v/>
      </c>
      <c r="F179" s="44"/>
      <c r="G179" s="44"/>
      <c r="H179" s="44"/>
      <c r="I179" s="44"/>
      <c r="J179" s="44"/>
      <c r="K179" s="44"/>
      <c r="L179" s="44"/>
      <c r="M179" s="44"/>
      <c r="N179" s="44"/>
      <c r="O179" s="44"/>
      <c r="P179" s="44"/>
      <c r="Q179" s="44"/>
      <c r="R179" s="45" t="str">
        <f aca="false">IF($A179="","",SUM(H179:Q179))</f>
        <v/>
      </c>
      <c r="S179" s="45" t="str">
        <f aca="false">IF($A179="","",ROUND($F179-$G179-$R179,2))</f>
        <v/>
      </c>
      <c r="T179" s="28" t="str">
        <f aca="false">IF(OR($A179="",$F179=0),"",$R179/$F179)</f>
        <v/>
      </c>
      <c r="U179" s="35"/>
      <c r="V179" s="35"/>
      <c r="W179" s="0" t="str">
        <f aca="false">IF($A179="","",$A179&amp;"|"&amp;$B179)</f>
        <v/>
      </c>
    </row>
    <row r="180" customFormat="false" ht="18" hidden="false" customHeight="true" outlineLevel="0" collapsed="false">
      <c r="A180" s="36"/>
      <c r="B180" s="36"/>
      <c r="C180" s="43" t="str">
        <f aca="false">IF($B180="","",IFERROR(VLOOKUP($B180,人员名册!$B$4:$G$53,2,0)&amp;"","名册中未登记"))</f>
        <v/>
      </c>
      <c r="D180" s="43" t="str">
        <f aca="false">IF($B180="","",IFERROR(VLOOKUP($B180,人员名册!$B$4:$G$53,3,0)&amp;"",""))</f>
        <v/>
      </c>
      <c r="E180" s="43" t="str">
        <f aca="false">IF($B180="","",IFERROR(VLOOKUP($B180,人员名册!$B$4:$G$53,5,0)&amp;"",""))</f>
        <v/>
      </c>
      <c r="F180" s="44"/>
      <c r="G180" s="44"/>
      <c r="H180" s="44"/>
      <c r="I180" s="44"/>
      <c r="J180" s="44"/>
      <c r="K180" s="44"/>
      <c r="L180" s="44"/>
      <c r="M180" s="44"/>
      <c r="N180" s="44"/>
      <c r="O180" s="44"/>
      <c r="P180" s="44"/>
      <c r="Q180" s="44"/>
      <c r="R180" s="45" t="str">
        <f aca="false">IF($A180="","",SUM(H180:Q180))</f>
        <v/>
      </c>
      <c r="S180" s="45" t="str">
        <f aca="false">IF($A180="","",ROUND($F180-$G180-$R180,2))</f>
        <v/>
      </c>
      <c r="T180" s="28" t="str">
        <f aca="false">IF(OR($A180="",$F180=0),"",$R180/$F180)</f>
        <v/>
      </c>
      <c r="U180" s="35"/>
      <c r="V180" s="35"/>
      <c r="W180" s="0" t="str">
        <f aca="false">IF($A180="","",$A180&amp;"|"&amp;$B180)</f>
        <v/>
      </c>
    </row>
    <row r="181" customFormat="false" ht="18" hidden="false" customHeight="true" outlineLevel="0" collapsed="false">
      <c r="A181" s="36"/>
      <c r="B181" s="36"/>
      <c r="C181" s="43" t="str">
        <f aca="false">IF($B181="","",IFERROR(VLOOKUP($B181,人员名册!$B$4:$G$53,2,0)&amp;"","名册中未登记"))</f>
        <v/>
      </c>
      <c r="D181" s="43" t="str">
        <f aca="false">IF($B181="","",IFERROR(VLOOKUP($B181,人员名册!$B$4:$G$53,3,0)&amp;"",""))</f>
        <v/>
      </c>
      <c r="E181" s="43" t="str">
        <f aca="false">IF($B181="","",IFERROR(VLOOKUP($B181,人员名册!$B$4:$G$53,5,0)&amp;"",""))</f>
        <v/>
      </c>
      <c r="F181" s="44"/>
      <c r="G181" s="44"/>
      <c r="H181" s="44"/>
      <c r="I181" s="44"/>
      <c r="J181" s="44"/>
      <c r="K181" s="44"/>
      <c r="L181" s="44"/>
      <c r="M181" s="44"/>
      <c r="N181" s="44"/>
      <c r="O181" s="44"/>
      <c r="P181" s="44"/>
      <c r="Q181" s="44"/>
      <c r="R181" s="45" t="str">
        <f aca="false">IF($A181="","",SUM(H181:Q181))</f>
        <v/>
      </c>
      <c r="S181" s="45" t="str">
        <f aca="false">IF($A181="","",ROUND($F181-$G181-$R181,2))</f>
        <v/>
      </c>
      <c r="T181" s="28" t="str">
        <f aca="false">IF(OR($A181="",$F181=0),"",$R181/$F181)</f>
        <v/>
      </c>
      <c r="U181" s="35"/>
      <c r="V181" s="35"/>
      <c r="W181" s="0" t="str">
        <f aca="false">IF($A181="","",$A181&amp;"|"&amp;$B181)</f>
        <v/>
      </c>
    </row>
    <row r="182" customFormat="false" ht="18" hidden="false" customHeight="true" outlineLevel="0" collapsed="false">
      <c r="A182" s="36"/>
      <c r="B182" s="36"/>
      <c r="C182" s="43" t="str">
        <f aca="false">IF($B182="","",IFERROR(VLOOKUP($B182,人员名册!$B$4:$G$53,2,0)&amp;"","名册中未登记"))</f>
        <v/>
      </c>
      <c r="D182" s="43" t="str">
        <f aca="false">IF($B182="","",IFERROR(VLOOKUP($B182,人员名册!$B$4:$G$53,3,0)&amp;"",""))</f>
        <v/>
      </c>
      <c r="E182" s="43" t="str">
        <f aca="false">IF($B182="","",IFERROR(VLOOKUP($B182,人员名册!$B$4:$G$53,5,0)&amp;"",""))</f>
        <v/>
      </c>
      <c r="F182" s="44"/>
      <c r="G182" s="44"/>
      <c r="H182" s="44"/>
      <c r="I182" s="44"/>
      <c r="J182" s="44"/>
      <c r="K182" s="44"/>
      <c r="L182" s="44"/>
      <c r="M182" s="44"/>
      <c r="N182" s="44"/>
      <c r="O182" s="44"/>
      <c r="P182" s="44"/>
      <c r="Q182" s="44"/>
      <c r="R182" s="45" t="str">
        <f aca="false">IF($A182="","",SUM(H182:Q182))</f>
        <v/>
      </c>
      <c r="S182" s="45" t="str">
        <f aca="false">IF($A182="","",ROUND($F182-$G182-$R182,2))</f>
        <v/>
      </c>
      <c r="T182" s="28" t="str">
        <f aca="false">IF(OR($A182="",$F182=0),"",$R182/$F182)</f>
        <v/>
      </c>
      <c r="U182" s="35"/>
      <c r="V182" s="35"/>
      <c r="W182" s="0" t="str">
        <f aca="false">IF($A182="","",$A182&amp;"|"&amp;$B182)</f>
        <v/>
      </c>
    </row>
    <row r="183" customFormat="false" ht="18" hidden="false" customHeight="true" outlineLevel="0" collapsed="false">
      <c r="A183" s="36"/>
      <c r="B183" s="36"/>
      <c r="C183" s="43" t="str">
        <f aca="false">IF($B183="","",IFERROR(VLOOKUP($B183,人员名册!$B$4:$G$53,2,0)&amp;"","名册中未登记"))</f>
        <v/>
      </c>
      <c r="D183" s="43" t="str">
        <f aca="false">IF($B183="","",IFERROR(VLOOKUP($B183,人员名册!$B$4:$G$53,3,0)&amp;"",""))</f>
        <v/>
      </c>
      <c r="E183" s="43" t="str">
        <f aca="false">IF($B183="","",IFERROR(VLOOKUP($B183,人员名册!$B$4:$G$53,5,0)&amp;"",""))</f>
        <v/>
      </c>
      <c r="F183" s="44"/>
      <c r="G183" s="44"/>
      <c r="H183" s="44"/>
      <c r="I183" s="44"/>
      <c r="J183" s="44"/>
      <c r="K183" s="44"/>
      <c r="L183" s="44"/>
      <c r="M183" s="44"/>
      <c r="N183" s="44"/>
      <c r="O183" s="44"/>
      <c r="P183" s="44"/>
      <c r="Q183" s="44"/>
      <c r="R183" s="45" t="str">
        <f aca="false">IF($A183="","",SUM(H183:Q183))</f>
        <v/>
      </c>
      <c r="S183" s="45" t="str">
        <f aca="false">IF($A183="","",ROUND($F183-$G183-$R183,2))</f>
        <v/>
      </c>
      <c r="T183" s="28" t="str">
        <f aca="false">IF(OR($A183="",$F183=0),"",$R183/$F183)</f>
        <v/>
      </c>
      <c r="U183" s="35"/>
      <c r="V183" s="35"/>
      <c r="W183" s="0" t="str">
        <f aca="false">IF($A183="","",$A183&amp;"|"&amp;$B183)</f>
        <v/>
      </c>
    </row>
    <row r="184" customFormat="false" ht="18" hidden="false" customHeight="true" outlineLevel="0" collapsed="false">
      <c r="A184" s="36"/>
      <c r="B184" s="36"/>
      <c r="C184" s="43" t="str">
        <f aca="false">IF($B184="","",IFERROR(VLOOKUP($B184,人员名册!$B$4:$G$53,2,0)&amp;"","名册中未登记"))</f>
        <v/>
      </c>
      <c r="D184" s="43" t="str">
        <f aca="false">IF($B184="","",IFERROR(VLOOKUP($B184,人员名册!$B$4:$G$53,3,0)&amp;"",""))</f>
        <v/>
      </c>
      <c r="E184" s="43" t="str">
        <f aca="false">IF($B184="","",IFERROR(VLOOKUP($B184,人员名册!$B$4:$G$53,5,0)&amp;"",""))</f>
        <v/>
      </c>
      <c r="F184" s="44"/>
      <c r="G184" s="44"/>
      <c r="H184" s="44"/>
      <c r="I184" s="44"/>
      <c r="J184" s="44"/>
      <c r="K184" s="44"/>
      <c r="L184" s="44"/>
      <c r="M184" s="44"/>
      <c r="N184" s="44"/>
      <c r="O184" s="44"/>
      <c r="P184" s="44"/>
      <c r="Q184" s="44"/>
      <c r="R184" s="45" t="str">
        <f aca="false">IF($A184="","",SUM(H184:Q184))</f>
        <v/>
      </c>
      <c r="S184" s="45" t="str">
        <f aca="false">IF($A184="","",ROUND($F184-$G184-$R184,2))</f>
        <v/>
      </c>
      <c r="T184" s="28" t="str">
        <f aca="false">IF(OR($A184="",$F184=0),"",$R184/$F184)</f>
        <v/>
      </c>
      <c r="U184" s="35"/>
      <c r="V184" s="35"/>
      <c r="W184" s="0" t="str">
        <f aca="false">IF($A184="","",$A184&amp;"|"&amp;$B184)</f>
        <v/>
      </c>
    </row>
    <row r="185" customFormat="false" ht="18" hidden="false" customHeight="true" outlineLevel="0" collapsed="false">
      <c r="A185" s="36"/>
      <c r="B185" s="36"/>
      <c r="C185" s="43" t="str">
        <f aca="false">IF($B185="","",IFERROR(VLOOKUP($B185,人员名册!$B$4:$G$53,2,0)&amp;"","名册中未登记"))</f>
        <v/>
      </c>
      <c r="D185" s="43" t="str">
        <f aca="false">IF($B185="","",IFERROR(VLOOKUP($B185,人员名册!$B$4:$G$53,3,0)&amp;"",""))</f>
        <v/>
      </c>
      <c r="E185" s="43" t="str">
        <f aca="false">IF($B185="","",IFERROR(VLOOKUP($B185,人员名册!$B$4:$G$53,5,0)&amp;"",""))</f>
        <v/>
      </c>
      <c r="F185" s="44"/>
      <c r="G185" s="44"/>
      <c r="H185" s="44"/>
      <c r="I185" s="44"/>
      <c r="J185" s="44"/>
      <c r="K185" s="44"/>
      <c r="L185" s="44"/>
      <c r="M185" s="44"/>
      <c r="N185" s="44"/>
      <c r="O185" s="44"/>
      <c r="P185" s="44"/>
      <c r="Q185" s="44"/>
      <c r="R185" s="45" t="str">
        <f aca="false">IF($A185="","",SUM(H185:Q185))</f>
        <v/>
      </c>
      <c r="S185" s="45" t="str">
        <f aca="false">IF($A185="","",ROUND($F185-$G185-$R185,2))</f>
        <v/>
      </c>
      <c r="T185" s="28" t="str">
        <f aca="false">IF(OR($A185="",$F185=0),"",$R185/$F185)</f>
        <v/>
      </c>
      <c r="U185" s="35"/>
      <c r="V185" s="35"/>
      <c r="W185" s="0" t="str">
        <f aca="false">IF($A185="","",$A185&amp;"|"&amp;$B185)</f>
        <v/>
      </c>
    </row>
    <row r="186" customFormat="false" ht="18" hidden="false" customHeight="true" outlineLevel="0" collapsed="false">
      <c r="A186" s="36"/>
      <c r="B186" s="36"/>
      <c r="C186" s="43" t="str">
        <f aca="false">IF($B186="","",IFERROR(VLOOKUP($B186,人员名册!$B$4:$G$53,2,0)&amp;"","名册中未登记"))</f>
        <v/>
      </c>
      <c r="D186" s="43" t="str">
        <f aca="false">IF($B186="","",IFERROR(VLOOKUP($B186,人员名册!$B$4:$G$53,3,0)&amp;"",""))</f>
        <v/>
      </c>
      <c r="E186" s="43" t="str">
        <f aca="false">IF($B186="","",IFERROR(VLOOKUP($B186,人员名册!$B$4:$G$53,5,0)&amp;"",""))</f>
        <v/>
      </c>
      <c r="F186" s="44"/>
      <c r="G186" s="44"/>
      <c r="H186" s="44"/>
      <c r="I186" s="44"/>
      <c r="J186" s="44"/>
      <c r="K186" s="44"/>
      <c r="L186" s="44"/>
      <c r="M186" s="44"/>
      <c r="N186" s="44"/>
      <c r="O186" s="44"/>
      <c r="P186" s="44"/>
      <c r="Q186" s="44"/>
      <c r="R186" s="45" t="str">
        <f aca="false">IF($A186="","",SUM(H186:Q186))</f>
        <v/>
      </c>
      <c r="S186" s="45" t="str">
        <f aca="false">IF($A186="","",ROUND($F186-$G186-$R186,2))</f>
        <v/>
      </c>
      <c r="T186" s="28" t="str">
        <f aca="false">IF(OR($A186="",$F186=0),"",$R186/$F186)</f>
        <v/>
      </c>
      <c r="U186" s="35"/>
      <c r="V186" s="35"/>
      <c r="W186" s="0" t="str">
        <f aca="false">IF($A186="","",$A186&amp;"|"&amp;$B186)</f>
        <v/>
      </c>
    </row>
    <row r="187" customFormat="false" ht="18" hidden="false" customHeight="true" outlineLevel="0" collapsed="false">
      <c r="A187" s="36"/>
      <c r="B187" s="36"/>
      <c r="C187" s="43" t="str">
        <f aca="false">IF($B187="","",IFERROR(VLOOKUP($B187,人员名册!$B$4:$G$53,2,0)&amp;"","名册中未登记"))</f>
        <v/>
      </c>
      <c r="D187" s="43" t="str">
        <f aca="false">IF($B187="","",IFERROR(VLOOKUP($B187,人员名册!$B$4:$G$53,3,0)&amp;"",""))</f>
        <v/>
      </c>
      <c r="E187" s="43" t="str">
        <f aca="false">IF($B187="","",IFERROR(VLOOKUP($B187,人员名册!$B$4:$G$53,5,0)&amp;"",""))</f>
        <v/>
      </c>
      <c r="F187" s="44"/>
      <c r="G187" s="44"/>
      <c r="H187" s="44"/>
      <c r="I187" s="44"/>
      <c r="J187" s="44"/>
      <c r="K187" s="44"/>
      <c r="L187" s="44"/>
      <c r="M187" s="44"/>
      <c r="N187" s="44"/>
      <c r="O187" s="44"/>
      <c r="P187" s="44"/>
      <c r="Q187" s="44"/>
      <c r="R187" s="45" t="str">
        <f aca="false">IF($A187="","",SUM(H187:Q187))</f>
        <v/>
      </c>
      <c r="S187" s="45" t="str">
        <f aca="false">IF($A187="","",ROUND($F187-$G187-$R187,2))</f>
        <v/>
      </c>
      <c r="T187" s="28" t="str">
        <f aca="false">IF(OR($A187="",$F187=0),"",$R187/$F187)</f>
        <v/>
      </c>
      <c r="U187" s="35"/>
      <c r="V187" s="35"/>
      <c r="W187" s="0" t="str">
        <f aca="false">IF($A187="","",$A187&amp;"|"&amp;$B187)</f>
        <v/>
      </c>
    </row>
    <row r="188" customFormat="false" ht="18" hidden="false" customHeight="true" outlineLevel="0" collapsed="false">
      <c r="A188" s="36"/>
      <c r="B188" s="36"/>
      <c r="C188" s="43" t="str">
        <f aca="false">IF($B188="","",IFERROR(VLOOKUP($B188,人员名册!$B$4:$G$53,2,0)&amp;"","名册中未登记"))</f>
        <v/>
      </c>
      <c r="D188" s="43" t="str">
        <f aca="false">IF($B188="","",IFERROR(VLOOKUP($B188,人员名册!$B$4:$G$53,3,0)&amp;"",""))</f>
        <v/>
      </c>
      <c r="E188" s="43" t="str">
        <f aca="false">IF($B188="","",IFERROR(VLOOKUP($B188,人员名册!$B$4:$G$53,5,0)&amp;"",""))</f>
        <v/>
      </c>
      <c r="F188" s="44"/>
      <c r="G188" s="44"/>
      <c r="H188" s="44"/>
      <c r="I188" s="44"/>
      <c r="J188" s="44"/>
      <c r="K188" s="44"/>
      <c r="L188" s="44"/>
      <c r="M188" s="44"/>
      <c r="N188" s="44"/>
      <c r="O188" s="44"/>
      <c r="P188" s="44"/>
      <c r="Q188" s="44"/>
      <c r="R188" s="45" t="str">
        <f aca="false">IF($A188="","",SUM(H188:Q188))</f>
        <v/>
      </c>
      <c r="S188" s="45" t="str">
        <f aca="false">IF($A188="","",ROUND($F188-$G188-$R188,2))</f>
        <v/>
      </c>
      <c r="T188" s="28" t="str">
        <f aca="false">IF(OR($A188="",$F188=0),"",$R188/$F188)</f>
        <v/>
      </c>
      <c r="U188" s="35"/>
      <c r="V188" s="35"/>
      <c r="W188" s="0" t="str">
        <f aca="false">IF($A188="","",$A188&amp;"|"&amp;$B188)</f>
        <v/>
      </c>
    </row>
    <row r="189" customFormat="false" ht="18" hidden="false" customHeight="true" outlineLevel="0" collapsed="false">
      <c r="A189" s="36"/>
      <c r="B189" s="36"/>
      <c r="C189" s="43" t="str">
        <f aca="false">IF($B189="","",IFERROR(VLOOKUP($B189,人员名册!$B$4:$G$53,2,0)&amp;"","名册中未登记"))</f>
        <v/>
      </c>
      <c r="D189" s="43" t="str">
        <f aca="false">IF($B189="","",IFERROR(VLOOKUP($B189,人员名册!$B$4:$G$53,3,0)&amp;"",""))</f>
        <v/>
      </c>
      <c r="E189" s="43" t="str">
        <f aca="false">IF($B189="","",IFERROR(VLOOKUP($B189,人员名册!$B$4:$G$53,5,0)&amp;"",""))</f>
        <v/>
      </c>
      <c r="F189" s="44"/>
      <c r="G189" s="44"/>
      <c r="H189" s="44"/>
      <c r="I189" s="44"/>
      <c r="J189" s="44"/>
      <c r="K189" s="44"/>
      <c r="L189" s="44"/>
      <c r="M189" s="44"/>
      <c r="N189" s="44"/>
      <c r="O189" s="44"/>
      <c r="P189" s="44"/>
      <c r="Q189" s="44"/>
      <c r="R189" s="45" t="str">
        <f aca="false">IF($A189="","",SUM(H189:Q189))</f>
        <v/>
      </c>
      <c r="S189" s="45" t="str">
        <f aca="false">IF($A189="","",ROUND($F189-$G189-$R189,2))</f>
        <v/>
      </c>
      <c r="T189" s="28" t="str">
        <f aca="false">IF(OR($A189="",$F189=0),"",$R189/$F189)</f>
        <v/>
      </c>
      <c r="U189" s="35"/>
      <c r="V189" s="35"/>
      <c r="W189" s="0" t="str">
        <f aca="false">IF($A189="","",$A189&amp;"|"&amp;$B189)</f>
        <v/>
      </c>
    </row>
    <row r="190" customFormat="false" ht="18" hidden="false" customHeight="true" outlineLevel="0" collapsed="false">
      <c r="A190" s="36"/>
      <c r="B190" s="36"/>
      <c r="C190" s="43" t="str">
        <f aca="false">IF($B190="","",IFERROR(VLOOKUP($B190,人员名册!$B$4:$G$53,2,0)&amp;"","名册中未登记"))</f>
        <v/>
      </c>
      <c r="D190" s="43" t="str">
        <f aca="false">IF($B190="","",IFERROR(VLOOKUP($B190,人员名册!$B$4:$G$53,3,0)&amp;"",""))</f>
        <v/>
      </c>
      <c r="E190" s="43" t="str">
        <f aca="false">IF($B190="","",IFERROR(VLOOKUP($B190,人员名册!$B$4:$G$53,5,0)&amp;"",""))</f>
        <v/>
      </c>
      <c r="F190" s="44"/>
      <c r="G190" s="44"/>
      <c r="H190" s="44"/>
      <c r="I190" s="44"/>
      <c r="J190" s="44"/>
      <c r="K190" s="44"/>
      <c r="L190" s="44"/>
      <c r="M190" s="44"/>
      <c r="N190" s="44"/>
      <c r="O190" s="44"/>
      <c r="P190" s="44"/>
      <c r="Q190" s="44"/>
      <c r="R190" s="45" t="str">
        <f aca="false">IF($A190="","",SUM(H190:Q190))</f>
        <v/>
      </c>
      <c r="S190" s="45" t="str">
        <f aca="false">IF($A190="","",ROUND($F190-$G190-$R190,2))</f>
        <v/>
      </c>
      <c r="T190" s="28" t="str">
        <f aca="false">IF(OR($A190="",$F190=0),"",$R190/$F190)</f>
        <v/>
      </c>
      <c r="U190" s="35"/>
      <c r="V190" s="35"/>
      <c r="W190" s="0" t="str">
        <f aca="false">IF($A190="","",$A190&amp;"|"&amp;$B190)</f>
        <v/>
      </c>
    </row>
    <row r="191" customFormat="false" ht="18" hidden="false" customHeight="true" outlineLevel="0" collapsed="false">
      <c r="A191" s="36"/>
      <c r="B191" s="36"/>
      <c r="C191" s="43" t="str">
        <f aca="false">IF($B191="","",IFERROR(VLOOKUP($B191,人员名册!$B$4:$G$53,2,0)&amp;"","名册中未登记"))</f>
        <v/>
      </c>
      <c r="D191" s="43" t="str">
        <f aca="false">IF($B191="","",IFERROR(VLOOKUP($B191,人员名册!$B$4:$G$53,3,0)&amp;"",""))</f>
        <v/>
      </c>
      <c r="E191" s="43" t="str">
        <f aca="false">IF($B191="","",IFERROR(VLOOKUP($B191,人员名册!$B$4:$G$53,5,0)&amp;"",""))</f>
        <v/>
      </c>
      <c r="F191" s="44"/>
      <c r="G191" s="44"/>
      <c r="H191" s="44"/>
      <c r="I191" s="44"/>
      <c r="J191" s="44"/>
      <c r="K191" s="44"/>
      <c r="L191" s="44"/>
      <c r="M191" s="44"/>
      <c r="N191" s="44"/>
      <c r="O191" s="44"/>
      <c r="P191" s="44"/>
      <c r="Q191" s="44"/>
      <c r="R191" s="45" t="str">
        <f aca="false">IF($A191="","",SUM(H191:Q191))</f>
        <v/>
      </c>
      <c r="S191" s="45" t="str">
        <f aca="false">IF($A191="","",ROUND($F191-$G191-$R191,2))</f>
        <v/>
      </c>
      <c r="T191" s="28" t="str">
        <f aca="false">IF(OR($A191="",$F191=0),"",$R191/$F191)</f>
        <v/>
      </c>
      <c r="U191" s="35"/>
      <c r="V191" s="35"/>
      <c r="W191" s="0" t="str">
        <f aca="false">IF($A191="","",$A191&amp;"|"&amp;$B191)</f>
        <v/>
      </c>
    </row>
    <row r="192" customFormat="false" ht="18" hidden="false" customHeight="true" outlineLevel="0" collapsed="false">
      <c r="A192" s="36"/>
      <c r="B192" s="36"/>
      <c r="C192" s="43" t="str">
        <f aca="false">IF($B192="","",IFERROR(VLOOKUP($B192,人员名册!$B$4:$G$53,2,0)&amp;"","名册中未登记"))</f>
        <v/>
      </c>
      <c r="D192" s="43" t="str">
        <f aca="false">IF($B192="","",IFERROR(VLOOKUP($B192,人员名册!$B$4:$G$53,3,0)&amp;"",""))</f>
        <v/>
      </c>
      <c r="E192" s="43" t="str">
        <f aca="false">IF($B192="","",IFERROR(VLOOKUP($B192,人员名册!$B$4:$G$53,5,0)&amp;"",""))</f>
        <v/>
      </c>
      <c r="F192" s="44"/>
      <c r="G192" s="44"/>
      <c r="H192" s="44"/>
      <c r="I192" s="44"/>
      <c r="J192" s="44"/>
      <c r="K192" s="44"/>
      <c r="L192" s="44"/>
      <c r="M192" s="44"/>
      <c r="N192" s="44"/>
      <c r="O192" s="44"/>
      <c r="P192" s="44"/>
      <c r="Q192" s="44"/>
      <c r="R192" s="45" t="str">
        <f aca="false">IF($A192="","",SUM(H192:Q192))</f>
        <v/>
      </c>
      <c r="S192" s="45" t="str">
        <f aca="false">IF($A192="","",ROUND($F192-$G192-$R192,2))</f>
        <v/>
      </c>
      <c r="T192" s="28" t="str">
        <f aca="false">IF(OR($A192="",$F192=0),"",$R192/$F192)</f>
        <v/>
      </c>
      <c r="U192" s="35"/>
      <c r="V192" s="35"/>
      <c r="W192" s="0" t="str">
        <f aca="false">IF($A192="","",$A192&amp;"|"&amp;$B192)</f>
        <v/>
      </c>
    </row>
    <row r="193" customFormat="false" ht="18" hidden="false" customHeight="true" outlineLevel="0" collapsed="false">
      <c r="A193" s="36"/>
      <c r="B193" s="36"/>
      <c r="C193" s="43" t="str">
        <f aca="false">IF($B193="","",IFERROR(VLOOKUP($B193,人员名册!$B$4:$G$53,2,0)&amp;"","名册中未登记"))</f>
        <v/>
      </c>
      <c r="D193" s="43" t="str">
        <f aca="false">IF($B193="","",IFERROR(VLOOKUP($B193,人员名册!$B$4:$G$53,3,0)&amp;"",""))</f>
        <v/>
      </c>
      <c r="E193" s="43" t="str">
        <f aca="false">IF($B193="","",IFERROR(VLOOKUP($B193,人员名册!$B$4:$G$53,5,0)&amp;"",""))</f>
        <v/>
      </c>
      <c r="F193" s="44"/>
      <c r="G193" s="44"/>
      <c r="H193" s="44"/>
      <c r="I193" s="44"/>
      <c r="J193" s="44"/>
      <c r="K193" s="44"/>
      <c r="L193" s="44"/>
      <c r="M193" s="44"/>
      <c r="N193" s="44"/>
      <c r="O193" s="44"/>
      <c r="P193" s="44"/>
      <c r="Q193" s="44"/>
      <c r="R193" s="45" t="str">
        <f aca="false">IF($A193="","",SUM(H193:Q193))</f>
        <v/>
      </c>
      <c r="S193" s="45" t="str">
        <f aca="false">IF($A193="","",ROUND($F193-$G193-$R193,2))</f>
        <v/>
      </c>
      <c r="T193" s="28" t="str">
        <f aca="false">IF(OR($A193="",$F193=0),"",$R193/$F193)</f>
        <v/>
      </c>
      <c r="U193" s="35"/>
      <c r="V193" s="35"/>
      <c r="W193" s="0" t="str">
        <f aca="false">IF($A193="","",$A193&amp;"|"&amp;$B193)</f>
        <v/>
      </c>
    </row>
    <row r="194" customFormat="false" ht="18" hidden="false" customHeight="true" outlineLevel="0" collapsed="false">
      <c r="A194" s="36"/>
      <c r="B194" s="36"/>
      <c r="C194" s="43" t="str">
        <f aca="false">IF($B194="","",IFERROR(VLOOKUP($B194,人员名册!$B$4:$G$53,2,0)&amp;"","名册中未登记"))</f>
        <v/>
      </c>
      <c r="D194" s="43" t="str">
        <f aca="false">IF($B194="","",IFERROR(VLOOKUP($B194,人员名册!$B$4:$G$53,3,0)&amp;"",""))</f>
        <v/>
      </c>
      <c r="E194" s="43" t="str">
        <f aca="false">IF($B194="","",IFERROR(VLOOKUP($B194,人员名册!$B$4:$G$53,5,0)&amp;"",""))</f>
        <v/>
      </c>
      <c r="F194" s="44"/>
      <c r="G194" s="44"/>
      <c r="H194" s="44"/>
      <c r="I194" s="44"/>
      <c r="J194" s="44"/>
      <c r="K194" s="44"/>
      <c r="L194" s="44"/>
      <c r="M194" s="44"/>
      <c r="N194" s="44"/>
      <c r="O194" s="44"/>
      <c r="P194" s="44"/>
      <c r="Q194" s="44"/>
      <c r="R194" s="45" t="str">
        <f aca="false">IF($A194="","",SUM(H194:Q194))</f>
        <v/>
      </c>
      <c r="S194" s="45" t="str">
        <f aca="false">IF($A194="","",ROUND($F194-$G194-$R194,2))</f>
        <v/>
      </c>
      <c r="T194" s="28" t="str">
        <f aca="false">IF(OR($A194="",$F194=0),"",$R194/$F194)</f>
        <v/>
      </c>
      <c r="U194" s="35"/>
      <c r="V194" s="35"/>
      <c r="W194" s="0" t="str">
        <f aca="false">IF($A194="","",$A194&amp;"|"&amp;$B194)</f>
        <v/>
      </c>
    </row>
    <row r="195" customFormat="false" ht="18" hidden="false" customHeight="true" outlineLevel="0" collapsed="false">
      <c r="A195" s="36"/>
      <c r="B195" s="36"/>
      <c r="C195" s="43" t="str">
        <f aca="false">IF($B195="","",IFERROR(VLOOKUP($B195,人员名册!$B$4:$G$53,2,0)&amp;"","名册中未登记"))</f>
        <v/>
      </c>
      <c r="D195" s="43" t="str">
        <f aca="false">IF($B195="","",IFERROR(VLOOKUP($B195,人员名册!$B$4:$G$53,3,0)&amp;"",""))</f>
        <v/>
      </c>
      <c r="E195" s="43" t="str">
        <f aca="false">IF($B195="","",IFERROR(VLOOKUP($B195,人员名册!$B$4:$G$53,5,0)&amp;"",""))</f>
        <v/>
      </c>
      <c r="F195" s="44"/>
      <c r="G195" s="44"/>
      <c r="H195" s="44"/>
      <c r="I195" s="44"/>
      <c r="J195" s="44"/>
      <c r="K195" s="44"/>
      <c r="L195" s="44"/>
      <c r="M195" s="44"/>
      <c r="N195" s="44"/>
      <c r="O195" s="44"/>
      <c r="P195" s="44"/>
      <c r="Q195" s="44"/>
      <c r="R195" s="45" t="str">
        <f aca="false">IF($A195="","",SUM(H195:Q195))</f>
        <v/>
      </c>
      <c r="S195" s="45" t="str">
        <f aca="false">IF($A195="","",ROUND($F195-$G195-$R195,2))</f>
        <v/>
      </c>
      <c r="T195" s="28" t="str">
        <f aca="false">IF(OR($A195="",$F195=0),"",$R195/$F195)</f>
        <v/>
      </c>
      <c r="U195" s="35"/>
      <c r="V195" s="35"/>
      <c r="W195" s="0" t="str">
        <f aca="false">IF($A195="","",$A195&amp;"|"&amp;$B195)</f>
        <v/>
      </c>
    </row>
    <row r="196" customFormat="false" ht="18" hidden="false" customHeight="true" outlineLevel="0" collapsed="false">
      <c r="A196" s="36"/>
      <c r="B196" s="36"/>
      <c r="C196" s="43" t="str">
        <f aca="false">IF($B196="","",IFERROR(VLOOKUP($B196,人员名册!$B$4:$G$53,2,0)&amp;"","名册中未登记"))</f>
        <v/>
      </c>
      <c r="D196" s="43" t="str">
        <f aca="false">IF($B196="","",IFERROR(VLOOKUP($B196,人员名册!$B$4:$G$53,3,0)&amp;"",""))</f>
        <v/>
      </c>
      <c r="E196" s="43" t="str">
        <f aca="false">IF($B196="","",IFERROR(VLOOKUP($B196,人员名册!$B$4:$G$53,5,0)&amp;"",""))</f>
        <v/>
      </c>
      <c r="F196" s="44"/>
      <c r="G196" s="44"/>
      <c r="H196" s="44"/>
      <c r="I196" s="44"/>
      <c r="J196" s="44"/>
      <c r="K196" s="44"/>
      <c r="L196" s="44"/>
      <c r="M196" s="44"/>
      <c r="N196" s="44"/>
      <c r="O196" s="44"/>
      <c r="P196" s="44"/>
      <c r="Q196" s="44"/>
      <c r="R196" s="45" t="str">
        <f aca="false">IF($A196="","",SUM(H196:Q196))</f>
        <v/>
      </c>
      <c r="S196" s="45" t="str">
        <f aca="false">IF($A196="","",ROUND($F196-$G196-$R196,2))</f>
        <v/>
      </c>
      <c r="T196" s="28" t="str">
        <f aca="false">IF(OR($A196="",$F196=0),"",$R196/$F196)</f>
        <v/>
      </c>
      <c r="U196" s="35"/>
      <c r="V196" s="35"/>
      <c r="W196" s="0" t="str">
        <f aca="false">IF($A196="","",$A196&amp;"|"&amp;$B196)</f>
        <v/>
      </c>
    </row>
    <row r="197" customFormat="false" ht="18" hidden="false" customHeight="true" outlineLevel="0" collapsed="false">
      <c r="A197" s="36"/>
      <c r="B197" s="36"/>
      <c r="C197" s="43" t="str">
        <f aca="false">IF($B197="","",IFERROR(VLOOKUP($B197,人员名册!$B$4:$G$53,2,0)&amp;"","名册中未登记"))</f>
        <v/>
      </c>
      <c r="D197" s="43" t="str">
        <f aca="false">IF($B197="","",IFERROR(VLOOKUP($B197,人员名册!$B$4:$G$53,3,0)&amp;"",""))</f>
        <v/>
      </c>
      <c r="E197" s="43" t="str">
        <f aca="false">IF($B197="","",IFERROR(VLOOKUP($B197,人员名册!$B$4:$G$53,5,0)&amp;"",""))</f>
        <v/>
      </c>
      <c r="F197" s="44"/>
      <c r="G197" s="44"/>
      <c r="H197" s="44"/>
      <c r="I197" s="44"/>
      <c r="J197" s="44"/>
      <c r="K197" s="44"/>
      <c r="L197" s="44"/>
      <c r="M197" s="44"/>
      <c r="N197" s="44"/>
      <c r="O197" s="44"/>
      <c r="P197" s="44"/>
      <c r="Q197" s="44"/>
      <c r="R197" s="45" t="str">
        <f aca="false">IF($A197="","",SUM(H197:Q197))</f>
        <v/>
      </c>
      <c r="S197" s="45" t="str">
        <f aca="false">IF($A197="","",ROUND($F197-$G197-$R197,2))</f>
        <v/>
      </c>
      <c r="T197" s="28" t="str">
        <f aca="false">IF(OR($A197="",$F197=0),"",$R197/$F197)</f>
        <v/>
      </c>
      <c r="U197" s="35"/>
      <c r="V197" s="35"/>
      <c r="W197" s="0" t="str">
        <f aca="false">IF($A197="","",$A197&amp;"|"&amp;$B197)</f>
        <v/>
      </c>
    </row>
    <row r="198" customFormat="false" ht="18" hidden="false" customHeight="true" outlineLevel="0" collapsed="false">
      <c r="A198" s="36"/>
      <c r="B198" s="36"/>
      <c r="C198" s="43" t="str">
        <f aca="false">IF($B198="","",IFERROR(VLOOKUP($B198,人员名册!$B$4:$G$53,2,0)&amp;"","名册中未登记"))</f>
        <v/>
      </c>
      <c r="D198" s="43" t="str">
        <f aca="false">IF($B198="","",IFERROR(VLOOKUP($B198,人员名册!$B$4:$G$53,3,0)&amp;"",""))</f>
        <v/>
      </c>
      <c r="E198" s="43" t="str">
        <f aca="false">IF($B198="","",IFERROR(VLOOKUP($B198,人员名册!$B$4:$G$53,5,0)&amp;"",""))</f>
        <v/>
      </c>
      <c r="F198" s="44"/>
      <c r="G198" s="44"/>
      <c r="H198" s="44"/>
      <c r="I198" s="44"/>
      <c r="J198" s="44"/>
      <c r="K198" s="44"/>
      <c r="L198" s="44"/>
      <c r="M198" s="44"/>
      <c r="N198" s="44"/>
      <c r="O198" s="44"/>
      <c r="P198" s="44"/>
      <c r="Q198" s="44"/>
      <c r="R198" s="45" t="str">
        <f aca="false">IF($A198="","",SUM(H198:Q198))</f>
        <v/>
      </c>
      <c r="S198" s="45" t="str">
        <f aca="false">IF($A198="","",ROUND($F198-$G198-$R198,2))</f>
        <v/>
      </c>
      <c r="T198" s="28" t="str">
        <f aca="false">IF(OR($A198="",$F198=0),"",$R198/$F198)</f>
        <v/>
      </c>
      <c r="U198" s="35"/>
      <c r="V198" s="35"/>
      <c r="W198" s="0" t="str">
        <f aca="false">IF($A198="","",$A198&amp;"|"&amp;$B198)</f>
        <v/>
      </c>
    </row>
    <row r="199" customFormat="false" ht="18" hidden="false" customHeight="true" outlineLevel="0" collapsed="false">
      <c r="A199" s="36"/>
      <c r="B199" s="36"/>
      <c r="C199" s="43" t="str">
        <f aca="false">IF($B199="","",IFERROR(VLOOKUP($B199,人员名册!$B$4:$G$53,2,0)&amp;"","名册中未登记"))</f>
        <v/>
      </c>
      <c r="D199" s="43" t="str">
        <f aca="false">IF($B199="","",IFERROR(VLOOKUP($B199,人员名册!$B$4:$G$53,3,0)&amp;"",""))</f>
        <v/>
      </c>
      <c r="E199" s="43" t="str">
        <f aca="false">IF($B199="","",IFERROR(VLOOKUP($B199,人员名册!$B$4:$G$53,5,0)&amp;"",""))</f>
        <v/>
      </c>
      <c r="F199" s="44"/>
      <c r="G199" s="44"/>
      <c r="H199" s="44"/>
      <c r="I199" s="44"/>
      <c r="J199" s="44"/>
      <c r="K199" s="44"/>
      <c r="L199" s="44"/>
      <c r="M199" s="44"/>
      <c r="N199" s="44"/>
      <c r="O199" s="44"/>
      <c r="P199" s="44"/>
      <c r="Q199" s="44"/>
      <c r="R199" s="45" t="str">
        <f aca="false">IF($A199="","",SUM(H199:Q199))</f>
        <v/>
      </c>
      <c r="S199" s="45" t="str">
        <f aca="false">IF($A199="","",ROUND($F199-$G199-$R199,2))</f>
        <v/>
      </c>
      <c r="T199" s="28" t="str">
        <f aca="false">IF(OR($A199="",$F199=0),"",$R199/$F199)</f>
        <v/>
      </c>
      <c r="U199" s="35"/>
      <c r="V199" s="35"/>
      <c r="W199" s="0" t="str">
        <f aca="false">IF($A199="","",$A199&amp;"|"&amp;$B199)</f>
        <v/>
      </c>
    </row>
    <row r="200" customFormat="false" ht="18" hidden="false" customHeight="true" outlineLevel="0" collapsed="false">
      <c r="A200" s="36"/>
      <c r="B200" s="36"/>
      <c r="C200" s="43" t="str">
        <f aca="false">IF($B200="","",IFERROR(VLOOKUP($B200,人员名册!$B$4:$G$53,2,0)&amp;"","名册中未登记"))</f>
        <v/>
      </c>
      <c r="D200" s="43" t="str">
        <f aca="false">IF($B200="","",IFERROR(VLOOKUP($B200,人员名册!$B$4:$G$53,3,0)&amp;"",""))</f>
        <v/>
      </c>
      <c r="E200" s="43" t="str">
        <f aca="false">IF($B200="","",IFERROR(VLOOKUP($B200,人员名册!$B$4:$G$53,5,0)&amp;"",""))</f>
        <v/>
      </c>
      <c r="F200" s="44"/>
      <c r="G200" s="44"/>
      <c r="H200" s="44"/>
      <c r="I200" s="44"/>
      <c r="J200" s="44"/>
      <c r="K200" s="44"/>
      <c r="L200" s="44"/>
      <c r="M200" s="44"/>
      <c r="N200" s="44"/>
      <c r="O200" s="44"/>
      <c r="P200" s="44"/>
      <c r="Q200" s="44"/>
      <c r="R200" s="45" t="str">
        <f aca="false">IF($A200="","",SUM(H200:Q200))</f>
        <v/>
      </c>
      <c r="S200" s="45" t="str">
        <f aca="false">IF($A200="","",ROUND($F200-$G200-$R200,2))</f>
        <v/>
      </c>
      <c r="T200" s="28" t="str">
        <f aca="false">IF(OR($A200="",$F200=0),"",$R200/$F200)</f>
        <v/>
      </c>
      <c r="U200" s="35"/>
      <c r="V200" s="35"/>
      <c r="W200" s="0" t="str">
        <f aca="false">IF($A200="","",$A200&amp;"|"&amp;$B200)</f>
        <v/>
      </c>
    </row>
    <row r="201" customFormat="false" ht="18" hidden="false" customHeight="true" outlineLevel="0" collapsed="false">
      <c r="A201" s="36"/>
      <c r="B201" s="36"/>
      <c r="C201" s="43" t="str">
        <f aca="false">IF($B201="","",IFERROR(VLOOKUP($B201,人员名册!$B$4:$G$53,2,0)&amp;"","名册中未登记"))</f>
        <v/>
      </c>
      <c r="D201" s="43" t="str">
        <f aca="false">IF($B201="","",IFERROR(VLOOKUP($B201,人员名册!$B$4:$G$53,3,0)&amp;"",""))</f>
        <v/>
      </c>
      <c r="E201" s="43" t="str">
        <f aca="false">IF($B201="","",IFERROR(VLOOKUP($B201,人员名册!$B$4:$G$53,5,0)&amp;"",""))</f>
        <v/>
      </c>
      <c r="F201" s="44"/>
      <c r="G201" s="44"/>
      <c r="H201" s="44"/>
      <c r="I201" s="44"/>
      <c r="J201" s="44"/>
      <c r="K201" s="44"/>
      <c r="L201" s="44"/>
      <c r="M201" s="44"/>
      <c r="N201" s="44"/>
      <c r="O201" s="44"/>
      <c r="P201" s="44"/>
      <c r="Q201" s="44"/>
      <c r="R201" s="45" t="str">
        <f aca="false">IF($A201="","",SUM(H201:Q201))</f>
        <v/>
      </c>
      <c r="S201" s="45" t="str">
        <f aca="false">IF($A201="","",ROUND($F201-$G201-$R201,2))</f>
        <v/>
      </c>
      <c r="T201" s="28" t="str">
        <f aca="false">IF(OR($A201="",$F201=0),"",$R201/$F201)</f>
        <v/>
      </c>
      <c r="U201" s="35"/>
      <c r="V201" s="35"/>
      <c r="W201" s="0" t="str">
        <f aca="false">IF($A201="","",$A201&amp;"|"&amp;$B201)</f>
        <v/>
      </c>
    </row>
    <row r="202" customFormat="false" ht="18" hidden="false" customHeight="true" outlineLevel="0" collapsed="false">
      <c r="A202" s="36"/>
      <c r="B202" s="36"/>
      <c r="C202" s="43" t="str">
        <f aca="false">IF($B202="","",IFERROR(VLOOKUP($B202,人员名册!$B$4:$G$53,2,0)&amp;"","名册中未登记"))</f>
        <v/>
      </c>
      <c r="D202" s="43" t="str">
        <f aca="false">IF($B202="","",IFERROR(VLOOKUP($B202,人员名册!$B$4:$G$53,3,0)&amp;"",""))</f>
        <v/>
      </c>
      <c r="E202" s="43" t="str">
        <f aca="false">IF($B202="","",IFERROR(VLOOKUP($B202,人员名册!$B$4:$G$53,5,0)&amp;"",""))</f>
        <v/>
      </c>
      <c r="F202" s="44"/>
      <c r="G202" s="44"/>
      <c r="H202" s="44"/>
      <c r="I202" s="44"/>
      <c r="J202" s="44"/>
      <c r="K202" s="44"/>
      <c r="L202" s="44"/>
      <c r="M202" s="44"/>
      <c r="N202" s="44"/>
      <c r="O202" s="44"/>
      <c r="P202" s="44"/>
      <c r="Q202" s="44"/>
      <c r="R202" s="45" t="str">
        <f aca="false">IF($A202="","",SUM(H202:Q202))</f>
        <v/>
      </c>
      <c r="S202" s="45" t="str">
        <f aca="false">IF($A202="","",ROUND($F202-$G202-$R202,2))</f>
        <v/>
      </c>
      <c r="T202" s="28" t="str">
        <f aca="false">IF(OR($A202="",$F202=0),"",$R202/$F202)</f>
        <v/>
      </c>
      <c r="U202" s="35"/>
      <c r="V202" s="35"/>
      <c r="W202" s="0" t="str">
        <f aca="false">IF($A202="","",$A202&amp;"|"&amp;$B202)</f>
        <v/>
      </c>
    </row>
    <row r="203" customFormat="false" ht="18" hidden="false" customHeight="true" outlineLevel="0" collapsed="false">
      <c r="A203" s="36"/>
      <c r="B203" s="36"/>
      <c r="C203" s="43" t="str">
        <f aca="false">IF($B203="","",IFERROR(VLOOKUP($B203,人员名册!$B$4:$G$53,2,0)&amp;"","名册中未登记"))</f>
        <v/>
      </c>
      <c r="D203" s="43" t="str">
        <f aca="false">IF($B203="","",IFERROR(VLOOKUP($B203,人员名册!$B$4:$G$53,3,0)&amp;"",""))</f>
        <v/>
      </c>
      <c r="E203" s="43" t="str">
        <f aca="false">IF($B203="","",IFERROR(VLOOKUP($B203,人员名册!$B$4:$G$53,5,0)&amp;"",""))</f>
        <v/>
      </c>
      <c r="F203" s="44"/>
      <c r="G203" s="44"/>
      <c r="H203" s="44"/>
      <c r="I203" s="44"/>
      <c r="J203" s="44"/>
      <c r="K203" s="44"/>
      <c r="L203" s="44"/>
      <c r="M203" s="44"/>
      <c r="N203" s="44"/>
      <c r="O203" s="44"/>
      <c r="P203" s="44"/>
      <c r="Q203" s="44"/>
      <c r="R203" s="45" t="str">
        <f aca="false">IF($A203="","",SUM(H203:Q203))</f>
        <v/>
      </c>
      <c r="S203" s="45" t="str">
        <f aca="false">IF($A203="","",ROUND($F203-$G203-$R203,2))</f>
        <v/>
      </c>
      <c r="T203" s="28" t="str">
        <f aca="false">IF(OR($A203="",$F203=0),"",$R203/$F203)</f>
        <v/>
      </c>
      <c r="U203" s="35"/>
      <c r="V203" s="35"/>
      <c r="W203" s="0" t="str">
        <f aca="false">IF($A203="","",$A203&amp;"|"&amp;$B203)</f>
        <v/>
      </c>
    </row>
    <row r="204" customFormat="false" ht="18" hidden="false" customHeight="true" outlineLevel="0" collapsed="false">
      <c r="A204" s="36"/>
      <c r="B204" s="36"/>
      <c r="C204" s="43" t="str">
        <f aca="false">IF($B204="","",IFERROR(VLOOKUP($B204,人员名册!$B$4:$G$53,2,0)&amp;"","名册中未登记"))</f>
        <v/>
      </c>
      <c r="D204" s="43" t="str">
        <f aca="false">IF($B204="","",IFERROR(VLOOKUP($B204,人员名册!$B$4:$G$53,3,0)&amp;"",""))</f>
        <v/>
      </c>
      <c r="E204" s="43" t="str">
        <f aca="false">IF($B204="","",IFERROR(VLOOKUP($B204,人员名册!$B$4:$G$53,5,0)&amp;"",""))</f>
        <v/>
      </c>
      <c r="F204" s="44"/>
      <c r="G204" s="44"/>
      <c r="H204" s="44"/>
      <c r="I204" s="44"/>
      <c r="J204" s="44"/>
      <c r="K204" s="44"/>
      <c r="L204" s="44"/>
      <c r="M204" s="44"/>
      <c r="N204" s="44"/>
      <c r="O204" s="44"/>
      <c r="P204" s="44"/>
      <c r="Q204" s="44"/>
      <c r="R204" s="45" t="str">
        <f aca="false">IF($A204="","",SUM(H204:Q204))</f>
        <v/>
      </c>
      <c r="S204" s="45" t="str">
        <f aca="false">IF($A204="","",ROUND($F204-$G204-$R204,2))</f>
        <v/>
      </c>
      <c r="T204" s="28" t="str">
        <f aca="false">IF(OR($A204="",$F204=0),"",$R204/$F204)</f>
        <v/>
      </c>
      <c r="U204" s="35"/>
      <c r="V204" s="35"/>
      <c r="W204" s="0" t="str">
        <f aca="false">IF($A204="","",$A204&amp;"|"&amp;$B204)</f>
        <v/>
      </c>
    </row>
    <row r="205" customFormat="false" ht="18" hidden="false" customHeight="true" outlineLevel="0" collapsed="false">
      <c r="A205" s="36"/>
      <c r="B205" s="36"/>
      <c r="C205" s="43" t="str">
        <f aca="false">IF($B205="","",IFERROR(VLOOKUP($B205,人员名册!$B$4:$G$53,2,0)&amp;"","名册中未登记"))</f>
        <v/>
      </c>
      <c r="D205" s="43" t="str">
        <f aca="false">IF($B205="","",IFERROR(VLOOKUP($B205,人员名册!$B$4:$G$53,3,0)&amp;"",""))</f>
        <v/>
      </c>
      <c r="E205" s="43" t="str">
        <f aca="false">IF($B205="","",IFERROR(VLOOKUP($B205,人员名册!$B$4:$G$53,5,0)&amp;"",""))</f>
        <v/>
      </c>
      <c r="F205" s="44"/>
      <c r="G205" s="44"/>
      <c r="H205" s="44"/>
      <c r="I205" s="44"/>
      <c r="J205" s="44"/>
      <c r="K205" s="44"/>
      <c r="L205" s="44"/>
      <c r="M205" s="44"/>
      <c r="N205" s="44"/>
      <c r="O205" s="44"/>
      <c r="P205" s="44"/>
      <c r="Q205" s="44"/>
      <c r="R205" s="45" t="str">
        <f aca="false">IF($A205="","",SUM(H205:Q205))</f>
        <v/>
      </c>
      <c r="S205" s="45" t="str">
        <f aca="false">IF($A205="","",ROUND($F205-$G205-$R205,2))</f>
        <v/>
      </c>
      <c r="T205" s="28" t="str">
        <f aca="false">IF(OR($A205="",$F205=0),"",$R205/$F205)</f>
        <v/>
      </c>
      <c r="U205" s="35"/>
      <c r="V205" s="35"/>
      <c r="W205" s="0" t="str">
        <f aca="false">IF($A205="","",$A205&amp;"|"&amp;$B205)</f>
        <v/>
      </c>
    </row>
    <row r="206" customFormat="false" ht="18" hidden="false" customHeight="true" outlineLevel="0" collapsed="false">
      <c r="A206" s="36"/>
      <c r="B206" s="36"/>
      <c r="C206" s="43" t="str">
        <f aca="false">IF($B206="","",IFERROR(VLOOKUP($B206,人员名册!$B$4:$G$53,2,0)&amp;"","名册中未登记"))</f>
        <v/>
      </c>
      <c r="D206" s="43" t="str">
        <f aca="false">IF($B206="","",IFERROR(VLOOKUP($B206,人员名册!$B$4:$G$53,3,0)&amp;"",""))</f>
        <v/>
      </c>
      <c r="E206" s="43" t="str">
        <f aca="false">IF($B206="","",IFERROR(VLOOKUP($B206,人员名册!$B$4:$G$53,5,0)&amp;"",""))</f>
        <v/>
      </c>
      <c r="F206" s="44"/>
      <c r="G206" s="44"/>
      <c r="H206" s="44"/>
      <c r="I206" s="44"/>
      <c r="J206" s="44"/>
      <c r="K206" s="44"/>
      <c r="L206" s="44"/>
      <c r="M206" s="44"/>
      <c r="N206" s="44"/>
      <c r="O206" s="44"/>
      <c r="P206" s="44"/>
      <c r="Q206" s="44"/>
      <c r="R206" s="45" t="str">
        <f aca="false">IF($A206="","",SUM(H206:Q206))</f>
        <v/>
      </c>
      <c r="S206" s="45" t="str">
        <f aca="false">IF($A206="","",ROUND($F206-$G206-$R206,2))</f>
        <v/>
      </c>
      <c r="T206" s="28" t="str">
        <f aca="false">IF(OR($A206="",$F206=0),"",$R206/$F206)</f>
        <v/>
      </c>
      <c r="U206" s="35"/>
      <c r="V206" s="35"/>
      <c r="W206" s="0" t="str">
        <f aca="false">IF($A206="","",$A206&amp;"|"&amp;$B206)</f>
        <v/>
      </c>
    </row>
    <row r="207" customFormat="false" ht="18" hidden="false" customHeight="true" outlineLevel="0" collapsed="false">
      <c r="A207" s="36"/>
      <c r="B207" s="36"/>
      <c r="C207" s="43" t="str">
        <f aca="false">IF($B207="","",IFERROR(VLOOKUP($B207,人员名册!$B$4:$G$53,2,0)&amp;"","名册中未登记"))</f>
        <v/>
      </c>
      <c r="D207" s="43" t="str">
        <f aca="false">IF($B207="","",IFERROR(VLOOKUP($B207,人员名册!$B$4:$G$53,3,0)&amp;"",""))</f>
        <v/>
      </c>
      <c r="E207" s="43" t="str">
        <f aca="false">IF($B207="","",IFERROR(VLOOKUP($B207,人员名册!$B$4:$G$53,5,0)&amp;"",""))</f>
        <v/>
      </c>
      <c r="F207" s="44"/>
      <c r="G207" s="44"/>
      <c r="H207" s="44"/>
      <c r="I207" s="44"/>
      <c r="J207" s="44"/>
      <c r="K207" s="44"/>
      <c r="L207" s="44"/>
      <c r="M207" s="44"/>
      <c r="N207" s="44"/>
      <c r="O207" s="44"/>
      <c r="P207" s="44"/>
      <c r="Q207" s="44"/>
      <c r="R207" s="45" t="str">
        <f aca="false">IF($A207="","",SUM(H207:Q207))</f>
        <v/>
      </c>
      <c r="S207" s="45" t="str">
        <f aca="false">IF($A207="","",ROUND($F207-$G207-$R207,2))</f>
        <v/>
      </c>
      <c r="T207" s="28" t="str">
        <f aca="false">IF(OR($A207="",$F207=0),"",$R207/$F207)</f>
        <v/>
      </c>
      <c r="U207" s="35"/>
      <c r="V207" s="35"/>
      <c r="W207" s="0" t="str">
        <f aca="false">IF($A207="","",$A207&amp;"|"&amp;$B207)</f>
        <v/>
      </c>
    </row>
    <row r="208" customFormat="false" ht="18" hidden="false" customHeight="true" outlineLevel="0" collapsed="false">
      <c r="A208" s="36"/>
      <c r="B208" s="36"/>
      <c r="C208" s="43" t="str">
        <f aca="false">IF($B208="","",IFERROR(VLOOKUP($B208,人员名册!$B$4:$G$53,2,0)&amp;"","名册中未登记"))</f>
        <v/>
      </c>
      <c r="D208" s="43" t="str">
        <f aca="false">IF($B208="","",IFERROR(VLOOKUP($B208,人员名册!$B$4:$G$53,3,0)&amp;"",""))</f>
        <v/>
      </c>
      <c r="E208" s="43" t="str">
        <f aca="false">IF($B208="","",IFERROR(VLOOKUP($B208,人员名册!$B$4:$G$53,5,0)&amp;"",""))</f>
        <v/>
      </c>
      <c r="F208" s="44"/>
      <c r="G208" s="44"/>
      <c r="H208" s="44"/>
      <c r="I208" s="44"/>
      <c r="J208" s="44"/>
      <c r="K208" s="44"/>
      <c r="L208" s="44"/>
      <c r="M208" s="44"/>
      <c r="N208" s="44"/>
      <c r="O208" s="44"/>
      <c r="P208" s="44"/>
      <c r="Q208" s="44"/>
      <c r="R208" s="45" t="str">
        <f aca="false">IF($A208="","",SUM(H208:Q208))</f>
        <v/>
      </c>
      <c r="S208" s="45" t="str">
        <f aca="false">IF($A208="","",ROUND($F208-$G208-$R208,2))</f>
        <v/>
      </c>
      <c r="T208" s="28" t="str">
        <f aca="false">IF(OR($A208="",$F208=0),"",$R208/$F208)</f>
        <v/>
      </c>
      <c r="U208" s="35"/>
      <c r="V208" s="35"/>
      <c r="W208" s="0" t="str">
        <f aca="false">IF($A208="","",$A208&amp;"|"&amp;$B208)</f>
        <v/>
      </c>
    </row>
    <row r="209" customFormat="false" ht="18" hidden="false" customHeight="true" outlineLevel="0" collapsed="false">
      <c r="A209" s="36"/>
      <c r="B209" s="36"/>
      <c r="C209" s="43" t="str">
        <f aca="false">IF($B209="","",IFERROR(VLOOKUP($B209,人员名册!$B$4:$G$53,2,0)&amp;"","名册中未登记"))</f>
        <v/>
      </c>
      <c r="D209" s="43" t="str">
        <f aca="false">IF($B209="","",IFERROR(VLOOKUP($B209,人员名册!$B$4:$G$53,3,0)&amp;"",""))</f>
        <v/>
      </c>
      <c r="E209" s="43" t="str">
        <f aca="false">IF($B209="","",IFERROR(VLOOKUP($B209,人员名册!$B$4:$G$53,5,0)&amp;"",""))</f>
        <v/>
      </c>
      <c r="F209" s="44"/>
      <c r="G209" s="44"/>
      <c r="H209" s="44"/>
      <c r="I209" s="44"/>
      <c r="J209" s="44"/>
      <c r="K209" s="44"/>
      <c r="L209" s="44"/>
      <c r="M209" s="44"/>
      <c r="N209" s="44"/>
      <c r="O209" s="44"/>
      <c r="P209" s="44"/>
      <c r="Q209" s="44"/>
      <c r="R209" s="45" t="str">
        <f aca="false">IF($A209="","",SUM(H209:Q209))</f>
        <v/>
      </c>
      <c r="S209" s="45" t="str">
        <f aca="false">IF($A209="","",ROUND($F209-$G209-$R209,2))</f>
        <v/>
      </c>
      <c r="T209" s="28" t="str">
        <f aca="false">IF(OR($A209="",$F209=0),"",$R209/$F209)</f>
        <v/>
      </c>
      <c r="U209" s="35"/>
      <c r="V209" s="35"/>
      <c r="W209" s="0" t="str">
        <f aca="false">IF($A209="","",$A209&amp;"|"&amp;$B209)</f>
        <v/>
      </c>
    </row>
    <row r="210" customFormat="false" ht="18" hidden="false" customHeight="true" outlineLevel="0" collapsed="false">
      <c r="A210" s="36"/>
      <c r="B210" s="36"/>
      <c r="C210" s="43" t="str">
        <f aca="false">IF($B210="","",IFERROR(VLOOKUP($B210,人员名册!$B$4:$G$53,2,0)&amp;"","名册中未登记"))</f>
        <v/>
      </c>
      <c r="D210" s="43" t="str">
        <f aca="false">IF($B210="","",IFERROR(VLOOKUP($B210,人员名册!$B$4:$G$53,3,0)&amp;"",""))</f>
        <v/>
      </c>
      <c r="E210" s="43" t="str">
        <f aca="false">IF($B210="","",IFERROR(VLOOKUP($B210,人员名册!$B$4:$G$53,5,0)&amp;"",""))</f>
        <v/>
      </c>
      <c r="F210" s="44"/>
      <c r="G210" s="44"/>
      <c r="H210" s="44"/>
      <c r="I210" s="44"/>
      <c r="J210" s="44"/>
      <c r="K210" s="44"/>
      <c r="L210" s="44"/>
      <c r="M210" s="44"/>
      <c r="N210" s="44"/>
      <c r="O210" s="44"/>
      <c r="P210" s="44"/>
      <c r="Q210" s="44"/>
      <c r="R210" s="45" t="str">
        <f aca="false">IF($A210="","",SUM(H210:Q210))</f>
        <v/>
      </c>
      <c r="S210" s="45" t="str">
        <f aca="false">IF($A210="","",ROUND($F210-$G210-$R210,2))</f>
        <v/>
      </c>
      <c r="T210" s="28" t="str">
        <f aca="false">IF(OR($A210="",$F210=0),"",$R210/$F210)</f>
        <v/>
      </c>
      <c r="U210" s="35"/>
      <c r="V210" s="35"/>
      <c r="W210" s="0" t="str">
        <f aca="false">IF($A210="","",$A210&amp;"|"&amp;$B210)</f>
        <v/>
      </c>
    </row>
    <row r="211" customFormat="false" ht="18" hidden="false" customHeight="true" outlineLevel="0" collapsed="false">
      <c r="A211" s="36"/>
      <c r="B211" s="36"/>
      <c r="C211" s="43" t="str">
        <f aca="false">IF($B211="","",IFERROR(VLOOKUP($B211,人员名册!$B$4:$G$53,2,0)&amp;"","名册中未登记"))</f>
        <v/>
      </c>
      <c r="D211" s="43" t="str">
        <f aca="false">IF($B211="","",IFERROR(VLOOKUP($B211,人员名册!$B$4:$G$53,3,0)&amp;"",""))</f>
        <v/>
      </c>
      <c r="E211" s="43" t="str">
        <f aca="false">IF($B211="","",IFERROR(VLOOKUP($B211,人员名册!$B$4:$G$53,5,0)&amp;"",""))</f>
        <v/>
      </c>
      <c r="F211" s="44"/>
      <c r="G211" s="44"/>
      <c r="H211" s="44"/>
      <c r="I211" s="44"/>
      <c r="J211" s="44"/>
      <c r="K211" s="44"/>
      <c r="L211" s="44"/>
      <c r="M211" s="44"/>
      <c r="N211" s="44"/>
      <c r="O211" s="44"/>
      <c r="P211" s="44"/>
      <c r="Q211" s="44"/>
      <c r="R211" s="45" t="str">
        <f aca="false">IF($A211="","",SUM(H211:Q211))</f>
        <v/>
      </c>
      <c r="S211" s="45" t="str">
        <f aca="false">IF($A211="","",ROUND($F211-$G211-$R211,2))</f>
        <v/>
      </c>
      <c r="T211" s="28" t="str">
        <f aca="false">IF(OR($A211="",$F211=0),"",$R211/$F211)</f>
        <v/>
      </c>
      <c r="U211" s="35"/>
      <c r="V211" s="35"/>
      <c r="W211" s="0" t="str">
        <f aca="false">IF($A211="","",$A211&amp;"|"&amp;$B211)</f>
        <v/>
      </c>
    </row>
    <row r="212" customFormat="false" ht="18" hidden="false" customHeight="true" outlineLevel="0" collapsed="false">
      <c r="A212" s="36"/>
      <c r="B212" s="36"/>
      <c r="C212" s="43" t="str">
        <f aca="false">IF($B212="","",IFERROR(VLOOKUP($B212,人员名册!$B$4:$G$53,2,0)&amp;"","名册中未登记"))</f>
        <v/>
      </c>
      <c r="D212" s="43" t="str">
        <f aca="false">IF($B212="","",IFERROR(VLOOKUP($B212,人员名册!$B$4:$G$53,3,0)&amp;"",""))</f>
        <v/>
      </c>
      <c r="E212" s="43" t="str">
        <f aca="false">IF($B212="","",IFERROR(VLOOKUP($B212,人员名册!$B$4:$G$53,5,0)&amp;"",""))</f>
        <v/>
      </c>
      <c r="F212" s="44"/>
      <c r="G212" s="44"/>
      <c r="H212" s="44"/>
      <c r="I212" s="44"/>
      <c r="J212" s="44"/>
      <c r="K212" s="44"/>
      <c r="L212" s="44"/>
      <c r="M212" s="44"/>
      <c r="N212" s="44"/>
      <c r="O212" s="44"/>
      <c r="P212" s="44"/>
      <c r="Q212" s="44"/>
      <c r="R212" s="45" t="str">
        <f aca="false">IF($A212="","",SUM(H212:Q212))</f>
        <v/>
      </c>
      <c r="S212" s="45" t="str">
        <f aca="false">IF($A212="","",ROUND($F212-$G212-$R212,2))</f>
        <v/>
      </c>
      <c r="T212" s="28" t="str">
        <f aca="false">IF(OR($A212="",$F212=0),"",$R212/$F212)</f>
        <v/>
      </c>
      <c r="U212" s="35"/>
      <c r="V212" s="35"/>
      <c r="W212" s="0" t="str">
        <f aca="false">IF($A212="","",$A212&amp;"|"&amp;$B212)</f>
        <v/>
      </c>
    </row>
    <row r="213" customFormat="false" ht="18" hidden="false" customHeight="true" outlineLevel="0" collapsed="false">
      <c r="A213" s="36"/>
      <c r="B213" s="36"/>
      <c r="C213" s="43" t="str">
        <f aca="false">IF($B213="","",IFERROR(VLOOKUP($B213,人员名册!$B$4:$G$53,2,0)&amp;"","名册中未登记"))</f>
        <v/>
      </c>
      <c r="D213" s="43" t="str">
        <f aca="false">IF($B213="","",IFERROR(VLOOKUP($B213,人员名册!$B$4:$G$53,3,0)&amp;"",""))</f>
        <v/>
      </c>
      <c r="E213" s="43" t="str">
        <f aca="false">IF($B213="","",IFERROR(VLOOKUP($B213,人员名册!$B$4:$G$53,5,0)&amp;"",""))</f>
        <v/>
      </c>
      <c r="F213" s="44"/>
      <c r="G213" s="44"/>
      <c r="H213" s="44"/>
      <c r="I213" s="44"/>
      <c r="J213" s="44"/>
      <c r="K213" s="44"/>
      <c r="L213" s="44"/>
      <c r="M213" s="44"/>
      <c r="N213" s="44"/>
      <c r="O213" s="44"/>
      <c r="P213" s="44"/>
      <c r="Q213" s="44"/>
      <c r="R213" s="45" t="str">
        <f aca="false">IF($A213="","",SUM(H213:Q213))</f>
        <v/>
      </c>
      <c r="S213" s="45" t="str">
        <f aca="false">IF($A213="","",ROUND($F213-$G213-$R213,2))</f>
        <v/>
      </c>
      <c r="T213" s="28" t="str">
        <f aca="false">IF(OR($A213="",$F213=0),"",$R213/$F213)</f>
        <v/>
      </c>
      <c r="U213" s="35"/>
      <c r="V213" s="35"/>
      <c r="W213" s="0" t="str">
        <f aca="false">IF($A213="","",$A213&amp;"|"&amp;$B213)</f>
        <v/>
      </c>
    </row>
    <row r="214" customFormat="false" ht="18" hidden="false" customHeight="true" outlineLevel="0" collapsed="false">
      <c r="A214" s="36"/>
      <c r="B214" s="36"/>
      <c r="C214" s="43" t="str">
        <f aca="false">IF($B214="","",IFERROR(VLOOKUP($B214,人员名册!$B$4:$G$53,2,0)&amp;"","名册中未登记"))</f>
        <v/>
      </c>
      <c r="D214" s="43" t="str">
        <f aca="false">IF($B214="","",IFERROR(VLOOKUP($B214,人员名册!$B$4:$G$53,3,0)&amp;"",""))</f>
        <v/>
      </c>
      <c r="E214" s="43" t="str">
        <f aca="false">IF($B214="","",IFERROR(VLOOKUP($B214,人员名册!$B$4:$G$53,5,0)&amp;"",""))</f>
        <v/>
      </c>
      <c r="F214" s="44"/>
      <c r="G214" s="44"/>
      <c r="H214" s="44"/>
      <c r="I214" s="44"/>
      <c r="J214" s="44"/>
      <c r="K214" s="44"/>
      <c r="L214" s="44"/>
      <c r="M214" s="44"/>
      <c r="N214" s="44"/>
      <c r="O214" s="44"/>
      <c r="P214" s="44"/>
      <c r="Q214" s="44"/>
      <c r="R214" s="45" t="str">
        <f aca="false">IF($A214="","",SUM(H214:Q214))</f>
        <v/>
      </c>
      <c r="S214" s="45" t="str">
        <f aca="false">IF($A214="","",ROUND($F214-$G214-$R214,2))</f>
        <v/>
      </c>
      <c r="T214" s="28" t="str">
        <f aca="false">IF(OR($A214="",$F214=0),"",$R214/$F214)</f>
        <v/>
      </c>
      <c r="U214" s="35"/>
      <c r="V214" s="35"/>
      <c r="W214" s="0" t="str">
        <f aca="false">IF($A214="","",$A214&amp;"|"&amp;$B214)</f>
        <v/>
      </c>
    </row>
    <row r="215" customFormat="false" ht="18" hidden="false" customHeight="true" outlineLevel="0" collapsed="false">
      <c r="A215" s="36"/>
      <c r="B215" s="36"/>
      <c r="C215" s="43" t="str">
        <f aca="false">IF($B215="","",IFERROR(VLOOKUP($B215,人员名册!$B$4:$G$53,2,0)&amp;"","名册中未登记"))</f>
        <v/>
      </c>
      <c r="D215" s="43" t="str">
        <f aca="false">IF($B215="","",IFERROR(VLOOKUP($B215,人员名册!$B$4:$G$53,3,0)&amp;"",""))</f>
        <v/>
      </c>
      <c r="E215" s="43" t="str">
        <f aca="false">IF($B215="","",IFERROR(VLOOKUP($B215,人员名册!$B$4:$G$53,5,0)&amp;"",""))</f>
        <v/>
      </c>
      <c r="F215" s="44"/>
      <c r="G215" s="44"/>
      <c r="H215" s="44"/>
      <c r="I215" s="44"/>
      <c r="J215" s="44"/>
      <c r="K215" s="44"/>
      <c r="L215" s="44"/>
      <c r="M215" s="44"/>
      <c r="N215" s="44"/>
      <c r="O215" s="44"/>
      <c r="P215" s="44"/>
      <c r="Q215" s="44"/>
      <c r="R215" s="45" t="str">
        <f aca="false">IF($A215="","",SUM(H215:Q215))</f>
        <v/>
      </c>
      <c r="S215" s="45" t="str">
        <f aca="false">IF($A215="","",ROUND($F215-$G215-$R215,2))</f>
        <v/>
      </c>
      <c r="T215" s="28" t="str">
        <f aca="false">IF(OR($A215="",$F215=0),"",$R215/$F215)</f>
        <v/>
      </c>
      <c r="U215" s="35"/>
      <c r="V215" s="35"/>
      <c r="W215" s="0" t="str">
        <f aca="false">IF($A215="","",$A215&amp;"|"&amp;$B215)</f>
        <v/>
      </c>
    </row>
    <row r="216" customFormat="false" ht="18" hidden="false" customHeight="true" outlineLevel="0" collapsed="false">
      <c r="A216" s="36"/>
      <c r="B216" s="36"/>
      <c r="C216" s="43" t="str">
        <f aca="false">IF($B216="","",IFERROR(VLOOKUP($B216,人员名册!$B$4:$G$53,2,0)&amp;"","名册中未登记"))</f>
        <v/>
      </c>
      <c r="D216" s="43" t="str">
        <f aca="false">IF($B216="","",IFERROR(VLOOKUP($B216,人员名册!$B$4:$G$53,3,0)&amp;"",""))</f>
        <v/>
      </c>
      <c r="E216" s="43" t="str">
        <f aca="false">IF($B216="","",IFERROR(VLOOKUP($B216,人员名册!$B$4:$G$53,5,0)&amp;"",""))</f>
        <v/>
      </c>
      <c r="F216" s="44"/>
      <c r="G216" s="44"/>
      <c r="H216" s="44"/>
      <c r="I216" s="44"/>
      <c r="J216" s="44"/>
      <c r="K216" s="44"/>
      <c r="L216" s="44"/>
      <c r="M216" s="44"/>
      <c r="N216" s="44"/>
      <c r="O216" s="44"/>
      <c r="P216" s="44"/>
      <c r="Q216" s="44"/>
      <c r="R216" s="45" t="str">
        <f aca="false">IF($A216="","",SUM(H216:Q216))</f>
        <v/>
      </c>
      <c r="S216" s="45" t="str">
        <f aca="false">IF($A216="","",ROUND($F216-$G216-$R216,2))</f>
        <v/>
      </c>
      <c r="T216" s="28" t="str">
        <f aca="false">IF(OR($A216="",$F216=0),"",$R216/$F216)</f>
        <v/>
      </c>
      <c r="U216" s="35"/>
      <c r="V216" s="35"/>
      <c r="W216" s="0" t="str">
        <f aca="false">IF($A216="","",$A216&amp;"|"&amp;$B216)</f>
        <v/>
      </c>
    </row>
    <row r="217" customFormat="false" ht="18" hidden="false" customHeight="true" outlineLevel="0" collapsed="false">
      <c r="A217" s="36"/>
      <c r="B217" s="36"/>
      <c r="C217" s="43" t="str">
        <f aca="false">IF($B217="","",IFERROR(VLOOKUP($B217,人员名册!$B$4:$G$53,2,0)&amp;"","名册中未登记"))</f>
        <v/>
      </c>
      <c r="D217" s="43" t="str">
        <f aca="false">IF($B217="","",IFERROR(VLOOKUP($B217,人员名册!$B$4:$G$53,3,0)&amp;"",""))</f>
        <v/>
      </c>
      <c r="E217" s="43" t="str">
        <f aca="false">IF($B217="","",IFERROR(VLOOKUP($B217,人员名册!$B$4:$G$53,5,0)&amp;"",""))</f>
        <v/>
      </c>
      <c r="F217" s="44"/>
      <c r="G217" s="44"/>
      <c r="H217" s="44"/>
      <c r="I217" s="44"/>
      <c r="J217" s="44"/>
      <c r="K217" s="44"/>
      <c r="L217" s="44"/>
      <c r="M217" s="44"/>
      <c r="N217" s="44"/>
      <c r="O217" s="44"/>
      <c r="P217" s="44"/>
      <c r="Q217" s="44"/>
      <c r="R217" s="45" t="str">
        <f aca="false">IF($A217="","",SUM(H217:Q217))</f>
        <v/>
      </c>
      <c r="S217" s="45" t="str">
        <f aca="false">IF($A217="","",ROUND($F217-$G217-$R217,2))</f>
        <v/>
      </c>
      <c r="T217" s="28" t="str">
        <f aca="false">IF(OR($A217="",$F217=0),"",$R217/$F217)</f>
        <v/>
      </c>
      <c r="U217" s="35"/>
      <c r="V217" s="35"/>
      <c r="W217" s="0" t="str">
        <f aca="false">IF($A217="","",$A217&amp;"|"&amp;$B217)</f>
        <v/>
      </c>
    </row>
    <row r="218" customFormat="false" ht="18" hidden="false" customHeight="true" outlineLevel="0" collapsed="false">
      <c r="A218" s="36"/>
      <c r="B218" s="36"/>
      <c r="C218" s="43" t="str">
        <f aca="false">IF($B218="","",IFERROR(VLOOKUP($B218,人员名册!$B$4:$G$53,2,0)&amp;"","名册中未登记"))</f>
        <v/>
      </c>
      <c r="D218" s="43" t="str">
        <f aca="false">IF($B218="","",IFERROR(VLOOKUP($B218,人员名册!$B$4:$G$53,3,0)&amp;"",""))</f>
        <v/>
      </c>
      <c r="E218" s="43" t="str">
        <f aca="false">IF($B218="","",IFERROR(VLOOKUP($B218,人员名册!$B$4:$G$53,5,0)&amp;"",""))</f>
        <v/>
      </c>
      <c r="F218" s="44"/>
      <c r="G218" s="44"/>
      <c r="H218" s="44"/>
      <c r="I218" s="44"/>
      <c r="J218" s="44"/>
      <c r="K218" s="44"/>
      <c r="L218" s="44"/>
      <c r="M218" s="44"/>
      <c r="N218" s="44"/>
      <c r="O218" s="44"/>
      <c r="P218" s="44"/>
      <c r="Q218" s="44"/>
      <c r="R218" s="45" t="str">
        <f aca="false">IF($A218="","",SUM(H218:Q218))</f>
        <v/>
      </c>
      <c r="S218" s="45" t="str">
        <f aca="false">IF($A218="","",ROUND($F218-$G218-$R218,2))</f>
        <v/>
      </c>
      <c r="T218" s="28" t="str">
        <f aca="false">IF(OR($A218="",$F218=0),"",$R218/$F218)</f>
        <v/>
      </c>
      <c r="U218" s="35"/>
      <c r="V218" s="35"/>
      <c r="W218" s="0" t="str">
        <f aca="false">IF($A218="","",$A218&amp;"|"&amp;$B218)</f>
        <v/>
      </c>
    </row>
    <row r="219" customFormat="false" ht="18" hidden="false" customHeight="true" outlineLevel="0" collapsed="false">
      <c r="A219" s="36"/>
      <c r="B219" s="36"/>
      <c r="C219" s="43" t="str">
        <f aca="false">IF($B219="","",IFERROR(VLOOKUP($B219,人员名册!$B$4:$G$53,2,0)&amp;"","名册中未登记"))</f>
        <v/>
      </c>
      <c r="D219" s="43" t="str">
        <f aca="false">IF($B219="","",IFERROR(VLOOKUP($B219,人员名册!$B$4:$G$53,3,0)&amp;"",""))</f>
        <v/>
      </c>
      <c r="E219" s="43" t="str">
        <f aca="false">IF($B219="","",IFERROR(VLOOKUP($B219,人员名册!$B$4:$G$53,5,0)&amp;"",""))</f>
        <v/>
      </c>
      <c r="F219" s="44"/>
      <c r="G219" s="44"/>
      <c r="H219" s="44"/>
      <c r="I219" s="44"/>
      <c r="J219" s="44"/>
      <c r="K219" s="44"/>
      <c r="L219" s="44"/>
      <c r="M219" s="44"/>
      <c r="N219" s="44"/>
      <c r="O219" s="44"/>
      <c r="P219" s="44"/>
      <c r="Q219" s="44"/>
      <c r="R219" s="45" t="str">
        <f aca="false">IF($A219="","",SUM(H219:Q219))</f>
        <v/>
      </c>
      <c r="S219" s="45" t="str">
        <f aca="false">IF($A219="","",ROUND($F219-$G219-$R219,2))</f>
        <v/>
      </c>
      <c r="T219" s="28" t="str">
        <f aca="false">IF(OR($A219="",$F219=0),"",$R219/$F219)</f>
        <v/>
      </c>
      <c r="U219" s="35"/>
      <c r="V219" s="35"/>
      <c r="W219" s="0" t="str">
        <f aca="false">IF($A219="","",$A219&amp;"|"&amp;$B219)</f>
        <v/>
      </c>
    </row>
    <row r="220" customFormat="false" ht="18" hidden="false" customHeight="true" outlineLevel="0" collapsed="false">
      <c r="A220" s="36"/>
      <c r="B220" s="36"/>
      <c r="C220" s="43" t="str">
        <f aca="false">IF($B220="","",IFERROR(VLOOKUP($B220,人员名册!$B$4:$G$53,2,0)&amp;"","名册中未登记"))</f>
        <v/>
      </c>
      <c r="D220" s="43" t="str">
        <f aca="false">IF($B220="","",IFERROR(VLOOKUP($B220,人员名册!$B$4:$G$53,3,0)&amp;"",""))</f>
        <v/>
      </c>
      <c r="E220" s="43" t="str">
        <f aca="false">IF($B220="","",IFERROR(VLOOKUP($B220,人员名册!$B$4:$G$53,5,0)&amp;"",""))</f>
        <v/>
      </c>
      <c r="F220" s="44"/>
      <c r="G220" s="44"/>
      <c r="H220" s="44"/>
      <c r="I220" s="44"/>
      <c r="J220" s="44"/>
      <c r="K220" s="44"/>
      <c r="L220" s="44"/>
      <c r="M220" s="44"/>
      <c r="N220" s="44"/>
      <c r="O220" s="44"/>
      <c r="P220" s="44"/>
      <c r="Q220" s="44"/>
      <c r="R220" s="45" t="str">
        <f aca="false">IF($A220="","",SUM(H220:Q220))</f>
        <v/>
      </c>
      <c r="S220" s="45" t="str">
        <f aca="false">IF($A220="","",ROUND($F220-$G220-$R220,2))</f>
        <v/>
      </c>
      <c r="T220" s="28" t="str">
        <f aca="false">IF(OR($A220="",$F220=0),"",$R220/$F220)</f>
        <v/>
      </c>
      <c r="U220" s="35"/>
      <c r="V220" s="35"/>
      <c r="W220" s="0" t="str">
        <f aca="false">IF($A220="","",$A220&amp;"|"&amp;$B220)</f>
        <v/>
      </c>
    </row>
    <row r="221" customFormat="false" ht="18" hidden="false" customHeight="true" outlineLevel="0" collapsed="false">
      <c r="A221" s="36"/>
      <c r="B221" s="36"/>
      <c r="C221" s="43" t="str">
        <f aca="false">IF($B221="","",IFERROR(VLOOKUP($B221,人员名册!$B$4:$G$53,2,0)&amp;"","名册中未登记"))</f>
        <v/>
      </c>
      <c r="D221" s="43" t="str">
        <f aca="false">IF($B221="","",IFERROR(VLOOKUP($B221,人员名册!$B$4:$G$53,3,0)&amp;"",""))</f>
        <v/>
      </c>
      <c r="E221" s="43" t="str">
        <f aca="false">IF($B221="","",IFERROR(VLOOKUP($B221,人员名册!$B$4:$G$53,5,0)&amp;"",""))</f>
        <v/>
      </c>
      <c r="F221" s="44"/>
      <c r="G221" s="44"/>
      <c r="H221" s="44"/>
      <c r="I221" s="44"/>
      <c r="J221" s="44"/>
      <c r="K221" s="44"/>
      <c r="L221" s="44"/>
      <c r="M221" s="44"/>
      <c r="N221" s="44"/>
      <c r="O221" s="44"/>
      <c r="P221" s="44"/>
      <c r="Q221" s="44"/>
      <c r="R221" s="45" t="str">
        <f aca="false">IF($A221="","",SUM(H221:Q221))</f>
        <v/>
      </c>
      <c r="S221" s="45" t="str">
        <f aca="false">IF($A221="","",ROUND($F221-$G221-$R221,2))</f>
        <v/>
      </c>
      <c r="T221" s="28" t="str">
        <f aca="false">IF(OR($A221="",$F221=0),"",$R221/$F221)</f>
        <v/>
      </c>
      <c r="U221" s="35"/>
      <c r="V221" s="35"/>
      <c r="W221" s="0" t="str">
        <f aca="false">IF($A221="","",$A221&amp;"|"&amp;$B221)</f>
        <v/>
      </c>
    </row>
    <row r="222" customFormat="false" ht="18" hidden="false" customHeight="true" outlineLevel="0" collapsed="false">
      <c r="A222" s="36"/>
      <c r="B222" s="36"/>
      <c r="C222" s="43" t="str">
        <f aca="false">IF($B222="","",IFERROR(VLOOKUP($B222,人员名册!$B$4:$G$53,2,0)&amp;"","名册中未登记"))</f>
        <v/>
      </c>
      <c r="D222" s="43" t="str">
        <f aca="false">IF($B222="","",IFERROR(VLOOKUP($B222,人员名册!$B$4:$G$53,3,0)&amp;"",""))</f>
        <v/>
      </c>
      <c r="E222" s="43" t="str">
        <f aca="false">IF($B222="","",IFERROR(VLOOKUP($B222,人员名册!$B$4:$G$53,5,0)&amp;"",""))</f>
        <v/>
      </c>
      <c r="F222" s="44"/>
      <c r="G222" s="44"/>
      <c r="H222" s="44"/>
      <c r="I222" s="44"/>
      <c r="J222" s="44"/>
      <c r="K222" s="44"/>
      <c r="L222" s="44"/>
      <c r="M222" s="44"/>
      <c r="N222" s="44"/>
      <c r="O222" s="44"/>
      <c r="P222" s="44"/>
      <c r="Q222" s="44"/>
      <c r="R222" s="45" t="str">
        <f aca="false">IF($A222="","",SUM(H222:Q222))</f>
        <v/>
      </c>
      <c r="S222" s="45" t="str">
        <f aca="false">IF($A222="","",ROUND($F222-$G222-$R222,2))</f>
        <v/>
      </c>
      <c r="T222" s="28" t="str">
        <f aca="false">IF(OR($A222="",$F222=0),"",$R222/$F222)</f>
        <v/>
      </c>
      <c r="U222" s="35"/>
      <c r="V222" s="35"/>
      <c r="W222" s="0" t="str">
        <f aca="false">IF($A222="","",$A222&amp;"|"&amp;$B222)</f>
        <v/>
      </c>
    </row>
    <row r="223" customFormat="false" ht="18" hidden="false" customHeight="true" outlineLevel="0" collapsed="false">
      <c r="A223" s="36"/>
      <c r="B223" s="36"/>
      <c r="C223" s="43" t="str">
        <f aca="false">IF($B223="","",IFERROR(VLOOKUP($B223,人员名册!$B$4:$G$53,2,0)&amp;"","名册中未登记"))</f>
        <v/>
      </c>
      <c r="D223" s="43" t="str">
        <f aca="false">IF($B223="","",IFERROR(VLOOKUP($B223,人员名册!$B$4:$G$53,3,0)&amp;"",""))</f>
        <v/>
      </c>
      <c r="E223" s="43" t="str">
        <f aca="false">IF($B223="","",IFERROR(VLOOKUP($B223,人员名册!$B$4:$G$53,5,0)&amp;"",""))</f>
        <v/>
      </c>
      <c r="F223" s="44"/>
      <c r="G223" s="44"/>
      <c r="H223" s="44"/>
      <c r="I223" s="44"/>
      <c r="J223" s="44"/>
      <c r="K223" s="44"/>
      <c r="L223" s="44"/>
      <c r="M223" s="44"/>
      <c r="N223" s="44"/>
      <c r="O223" s="44"/>
      <c r="P223" s="44"/>
      <c r="Q223" s="44"/>
      <c r="R223" s="45" t="str">
        <f aca="false">IF($A223="","",SUM(H223:Q223))</f>
        <v/>
      </c>
      <c r="S223" s="45" t="str">
        <f aca="false">IF($A223="","",ROUND($F223-$G223-$R223,2))</f>
        <v/>
      </c>
      <c r="T223" s="28" t="str">
        <f aca="false">IF(OR($A223="",$F223=0),"",$R223/$F223)</f>
        <v/>
      </c>
      <c r="U223" s="35"/>
      <c r="V223" s="35"/>
      <c r="W223" s="0" t="str">
        <f aca="false">IF($A223="","",$A223&amp;"|"&amp;$B223)</f>
        <v/>
      </c>
    </row>
    <row r="224" customFormat="false" ht="18" hidden="false" customHeight="true" outlineLevel="0" collapsed="false">
      <c r="A224" s="36"/>
      <c r="B224" s="36"/>
      <c r="C224" s="43" t="str">
        <f aca="false">IF($B224="","",IFERROR(VLOOKUP($B224,人员名册!$B$4:$G$53,2,0)&amp;"","名册中未登记"))</f>
        <v/>
      </c>
      <c r="D224" s="43" t="str">
        <f aca="false">IF($B224="","",IFERROR(VLOOKUP($B224,人员名册!$B$4:$G$53,3,0)&amp;"",""))</f>
        <v/>
      </c>
      <c r="E224" s="43" t="str">
        <f aca="false">IF($B224="","",IFERROR(VLOOKUP($B224,人员名册!$B$4:$G$53,5,0)&amp;"",""))</f>
        <v/>
      </c>
      <c r="F224" s="44"/>
      <c r="G224" s="44"/>
      <c r="H224" s="44"/>
      <c r="I224" s="44"/>
      <c r="J224" s="44"/>
      <c r="K224" s="44"/>
      <c r="L224" s="44"/>
      <c r="M224" s="44"/>
      <c r="N224" s="44"/>
      <c r="O224" s="44"/>
      <c r="P224" s="44"/>
      <c r="Q224" s="44"/>
      <c r="R224" s="45" t="str">
        <f aca="false">IF($A224="","",SUM(H224:Q224))</f>
        <v/>
      </c>
      <c r="S224" s="45" t="str">
        <f aca="false">IF($A224="","",ROUND($F224-$G224-$R224,2))</f>
        <v/>
      </c>
      <c r="T224" s="28" t="str">
        <f aca="false">IF(OR($A224="",$F224=0),"",$R224/$F224)</f>
        <v/>
      </c>
      <c r="U224" s="35"/>
      <c r="V224" s="35"/>
      <c r="W224" s="0" t="str">
        <f aca="false">IF($A224="","",$A224&amp;"|"&amp;$B224)</f>
        <v/>
      </c>
    </row>
    <row r="225" customFormat="false" ht="18" hidden="false" customHeight="true" outlineLevel="0" collapsed="false">
      <c r="A225" s="36"/>
      <c r="B225" s="36"/>
      <c r="C225" s="43" t="str">
        <f aca="false">IF($B225="","",IFERROR(VLOOKUP($B225,人员名册!$B$4:$G$53,2,0)&amp;"","名册中未登记"))</f>
        <v/>
      </c>
      <c r="D225" s="43" t="str">
        <f aca="false">IF($B225="","",IFERROR(VLOOKUP($B225,人员名册!$B$4:$G$53,3,0)&amp;"",""))</f>
        <v/>
      </c>
      <c r="E225" s="43" t="str">
        <f aca="false">IF($B225="","",IFERROR(VLOOKUP($B225,人员名册!$B$4:$G$53,5,0)&amp;"",""))</f>
        <v/>
      </c>
      <c r="F225" s="44"/>
      <c r="G225" s="44"/>
      <c r="H225" s="44"/>
      <c r="I225" s="44"/>
      <c r="J225" s="44"/>
      <c r="K225" s="44"/>
      <c r="L225" s="44"/>
      <c r="M225" s="44"/>
      <c r="N225" s="44"/>
      <c r="O225" s="44"/>
      <c r="P225" s="44"/>
      <c r="Q225" s="44"/>
      <c r="R225" s="45" t="str">
        <f aca="false">IF($A225="","",SUM(H225:Q225))</f>
        <v/>
      </c>
      <c r="S225" s="45" t="str">
        <f aca="false">IF($A225="","",ROUND($F225-$G225-$R225,2))</f>
        <v/>
      </c>
      <c r="T225" s="28" t="str">
        <f aca="false">IF(OR($A225="",$F225=0),"",$R225/$F225)</f>
        <v/>
      </c>
      <c r="U225" s="35"/>
      <c r="V225" s="35"/>
      <c r="W225" s="0" t="str">
        <f aca="false">IF($A225="","",$A225&amp;"|"&amp;$B225)</f>
        <v/>
      </c>
    </row>
    <row r="226" customFormat="false" ht="18" hidden="false" customHeight="true" outlineLevel="0" collapsed="false">
      <c r="A226" s="36"/>
      <c r="B226" s="36"/>
      <c r="C226" s="43" t="str">
        <f aca="false">IF($B226="","",IFERROR(VLOOKUP($B226,人员名册!$B$4:$G$53,2,0)&amp;"","名册中未登记"))</f>
        <v/>
      </c>
      <c r="D226" s="43" t="str">
        <f aca="false">IF($B226="","",IFERROR(VLOOKUP($B226,人员名册!$B$4:$G$53,3,0)&amp;"",""))</f>
        <v/>
      </c>
      <c r="E226" s="43" t="str">
        <f aca="false">IF($B226="","",IFERROR(VLOOKUP($B226,人员名册!$B$4:$G$53,5,0)&amp;"",""))</f>
        <v/>
      </c>
      <c r="F226" s="44"/>
      <c r="G226" s="44"/>
      <c r="H226" s="44"/>
      <c r="I226" s="44"/>
      <c r="J226" s="44"/>
      <c r="K226" s="44"/>
      <c r="L226" s="44"/>
      <c r="M226" s="44"/>
      <c r="N226" s="44"/>
      <c r="O226" s="44"/>
      <c r="P226" s="44"/>
      <c r="Q226" s="44"/>
      <c r="R226" s="45" t="str">
        <f aca="false">IF($A226="","",SUM(H226:Q226))</f>
        <v/>
      </c>
      <c r="S226" s="45" t="str">
        <f aca="false">IF($A226="","",ROUND($F226-$G226-$R226,2))</f>
        <v/>
      </c>
      <c r="T226" s="28" t="str">
        <f aca="false">IF(OR($A226="",$F226=0),"",$R226/$F226)</f>
        <v/>
      </c>
      <c r="U226" s="35"/>
      <c r="V226" s="35"/>
      <c r="W226" s="0" t="str">
        <f aca="false">IF($A226="","",$A226&amp;"|"&amp;$B226)</f>
        <v/>
      </c>
    </row>
    <row r="227" customFormat="false" ht="18" hidden="false" customHeight="true" outlineLevel="0" collapsed="false">
      <c r="A227" s="36"/>
      <c r="B227" s="36"/>
      <c r="C227" s="43" t="str">
        <f aca="false">IF($B227="","",IFERROR(VLOOKUP($B227,人员名册!$B$4:$G$53,2,0)&amp;"","名册中未登记"))</f>
        <v/>
      </c>
      <c r="D227" s="43" t="str">
        <f aca="false">IF($B227="","",IFERROR(VLOOKUP($B227,人员名册!$B$4:$G$53,3,0)&amp;"",""))</f>
        <v/>
      </c>
      <c r="E227" s="43" t="str">
        <f aca="false">IF($B227="","",IFERROR(VLOOKUP($B227,人员名册!$B$4:$G$53,5,0)&amp;"",""))</f>
        <v/>
      </c>
      <c r="F227" s="44"/>
      <c r="G227" s="44"/>
      <c r="H227" s="44"/>
      <c r="I227" s="44"/>
      <c r="J227" s="44"/>
      <c r="K227" s="44"/>
      <c r="L227" s="44"/>
      <c r="M227" s="44"/>
      <c r="N227" s="44"/>
      <c r="O227" s="44"/>
      <c r="P227" s="44"/>
      <c r="Q227" s="44"/>
      <c r="R227" s="45" t="str">
        <f aca="false">IF($A227="","",SUM(H227:Q227))</f>
        <v/>
      </c>
      <c r="S227" s="45" t="str">
        <f aca="false">IF($A227="","",ROUND($F227-$G227-$R227,2))</f>
        <v/>
      </c>
      <c r="T227" s="28" t="str">
        <f aca="false">IF(OR($A227="",$F227=0),"",$R227/$F227)</f>
        <v/>
      </c>
      <c r="U227" s="35"/>
      <c r="V227" s="35"/>
      <c r="W227" s="0" t="str">
        <f aca="false">IF($A227="","",$A227&amp;"|"&amp;$B227)</f>
        <v/>
      </c>
    </row>
    <row r="228" customFormat="false" ht="18" hidden="false" customHeight="true" outlineLevel="0" collapsed="false">
      <c r="A228" s="36"/>
      <c r="B228" s="36"/>
      <c r="C228" s="43" t="str">
        <f aca="false">IF($B228="","",IFERROR(VLOOKUP($B228,人员名册!$B$4:$G$53,2,0)&amp;"","名册中未登记"))</f>
        <v/>
      </c>
      <c r="D228" s="43" t="str">
        <f aca="false">IF($B228="","",IFERROR(VLOOKUP($B228,人员名册!$B$4:$G$53,3,0)&amp;"",""))</f>
        <v/>
      </c>
      <c r="E228" s="43" t="str">
        <f aca="false">IF($B228="","",IFERROR(VLOOKUP($B228,人员名册!$B$4:$G$53,5,0)&amp;"",""))</f>
        <v/>
      </c>
      <c r="F228" s="44"/>
      <c r="G228" s="44"/>
      <c r="H228" s="44"/>
      <c r="I228" s="44"/>
      <c r="J228" s="44"/>
      <c r="K228" s="44"/>
      <c r="L228" s="44"/>
      <c r="M228" s="44"/>
      <c r="N228" s="44"/>
      <c r="O228" s="44"/>
      <c r="P228" s="44"/>
      <c r="Q228" s="44"/>
      <c r="R228" s="45" t="str">
        <f aca="false">IF($A228="","",SUM(H228:Q228))</f>
        <v/>
      </c>
      <c r="S228" s="45" t="str">
        <f aca="false">IF($A228="","",ROUND($F228-$G228-$R228,2))</f>
        <v/>
      </c>
      <c r="T228" s="28" t="str">
        <f aca="false">IF(OR($A228="",$F228=0),"",$R228/$F228)</f>
        <v/>
      </c>
      <c r="U228" s="35"/>
      <c r="V228" s="35"/>
      <c r="W228" s="0" t="str">
        <f aca="false">IF($A228="","",$A228&amp;"|"&amp;$B228)</f>
        <v/>
      </c>
    </row>
    <row r="229" customFormat="false" ht="18" hidden="false" customHeight="true" outlineLevel="0" collapsed="false">
      <c r="A229" s="36"/>
      <c r="B229" s="36"/>
      <c r="C229" s="43" t="str">
        <f aca="false">IF($B229="","",IFERROR(VLOOKUP($B229,人员名册!$B$4:$G$53,2,0)&amp;"","名册中未登记"))</f>
        <v/>
      </c>
      <c r="D229" s="43" t="str">
        <f aca="false">IF($B229="","",IFERROR(VLOOKUP($B229,人员名册!$B$4:$G$53,3,0)&amp;"",""))</f>
        <v/>
      </c>
      <c r="E229" s="43" t="str">
        <f aca="false">IF($B229="","",IFERROR(VLOOKUP($B229,人员名册!$B$4:$G$53,5,0)&amp;"",""))</f>
        <v/>
      </c>
      <c r="F229" s="44"/>
      <c r="G229" s="44"/>
      <c r="H229" s="44"/>
      <c r="I229" s="44"/>
      <c r="J229" s="44"/>
      <c r="K229" s="44"/>
      <c r="L229" s="44"/>
      <c r="M229" s="44"/>
      <c r="N229" s="44"/>
      <c r="O229" s="44"/>
      <c r="P229" s="44"/>
      <c r="Q229" s="44"/>
      <c r="R229" s="45" t="str">
        <f aca="false">IF($A229="","",SUM(H229:Q229))</f>
        <v/>
      </c>
      <c r="S229" s="45" t="str">
        <f aca="false">IF($A229="","",ROUND($F229-$G229-$R229,2))</f>
        <v/>
      </c>
      <c r="T229" s="28" t="str">
        <f aca="false">IF(OR($A229="",$F229=0),"",$R229/$F229)</f>
        <v/>
      </c>
      <c r="U229" s="35"/>
      <c r="V229" s="35"/>
      <c r="W229" s="0" t="str">
        <f aca="false">IF($A229="","",$A229&amp;"|"&amp;$B229)</f>
        <v/>
      </c>
    </row>
    <row r="230" customFormat="false" ht="18" hidden="false" customHeight="true" outlineLevel="0" collapsed="false">
      <c r="A230" s="36"/>
      <c r="B230" s="36"/>
      <c r="C230" s="43" t="str">
        <f aca="false">IF($B230="","",IFERROR(VLOOKUP($B230,人员名册!$B$4:$G$53,2,0)&amp;"","名册中未登记"))</f>
        <v/>
      </c>
      <c r="D230" s="43" t="str">
        <f aca="false">IF($B230="","",IFERROR(VLOOKUP($B230,人员名册!$B$4:$G$53,3,0)&amp;"",""))</f>
        <v/>
      </c>
      <c r="E230" s="43" t="str">
        <f aca="false">IF($B230="","",IFERROR(VLOOKUP($B230,人员名册!$B$4:$G$53,5,0)&amp;"",""))</f>
        <v/>
      </c>
      <c r="F230" s="44"/>
      <c r="G230" s="44"/>
      <c r="H230" s="44"/>
      <c r="I230" s="44"/>
      <c r="J230" s="44"/>
      <c r="K230" s="44"/>
      <c r="L230" s="44"/>
      <c r="M230" s="44"/>
      <c r="N230" s="44"/>
      <c r="O230" s="44"/>
      <c r="P230" s="44"/>
      <c r="Q230" s="44"/>
      <c r="R230" s="45" t="str">
        <f aca="false">IF($A230="","",SUM(H230:Q230))</f>
        <v/>
      </c>
      <c r="S230" s="45" t="str">
        <f aca="false">IF($A230="","",ROUND($F230-$G230-$R230,2))</f>
        <v/>
      </c>
      <c r="T230" s="28" t="str">
        <f aca="false">IF(OR($A230="",$F230=0),"",$R230/$F230)</f>
        <v/>
      </c>
      <c r="U230" s="35"/>
      <c r="V230" s="35"/>
      <c r="W230" s="0" t="str">
        <f aca="false">IF($A230="","",$A230&amp;"|"&amp;$B230)</f>
        <v/>
      </c>
    </row>
    <row r="231" customFormat="false" ht="18" hidden="false" customHeight="true" outlineLevel="0" collapsed="false">
      <c r="A231" s="36"/>
      <c r="B231" s="36"/>
      <c r="C231" s="43" t="str">
        <f aca="false">IF($B231="","",IFERROR(VLOOKUP($B231,人员名册!$B$4:$G$53,2,0)&amp;"","名册中未登记"))</f>
        <v/>
      </c>
      <c r="D231" s="43" t="str">
        <f aca="false">IF($B231="","",IFERROR(VLOOKUP($B231,人员名册!$B$4:$G$53,3,0)&amp;"",""))</f>
        <v/>
      </c>
      <c r="E231" s="43" t="str">
        <f aca="false">IF($B231="","",IFERROR(VLOOKUP($B231,人员名册!$B$4:$G$53,5,0)&amp;"",""))</f>
        <v/>
      </c>
      <c r="F231" s="44"/>
      <c r="G231" s="44"/>
      <c r="H231" s="44"/>
      <c r="I231" s="44"/>
      <c r="J231" s="44"/>
      <c r="K231" s="44"/>
      <c r="L231" s="44"/>
      <c r="M231" s="44"/>
      <c r="N231" s="44"/>
      <c r="O231" s="44"/>
      <c r="P231" s="44"/>
      <c r="Q231" s="44"/>
      <c r="R231" s="45" t="str">
        <f aca="false">IF($A231="","",SUM(H231:Q231))</f>
        <v/>
      </c>
      <c r="S231" s="45" t="str">
        <f aca="false">IF($A231="","",ROUND($F231-$G231-$R231,2))</f>
        <v/>
      </c>
      <c r="T231" s="28" t="str">
        <f aca="false">IF(OR($A231="",$F231=0),"",$R231/$F231)</f>
        <v/>
      </c>
      <c r="U231" s="35"/>
      <c r="V231" s="35"/>
      <c r="W231" s="0" t="str">
        <f aca="false">IF($A231="","",$A231&amp;"|"&amp;$B231)</f>
        <v/>
      </c>
    </row>
    <row r="232" customFormat="false" ht="18" hidden="false" customHeight="true" outlineLevel="0" collapsed="false">
      <c r="A232" s="36"/>
      <c r="B232" s="36"/>
      <c r="C232" s="43" t="str">
        <f aca="false">IF($B232="","",IFERROR(VLOOKUP($B232,人员名册!$B$4:$G$53,2,0)&amp;"","名册中未登记"))</f>
        <v/>
      </c>
      <c r="D232" s="43" t="str">
        <f aca="false">IF($B232="","",IFERROR(VLOOKUP($B232,人员名册!$B$4:$G$53,3,0)&amp;"",""))</f>
        <v/>
      </c>
      <c r="E232" s="43" t="str">
        <f aca="false">IF($B232="","",IFERROR(VLOOKUP($B232,人员名册!$B$4:$G$53,5,0)&amp;"",""))</f>
        <v/>
      </c>
      <c r="F232" s="44"/>
      <c r="G232" s="44"/>
      <c r="H232" s="44"/>
      <c r="I232" s="44"/>
      <c r="J232" s="44"/>
      <c r="K232" s="44"/>
      <c r="L232" s="44"/>
      <c r="M232" s="44"/>
      <c r="N232" s="44"/>
      <c r="O232" s="44"/>
      <c r="P232" s="44"/>
      <c r="Q232" s="44"/>
      <c r="R232" s="45" t="str">
        <f aca="false">IF($A232="","",SUM(H232:Q232))</f>
        <v/>
      </c>
      <c r="S232" s="45" t="str">
        <f aca="false">IF($A232="","",ROUND($F232-$G232-$R232,2))</f>
        <v/>
      </c>
      <c r="T232" s="28" t="str">
        <f aca="false">IF(OR($A232="",$F232=0),"",$R232/$F232)</f>
        <v/>
      </c>
      <c r="U232" s="35"/>
      <c r="V232" s="35"/>
      <c r="W232" s="0" t="str">
        <f aca="false">IF($A232="","",$A232&amp;"|"&amp;$B232)</f>
        <v/>
      </c>
    </row>
    <row r="233" customFormat="false" ht="18" hidden="false" customHeight="true" outlineLevel="0" collapsed="false">
      <c r="A233" s="36"/>
      <c r="B233" s="36"/>
      <c r="C233" s="43" t="str">
        <f aca="false">IF($B233="","",IFERROR(VLOOKUP($B233,人员名册!$B$4:$G$53,2,0)&amp;"","名册中未登记"))</f>
        <v/>
      </c>
      <c r="D233" s="43" t="str">
        <f aca="false">IF($B233="","",IFERROR(VLOOKUP($B233,人员名册!$B$4:$G$53,3,0)&amp;"",""))</f>
        <v/>
      </c>
      <c r="E233" s="43" t="str">
        <f aca="false">IF($B233="","",IFERROR(VLOOKUP($B233,人员名册!$B$4:$G$53,5,0)&amp;"",""))</f>
        <v/>
      </c>
      <c r="F233" s="44"/>
      <c r="G233" s="44"/>
      <c r="H233" s="44"/>
      <c r="I233" s="44"/>
      <c r="J233" s="44"/>
      <c r="K233" s="44"/>
      <c r="L233" s="44"/>
      <c r="M233" s="44"/>
      <c r="N233" s="44"/>
      <c r="O233" s="44"/>
      <c r="P233" s="44"/>
      <c r="Q233" s="44"/>
      <c r="R233" s="45" t="str">
        <f aca="false">IF($A233="","",SUM(H233:Q233))</f>
        <v/>
      </c>
      <c r="S233" s="45" t="str">
        <f aca="false">IF($A233="","",ROUND($F233-$G233-$R233,2))</f>
        <v/>
      </c>
      <c r="T233" s="28" t="str">
        <f aca="false">IF(OR($A233="",$F233=0),"",$R233/$F233)</f>
        <v/>
      </c>
      <c r="U233" s="35"/>
      <c r="V233" s="35"/>
      <c r="W233" s="0" t="str">
        <f aca="false">IF($A233="","",$A233&amp;"|"&amp;$B233)</f>
        <v/>
      </c>
    </row>
    <row r="234" customFormat="false" ht="18" hidden="false" customHeight="true" outlineLevel="0" collapsed="false">
      <c r="A234" s="36"/>
      <c r="B234" s="36"/>
      <c r="C234" s="43" t="str">
        <f aca="false">IF($B234="","",IFERROR(VLOOKUP($B234,人员名册!$B$4:$G$53,2,0)&amp;"","名册中未登记"))</f>
        <v/>
      </c>
      <c r="D234" s="43" t="str">
        <f aca="false">IF($B234="","",IFERROR(VLOOKUP($B234,人员名册!$B$4:$G$53,3,0)&amp;"",""))</f>
        <v/>
      </c>
      <c r="E234" s="43" t="str">
        <f aca="false">IF($B234="","",IFERROR(VLOOKUP($B234,人员名册!$B$4:$G$53,5,0)&amp;"",""))</f>
        <v/>
      </c>
      <c r="F234" s="44"/>
      <c r="G234" s="44"/>
      <c r="H234" s="44"/>
      <c r="I234" s="44"/>
      <c r="J234" s="44"/>
      <c r="K234" s="44"/>
      <c r="L234" s="44"/>
      <c r="M234" s="44"/>
      <c r="N234" s="44"/>
      <c r="O234" s="44"/>
      <c r="P234" s="44"/>
      <c r="Q234" s="44"/>
      <c r="R234" s="45" t="str">
        <f aca="false">IF($A234="","",SUM(H234:Q234))</f>
        <v/>
      </c>
      <c r="S234" s="45" t="str">
        <f aca="false">IF($A234="","",ROUND($F234-$G234-$R234,2))</f>
        <v/>
      </c>
      <c r="T234" s="28" t="str">
        <f aca="false">IF(OR($A234="",$F234=0),"",$R234/$F234)</f>
        <v/>
      </c>
      <c r="U234" s="35"/>
      <c r="V234" s="35"/>
      <c r="W234" s="0" t="str">
        <f aca="false">IF($A234="","",$A234&amp;"|"&amp;$B234)</f>
        <v/>
      </c>
    </row>
    <row r="235" customFormat="false" ht="18" hidden="false" customHeight="true" outlineLevel="0" collapsed="false">
      <c r="A235" s="36"/>
      <c r="B235" s="36"/>
      <c r="C235" s="43" t="str">
        <f aca="false">IF($B235="","",IFERROR(VLOOKUP($B235,人员名册!$B$4:$G$53,2,0)&amp;"","名册中未登记"))</f>
        <v/>
      </c>
      <c r="D235" s="43" t="str">
        <f aca="false">IF($B235="","",IFERROR(VLOOKUP($B235,人员名册!$B$4:$G$53,3,0)&amp;"",""))</f>
        <v/>
      </c>
      <c r="E235" s="43" t="str">
        <f aca="false">IF($B235="","",IFERROR(VLOOKUP($B235,人员名册!$B$4:$G$53,5,0)&amp;"",""))</f>
        <v/>
      </c>
      <c r="F235" s="44"/>
      <c r="G235" s="44"/>
      <c r="H235" s="44"/>
      <c r="I235" s="44"/>
      <c r="J235" s="44"/>
      <c r="K235" s="44"/>
      <c r="L235" s="44"/>
      <c r="M235" s="44"/>
      <c r="N235" s="44"/>
      <c r="O235" s="44"/>
      <c r="P235" s="44"/>
      <c r="Q235" s="44"/>
      <c r="R235" s="45" t="str">
        <f aca="false">IF($A235="","",SUM(H235:Q235))</f>
        <v/>
      </c>
      <c r="S235" s="45" t="str">
        <f aca="false">IF($A235="","",ROUND($F235-$G235-$R235,2))</f>
        <v/>
      </c>
      <c r="T235" s="28" t="str">
        <f aca="false">IF(OR($A235="",$F235=0),"",$R235/$F235)</f>
        <v/>
      </c>
      <c r="U235" s="35"/>
      <c r="V235" s="35"/>
      <c r="W235" s="0" t="str">
        <f aca="false">IF($A235="","",$A235&amp;"|"&amp;$B235)</f>
        <v/>
      </c>
    </row>
    <row r="236" customFormat="false" ht="18" hidden="false" customHeight="true" outlineLevel="0" collapsed="false">
      <c r="A236" s="36"/>
      <c r="B236" s="36"/>
      <c r="C236" s="43" t="str">
        <f aca="false">IF($B236="","",IFERROR(VLOOKUP($B236,人员名册!$B$4:$G$53,2,0)&amp;"","名册中未登记"))</f>
        <v/>
      </c>
      <c r="D236" s="43" t="str">
        <f aca="false">IF($B236="","",IFERROR(VLOOKUP($B236,人员名册!$B$4:$G$53,3,0)&amp;"",""))</f>
        <v/>
      </c>
      <c r="E236" s="43" t="str">
        <f aca="false">IF($B236="","",IFERROR(VLOOKUP($B236,人员名册!$B$4:$G$53,5,0)&amp;"",""))</f>
        <v/>
      </c>
      <c r="F236" s="44"/>
      <c r="G236" s="44"/>
      <c r="H236" s="44"/>
      <c r="I236" s="44"/>
      <c r="J236" s="44"/>
      <c r="K236" s="44"/>
      <c r="L236" s="44"/>
      <c r="M236" s="44"/>
      <c r="N236" s="44"/>
      <c r="O236" s="44"/>
      <c r="P236" s="44"/>
      <c r="Q236" s="44"/>
      <c r="R236" s="45" t="str">
        <f aca="false">IF($A236="","",SUM(H236:Q236))</f>
        <v/>
      </c>
      <c r="S236" s="45" t="str">
        <f aca="false">IF($A236="","",ROUND($F236-$G236-$R236,2))</f>
        <v/>
      </c>
      <c r="T236" s="28" t="str">
        <f aca="false">IF(OR($A236="",$F236=0),"",$R236/$F236)</f>
        <v/>
      </c>
      <c r="U236" s="35"/>
      <c r="V236" s="35"/>
      <c r="W236" s="0" t="str">
        <f aca="false">IF($A236="","",$A236&amp;"|"&amp;$B236)</f>
        <v/>
      </c>
    </row>
    <row r="237" customFormat="false" ht="18" hidden="false" customHeight="true" outlineLevel="0" collapsed="false">
      <c r="A237" s="36"/>
      <c r="B237" s="36"/>
      <c r="C237" s="43" t="str">
        <f aca="false">IF($B237="","",IFERROR(VLOOKUP($B237,人员名册!$B$4:$G$53,2,0)&amp;"","名册中未登记"))</f>
        <v/>
      </c>
      <c r="D237" s="43" t="str">
        <f aca="false">IF($B237="","",IFERROR(VLOOKUP($B237,人员名册!$B$4:$G$53,3,0)&amp;"",""))</f>
        <v/>
      </c>
      <c r="E237" s="43" t="str">
        <f aca="false">IF($B237="","",IFERROR(VLOOKUP($B237,人员名册!$B$4:$G$53,5,0)&amp;"",""))</f>
        <v/>
      </c>
      <c r="F237" s="44"/>
      <c r="G237" s="44"/>
      <c r="H237" s="44"/>
      <c r="I237" s="44"/>
      <c r="J237" s="44"/>
      <c r="K237" s="44"/>
      <c r="L237" s="44"/>
      <c r="M237" s="44"/>
      <c r="N237" s="44"/>
      <c r="O237" s="44"/>
      <c r="P237" s="44"/>
      <c r="Q237" s="44"/>
      <c r="R237" s="45" t="str">
        <f aca="false">IF($A237="","",SUM(H237:Q237))</f>
        <v/>
      </c>
      <c r="S237" s="45" t="str">
        <f aca="false">IF($A237="","",ROUND($F237-$G237-$R237,2))</f>
        <v/>
      </c>
      <c r="T237" s="28" t="str">
        <f aca="false">IF(OR($A237="",$F237=0),"",$R237/$F237)</f>
        <v/>
      </c>
      <c r="U237" s="35"/>
      <c r="V237" s="35"/>
      <c r="W237" s="0" t="str">
        <f aca="false">IF($A237="","",$A237&amp;"|"&amp;$B237)</f>
        <v/>
      </c>
    </row>
    <row r="238" customFormat="false" ht="18" hidden="false" customHeight="true" outlineLevel="0" collapsed="false">
      <c r="A238" s="36"/>
      <c r="B238" s="36"/>
      <c r="C238" s="43" t="str">
        <f aca="false">IF($B238="","",IFERROR(VLOOKUP($B238,人员名册!$B$4:$G$53,2,0)&amp;"","名册中未登记"))</f>
        <v/>
      </c>
      <c r="D238" s="43" t="str">
        <f aca="false">IF($B238="","",IFERROR(VLOOKUP($B238,人员名册!$B$4:$G$53,3,0)&amp;"",""))</f>
        <v/>
      </c>
      <c r="E238" s="43" t="str">
        <f aca="false">IF($B238="","",IFERROR(VLOOKUP($B238,人员名册!$B$4:$G$53,5,0)&amp;"",""))</f>
        <v/>
      </c>
      <c r="F238" s="44"/>
      <c r="G238" s="44"/>
      <c r="H238" s="44"/>
      <c r="I238" s="44"/>
      <c r="J238" s="44"/>
      <c r="K238" s="44"/>
      <c r="L238" s="44"/>
      <c r="M238" s="44"/>
      <c r="N238" s="44"/>
      <c r="O238" s="44"/>
      <c r="P238" s="44"/>
      <c r="Q238" s="44"/>
      <c r="R238" s="45" t="str">
        <f aca="false">IF($A238="","",SUM(H238:Q238))</f>
        <v/>
      </c>
      <c r="S238" s="45" t="str">
        <f aca="false">IF($A238="","",ROUND($F238-$G238-$R238,2))</f>
        <v/>
      </c>
      <c r="T238" s="28" t="str">
        <f aca="false">IF(OR($A238="",$F238=0),"",$R238/$F238)</f>
        <v/>
      </c>
      <c r="U238" s="35"/>
      <c r="V238" s="35"/>
      <c r="W238" s="0" t="str">
        <f aca="false">IF($A238="","",$A238&amp;"|"&amp;$B238)</f>
        <v/>
      </c>
    </row>
    <row r="239" customFormat="false" ht="18" hidden="false" customHeight="true" outlineLevel="0" collapsed="false">
      <c r="A239" s="36"/>
      <c r="B239" s="36"/>
      <c r="C239" s="43" t="str">
        <f aca="false">IF($B239="","",IFERROR(VLOOKUP($B239,人员名册!$B$4:$G$53,2,0)&amp;"","名册中未登记"))</f>
        <v/>
      </c>
      <c r="D239" s="43" t="str">
        <f aca="false">IF($B239="","",IFERROR(VLOOKUP($B239,人员名册!$B$4:$G$53,3,0)&amp;"",""))</f>
        <v/>
      </c>
      <c r="E239" s="43" t="str">
        <f aca="false">IF($B239="","",IFERROR(VLOOKUP($B239,人员名册!$B$4:$G$53,5,0)&amp;"",""))</f>
        <v/>
      </c>
      <c r="F239" s="44"/>
      <c r="G239" s="44"/>
      <c r="H239" s="44"/>
      <c r="I239" s="44"/>
      <c r="J239" s="44"/>
      <c r="K239" s="44"/>
      <c r="L239" s="44"/>
      <c r="M239" s="44"/>
      <c r="N239" s="44"/>
      <c r="O239" s="44"/>
      <c r="P239" s="44"/>
      <c r="Q239" s="44"/>
      <c r="R239" s="45" t="str">
        <f aca="false">IF($A239="","",SUM(H239:Q239))</f>
        <v/>
      </c>
      <c r="S239" s="45" t="str">
        <f aca="false">IF($A239="","",ROUND($F239-$G239-$R239,2))</f>
        <v/>
      </c>
      <c r="T239" s="28" t="str">
        <f aca="false">IF(OR($A239="",$F239=0),"",$R239/$F239)</f>
        <v/>
      </c>
      <c r="U239" s="35"/>
      <c r="V239" s="35"/>
      <c r="W239" s="0" t="str">
        <f aca="false">IF($A239="","",$A239&amp;"|"&amp;$B239)</f>
        <v/>
      </c>
    </row>
    <row r="240" customFormat="false" ht="18" hidden="false" customHeight="true" outlineLevel="0" collapsed="false">
      <c r="A240" s="36"/>
      <c r="B240" s="36"/>
      <c r="C240" s="43" t="str">
        <f aca="false">IF($B240="","",IFERROR(VLOOKUP($B240,人员名册!$B$4:$G$53,2,0)&amp;"","名册中未登记"))</f>
        <v/>
      </c>
      <c r="D240" s="43" t="str">
        <f aca="false">IF($B240="","",IFERROR(VLOOKUP($B240,人员名册!$B$4:$G$53,3,0)&amp;"",""))</f>
        <v/>
      </c>
      <c r="E240" s="43" t="str">
        <f aca="false">IF($B240="","",IFERROR(VLOOKUP($B240,人员名册!$B$4:$G$53,5,0)&amp;"",""))</f>
        <v/>
      </c>
      <c r="F240" s="44"/>
      <c r="G240" s="44"/>
      <c r="H240" s="44"/>
      <c r="I240" s="44"/>
      <c r="J240" s="44"/>
      <c r="K240" s="44"/>
      <c r="L240" s="44"/>
      <c r="M240" s="44"/>
      <c r="N240" s="44"/>
      <c r="O240" s="44"/>
      <c r="P240" s="44"/>
      <c r="Q240" s="44"/>
      <c r="R240" s="45" t="str">
        <f aca="false">IF($A240="","",SUM(H240:Q240))</f>
        <v/>
      </c>
      <c r="S240" s="45" t="str">
        <f aca="false">IF($A240="","",ROUND($F240-$G240-$R240,2))</f>
        <v/>
      </c>
      <c r="T240" s="28" t="str">
        <f aca="false">IF(OR($A240="",$F240=0),"",$R240/$F240)</f>
        <v/>
      </c>
      <c r="U240" s="35"/>
      <c r="V240" s="35"/>
      <c r="W240" s="0" t="str">
        <f aca="false">IF($A240="","",$A240&amp;"|"&amp;$B240)</f>
        <v/>
      </c>
    </row>
    <row r="241" customFormat="false" ht="18" hidden="false" customHeight="true" outlineLevel="0" collapsed="false">
      <c r="A241" s="36"/>
      <c r="B241" s="36"/>
      <c r="C241" s="43" t="str">
        <f aca="false">IF($B241="","",IFERROR(VLOOKUP($B241,人员名册!$B$4:$G$53,2,0)&amp;"","名册中未登记"))</f>
        <v/>
      </c>
      <c r="D241" s="43" t="str">
        <f aca="false">IF($B241="","",IFERROR(VLOOKUP($B241,人员名册!$B$4:$G$53,3,0)&amp;"",""))</f>
        <v/>
      </c>
      <c r="E241" s="43" t="str">
        <f aca="false">IF($B241="","",IFERROR(VLOOKUP($B241,人员名册!$B$4:$G$53,5,0)&amp;"",""))</f>
        <v/>
      </c>
      <c r="F241" s="44"/>
      <c r="G241" s="44"/>
      <c r="H241" s="44"/>
      <c r="I241" s="44"/>
      <c r="J241" s="44"/>
      <c r="K241" s="44"/>
      <c r="L241" s="44"/>
      <c r="M241" s="44"/>
      <c r="N241" s="44"/>
      <c r="O241" s="44"/>
      <c r="P241" s="44"/>
      <c r="Q241" s="44"/>
      <c r="R241" s="45" t="str">
        <f aca="false">IF($A241="","",SUM(H241:Q241))</f>
        <v/>
      </c>
      <c r="S241" s="45" t="str">
        <f aca="false">IF($A241="","",ROUND($F241-$G241-$R241,2))</f>
        <v/>
      </c>
      <c r="T241" s="28" t="str">
        <f aca="false">IF(OR($A241="",$F241=0),"",$R241/$F241)</f>
        <v/>
      </c>
      <c r="U241" s="35"/>
      <c r="V241" s="35"/>
      <c r="W241" s="0" t="str">
        <f aca="false">IF($A241="","",$A241&amp;"|"&amp;$B241)</f>
        <v/>
      </c>
    </row>
    <row r="242" customFormat="false" ht="18" hidden="false" customHeight="true" outlineLevel="0" collapsed="false">
      <c r="A242" s="36"/>
      <c r="B242" s="36"/>
      <c r="C242" s="43" t="str">
        <f aca="false">IF($B242="","",IFERROR(VLOOKUP($B242,人员名册!$B$4:$G$53,2,0)&amp;"","名册中未登记"))</f>
        <v/>
      </c>
      <c r="D242" s="43" t="str">
        <f aca="false">IF($B242="","",IFERROR(VLOOKUP($B242,人员名册!$B$4:$G$53,3,0)&amp;"",""))</f>
        <v/>
      </c>
      <c r="E242" s="43" t="str">
        <f aca="false">IF($B242="","",IFERROR(VLOOKUP($B242,人员名册!$B$4:$G$53,5,0)&amp;"",""))</f>
        <v/>
      </c>
      <c r="F242" s="44"/>
      <c r="G242" s="44"/>
      <c r="H242" s="44"/>
      <c r="I242" s="44"/>
      <c r="J242" s="44"/>
      <c r="K242" s="44"/>
      <c r="L242" s="44"/>
      <c r="M242" s="44"/>
      <c r="N242" s="44"/>
      <c r="O242" s="44"/>
      <c r="P242" s="44"/>
      <c r="Q242" s="44"/>
      <c r="R242" s="45" t="str">
        <f aca="false">IF($A242="","",SUM(H242:Q242))</f>
        <v/>
      </c>
      <c r="S242" s="45" t="str">
        <f aca="false">IF($A242="","",ROUND($F242-$G242-$R242,2))</f>
        <v/>
      </c>
      <c r="T242" s="28" t="str">
        <f aca="false">IF(OR($A242="",$F242=0),"",$R242/$F242)</f>
        <v/>
      </c>
      <c r="U242" s="35"/>
      <c r="V242" s="35"/>
      <c r="W242" s="0" t="str">
        <f aca="false">IF($A242="","",$A242&amp;"|"&amp;$B242)</f>
        <v/>
      </c>
    </row>
    <row r="243" customFormat="false" ht="18" hidden="false" customHeight="true" outlineLevel="0" collapsed="false">
      <c r="A243" s="36"/>
      <c r="B243" s="36"/>
      <c r="C243" s="43" t="str">
        <f aca="false">IF($B243="","",IFERROR(VLOOKUP($B243,人员名册!$B$4:$G$53,2,0)&amp;"","名册中未登记"))</f>
        <v/>
      </c>
      <c r="D243" s="43" t="str">
        <f aca="false">IF($B243="","",IFERROR(VLOOKUP($B243,人员名册!$B$4:$G$53,3,0)&amp;"",""))</f>
        <v/>
      </c>
      <c r="E243" s="43" t="str">
        <f aca="false">IF($B243="","",IFERROR(VLOOKUP($B243,人员名册!$B$4:$G$53,5,0)&amp;"",""))</f>
        <v/>
      </c>
      <c r="F243" s="44"/>
      <c r="G243" s="44"/>
      <c r="H243" s="44"/>
      <c r="I243" s="44"/>
      <c r="J243" s="44"/>
      <c r="K243" s="44"/>
      <c r="L243" s="44"/>
      <c r="M243" s="44"/>
      <c r="N243" s="44"/>
      <c r="O243" s="44"/>
      <c r="P243" s="44"/>
      <c r="Q243" s="44"/>
      <c r="R243" s="45" t="str">
        <f aca="false">IF($A243="","",SUM(H243:Q243))</f>
        <v/>
      </c>
      <c r="S243" s="45" t="str">
        <f aca="false">IF($A243="","",ROUND($F243-$G243-$R243,2))</f>
        <v/>
      </c>
      <c r="T243" s="28" t="str">
        <f aca="false">IF(OR($A243="",$F243=0),"",$R243/$F243)</f>
        <v/>
      </c>
      <c r="U243" s="35"/>
      <c r="V243" s="35"/>
      <c r="W243" s="0" t="str">
        <f aca="false">IF($A243="","",$A243&amp;"|"&amp;$B243)</f>
        <v/>
      </c>
    </row>
    <row r="244" customFormat="false" ht="18" hidden="false" customHeight="true" outlineLevel="0" collapsed="false">
      <c r="A244" s="36"/>
      <c r="B244" s="36"/>
      <c r="C244" s="43" t="str">
        <f aca="false">IF($B244="","",IFERROR(VLOOKUP($B244,人员名册!$B$4:$G$53,2,0)&amp;"","名册中未登记"))</f>
        <v/>
      </c>
      <c r="D244" s="43" t="str">
        <f aca="false">IF($B244="","",IFERROR(VLOOKUP($B244,人员名册!$B$4:$G$53,3,0)&amp;"",""))</f>
        <v/>
      </c>
      <c r="E244" s="43" t="str">
        <f aca="false">IF($B244="","",IFERROR(VLOOKUP($B244,人员名册!$B$4:$G$53,5,0)&amp;"",""))</f>
        <v/>
      </c>
      <c r="F244" s="44"/>
      <c r="G244" s="44"/>
      <c r="H244" s="44"/>
      <c r="I244" s="44"/>
      <c r="J244" s="44"/>
      <c r="K244" s="44"/>
      <c r="L244" s="44"/>
      <c r="M244" s="44"/>
      <c r="N244" s="44"/>
      <c r="O244" s="44"/>
      <c r="P244" s="44"/>
      <c r="Q244" s="44"/>
      <c r="R244" s="45" t="str">
        <f aca="false">IF($A244="","",SUM(H244:Q244))</f>
        <v/>
      </c>
      <c r="S244" s="45" t="str">
        <f aca="false">IF($A244="","",ROUND($F244-$G244-$R244,2))</f>
        <v/>
      </c>
      <c r="T244" s="28" t="str">
        <f aca="false">IF(OR($A244="",$F244=0),"",$R244/$F244)</f>
        <v/>
      </c>
      <c r="U244" s="35"/>
      <c r="V244" s="35"/>
      <c r="W244" s="0" t="str">
        <f aca="false">IF($A244="","",$A244&amp;"|"&amp;$B244)</f>
        <v/>
      </c>
    </row>
    <row r="245" customFormat="false" ht="18" hidden="false" customHeight="true" outlineLevel="0" collapsed="false">
      <c r="A245" s="36"/>
      <c r="B245" s="36"/>
      <c r="C245" s="43" t="str">
        <f aca="false">IF($B245="","",IFERROR(VLOOKUP($B245,人员名册!$B$4:$G$53,2,0)&amp;"","名册中未登记"))</f>
        <v/>
      </c>
      <c r="D245" s="43" t="str">
        <f aca="false">IF($B245="","",IFERROR(VLOOKUP($B245,人员名册!$B$4:$G$53,3,0)&amp;"",""))</f>
        <v/>
      </c>
      <c r="E245" s="43" t="str">
        <f aca="false">IF($B245="","",IFERROR(VLOOKUP($B245,人员名册!$B$4:$G$53,5,0)&amp;"",""))</f>
        <v/>
      </c>
      <c r="F245" s="44"/>
      <c r="G245" s="44"/>
      <c r="H245" s="44"/>
      <c r="I245" s="44"/>
      <c r="J245" s="44"/>
      <c r="K245" s="44"/>
      <c r="L245" s="44"/>
      <c r="M245" s="44"/>
      <c r="N245" s="44"/>
      <c r="O245" s="44"/>
      <c r="P245" s="44"/>
      <c r="Q245" s="44"/>
      <c r="R245" s="45" t="str">
        <f aca="false">IF($A245="","",SUM(H245:Q245))</f>
        <v/>
      </c>
      <c r="S245" s="45" t="str">
        <f aca="false">IF($A245="","",ROUND($F245-$G245-$R245,2))</f>
        <v/>
      </c>
      <c r="T245" s="28" t="str">
        <f aca="false">IF(OR($A245="",$F245=0),"",$R245/$F245)</f>
        <v/>
      </c>
      <c r="U245" s="35"/>
      <c r="V245" s="35"/>
      <c r="W245" s="0" t="str">
        <f aca="false">IF($A245="","",$A245&amp;"|"&amp;$B245)</f>
        <v/>
      </c>
    </row>
  </sheetData>
  <autoFilter ref="A5:V245"/>
  <mergeCells count="16">
    <mergeCell ref="A1:B1"/>
    <mergeCell ref="C1:V1"/>
    <mergeCell ref="A2:V2"/>
    <mergeCell ref="A3:A5"/>
    <mergeCell ref="B3:B5"/>
    <mergeCell ref="C3:C5"/>
    <mergeCell ref="D3:D5"/>
    <mergeCell ref="E3:E5"/>
    <mergeCell ref="F3:F5"/>
    <mergeCell ref="G3:G5"/>
    <mergeCell ref="H3:Q3"/>
    <mergeCell ref="R3:R5"/>
    <mergeCell ref="S3:S5"/>
    <mergeCell ref="T3:T5"/>
    <mergeCell ref="U3:U5"/>
    <mergeCell ref="V3:V5"/>
  </mergeCells>
  <conditionalFormatting sqref="S6:S245">
    <cfRule type="expression" priority="2" aboveAverage="0" equalAverage="0" bottom="0" percent="0" rank="0" text="" dxfId="0">
      <formula>AND($A6&lt;&gt;"",$S6&lt;&gt;0)</formula>
    </cfRule>
  </conditionalFormatting>
  <dataValidations count="2">
    <dataValidation allowBlank="true" errorStyle="stop" operator="between" showDropDown="false" showErrorMessage="false" showInputMessage="false" sqref="A6:A245" type="list">
      <formula1>"2026-01,2026-02,2026-03,2026-04,2026-05,2026-06,2026-07,2026-08,2026-09,2026-10,2026-11,2026-12"</formula1>
      <formula2>0</formula2>
    </dataValidation>
    <dataValidation allowBlank="true" errorStyle="stop" operator="between" showDropDown="false" showErrorMessage="false" showInputMessage="false" sqref="B6:B245" type="list">
      <formula1>人员工号列表</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550A"/>
    <pageSetUpPr fitToPage="true"/>
  </sheetPr>
  <dimension ref="A1:AB2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11"/>
    <col collapsed="false" customWidth="true" hidden="false" outlineLevel="0" max="4" min="4" style="0" width="10"/>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0" min="9" style="0" width="13"/>
    <col collapsed="false" customWidth="true" hidden="false" outlineLevel="0" max="12" min="11" style="0" width="11"/>
    <col collapsed="false" customWidth="true" hidden="false" outlineLevel="0" max="23" min="13" style="0" width="12"/>
    <col collapsed="false" customWidth="true" hidden="false" outlineLevel="0" max="24" min="24" style="0" width="13"/>
    <col collapsed="false" customWidth="true" hidden="false" outlineLevel="0" max="25" min="25" style="0" width="15"/>
    <col collapsed="false" customWidth="true" hidden="false" outlineLevel="0" max="26" min="26" style="0" width="20"/>
    <col collapsed="false" customWidth="true" hidden="true" outlineLevel="0" max="28" min="27" style="0" width="13"/>
  </cols>
  <sheetData>
    <row r="1" customFormat="false" ht="43.5" hidden="false" customHeight="true" outlineLevel="0" collapsed="false">
      <c r="A1" s="1" t="s">
        <v>0</v>
      </c>
      <c r="B1" s="1"/>
      <c r="C1" s="2" t="str">
        <f aca="false">IF(使用说明!$B$2="","",使用说明!$B$2&amp;"    ")&amp;"六、《研发人员工时费用分配表》（财务按月按项目核算、按年汇总，2026年度）"</f>
        <v>六、《研发人员工时费用分配表》（财务按月按项目核算、按年汇总，2026年度）</v>
      </c>
      <c r="D1" s="2"/>
      <c r="E1" s="2"/>
      <c r="F1" s="2"/>
      <c r="G1" s="2"/>
      <c r="H1" s="2"/>
      <c r="I1" s="2"/>
      <c r="J1" s="2"/>
      <c r="K1" s="2"/>
      <c r="L1" s="2"/>
      <c r="M1" s="2"/>
      <c r="N1" s="2"/>
      <c r="O1" s="2"/>
      <c r="P1" s="2"/>
      <c r="Q1" s="2"/>
      <c r="R1" s="2"/>
      <c r="S1" s="2"/>
      <c r="T1" s="2"/>
      <c r="U1" s="2"/>
      <c r="V1" s="2"/>
      <c r="W1" s="2"/>
      <c r="X1" s="2"/>
      <c r="Y1" s="2"/>
      <c r="Z1" s="2"/>
    </row>
    <row r="2" customFormat="false" ht="30" hidden="false" customHeight="true" outlineLevel="0" collapsed="false">
      <c r="A2" s="17" t="s">
        <v>236</v>
      </c>
      <c r="B2" s="17"/>
      <c r="C2" s="17"/>
      <c r="D2" s="17"/>
      <c r="E2" s="17"/>
      <c r="F2" s="17"/>
      <c r="G2" s="17"/>
      <c r="H2" s="17"/>
      <c r="I2" s="17"/>
      <c r="J2" s="17"/>
      <c r="K2" s="17"/>
      <c r="L2" s="17"/>
      <c r="M2" s="17"/>
      <c r="N2" s="17"/>
      <c r="O2" s="17"/>
      <c r="P2" s="17"/>
      <c r="Q2" s="17"/>
      <c r="R2" s="17"/>
      <c r="S2" s="17"/>
      <c r="T2" s="17"/>
      <c r="U2" s="17"/>
      <c r="V2" s="17"/>
      <c r="W2" s="17"/>
      <c r="X2" s="17"/>
      <c r="Y2" s="17"/>
      <c r="Z2" s="17"/>
    </row>
    <row r="3" customFormat="false" ht="25.5" hidden="false" customHeight="true" outlineLevel="0" collapsed="false">
      <c r="A3" s="18" t="s">
        <v>224</v>
      </c>
      <c r="B3" s="18" t="s">
        <v>151</v>
      </c>
      <c r="C3" s="18" t="s">
        <v>152</v>
      </c>
      <c r="D3" s="18" t="s">
        <v>155</v>
      </c>
      <c r="E3" s="18" t="s">
        <v>237</v>
      </c>
      <c r="F3" s="18" t="s">
        <v>238</v>
      </c>
      <c r="G3" s="18" t="s">
        <v>239</v>
      </c>
      <c r="H3" s="18" t="s">
        <v>240</v>
      </c>
      <c r="I3" s="18" t="s">
        <v>241</v>
      </c>
      <c r="J3" s="18" t="s">
        <v>242</v>
      </c>
      <c r="K3" s="18" t="s">
        <v>243</v>
      </c>
      <c r="L3" s="18" t="s">
        <v>244</v>
      </c>
      <c r="M3" s="18" t="s">
        <v>245</v>
      </c>
      <c r="N3" s="18" t="s">
        <v>246</v>
      </c>
      <c r="O3" s="18"/>
      <c r="P3" s="18"/>
      <c r="Q3" s="18"/>
      <c r="R3" s="18"/>
      <c r="S3" s="18"/>
      <c r="T3" s="18"/>
      <c r="U3" s="18"/>
      <c r="V3" s="18"/>
      <c r="W3" s="18"/>
      <c r="X3" s="18" t="s">
        <v>247</v>
      </c>
      <c r="Y3" s="18" t="s">
        <v>248</v>
      </c>
      <c r="Z3" s="46" t="s">
        <v>249</v>
      </c>
    </row>
    <row r="4" customFormat="false" ht="18" hidden="false" customHeight="true" outlineLevel="0" collapsed="false">
      <c r="A4" s="18"/>
      <c r="B4" s="18"/>
      <c r="C4" s="18"/>
      <c r="D4" s="18"/>
      <c r="E4" s="18"/>
      <c r="F4" s="18"/>
      <c r="G4" s="18"/>
      <c r="H4" s="18"/>
      <c r="I4" s="18"/>
      <c r="J4" s="18"/>
      <c r="K4" s="18"/>
      <c r="L4" s="18"/>
      <c r="M4" s="18"/>
      <c r="N4" s="40" t="str">
        <f aca="false">项目清单!$B$4</f>
        <v>RD01</v>
      </c>
      <c r="O4" s="40" t="str">
        <f aca="false">项目清单!$B$5</f>
        <v>RD02</v>
      </c>
      <c r="P4" s="40" t="str">
        <f aca="false">项目清单!$B$6</f>
        <v>RD03</v>
      </c>
      <c r="Q4" s="40" t="str">
        <f aca="false">项目清单!$B$7</f>
        <v>RD04</v>
      </c>
      <c r="R4" s="40" t="str">
        <f aca="false">项目清单!$B$8</f>
        <v>RD05</v>
      </c>
      <c r="S4" s="40" t="str">
        <f aca="false">项目清单!$B$9</f>
        <v>RD06</v>
      </c>
      <c r="T4" s="40" t="str">
        <f aca="false">项目清单!$B$10</f>
        <v>RD07</v>
      </c>
      <c r="U4" s="40" t="str">
        <f aca="false">项目清单!$B$11</f>
        <v>RD08</v>
      </c>
      <c r="V4" s="40" t="str">
        <f aca="false">项目清单!$B$12</f>
        <v>RD09</v>
      </c>
      <c r="W4" s="40" t="str">
        <f aca="false">项目清单!$B$13</f>
        <v>RD10</v>
      </c>
      <c r="X4" s="18"/>
      <c r="Y4" s="18"/>
      <c r="Z4" s="46"/>
    </row>
    <row r="5" customFormat="false" ht="33.75" hidden="false" customHeight="true" outlineLevel="0" collapsed="false">
      <c r="A5" s="18"/>
      <c r="B5" s="18"/>
      <c r="C5" s="18"/>
      <c r="D5" s="18"/>
      <c r="E5" s="18"/>
      <c r="F5" s="18"/>
      <c r="G5" s="18"/>
      <c r="H5" s="18"/>
      <c r="I5" s="18"/>
      <c r="J5" s="18"/>
      <c r="K5" s="18"/>
      <c r="L5" s="18"/>
      <c r="M5" s="18"/>
      <c r="N5" s="41" t="str">
        <f aca="false">IF(N4="","",IFERROR(VLOOKUP(N4,项目清单!$B$4:$C$13,2,0)&amp;"",""))</f>
        <v>高回弹低压缩永久变形3C用聚氨酯泡棉开发</v>
      </c>
      <c r="O5" s="41" t="str">
        <f aca="false">IF(O4="","",IFERROR(VLOOKUP(O4,项目清单!$B$4:$C$13,2,0)&amp;"",""))</f>
        <v>动力电池模组用高阻燃缓冲泡棉研发</v>
      </c>
      <c r="P5" s="41" t="str">
        <f aca="false">IF(P4="","",IFERROR(VLOOKUP(P4,项目清单!$B$4:$C$13,2,0)&amp;"",""))</f>
        <v>泡棉与PET基材无溶剂贴合工艺开发</v>
      </c>
      <c r="Q5" s="41" t="str">
        <f aca="false">IF(Q4="","",IFERROR(VLOOKUP(Q4,项目清单!$B$4:$C$13,2,0)&amp;"",""))</f>
        <v>超薄泡棉高精度分切及毛边控制技术研究</v>
      </c>
      <c r="R5" s="41" t="str">
        <f aca="false">IF(R4="","",IFERROR(VLOOKUP(R4,项目清单!$B$4:$C$13,2,0)&amp;"",""))</f>
        <v>新能源汽车电池包用导热缓冲复合材料开发</v>
      </c>
      <c r="S5" s="41" t="str">
        <f aca="false">IF(S4="","",IFERROR(VLOOKUP(S4,项目清单!$B$4:$C$13,2,0)&amp;"",""))</f>
        <v>3C电子用超薄黑色遮光泡棉制备技术</v>
      </c>
      <c r="T5" s="41" t="str">
        <f aca="false">IF(T4="","",IFERROR(VLOOKUP(T4,项目清单!$B$4:$C$13,2,0)&amp;"",""))</f>
        <v>环保型水性胶泡棉贴合技术开发</v>
      </c>
      <c r="U5" s="41" t="str">
        <f aca="false">IF(U4="","",IFERROR(VLOOKUP(U4,项目清单!$B$4:$C$13,2,0)&amp;"",""))</f>
        <v>泡棉模切自动化在线检测技术研究</v>
      </c>
      <c r="V5" s="41" t="str">
        <f aca="false">IF(V4="","",IFERROR(VLOOKUP(V4,项目清单!$B$4:$C$13,2,0)&amp;"",""))</f>
        <v/>
      </c>
      <c r="W5" s="41" t="str">
        <f aca="false">IF(W4="","",IFERROR(VLOOKUP(W4,项目清单!$B$4:$C$13,2,0)&amp;"",""))</f>
        <v/>
      </c>
      <c r="X5" s="18"/>
      <c r="Y5" s="18"/>
      <c r="Z5" s="46"/>
      <c r="AA5" s="42" t="s">
        <v>250</v>
      </c>
      <c r="AB5" s="42" t="s">
        <v>251</v>
      </c>
    </row>
    <row r="6" customFormat="false" ht="18" hidden="false" customHeight="true" outlineLevel="0" collapsed="false">
      <c r="A6" s="36" t="s">
        <v>100</v>
      </c>
      <c r="B6" s="36" t="s">
        <v>159</v>
      </c>
      <c r="C6" s="43" t="str">
        <f aca="false">IF($B6="","",IFERROR(VLOOKUP($B6,人员名册!$B$4:$G$53,2,0)&amp;"","名册中未登记"))</f>
        <v>（示例）张工</v>
      </c>
      <c r="D6" s="43" t="str">
        <f aca="false">IF($B6="","",IFERROR(VLOOKUP($B6,人员名册!$B$4:$G$53,5,0)&amp;"",""))</f>
        <v>在职</v>
      </c>
      <c r="E6" s="25" t="n">
        <v>15000</v>
      </c>
      <c r="F6" s="25" t="n">
        <v>3900</v>
      </c>
      <c r="G6" s="25" t="n">
        <v>1800</v>
      </c>
      <c r="H6" s="25" t="n">
        <v>0</v>
      </c>
      <c r="I6" s="25" t="n">
        <v>1200</v>
      </c>
      <c r="J6" s="27" t="n">
        <f aca="false">IF($A6="","",ROUND(SUM(E6:I6),2))</f>
        <v>21900</v>
      </c>
      <c r="K6" s="45" t="n">
        <f aca="false">IF(OR($A6="",$AA6=0),0,INDEX(研发人员工时分配表!$F$6:$F$245,$AA6))</f>
        <v>176</v>
      </c>
      <c r="L6" s="45" t="n">
        <f aca="false">IF(OR($A6="",$AA6=0),0,INDEX(研发人员工时分配表!$R$6:$R$245,$AA6))</f>
        <v>160</v>
      </c>
      <c r="M6" s="28" t="n">
        <f aca="false">IF(OR($A6="",$K6=0),"",$L6/$K6)</f>
        <v>0.909090909090909</v>
      </c>
      <c r="N6" s="27" t="n">
        <f aca="false">IF(OR($A6="",$K6=0),"",ROUND($J6*INDEX(研发人员工时分配表!$H$6:$H$245,$AA6)/$K6,2))</f>
        <v>12443.18</v>
      </c>
      <c r="O6" s="27" t="n">
        <f aca="false">IF(OR($A6="",$K6=0),"",ROUND($J6*INDEX(研发人员工时分配表!$I$6:$I$245,$AA6)/$K6,2))</f>
        <v>7465.91</v>
      </c>
      <c r="P6" s="27" t="n">
        <f aca="false">IF(OR($A6="",$K6=0),"",ROUND($J6*INDEX(研发人员工时分配表!$J$6:$J$245,$AA6)/$K6,2))</f>
        <v>0</v>
      </c>
      <c r="Q6" s="27" t="n">
        <f aca="false">IF(OR($A6="",$K6=0),"",ROUND($J6*INDEX(研发人员工时分配表!$K$6:$K$245,$AA6)/$K6,2))</f>
        <v>0</v>
      </c>
      <c r="R6" s="27" t="n">
        <f aca="false">IF(OR($A6="",$K6=0),"",ROUND($J6*INDEX(研发人员工时分配表!$L$6:$L$245,$AA6)/$K6,2))</f>
        <v>0</v>
      </c>
      <c r="S6" s="27" t="n">
        <f aca="false">IF(OR($A6="",$K6=0),"",ROUND($J6*INDEX(研发人员工时分配表!$M$6:$M$245,$AA6)/$K6,2))</f>
        <v>0</v>
      </c>
      <c r="T6" s="27" t="n">
        <f aca="false">IF(OR($A6="",$K6=0),"",ROUND($J6*INDEX(研发人员工时分配表!$N$6:$N$245,$AA6)/$K6,2))</f>
        <v>0</v>
      </c>
      <c r="U6" s="27" t="n">
        <f aca="false">IF(OR($A6="",$K6=0),"",ROUND($J6*INDEX(研发人员工时分配表!$O$6:$O$245,$AA6)/$K6,2))</f>
        <v>0</v>
      </c>
      <c r="V6" s="27" t="n">
        <f aca="false">IF(OR($A6="",$K6=0),"",ROUND($J6*INDEX(研发人员工时分配表!$P$6:$P$245,$AA6)/$K6,2))</f>
        <v>0</v>
      </c>
      <c r="W6" s="27" t="n">
        <f aca="false">IF(OR($A6="",$K6=0),"",ROUND($J6*INDEX(研发人员工时分配表!$Q$6:$Q$245,$AA6)/$K6,2))</f>
        <v>0</v>
      </c>
      <c r="X6" s="27" t="n">
        <f aca="false">IF($A6="","",ROUND(SUM(N6:W6),2))</f>
        <v>19909.09</v>
      </c>
      <c r="Y6" s="27" t="n">
        <f aca="false">IF($A6="","",ROUND($J6-X6,2))</f>
        <v>1990.91</v>
      </c>
      <c r="Z6" s="43" t="str">
        <f aca="false">IF($A6="","",IF($AA6=0,"⚠ 工时分配表无此人当月记录",IF($AB6&gt;1,"⚠ 工时分配表存在重复行","√ 正常")))</f>
        <v>√ 正常</v>
      </c>
      <c r="AA6" s="47" t="n">
        <f aca="false">IF($A6="",0,IFERROR(MATCH($A6&amp;"|"&amp;$B6,研发人员工时分配表!$W$6:$W$245,0),0))</f>
        <v>1</v>
      </c>
      <c r="AB6" s="47" t="n">
        <f aca="false">IF($A6="",0,COUNTIFS(研发人员工时分配表!$A$6:$A$245,$A6,研发人员工时分配表!$B$6:$B$245,$B6))</f>
        <v>1</v>
      </c>
    </row>
    <row r="7" customFormat="false" ht="18" hidden="false" customHeight="true" outlineLevel="0" collapsed="false">
      <c r="A7" s="36" t="s">
        <v>100</v>
      </c>
      <c r="B7" s="36" t="s">
        <v>170</v>
      </c>
      <c r="C7" s="43" t="str">
        <f aca="false">IF($B7="","",IFERROR(VLOOKUP($B7,人员名册!$B$4:$G$53,2,0)&amp;"","名册中未登记"))</f>
        <v>（示例）王工</v>
      </c>
      <c r="D7" s="43" t="str">
        <f aca="false">IF($B7="","",IFERROR(VLOOKUP($B7,人员名册!$B$4:$G$53,5,0)&amp;"",""))</f>
        <v>在职</v>
      </c>
      <c r="E7" s="25" t="n">
        <v>9000</v>
      </c>
      <c r="F7" s="25" t="n">
        <v>2340</v>
      </c>
      <c r="G7" s="25" t="n">
        <v>1080</v>
      </c>
      <c r="H7" s="25" t="n">
        <v>0</v>
      </c>
      <c r="I7" s="25" t="n">
        <v>600</v>
      </c>
      <c r="J7" s="27" t="n">
        <f aca="false">IF($A7="","",ROUND(SUM(E7:I7),2))</f>
        <v>13020</v>
      </c>
      <c r="K7" s="45" t="n">
        <f aca="false">IF(OR($A7="",$AA7=0),0,INDEX(研发人员工时分配表!$F$6:$F$245,$AA7))</f>
        <v>176</v>
      </c>
      <c r="L7" s="45" t="n">
        <f aca="false">IF(OR($A7="",$AA7=0),0,INDEX(研发人员工时分配表!$R$6:$R$245,$AA7))</f>
        <v>56</v>
      </c>
      <c r="M7" s="28" t="n">
        <f aca="false">IF(OR($A7="",$K7=0),"",$L7/$K7)</f>
        <v>0.318181818181818</v>
      </c>
      <c r="N7" s="27" t="n">
        <f aca="false">IF(OR($A7="",$K7=0),"",ROUND($J7*INDEX(研发人员工时分配表!$H$6:$H$245,$AA7)/$K7,2))</f>
        <v>0</v>
      </c>
      <c r="O7" s="27" t="n">
        <f aca="false">IF(OR($A7="",$K7=0),"",ROUND($J7*INDEX(研发人员工时分配表!$I$6:$I$245,$AA7)/$K7,2))</f>
        <v>0</v>
      </c>
      <c r="P7" s="27" t="n">
        <f aca="false">IF(OR($A7="",$K7=0),"",ROUND($J7*INDEX(研发人员工时分配表!$J$6:$J$245,$AA7)/$K7,2))</f>
        <v>2663.18</v>
      </c>
      <c r="Q7" s="27" t="n">
        <f aca="false">IF(OR($A7="",$K7=0),"",ROUND($J7*INDEX(研发人员工时分配表!$K$6:$K$245,$AA7)/$K7,2))</f>
        <v>0</v>
      </c>
      <c r="R7" s="27" t="n">
        <f aca="false">IF(OR($A7="",$K7=0),"",ROUND($J7*INDEX(研发人员工时分配表!$L$6:$L$245,$AA7)/$K7,2))</f>
        <v>1479.55</v>
      </c>
      <c r="S7" s="27" t="n">
        <f aca="false">IF(OR($A7="",$K7=0),"",ROUND($J7*INDEX(研发人员工时分配表!$M$6:$M$245,$AA7)/$K7,2))</f>
        <v>0</v>
      </c>
      <c r="T7" s="27" t="n">
        <f aca="false">IF(OR($A7="",$K7=0),"",ROUND($J7*INDEX(研发人员工时分配表!$N$6:$N$245,$AA7)/$K7,2))</f>
        <v>0</v>
      </c>
      <c r="U7" s="27" t="n">
        <f aca="false">IF(OR($A7="",$K7=0),"",ROUND($J7*INDEX(研发人员工时分配表!$O$6:$O$245,$AA7)/$K7,2))</f>
        <v>0</v>
      </c>
      <c r="V7" s="27" t="n">
        <f aca="false">IF(OR($A7="",$K7=0),"",ROUND($J7*INDEX(研发人员工时分配表!$P$6:$P$245,$AA7)/$K7,2))</f>
        <v>0</v>
      </c>
      <c r="W7" s="27" t="n">
        <f aca="false">IF(OR($A7="",$K7=0),"",ROUND($J7*INDEX(研发人员工时分配表!$Q$6:$Q$245,$AA7)/$K7,2))</f>
        <v>0</v>
      </c>
      <c r="X7" s="27" t="n">
        <f aca="false">IF($A7="","",ROUND(SUM(N7:W7),2))</f>
        <v>4142.73</v>
      </c>
      <c r="Y7" s="27" t="n">
        <f aca="false">IF($A7="","",ROUND($J7-X7,2))</f>
        <v>8877.27</v>
      </c>
      <c r="Z7" s="43" t="str">
        <f aca="false">IF($A7="","",IF($AA7=0,"⚠ 工时分配表无此人当月记录",IF($AB7&gt;1,"⚠ 工时分配表存在重复行","√ 正常")))</f>
        <v>√ 正常</v>
      </c>
      <c r="AA7" s="47" t="n">
        <f aca="false">IF($A7="",0,IFERROR(MATCH($A7&amp;"|"&amp;$B7,研发人员工时分配表!$W$6:$W$245,0),0))</f>
        <v>2</v>
      </c>
      <c r="AB7" s="47" t="n">
        <f aca="false">IF($A7="",0,COUNTIFS(研发人员工时分配表!$A$6:$A$245,$A7,研发人员工时分配表!$B$6:$B$245,$B7))</f>
        <v>1</v>
      </c>
    </row>
    <row r="8" customFormat="false" ht="18" hidden="false" customHeight="true" outlineLevel="0" collapsed="false">
      <c r="A8" s="36" t="s">
        <v>100</v>
      </c>
      <c r="B8" s="36" t="s">
        <v>175</v>
      </c>
      <c r="C8" s="43" t="str">
        <f aca="false">IF($B8="","",IFERROR(VLOOKUP($B8,人员名册!$B$4:$G$53,2,0)&amp;"","名册中未登记"))</f>
        <v>（示例）赵博</v>
      </c>
      <c r="D8" s="43" t="str">
        <f aca="false">IF($B8="","",IFERROR(VLOOKUP($B8,人员名册!$B$4:$G$53,5,0)&amp;"",""))</f>
        <v>外聘</v>
      </c>
      <c r="E8" s="25" t="n">
        <v>0</v>
      </c>
      <c r="F8" s="25" t="n">
        <v>0</v>
      </c>
      <c r="G8" s="25" t="n">
        <v>0</v>
      </c>
      <c r="H8" s="25" t="n">
        <v>30000</v>
      </c>
      <c r="I8" s="25" t="n">
        <v>0</v>
      </c>
      <c r="J8" s="27" t="n">
        <f aca="false">IF($A8="","",ROUND(SUM(E8:I8),2))</f>
        <v>30000</v>
      </c>
      <c r="K8" s="45" t="n">
        <f aca="false">IF(OR($A8="",$AA8=0),0,INDEX(研发人员工时分配表!$F$6:$F$245,$AA8))</f>
        <v>80</v>
      </c>
      <c r="L8" s="45" t="n">
        <f aca="false">IF(OR($A8="",$AA8=0),0,INDEX(研发人员工时分配表!$R$6:$R$245,$AA8))</f>
        <v>80</v>
      </c>
      <c r="M8" s="28" t="n">
        <f aca="false">IF(OR($A8="",$K8=0),"",$L8/$K8)</f>
        <v>1</v>
      </c>
      <c r="N8" s="27" t="n">
        <f aca="false">IF(OR($A8="",$K8=0),"",ROUND($J8*INDEX(研发人员工时分配表!$H$6:$H$245,$AA8)/$K8,2))</f>
        <v>0</v>
      </c>
      <c r="O8" s="27" t="n">
        <f aca="false">IF(OR($A8="",$K8=0),"",ROUND($J8*INDEX(研发人员工时分配表!$I$6:$I$245,$AA8)/$K8,2))</f>
        <v>18750</v>
      </c>
      <c r="P8" s="27" t="n">
        <f aca="false">IF(OR($A8="",$K8=0),"",ROUND($J8*INDEX(研发人员工时分配表!$J$6:$J$245,$AA8)/$K8,2))</f>
        <v>0</v>
      </c>
      <c r="Q8" s="27" t="n">
        <f aca="false">IF(OR($A8="",$K8=0),"",ROUND($J8*INDEX(研发人员工时分配表!$K$6:$K$245,$AA8)/$K8,2))</f>
        <v>0</v>
      </c>
      <c r="R8" s="27" t="n">
        <f aca="false">IF(OR($A8="",$K8=0),"",ROUND($J8*INDEX(研发人员工时分配表!$L$6:$L$245,$AA8)/$K8,2))</f>
        <v>11250</v>
      </c>
      <c r="S8" s="27" t="n">
        <f aca="false">IF(OR($A8="",$K8=0),"",ROUND($J8*INDEX(研发人员工时分配表!$M$6:$M$245,$AA8)/$K8,2))</f>
        <v>0</v>
      </c>
      <c r="T8" s="27" t="n">
        <f aca="false">IF(OR($A8="",$K8=0),"",ROUND($J8*INDEX(研发人员工时分配表!$N$6:$N$245,$AA8)/$K8,2))</f>
        <v>0</v>
      </c>
      <c r="U8" s="27" t="n">
        <f aca="false">IF(OR($A8="",$K8=0),"",ROUND($J8*INDEX(研发人员工时分配表!$O$6:$O$245,$AA8)/$K8,2))</f>
        <v>0</v>
      </c>
      <c r="V8" s="27" t="n">
        <f aca="false">IF(OR($A8="",$K8=0),"",ROUND($J8*INDEX(研发人员工时分配表!$P$6:$P$245,$AA8)/$K8,2))</f>
        <v>0</v>
      </c>
      <c r="W8" s="27" t="n">
        <f aca="false">IF(OR($A8="",$K8=0),"",ROUND($J8*INDEX(研发人员工时分配表!$Q$6:$Q$245,$AA8)/$K8,2))</f>
        <v>0</v>
      </c>
      <c r="X8" s="27" t="n">
        <f aca="false">IF($A8="","",ROUND(SUM(N8:W8),2))</f>
        <v>30000</v>
      </c>
      <c r="Y8" s="27" t="n">
        <f aca="false">IF($A8="","",ROUND($J8-X8,2))</f>
        <v>0</v>
      </c>
      <c r="Z8" s="43" t="str">
        <f aca="false">IF($A8="","",IF($AA8=0,"⚠ 工时分配表无此人当月记录",IF($AB8&gt;1,"⚠ 工时分配表存在重复行","√ 正常")))</f>
        <v>√ 正常</v>
      </c>
      <c r="AA8" s="47" t="n">
        <f aca="false">IF($A8="",0,IFERROR(MATCH($A8&amp;"|"&amp;$B8,研发人员工时分配表!$W$6:$W$245,0),0))</f>
        <v>3</v>
      </c>
      <c r="AB8" s="47" t="n">
        <f aca="false">IF($A8="",0,COUNTIFS(研发人员工时分配表!$A$6:$A$245,$A8,研发人员工时分配表!$B$6:$B$245,$B8))</f>
        <v>1</v>
      </c>
    </row>
    <row r="9" customFormat="false" ht="18" hidden="false" customHeight="true" outlineLevel="0" collapsed="false">
      <c r="A9" s="36"/>
      <c r="B9" s="36"/>
      <c r="C9" s="43" t="str">
        <f aca="false">IF($B9="","",IFERROR(VLOOKUP($B9,人员名册!$B$4:$G$53,2,0)&amp;"","名册中未登记"))</f>
        <v/>
      </c>
      <c r="D9" s="43" t="str">
        <f aca="false">IF($B9="","",IFERROR(VLOOKUP($B9,人员名册!$B$4:$G$53,5,0)&amp;"",""))</f>
        <v/>
      </c>
      <c r="E9" s="25"/>
      <c r="F9" s="25"/>
      <c r="G9" s="25"/>
      <c r="H9" s="25"/>
      <c r="I9" s="25"/>
      <c r="J9" s="27" t="str">
        <f aca="false">IF($A9="","",ROUND(SUM(E9:I9),2))</f>
        <v/>
      </c>
      <c r="K9" s="45" t="n">
        <f aca="false">IF(OR($A9="",$AA9=0),0,INDEX(研发人员工时分配表!$F$6:$F$245,$AA9))</f>
        <v>0</v>
      </c>
      <c r="L9" s="45" t="n">
        <f aca="false">IF(OR($A9="",$AA9=0),0,INDEX(研发人员工时分配表!$R$6:$R$245,$AA9))</f>
        <v>0</v>
      </c>
      <c r="M9" s="28" t="str">
        <f aca="false">IF(OR($A9="",$K9=0),"",$L9/$K9)</f>
        <v/>
      </c>
      <c r="N9" s="27" t="str">
        <f aca="false">IF(OR($A9="",$K9=0),"",ROUND($J9*INDEX(研发人员工时分配表!$H$6:$H$245,$AA9)/$K9,2))</f>
        <v/>
      </c>
      <c r="O9" s="27" t="str">
        <f aca="false">IF(OR($A9="",$K9=0),"",ROUND($J9*INDEX(研发人员工时分配表!$I$6:$I$245,$AA9)/$K9,2))</f>
        <v/>
      </c>
      <c r="P9" s="27" t="str">
        <f aca="false">IF(OR($A9="",$K9=0),"",ROUND($J9*INDEX(研发人员工时分配表!$J$6:$J$245,$AA9)/$K9,2))</f>
        <v/>
      </c>
      <c r="Q9" s="27" t="str">
        <f aca="false">IF(OR($A9="",$K9=0),"",ROUND($J9*INDEX(研发人员工时分配表!$K$6:$K$245,$AA9)/$K9,2))</f>
        <v/>
      </c>
      <c r="R9" s="27" t="str">
        <f aca="false">IF(OR($A9="",$K9=0),"",ROUND($J9*INDEX(研发人员工时分配表!$L$6:$L$245,$AA9)/$K9,2))</f>
        <v/>
      </c>
      <c r="S9" s="27" t="str">
        <f aca="false">IF(OR($A9="",$K9=0),"",ROUND($J9*INDEX(研发人员工时分配表!$M$6:$M$245,$AA9)/$K9,2))</f>
        <v/>
      </c>
      <c r="T9" s="27" t="str">
        <f aca="false">IF(OR($A9="",$K9=0),"",ROUND($J9*INDEX(研发人员工时分配表!$N$6:$N$245,$AA9)/$K9,2))</f>
        <v/>
      </c>
      <c r="U9" s="27" t="str">
        <f aca="false">IF(OR($A9="",$K9=0),"",ROUND($J9*INDEX(研发人员工时分配表!$O$6:$O$245,$AA9)/$K9,2))</f>
        <v/>
      </c>
      <c r="V9" s="27" t="str">
        <f aca="false">IF(OR($A9="",$K9=0),"",ROUND($J9*INDEX(研发人员工时分配表!$P$6:$P$245,$AA9)/$K9,2))</f>
        <v/>
      </c>
      <c r="W9" s="27" t="str">
        <f aca="false">IF(OR($A9="",$K9=0),"",ROUND($J9*INDEX(研发人员工时分配表!$Q$6:$Q$245,$AA9)/$K9,2))</f>
        <v/>
      </c>
      <c r="X9" s="27" t="str">
        <f aca="false">IF($A9="","",ROUND(SUM(N9:W9),2))</f>
        <v/>
      </c>
      <c r="Y9" s="27" t="str">
        <f aca="false">IF($A9="","",ROUND($J9-X9,2))</f>
        <v/>
      </c>
      <c r="Z9" s="43" t="str">
        <f aca="false">IF($A9="","",IF($AA9=0,"⚠ 工时分配表无此人当月记录",IF($AB9&gt;1,"⚠ 工时分配表存在重复行","√ 正常")))</f>
        <v/>
      </c>
      <c r="AA9" s="47" t="n">
        <f aca="false">IF($A9="",0,IFERROR(MATCH($A9&amp;"|"&amp;$B9,研发人员工时分配表!$W$6:$W$245,0),0))</f>
        <v>0</v>
      </c>
      <c r="AB9" s="47" t="n">
        <f aca="false">IF($A9="",0,COUNTIFS(研发人员工时分配表!$A$6:$A$245,$A9,研发人员工时分配表!$B$6:$B$245,$B9))</f>
        <v>0</v>
      </c>
    </row>
    <row r="10" customFormat="false" ht="18" hidden="false" customHeight="true" outlineLevel="0" collapsed="false">
      <c r="A10" s="36"/>
      <c r="B10" s="36"/>
      <c r="C10" s="43" t="str">
        <f aca="false">IF($B10="","",IFERROR(VLOOKUP($B10,人员名册!$B$4:$G$53,2,0)&amp;"","名册中未登记"))</f>
        <v/>
      </c>
      <c r="D10" s="43" t="str">
        <f aca="false">IF($B10="","",IFERROR(VLOOKUP($B10,人员名册!$B$4:$G$53,5,0)&amp;"",""))</f>
        <v/>
      </c>
      <c r="E10" s="25"/>
      <c r="F10" s="25"/>
      <c r="G10" s="25"/>
      <c r="H10" s="25"/>
      <c r="I10" s="25"/>
      <c r="J10" s="27" t="str">
        <f aca="false">IF($A10="","",ROUND(SUM(E10:I10),2))</f>
        <v/>
      </c>
      <c r="K10" s="45" t="n">
        <f aca="false">IF(OR($A10="",$AA10=0),0,INDEX(研发人员工时分配表!$F$6:$F$245,$AA10))</f>
        <v>0</v>
      </c>
      <c r="L10" s="45" t="n">
        <f aca="false">IF(OR($A10="",$AA10=0),0,INDEX(研发人员工时分配表!$R$6:$R$245,$AA10))</f>
        <v>0</v>
      </c>
      <c r="M10" s="28" t="str">
        <f aca="false">IF(OR($A10="",$K10=0),"",$L10/$K10)</f>
        <v/>
      </c>
      <c r="N10" s="27" t="str">
        <f aca="false">IF(OR($A10="",$K10=0),"",ROUND($J10*INDEX(研发人员工时分配表!$H$6:$H$245,$AA10)/$K10,2))</f>
        <v/>
      </c>
      <c r="O10" s="27" t="str">
        <f aca="false">IF(OR($A10="",$K10=0),"",ROUND($J10*INDEX(研发人员工时分配表!$I$6:$I$245,$AA10)/$K10,2))</f>
        <v/>
      </c>
      <c r="P10" s="27" t="str">
        <f aca="false">IF(OR($A10="",$K10=0),"",ROUND($J10*INDEX(研发人员工时分配表!$J$6:$J$245,$AA10)/$K10,2))</f>
        <v/>
      </c>
      <c r="Q10" s="27" t="str">
        <f aca="false">IF(OR($A10="",$K10=0),"",ROUND($J10*INDEX(研发人员工时分配表!$K$6:$K$245,$AA10)/$K10,2))</f>
        <v/>
      </c>
      <c r="R10" s="27" t="str">
        <f aca="false">IF(OR($A10="",$K10=0),"",ROUND($J10*INDEX(研发人员工时分配表!$L$6:$L$245,$AA10)/$K10,2))</f>
        <v/>
      </c>
      <c r="S10" s="27" t="str">
        <f aca="false">IF(OR($A10="",$K10=0),"",ROUND($J10*INDEX(研发人员工时分配表!$M$6:$M$245,$AA10)/$K10,2))</f>
        <v/>
      </c>
      <c r="T10" s="27" t="str">
        <f aca="false">IF(OR($A10="",$K10=0),"",ROUND($J10*INDEX(研发人员工时分配表!$N$6:$N$245,$AA10)/$K10,2))</f>
        <v/>
      </c>
      <c r="U10" s="27" t="str">
        <f aca="false">IF(OR($A10="",$K10=0),"",ROUND($J10*INDEX(研发人员工时分配表!$O$6:$O$245,$AA10)/$K10,2))</f>
        <v/>
      </c>
      <c r="V10" s="27" t="str">
        <f aca="false">IF(OR($A10="",$K10=0),"",ROUND($J10*INDEX(研发人员工时分配表!$P$6:$P$245,$AA10)/$K10,2))</f>
        <v/>
      </c>
      <c r="W10" s="27" t="str">
        <f aca="false">IF(OR($A10="",$K10=0),"",ROUND($J10*INDEX(研发人员工时分配表!$Q$6:$Q$245,$AA10)/$K10,2))</f>
        <v/>
      </c>
      <c r="X10" s="27" t="str">
        <f aca="false">IF($A10="","",ROUND(SUM(N10:W10),2))</f>
        <v/>
      </c>
      <c r="Y10" s="27" t="str">
        <f aca="false">IF($A10="","",ROUND($J10-X10,2))</f>
        <v/>
      </c>
      <c r="Z10" s="43" t="str">
        <f aca="false">IF($A10="","",IF($AA10=0,"⚠ 工时分配表无此人当月记录",IF($AB10&gt;1,"⚠ 工时分配表存在重复行","√ 正常")))</f>
        <v/>
      </c>
      <c r="AA10" s="47" t="n">
        <f aca="false">IF($A10="",0,IFERROR(MATCH($A10&amp;"|"&amp;$B10,研发人员工时分配表!$W$6:$W$245,0),0))</f>
        <v>0</v>
      </c>
      <c r="AB10" s="47" t="n">
        <f aca="false">IF($A10="",0,COUNTIFS(研发人员工时分配表!$A$6:$A$245,$A10,研发人员工时分配表!$B$6:$B$245,$B10))</f>
        <v>0</v>
      </c>
    </row>
    <row r="11" customFormat="false" ht="18" hidden="false" customHeight="true" outlineLevel="0" collapsed="false">
      <c r="A11" s="36"/>
      <c r="B11" s="36"/>
      <c r="C11" s="43" t="str">
        <f aca="false">IF($B11="","",IFERROR(VLOOKUP($B11,人员名册!$B$4:$G$53,2,0)&amp;"","名册中未登记"))</f>
        <v/>
      </c>
      <c r="D11" s="43" t="str">
        <f aca="false">IF($B11="","",IFERROR(VLOOKUP($B11,人员名册!$B$4:$G$53,5,0)&amp;"",""))</f>
        <v/>
      </c>
      <c r="E11" s="25"/>
      <c r="F11" s="25"/>
      <c r="G11" s="25"/>
      <c r="H11" s="25"/>
      <c r="I11" s="25"/>
      <c r="J11" s="27" t="str">
        <f aca="false">IF($A11="","",ROUND(SUM(E11:I11),2))</f>
        <v/>
      </c>
      <c r="K11" s="45" t="n">
        <f aca="false">IF(OR($A11="",$AA11=0),0,INDEX(研发人员工时分配表!$F$6:$F$245,$AA11))</f>
        <v>0</v>
      </c>
      <c r="L11" s="45" t="n">
        <f aca="false">IF(OR($A11="",$AA11=0),0,INDEX(研发人员工时分配表!$R$6:$R$245,$AA11))</f>
        <v>0</v>
      </c>
      <c r="M11" s="28" t="str">
        <f aca="false">IF(OR($A11="",$K11=0),"",$L11/$K11)</f>
        <v/>
      </c>
      <c r="N11" s="27" t="str">
        <f aca="false">IF(OR($A11="",$K11=0),"",ROUND($J11*INDEX(研发人员工时分配表!$H$6:$H$245,$AA11)/$K11,2))</f>
        <v/>
      </c>
      <c r="O11" s="27" t="str">
        <f aca="false">IF(OR($A11="",$K11=0),"",ROUND($J11*INDEX(研发人员工时分配表!$I$6:$I$245,$AA11)/$K11,2))</f>
        <v/>
      </c>
      <c r="P11" s="27" t="str">
        <f aca="false">IF(OR($A11="",$K11=0),"",ROUND($J11*INDEX(研发人员工时分配表!$J$6:$J$245,$AA11)/$K11,2))</f>
        <v/>
      </c>
      <c r="Q11" s="27" t="str">
        <f aca="false">IF(OR($A11="",$K11=0),"",ROUND($J11*INDEX(研发人员工时分配表!$K$6:$K$245,$AA11)/$K11,2))</f>
        <v/>
      </c>
      <c r="R11" s="27" t="str">
        <f aca="false">IF(OR($A11="",$K11=0),"",ROUND($J11*INDEX(研发人员工时分配表!$L$6:$L$245,$AA11)/$K11,2))</f>
        <v/>
      </c>
      <c r="S11" s="27" t="str">
        <f aca="false">IF(OR($A11="",$K11=0),"",ROUND($J11*INDEX(研发人员工时分配表!$M$6:$M$245,$AA11)/$K11,2))</f>
        <v/>
      </c>
      <c r="T11" s="27" t="str">
        <f aca="false">IF(OR($A11="",$K11=0),"",ROUND($J11*INDEX(研发人员工时分配表!$N$6:$N$245,$AA11)/$K11,2))</f>
        <v/>
      </c>
      <c r="U11" s="27" t="str">
        <f aca="false">IF(OR($A11="",$K11=0),"",ROUND($J11*INDEX(研发人员工时分配表!$O$6:$O$245,$AA11)/$K11,2))</f>
        <v/>
      </c>
      <c r="V11" s="27" t="str">
        <f aca="false">IF(OR($A11="",$K11=0),"",ROUND($J11*INDEX(研发人员工时分配表!$P$6:$P$245,$AA11)/$K11,2))</f>
        <v/>
      </c>
      <c r="W11" s="27" t="str">
        <f aca="false">IF(OR($A11="",$K11=0),"",ROUND($J11*INDEX(研发人员工时分配表!$Q$6:$Q$245,$AA11)/$K11,2))</f>
        <v/>
      </c>
      <c r="X11" s="27" t="str">
        <f aca="false">IF($A11="","",ROUND(SUM(N11:W11),2))</f>
        <v/>
      </c>
      <c r="Y11" s="27" t="str">
        <f aca="false">IF($A11="","",ROUND($J11-X11,2))</f>
        <v/>
      </c>
      <c r="Z11" s="43" t="str">
        <f aca="false">IF($A11="","",IF($AA11=0,"⚠ 工时分配表无此人当月记录",IF($AB11&gt;1,"⚠ 工时分配表存在重复行","√ 正常")))</f>
        <v/>
      </c>
      <c r="AA11" s="47" t="n">
        <f aca="false">IF($A11="",0,IFERROR(MATCH($A11&amp;"|"&amp;$B11,研发人员工时分配表!$W$6:$W$245,0),0))</f>
        <v>0</v>
      </c>
      <c r="AB11" s="47" t="n">
        <f aca="false">IF($A11="",0,COUNTIFS(研发人员工时分配表!$A$6:$A$245,$A11,研发人员工时分配表!$B$6:$B$245,$B11))</f>
        <v>0</v>
      </c>
    </row>
    <row r="12" customFormat="false" ht="18" hidden="false" customHeight="true" outlineLevel="0" collapsed="false">
      <c r="A12" s="36"/>
      <c r="B12" s="36"/>
      <c r="C12" s="43" t="str">
        <f aca="false">IF($B12="","",IFERROR(VLOOKUP($B12,人员名册!$B$4:$G$53,2,0)&amp;"","名册中未登记"))</f>
        <v/>
      </c>
      <c r="D12" s="43" t="str">
        <f aca="false">IF($B12="","",IFERROR(VLOOKUP($B12,人员名册!$B$4:$G$53,5,0)&amp;"",""))</f>
        <v/>
      </c>
      <c r="E12" s="25"/>
      <c r="F12" s="25"/>
      <c r="G12" s="25"/>
      <c r="H12" s="25"/>
      <c r="I12" s="25"/>
      <c r="J12" s="27" t="str">
        <f aca="false">IF($A12="","",ROUND(SUM(E12:I12),2))</f>
        <v/>
      </c>
      <c r="K12" s="45" t="n">
        <f aca="false">IF(OR($A12="",$AA12=0),0,INDEX(研发人员工时分配表!$F$6:$F$245,$AA12))</f>
        <v>0</v>
      </c>
      <c r="L12" s="45" t="n">
        <f aca="false">IF(OR($A12="",$AA12=0),0,INDEX(研发人员工时分配表!$R$6:$R$245,$AA12))</f>
        <v>0</v>
      </c>
      <c r="M12" s="28" t="str">
        <f aca="false">IF(OR($A12="",$K12=0),"",$L12/$K12)</f>
        <v/>
      </c>
      <c r="N12" s="27" t="str">
        <f aca="false">IF(OR($A12="",$K12=0),"",ROUND($J12*INDEX(研发人员工时分配表!$H$6:$H$245,$AA12)/$K12,2))</f>
        <v/>
      </c>
      <c r="O12" s="27" t="str">
        <f aca="false">IF(OR($A12="",$K12=0),"",ROUND($J12*INDEX(研发人员工时分配表!$I$6:$I$245,$AA12)/$K12,2))</f>
        <v/>
      </c>
      <c r="P12" s="27" t="str">
        <f aca="false">IF(OR($A12="",$K12=0),"",ROUND($J12*INDEX(研发人员工时分配表!$J$6:$J$245,$AA12)/$K12,2))</f>
        <v/>
      </c>
      <c r="Q12" s="27" t="str">
        <f aca="false">IF(OR($A12="",$K12=0),"",ROUND($J12*INDEX(研发人员工时分配表!$K$6:$K$245,$AA12)/$K12,2))</f>
        <v/>
      </c>
      <c r="R12" s="27" t="str">
        <f aca="false">IF(OR($A12="",$K12=0),"",ROUND($J12*INDEX(研发人员工时分配表!$L$6:$L$245,$AA12)/$K12,2))</f>
        <v/>
      </c>
      <c r="S12" s="27" t="str">
        <f aca="false">IF(OR($A12="",$K12=0),"",ROUND($J12*INDEX(研发人员工时分配表!$M$6:$M$245,$AA12)/$K12,2))</f>
        <v/>
      </c>
      <c r="T12" s="27" t="str">
        <f aca="false">IF(OR($A12="",$K12=0),"",ROUND($J12*INDEX(研发人员工时分配表!$N$6:$N$245,$AA12)/$K12,2))</f>
        <v/>
      </c>
      <c r="U12" s="27" t="str">
        <f aca="false">IF(OR($A12="",$K12=0),"",ROUND($J12*INDEX(研发人员工时分配表!$O$6:$O$245,$AA12)/$K12,2))</f>
        <v/>
      </c>
      <c r="V12" s="27" t="str">
        <f aca="false">IF(OR($A12="",$K12=0),"",ROUND($J12*INDEX(研发人员工时分配表!$P$6:$P$245,$AA12)/$K12,2))</f>
        <v/>
      </c>
      <c r="W12" s="27" t="str">
        <f aca="false">IF(OR($A12="",$K12=0),"",ROUND($J12*INDEX(研发人员工时分配表!$Q$6:$Q$245,$AA12)/$K12,2))</f>
        <v/>
      </c>
      <c r="X12" s="27" t="str">
        <f aca="false">IF($A12="","",ROUND(SUM(N12:W12),2))</f>
        <v/>
      </c>
      <c r="Y12" s="27" t="str">
        <f aca="false">IF($A12="","",ROUND($J12-X12,2))</f>
        <v/>
      </c>
      <c r="Z12" s="43" t="str">
        <f aca="false">IF($A12="","",IF($AA12=0,"⚠ 工时分配表无此人当月记录",IF($AB12&gt;1,"⚠ 工时分配表存在重复行","√ 正常")))</f>
        <v/>
      </c>
      <c r="AA12" s="47" t="n">
        <f aca="false">IF($A12="",0,IFERROR(MATCH($A12&amp;"|"&amp;$B12,研发人员工时分配表!$W$6:$W$245,0),0))</f>
        <v>0</v>
      </c>
      <c r="AB12" s="47" t="n">
        <f aca="false">IF($A12="",0,COUNTIFS(研发人员工时分配表!$A$6:$A$245,$A12,研发人员工时分配表!$B$6:$B$245,$B12))</f>
        <v>0</v>
      </c>
    </row>
    <row r="13" customFormat="false" ht="18" hidden="false" customHeight="true" outlineLevel="0" collapsed="false">
      <c r="A13" s="36"/>
      <c r="B13" s="36"/>
      <c r="C13" s="43" t="str">
        <f aca="false">IF($B13="","",IFERROR(VLOOKUP($B13,人员名册!$B$4:$G$53,2,0)&amp;"","名册中未登记"))</f>
        <v/>
      </c>
      <c r="D13" s="43" t="str">
        <f aca="false">IF($B13="","",IFERROR(VLOOKUP($B13,人员名册!$B$4:$G$53,5,0)&amp;"",""))</f>
        <v/>
      </c>
      <c r="E13" s="25"/>
      <c r="F13" s="25"/>
      <c r="G13" s="25"/>
      <c r="H13" s="25"/>
      <c r="I13" s="25"/>
      <c r="J13" s="27" t="str">
        <f aca="false">IF($A13="","",ROUND(SUM(E13:I13),2))</f>
        <v/>
      </c>
      <c r="K13" s="45" t="n">
        <f aca="false">IF(OR($A13="",$AA13=0),0,INDEX(研发人员工时分配表!$F$6:$F$245,$AA13))</f>
        <v>0</v>
      </c>
      <c r="L13" s="45" t="n">
        <f aca="false">IF(OR($A13="",$AA13=0),0,INDEX(研发人员工时分配表!$R$6:$R$245,$AA13))</f>
        <v>0</v>
      </c>
      <c r="M13" s="28" t="str">
        <f aca="false">IF(OR($A13="",$K13=0),"",$L13/$K13)</f>
        <v/>
      </c>
      <c r="N13" s="27" t="str">
        <f aca="false">IF(OR($A13="",$K13=0),"",ROUND($J13*INDEX(研发人员工时分配表!$H$6:$H$245,$AA13)/$K13,2))</f>
        <v/>
      </c>
      <c r="O13" s="27" t="str">
        <f aca="false">IF(OR($A13="",$K13=0),"",ROUND($J13*INDEX(研发人员工时分配表!$I$6:$I$245,$AA13)/$K13,2))</f>
        <v/>
      </c>
      <c r="P13" s="27" t="str">
        <f aca="false">IF(OR($A13="",$K13=0),"",ROUND($J13*INDEX(研发人员工时分配表!$J$6:$J$245,$AA13)/$K13,2))</f>
        <v/>
      </c>
      <c r="Q13" s="27" t="str">
        <f aca="false">IF(OR($A13="",$K13=0),"",ROUND($J13*INDEX(研发人员工时分配表!$K$6:$K$245,$AA13)/$K13,2))</f>
        <v/>
      </c>
      <c r="R13" s="27" t="str">
        <f aca="false">IF(OR($A13="",$K13=0),"",ROUND($J13*INDEX(研发人员工时分配表!$L$6:$L$245,$AA13)/$K13,2))</f>
        <v/>
      </c>
      <c r="S13" s="27" t="str">
        <f aca="false">IF(OR($A13="",$K13=0),"",ROUND($J13*INDEX(研发人员工时分配表!$M$6:$M$245,$AA13)/$K13,2))</f>
        <v/>
      </c>
      <c r="T13" s="27" t="str">
        <f aca="false">IF(OR($A13="",$K13=0),"",ROUND($J13*INDEX(研发人员工时分配表!$N$6:$N$245,$AA13)/$K13,2))</f>
        <v/>
      </c>
      <c r="U13" s="27" t="str">
        <f aca="false">IF(OR($A13="",$K13=0),"",ROUND($J13*INDEX(研发人员工时分配表!$O$6:$O$245,$AA13)/$K13,2))</f>
        <v/>
      </c>
      <c r="V13" s="27" t="str">
        <f aca="false">IF(OR($A13="",$K13=0),"",ROUND($J13*INDEX(研发人员工时分配表!$P$6:$P$245,$AA13)/$K13,2))</f>
        <v/>
      </c>
      <c r="W13" s="27" t="str">
        <f aca="false">IF(OR($A13="",$K13=0),"",ROUND($J13*INDEX(研发人员工时分配表!$Q$6:$Q$245,$AA13)/$K13,2))</f>
        <v/>
      </c>
      <c r="X13" s="27" t="str">
        <f aca="false">IF($A13="","",ROUND(SUM(N13:W13),2))</f>
        <v/>
      </c>
      <c r="Y13" s="27" t="str">
        <f aca="false">IF($A13="","",ROUND($J13-X13,2))</f>
        <v/>
      </c>
      <c r="Z13" s="43" t="str">
        <f aca="false">IF($A13="","",IF($AA13=0,"⚠ 工时分配表无此人当月记录",IF($AB13&gt;1,"⚠ 工时分配表存在重复行","√ 正常")))</f>
        <v/>
      </c>
      <c r="AA13" s="47" t="n">
        <f aca="false">IF($A13="",0,IFERROR(MATCH($A13&amp;"|"&amp;$B13,研发人员工时分配表!$W$6:$W$245,0),0))</f>
        <v>0</v>
      </c>
      <c r="AB13" s="47" t="n">
        <f aca="false">IF($A13="",0,COUNTIFS(研发人员工时分配表!$A$6:$A$245,$A13,研发人员工时分配表!$B$6:$B$245,$B13))</f>
        <v>0</v>
      </c>
    </row>
    <row r="14" customFormat="false" ht="18" hidden="false" customHeight="true" outlineLevel="0" collapsed="false">
      <c r="A14" s="36"/>
      <c r="B14" s="36"/>
      <c r="C14" s="43" t="str">
        <f aca="false">IF($B14="","",IFERROR(VLOOKUP($B14,人员名册!$B$4:$G$53,2,0)&amp;"","名册中未登记"))</f>
        <v/>
      </c>
      <c r="D14" s="43" t="str">
        <f aca="false">IF($B14="","",IFERROR(VLOOKUP($B14,人员名册!$B$4:$G$53,5,0)&amp;"",""))</f>
        <v/>
      </c>
      <c r="E14" s="25"/>
      <c r="F14" s="25"/>
      <c r="G14" s="25"/>
      <c r="H14" s="25"/>
      <c r="I14" s="25"/>
      <c r="J14" s="27" t="str">
        <f aca="false">IF($A14="","",ROUND(SUM(E14:I14),2))</f>
        <v/>
      </c>
      <c r="K14" s="45" t="n">
        <f aca="false">IF(OR($A14="",$AA14=0),0,INDEX(研发人员工时分配表!$F$6:$F$245,$AA14))</f>
        <v>0</v>
      </c>
      <c r="L14" s="45" t="n">
        <f aca="false">IF(OR($A14="",$AA14=0),0,INDEX(研发人员工时分配表!$R$6:$R$245,$AA14))</f>
        <v>0</v>
      </c>
      <c r="M14" s="28" t="str">
        <f aca="false">IF(OR($A14="",$K14=0),"",$L14/$K14)</f>
        <v/>
      </c>
      <c r="N14" s="27" t="str">
        <f aca="false">IF(OR($A14="",$K14=0),"",ROUND($J14*INDEX(研发人员工时分配表!$H$6:$H$245,$AA14)/$K14,2))</f>
        <v/>
      </c>
      <c r="O14" s="27" t="str">
        <f aca="false">IF(OR($A14="",$K14=0),"",ROUND($J14*INDEX(研发人员工时分配表!$I$6:$I$245,$AA14)/$K14,2))</f>
        <v/>
      </c>
      <c r="P14" s="27" t="str">
        <f aca="false">IF(OR($A14="",$K14=0),"",ROUND($J14*INDEX(研发人员工时分配表!$J$6:$J$245,$AA14)/$K14,2))</f>
        <v/>
      </c>
      <c r="Q14" s="27" t="str">
        <f aca="false">IF(OR($A14="",$K14=0),"",ROUND($J14*INDEX(研发人员工时分配表!$K$6:$K$245,$AA14)/$K14,2))</f>
        <v/>
      </c>
      <c r="R14" s="27" t="str">
        <f aca="false">IF(OR($A14="",$K14=0),"",ROUND($J14*INDEX(研发人员工时分配表!$L$6:$L$245,$AA14)/$K14,2))</f>
        <v/>
      </c>
      <c r="S14" s="27" t="str">
        <f aca="false">IF(OR($A14="",$K14=0),"",ROUND($J14*INDEX(研发人员工时分配表!$M$6:$M$245,$AA14)/$K14,2))</f>
        <v/>
      </c>
      <c r="T14" s="27" t="str">
        <f aca="false">IF(OR($A14="",$K14=0),"",ROUND($J14*INDEX(研发人员工时分配表!$N$6:$N$245,$AA14)/$K14,2))</f>
        <v/>
      </c>
      <c r="U14" s="27" t="str">
        <f aca="false">IF(OR($A14="",$K14=0),"",ROUND($J14*INDEX(研发人员工时分配表!$O$6:$O$245,$AA14)/$K14,2))</f>
        <v/>
      </c>
      <c r="V14" s="27" t="str">
        <f aca="false">IF(OR($A14="",$K14=0),"",ROUND($J14*INDEX(研发人员工时分配表!$P$6:$P$245,$AA14)/$K14,2))</f>
        <v/>
      </c>
      <c r="W14" s="27" t="str">
        <f aca="false">IF(OR($A14="",$K14=0),"",ROUND($J14*INDEX(研发人员工时分配表!$Q$6:$Q$245,$AA14)/$K14,2))</f>
        <v/>
      </c>
      <c r="X14" s="27" t="str">
        <f aca="false">IF($A14="","",ROUND(SUM(N14:W14),2))</f>
        <v/>
      </c>
      <c r="Y14" s="27" t="str">
        <f aca="false">IF($A14="","",ROUND($J14-X14,2))</f>
        <v/>
      </c>
      <c r="Z14" s="43" t="str">
        <f aca="false">IF($A14="","",IF($AA14=0,"⚠ 工时分配表无此人当月记录",IF($AB14&gt;1,"⚠ 工时分配表存在重复行","√ 正常")))</f>
        <v/>
      </c>
      <c r="AA14" s="47" t="n">
        <f aca="false">IF($A14="",0,IFERROR(MATCH($A14&amp;"|"&amp;$B14,研发人员工时分配表!$W$6:$W$245,0),0))</f>
        <v>0</v>
      </c>
      <c r="AB14" s="47" t="n">
        <f aca="false">IF($A14="",0,COUNTIFS(研发人员工时分配表!$A$6:$A$245,$A14,研发人员工时分配表!$B$6:$B$245,$B14))</f>
        <v>0</v>
      </c>
    </row>
    <row r="15" customFormat="false" ht="18" hidden="false" customHeight="true" outlineLevel="0" collapsed="false">
      <c r="A15" s="36"/>
      <c r="B15" s="36"/>
      <c r="C15" s="43" t="str">
        <f aca="false">IF($B15="","",IFERROR(VLOOKUP($B15,人员名册!$B$4:$G$53,2,0)&amp;"","名册中未登记"))</f>
        <v/>
      </c>
      <c r="D15" s="43" t="str">
        <f aca="false">IF($B15="","",IFERROR(VLOOKUP($B15,人员名册!$B$4:$G$53,5,0)&amp;"",""))</f>
        <v/>
      </c>
      <c r="E15" s="25"/>
      <c r="F15" s="25"/>
      <c r="G15" s="25"/>
      <c r="H15" s="25"/>
      <c r="I15" s="25"/>
      <c r="J15" s="27" t="str">
        <f aca="false">IF($A15="","",ROUND(SUM(E15:I15),2))</f>
        <v/>
      </c>
      <c r="K15" s="45" t="n">
        <f aca="false">IF(OR($A15="",$AA15=0),0,INDEX(研发人员工时分配表!$F$6:$F$245,$AA15))</f>
        <v>0</v>
      </c>
      <c r="L15" s="45" t="n">
        <f aca="false">IF(OR($A15="",$AA15=0),0,INDEX(研发人员工时分配表!$R$6:$R$245,$AA15))</f>
        <v>0</v>
      </c>
      <c r="M15" s="28" t="str">
        <f aca="false">IF(OR($A15="",$K15=0),"",$L15/$K15)</f>
        <v/>
      </c>
      <c r="N15" s="27" t="str">
        <f aca="false">IF(OR($A15="",$K15=0),"",ROUND($J15*INDEX(研发人员工时分配表!$H$6:$H$245,$AA15)/$K15,2))</f>
        <v/>
      </c>
      <c r="O15" s="27" t="str">
        <f aca="false">IF(OR($A15="",$K15=0),"",ROUND($J15*INDEX(研发人员工时分配表!$I$6:$I$245,$AA15)/$K15,2))</f>
        <v/>
      </c>
      <c r="P15" s="27" t="str">
        <f aca="false">IF(OR($A15="",$K15=0),"",ROUND($J15*INDEX(研发人员工时分配表!$J$6:$J$245,$AA15)/$K15,2))</f>
        <v/>
      </c>
      <c r="Q15" s="27" t="str">
        <f aca="false">IF(OR($A15="",$K15=0),"",ROUND($J15*INDEX(研发人员工时分配表!$K$6:$K$245,$AA15)/$K15,2))</f>
        <v/>
      </c>
      <c r="R15" s="27" t="str">
        <f aca="false">IF(OR($A15="",$K15=0),"",ROUND($J15*INDEX(研发人员工时分配表!$L$6:$L$245,$AA15)/$K15,2))</f>
        <v/>
      </c>
      <c r="S15" s="27" t="str">
        <f aca="false">IF(OR($A15="",$K15=0),"",ROUND($J15*INDEX(研发人员工时分配表!$M$6:$M$245,$AA15)/$K15,2))</f>
        <v/>
      </c>
      <c r="T15" s="27" t="str">
        <f aca="false">IF(OR($A15="",$K15=0),"",ROUND($J15*INDEX(研发人员工时分配表!$N$6:$N$245,$AA15)/$K15,2))</f>
        <v/>
      </c>
      <c r="U15" s="27" t="str">
        <f aca="false">IF(OR($A15="",$K15=0),"",ROUND($J15*INDEX(研发人员工时分配表!$O$6:$O$245,$AA15)/$K15,2))</f>
        <v/>
      </c>
      <c r="V15" s="27" t="str">
        <f aca="false">IF(OR($A15="",$K15=0),"",ROUND($J15*INDEX(研发人员工时分配表!$P$6:$P$245,$AA15)/$K15,2))</f>
        <v/>
      </c>
      <c r="W15" s="27" t="str">
        <f aca="false">IF(OR($A15="",$K15=0),"",ROUND($J15*INDEX(研发人员工时分配表!$Q$6:$Q$245,$AA15)/$K15,2))</f>
        <v/>
      </c>
      <c r="X15" s="27" t="str">
        <f aca="false">IF($A15="","",ROUND(SUM(N15:W15),2))</f>
        <v/>
      </c>
      <c r="Y15" s="27" t="str">
        <f aca="false">IF($A15="","",ROUND($J15-X15,2))</f>
        <v/>
      </c>
      <c r="Z15" s="43" t="str">
        <f aca="false">IF($A15="","",IF($AA15=0,"⚠ 工时分配表无此人当月记录",IF($AB15&gt;1,"⚠ 工时分配表存在重复行","√ 正常")))</f>
        <v/>
      </c>
      <c r="AA15" s="47" t="n">
        <f aca="false">IF($A15="",0,IFERROR(MATCH($A15&amp;"|"&amp;$B15,研发人员工时分配表!$W$6:$W$245,0),0))</f>
        <v>0</v>
      </c>
      <c r="AB15" s="47" t="n">
        <f aca="false">IF($A15="",0,COUNTIFS(研发人员工时分配表!$A$6:$A$245,$A15,研发人员工时分配表!$B$6:$B$245,$B15))</f>
        <v>0</v>
      </c>
    </row>
    <row r="16" customFormat="false" ht="18" hidden="false" customHeight="true" outlineLevel="0" collapsed="false">
      <c r="A16" s="36"/>
      <c r="B16" s="36"/>
      <c r="C16" s="43" t="str">
        <f aca="false">IF($B16="","",IFERROR(VLOOKUP($B16,人员名册!$B$4:$G$53,2,0)&amp;"","名册中未登记"))</f>
        <v/>
      </c>
      <c r="D16" s="43" t="str">
        <f aca="false">IF($B16="","",IFERROR(VLOOKUP($B16,人员名册!$B$4:$G$53,5,0)&amp;"",""))</f>
        <v/>
      </c>
      <c r="E16" s="25"/>
      <c r="F16" s="25"/>
      <c r="G16" s="25"/>
      <c r="H16" s="25"/>
      <c r="I16" s="25"/>
      <c r="J16" s="27" t="str">
        <f aca="false">IF($A16="","",ROUND(SUM(E16:I16),2))</f>
        <v/>
      </c>
      <c r="K16" s="45" t="n">
        <f aca="false">IF(OR($A16="",$AA16=0),0,INDEX(研发人员工时分配表!$F$6:$F$245,$AA16))</f>
        <v>0</v>
      </c>
      <c r="L16" s="45" t="n">
        <f aca="false">IF(OR($A16="",$AA16=0),0,INDEX(研发人员工时分配表!$R$6:$R$245,$AA16))</f>
        <v>0</v>
      </c>
      <c r="M16" s="28" t="str">
        <f aca="false">IF(OR($A16="",$K16=0),"",$L16/$K16)</f>
        <v/>
      </c>
      <c r="N16" s="27" t="str">
        <f aca="false">IF(OR($A16="",$K16=0),"",ROUND($J16*INDEX(研发人员工时分配表!$H$6:$H$245,$AA16)/$K16,2))</f>
        <v/>
      </c>
      <c r="O16" s="27" t="str">
        <f aca="false">IF(OR($A16="",$K16=0),"",ROUND($J16*INDEX(研发人员工时分配表!$I$6:$I$245,$AA16)/$K16,2))</f>
        <v/>
      </c>
      <c r="P16" s="27" t="str">
        <f aca="false">IF(OR($A16="",$K16=0),"",ROUND($J16*INDEX(研发人员工时分配表!$J$6:$J$245,$AA16)/$K16,2))</f>
        <v/>
      </c>
      <c r="Q16" s="27" t="str">
        <f aca="false">IF(OR($A16="",$K16=0),"",ROUND($J16*INDEX(研发人员工时分配表!$K$6:$K$245,$AA16)/$K16,2))</f>
        <v/>
      </c>
      <c r="R16" s="27" t="str">
        <f aca="false">IF(OR($A16="",$K16=0),"",ROUND($J16*INDEX(研发人员工时分配表!$L$6:$L$245,$AA16)/$K16,2))</f>
        <v/>
      </c>
      <c r="S16" s="27" t="str">
        <f aca="false">IF(OR($A16="",$K16=0),"",ROUND($J16*INDEX(研发人员工时分配表!$M$6:$M$245,$AA16)/$K16,2))</f>
        <v/>
      </c>
      <c r="T16" s="27" t="str">
        <f aca="false">IF(OR($A16="",$K16=0),"",ROUND($J16*INDEX(研发人员工时分配表!$N$6:$N$245,$AA16)/$K16,2))</f>
        <v/>
      </c>
      <c r="U16" s="27" t="str">
        <f aca="false">IF(OR($A16="",$K16=0),"",ROUND($J16*INDEX(研发人员工时分配表!$O$6:$O$245,$AA16)/$K16,2))</f>
        <v/>
      </c>
      <c r="V16" s="27" t="str">
        <f aca="false">IF(OR($A16="",$K16=0),"",ROUND($J16*INDEX(研发人员工时分配表!$P$6:$P$245,$AA16)/$K16,2))</f>
        <v/>
      </c>
      <c r="W16" s="27" t="str">
        <f aca="false">IF(OR($A16="",$K16=0),"",ROUND($J16*INDEX(研发人员工时分配表!$Q$6:$Q$245,$AA16)/$K16,2))</f>
        <v/>
      </c>
      <c r="X16" s="27" t="str">
        <f aca="false">IF($A16="","",ROUND(SUM(N16:W16),2))</f>
        <v/>
      </c>
      <c r="Y16" s="27" t="str">
        <f aca="false">IF($A16="","",ROUND($J16-X16,2))</f>
        <v/>
      </c>
      <c r="Z16" s="43" t="str">
        <f aca="false">IF($A16="","",IF($AA16=0,"⚠ 工时分配表无此人当月记录",IF($AB16&gt;1,"⚠ 工时分配表存在重复行","√ 正常")))</f>
        <v/>
      </c>
      <c r="AA16" s="47" t="n">
        <f aca="false">IF($A16="",0,IFERROR(MATCH($A16&amp;"|"&amp;$B16,研发人员工时分配表!$W$6:$W$245,0),0))</f>
        <v>0</v>
      </c>
      <c r="AB16" s="47" t="n">
        <f aca="false">IF($A16="",0,COUNTIFS(研发人员工时分配表!$A$6:$A$245,$A16,研发人员工时分配表!$B$6:$B$245,$B16))</f>
        <v>0</v>
      </c>
    </row>
    <row r="17" customFormat="false" ht="18" hidden="false" customHeight="true" outlineLevel="0" collapsed="false">
      <c r="A17" s="36"/>
      <c r="B17" s="36"/>
      <c r="C17" s="43" t="str">
        <f aca="false">IF($B17="","",IFERROR(VLOOKUP($B17,人员名册!$B$4:$G$53,2,0)&amp;"","名册中未登记"))</f>
        <v/>
      </c>
      <c r="D17" s="43" t="str">
        <f aca="false">IF($B17="","",IFERROR(VLOOKUP($B17,人员名册!$B$4:$G$53,5,0)&amp;"",""))</f>
        <v/>
      </c>
      <c r="E17" s="25"/>
      <c r="F17" s="25"/>
      <c r="G17" s="25"/>
      <c r="H17" s="25"/>
      <c r="I17" s="25"/>
      <c r="J17" s="27" t="str">
        <f aca="false">IF($A17="","",ROUND(SUM(E17:I17),2))</f>
        <v/>
      </c>
      <c r="K17" s="45" t="n">
        <f aca="false">IF(OR($A17="",$AA17=0),0,INDEX(研发人员工时分配表!$F$6:$F$245,$AA17))</f>
        <v>0</v>
      </c>
      <c r="L17" s="45" t="n">
        <f aca="false">IF(OR($A17="",$AA17=0),0,INDEX(研发人员工时分配表!$R$6:$R$245,$AA17))</f>
        <v>0</v>
      </c>
      <c r="M17" s="28" t="str">
        <f aca="false">IF(OR($A17="",$K17=0),"",$L17/$K17)</f>
        <v/>
      </c>
      <c r="N17" s="27" t="str">
        <f aca="false">IF(OR($A17="",$K17=0),"",ROUND($J17*INDEX(研发人员工时分配表!$H$6:$H$245,$AA17)/$K17,2))</f>
        <v/>
      </c>
      <c r="O17" s="27" t="str">
        <f aca="false">IF(OR($A17="",$K17=0),"",ROUND($J17*INDEX(研发人员工时分配表!$I$6:$I$245,$AA17)/$K17,2))</f>
        <v/>
      </c>
      <c r="P17" s="27" t="str">
        <f aca="false">IF(OR($A17="",$K17=0),"",ROUND($J17*INDEX(研发人员工时分配表!$J$6:$J$245,$AA17)/$K17,2))</f>
        <v/>
      </c>
      <c r="Q17" s="27" t="str">
        <f aca="false">IF(OR($A17="",$K17=0),"",ROUND($J17*INDEX(研发人员工时分配表!$K$6:$K$245,$AA17)/$K17,2))</f>
        <v/>
      </c>
      <c r="R17" s="27" t="str">
        <f aca="false">IF(OR($A17="",$K17=0),"",ROUND($J17*INDEX(研发人员工时分配表!$L$6:$L$245,$AA17)/$K17,2))</f>
        <v/>
      </c>
      <c r="S17" s="27" t="str">
        <f aca="false">IF(OR($A17="",$K17=0),"",ROUND($J17*INDEX(研发人员工时分配表!$M$6:$M$245,$AA17)/$K17,2))</f>
        <v/>
      </c>
      <c r="T17" s="27" t="str">
        <f aca="false">IF(OR($A17="",$K17=0),"",ROUND($J17*INDEX(研发人员工时分配表!$N$6:$N$245,$AA17)/$K17,2))</f>
        <v/>
      </c>
      <c r="U17" s="27" t="str">
        <f aca="false">IF(OR($A17="",$K17=0),"",ROUND($J17*INDEX(研发人员工时分配表!$O$6:$O$245,$AA17)/$K17,2))</f>
        <v/>
      </c>
      <c r="V17" s="27" t="str">
        <f aca="false">IF(OR($A17="",$K17=0),"",ROUND($J17*INDEX(研发人员工时分配表!$P$6:$P$245,$AA17)/$K17,2))</f>
        <v/>
      </c>
      <c r="W17" s="27" t="str">
        <f aca="false">IF(OR($A17="",$K17=0),"",ROUND($J17*INDEX(研发人员工时分配表!$Q$6:$Q$245,$AA17)/$K17,2))</f>
        <v/>
      </c>
      <c r="X17" s="27" t="str">
        <f aca="false">IF($A17="","",ROUND(SUM(N17:W17),2))</f>
        <v/>
      </c>
      <c r="Y17" s="27" t="str">
        <f aca="false">IF($A17="","",ROUND($J17-X17,2))</f>
        <v/>
      </c>
      <c r="Z17" s="43" t="str">
        <f aca="false">IF($A17="","",IF($AA17=0,"⚠ 工时分配表无此人当月记录",IF($AB17&gt;1,"⚠ 工时分配表存在重复行","√ 正常")))</f>
        <v/>
      </c>
      <c r="AA17" s="47" t="n">
        <f aca="false">IF($A17="",0,IFERROR(MATCH($A17&amp;"|"&amp;$B17,研发人员工时分配表!$W$6:$W$245,0),0))</f>
        <v>0</v>
      </c>
      <c r="AB17" s="47" t="n">
        <f aca="false">IF($A17="",0,COUNTIFS(研发人员工时分配表!$A$6:$A$245,$A17,研发人员工时分配表!$B$6:$B$245,$B17))</f>
        <v>0</v>
      </c>
    </row>
    <row r="18" customFormat="false" ht="18" hidden="false" customHeight="true" outlineLevel="0" collapsed="false">
      <c r="A18" s="36"/>
      <c r="B18" s="36"/>
      <c r="C18" s="43" t="str">
        <f aca="false">IF($B18="","",IFERROR(VLOOKUP($B18,人员名册!$B$4:$G$53,2,0)&amp;"","名册中未登记"))</f>
        <v/>
      </c>
      <c r="D18" s="43" t="str">
        <f aca="false">IF($B18="","",IFERROR(VLOOKUP($B18,人员名册!$B$4:$G$53,5,0)&amp;"",""))</f>
        <v/>
      </c>
      <c r="E18" s="25"/>
      <c r="F18" s="25"/>
      <c r="G18" s="25"/>
      <c r="H18" s="25"/>
      <c r="I18" s="25"/>
      <c r="J18" s="27" t="str">
        <f aca="false">IF($A18="","",ROUND(SUM(E18:I18),2))</f>
        <v/>
      </c>
      <c r="K18" s="45" t="n">
        <f aca="false">IF(OR($A18="",$AA18=0),0,INDEX(研发人员工时分配表!$F$6:$F$245,$AA18))</f>
        <v>0</v>
      </c>
      <c r="L18" s="45" t="n">
        <f aca="false">IF(OR($A18="",$AA18=0),0,INDEX(研发人员工时分配表!$R$6:$R$245,$AA18))</f>
        <v>0</v>
      </c>
      <c r="M18" s="28" t="str">
        <f aca="false">IF(OR($A18="",$K18=0),"",$L18/$K18)</f>
        <v/>
      </c>
      <c r="N18" s="27" t="str">
        <f aca="false">IF(OR($A18="",$K18=0),"",ROUND($J18*INDEX(研发人员工时分配表!$H$6:$H$245,$AA18)/$K18,2))</f>
        <v/>
      </c>
      <c r="O18" s="27" t="str">
        <f aca="false">IF(OR($A18="",$K18=0),"",ROUND($J18*INDEX(研发人员工时分配表!$I$6:$I$245,$AA18)/$K18,2))</f>
        <v/>
      </c>
      <c r="P18" s="27" t="str">
        <f aca="false">IF(OR($A18="",$K18=0),"",ROUND($J18*INDEX(研发人员工时分配表!$J$6:$J$245,$AA18)/$K18,2))</f>
        <v/>
      </c>
      <c r="Q18" s="27" t="str">
        <f aca="false">IF(OR($A18="",$K18=0),"",ROUND($J18*INDEX(研发人员工时分配表!$K$6:$K$245,$AA18)/$K18,2))</f>
        <v/>
      </c>
      <c r="R18" s="27" t="str">
        <f aca="false">IF(OR($A18="",$K18=0),"",ROUND($J18*INDEX(研发人员工时分配表!$L$6:$L$245,$AA18)/$K18,2))</f>
        <v/>
      </c>
      <c r="S18" s="27" t="str">
        <f aca="false">IF(OR($A18="",$K18=0),"",ROUND($J18*INDEX(研发人员工时分配表!$M$6:$M$245,$AA18)/$K18,2))</f>
        <v/>
      </c>
      <c r="T18" s="27" t="str">
        <f aca="false">IF(OR($A18="",$K18=0),"",ROUND($J18*INDEX(研发人员工时分配表!$N$6:$N$245,$AA18)/$K18,2))</f>
        <v/>
      </c>
      <c r="U18" s="27" t="str">
        <f aca="false">IF(OR($A18="",$K18=0),"",ROUND($J18*INDEX(研发人员工时分配表!$O$6:$O$245,$AA18)/$K18,2))</f>
        <v/>
      </c>
      <c r="V18" s="27" t="str">
        <f aca="false">IF(OR($A18="",$K18=0),"",ROUND($J18*INDEX(研发人员工时分配表!$P$6:$P$245,$AA18)/$K18,2))</f>
        <v/>
      </c>
      <c r="W18" s="27" t="str">
        <f aca="false">IF(OR($A18="",$K18=0),"",ROUND($J18*INDEX(研发人员工时分配表!$Q$6:$Q$245,$AA18)/$K18,2))</f>
        <v/>
      </c>
      <c r="X18" s="27" t="str">
        <f aca="false">IF($A18="","",ROUND(SUM(N18:W18),2))</f>
        <v/>
      </c>
      <c r="Y18" s="27" t="str">
        <f aca="false">IF($A18="","",ROUND($J18-X18,2))</f>
        <v/>
      </c>
      <c r="Z18" s="43" t="str">
        <f aca="false">IF($A18="","",IF($AA18=0,"⚠ 工时分配表无此人当月记录",IF($AB18&gt;1,"⚠ 工时分配表存在重复行","√ 正常")))</f>
        <v/>
      </c>
      <c r="AA18" s="47" t="n">
        <f aca="false">IF($A18="",0,IFERROR(MATCH($A18&amp;"|"&amp;$B18,研发人员工时分配表!$W$6:$W$245,0),0))</f>
        <v>0</v>
      </c>
      <c r="AB18" s="47" t="n">
        <f aca="false">IF($A18="",0,COUNTIFS(研发人员工时分配表!$A$6:$A$245,$A18,研发人员工时分配表!$B$6:$B$245,$B18))</f>
        <v>0</v>
      </c>
    </row>
    <row r="19" customFormat="false" ht="18" hidden="false" customHeight="true" outlineLevel="0" collapsed="false">
      <c r="A19" s="36"/>
      <c r="B19" s="36"/>
      <c r="C19" s="43" t="str">
        <f aca="false">IF($B19="","",IFERROR(VLOOKUP($B19,人员名册!$B$4:$G$53,2,0)&amp;"","名册中未登记"))</f>
        <v/>
      </c>
      <c r="D19" s="43" t="str">
        <f aca="false">IF($B19="","",IFERROR(VLOOKUP($B19,人员名册!$B$4:$G$53,5,0)&amp;"",""))</f>
        <v/>
      </c>
      <c r="E19" s="25"/>
      <c r="F19" s="25"/>
      <c r="G19" s="25"/>
      <c r="H19" s="25"/>
      <c r="I19" s="25"/>
      <c r="J19" s="27" t="str">
        <f aca="false">IF($A19="","",ROUND(SUM(E19:I19),2))</f>
        <v/>
      </c>
      <c r="K19" s="45" t="n">
        <f aca="false">IF(OR($A19="",$AA19=0),0,INDEX(研发人员工时分配表!$F$6:$F$245,$AA19))</f>
        <v>0</v>
      </c>
      <c r="L19" s="45" t="n">
        <f aca="false">IF(OR($A19="",$AA19=0),0,INDEX(研发人员工时分配表!$R$6:$R$245,$AA19))</f>
        <v>0</v>
      </c>
      <c r="M19" s="28" t="str">
        <f aca="false">IF(OR($A19="",$K19=0),"",$L19/$K19)</f>
        <v/>
      </c>
      <c r="N19" s="27" t="str">
        <f aca="false">IF(OR($A19="",$K19=0),"",ROUND($J19*INDEX(研发人员工时分配表!$H$6:$H$245,$AA19)/$K19,2))</f>
        <v/>
      </c>
      <c r="O19" s="27" t="str">
        <f aca="false">IF(OR($A19="",$K19=0),"",ROUND($J19*INDEX(研发人员工时分配表!$I$6:$I$245,$AA19)/$K19,2))</f>
        <v/>
      </c>
      <c r="P19" s="27" t="str">
        <f aca="false">IF(OR($A19="",$K19=0),"",ROUND($J19*INDEX(研发人员工时分配表!$J$6:$J$245,$AA19)/$K19,2))</f>
        <v/>
      </c>
      <c r="Q19" s="27" t="str">
        <f aca="false">IF(OR($A19="",$K19=0),"",ROUND($J19*INDEX(研发人员工时分配表!$K$6:$K$245,$AA19)/$K19,2))</f>
        <v/>
      </c>
      <c r="R19" s="27" t="str">
        <f aca="false">IF(OR($A19="",$K19=0),"",ROUND($J19*INDEX(研发人员工时分配表!$L$6:$L$245,$AA19)/$K19,2))</f>
        <v/>
      </c>
      <c r="S19" s="27" t="str">
        <f aca="false">IF(OR($A19="",$K19=0),"",ROUND($J19*INDEX(研发人员工时分配表!$M$6:$M$245,$AA19)/$K19,2))</f>
        <v/>
      </c>
      <c r="T19" s="27" t="str">
        <f aca="false">IF(OR($A19="",$K19=0),"",ROUND($J19*INDEX(研发人员工时分配表!$N$6:$N$245,$AA19)/$K19,2))</f>
        <v/>
      </c>
      <c r="U19" s="27" t="str">
        <f aca="false">IF(OR($A19="",$K19=0),"",ROUND($J19*INDEX(研发人员工时分配表!$O$6:$O$245,$AA19)/$K19,2))</f>
        <v/>
      </c>
      <c r="V19" s="27" t="str">
        <f aca="false">IF(OR($A19="",$K19=0),"",ROUND($J19*INDEX(研发人员工时分配表!$P$6:$P$245,$AA19)/$K19,2))</f>
        <v/>
      </c>
      <c r="W19" s="27" t="str">
        <f aca="false">IF(OR($A19="",$K19=0),"",ROUND($J19*INDEX(研发人员工时分配表!$Q$6:$Q$245,$AA19)/$K19,2))</f>
        <v/>
      </c>
      <c r="X19" s="27" t="str">
        <f aca="false">IF($A19="","",ROUND(SUM(N19:W19),2))</f>
        <v/>
      </c>
      <c r="Y19" s="27" t="str">
        <f aca="false">IF($A19="","",ROUND($J19-X19,2))</f>
        <v/>
      </c>
      <c r="Z19" s="43" t="str">
        <f aca="false">IF($A19="","",IF($AA19=0,"⚠ 工时分配表无此人当月记录",IF($AB19&gt;1,"⚠ 工时分配表存在重复行","√ 正常")))</f>
        <v/>
      </c>
      <c r="AA19" s="47" t="n">
        <f aca="false">IF($A19="",0,IFERROR(MATCH($A19&amp;"|"&amp;$B19,研发人员工时分配表!$W$6:$W$245,0),0))</f>
        <v>0</v>
      </c>
      <c r="AB19" s="47" t="n">
        <f aca="false">IF($A19="",0,COUNTIFS(研发人员工时分配表!$A$6:$A$245,$A19,研发人员工时分配表!$B$6:$B$245,$B19))</f>
        <v>0</v>
      </c>
    </row>
    <row r="20" customFormat="false" ht="18" hidden="false" customHeight="true" outlineLevel="0" collapsed="false">
      <c r="A20" s="36"/>
      <c r="B20" s="36"/>
      <c r="C20" s="43" t="str">
        <f aca="false">IF($B20="","",IFERROR(VLOOKUP($B20,人员名册!$B$4:$G$53,2,0)&amp;"","名册中未登记"))</f>
        <v/>
      </c>
      <c r="D20" s="43" t="str">
        <f aca="false">IF($B20="","",IFERROR(VLOOKUP($B20,人员名册!$B$4:$G$53,5,0)&amp;"",""))</f>
        <v/>
      </c>
      <c r="E20" s="25"/>
      <c r="F20" s="25"/>
      <c r="G20" s="25"/>
      <c r="H20" s="25"/>
      <c r="I20" s="25"/>
      <c r="J20" s="27" t="str">
        <f aca="false">IF($A20="","",ROUND(SUM(E20:I20),2))</f>
        <v/>
      </c>
      <c r="K20" s="45" t="n">
        <f aca="false">IF(OR($A20="",$AA20=0),0,INDEX(研发人员工时分配表!$F$6:$F$245,$AA20))</f>
        <v>0</v>
      </c>
      <c r="L20" s="45" t="n">
        <f aca="false">IF(OR($A20="",$AA20=0),0,INDEX(研发人员工时分配表!$R$6:$R$245,$AA20))</f>
        <v>0</v>
      </c>
      <c r="M20" s="28" t="str">
        <f aca="false">IF(OR($A20="",$K20=0),"",$L20/$K20)</f>
        <v/>
      </c>
      <c r="N20" s="27" t="str">
        <f aca="false">IF(OR($A20="",$K20=0),"",ROUND($J20*INDEX(研发人员工时分配表!$H$6:$H$245,$AA20)/$K20,2))</f>
        <v/>
      </c>
      <c r="O20" s="27" t="str">
        <f aca="false">IF(OR($A20="",$K20=0),"",ROUND($J20*INDEX(研发人员工时分配表!$I$6:$I$245,$AA20)/$K20,2))</f>
        <v/>
      </c>
      <c r="P20" s="27" t="str">
        <f aca="false">IF(OR($A20="",$K20=0),"",ROUND($J20*INDEX(研发人员工时分配表!$J$6:$J$245,$AA20)/$K20,2))</f>
        <v/>
      </c>
      <c r="Q20" s="27" t="str">
        <f aca="false">IF(OR($A20="",$K20=0),"",ROUND($J20*INDEX(研发人员工时分配表!$K$6:$K$245,$AA20)/$K20,2))</f>
        <v/>
      </c>
      <c r="R20" s="27" t="str">
        <f aca="false">IF(OR($A20="",$K20=0),"",ROUND($J20*INDEX(研发人员工时分配表!$L$6:$L$245,$AA20)/$K20,2))</f>
        <v/>
      </c>
      <c r="S20" s="27" t="str">
        <f aca="false">IF(OR($A20="",$K20=0),"",ROUND($J20*INDEX(研发人员工时分配表!$M$6:$M$245,$AA20)/$K20,2))</f>
        <v/>
      </c>
      <c r="T20" s="27" t="str">
        <f aca="false">IF(OR($A20="",$K20=0),"",ROUND($J20*INDEX(研发人员工时分配表!$N$6:$N$245,$AA20)/$K20,2))</f>
        <v/>
      </c>
      <c r="U20" s="27" t="str">
        <f aca="false">IF(OR($A20="",$K20=0),"",ROUND($J20*INDEX(研发人员工时分配表!$O$6:$O$245,$AA20)/$K20,2))</f>
        <v/>
      </c>
      <c r="V20" s="27" t="str">
        <f aca="false">IF(OR($A20="",$K20=0),"",ROUND($J20*INDEX(研发人员工时分配表!$P$6:$P$245,$AA20)/$K20,2))</f>
        <v/>
      </c>
      <c r="W20" s="27" t="str">
        <f aca="false">IF(OR($A20="",$K20=0),"",ROUND($J20*INDEX(研发人员工时分配表!$Q$6:$Q$245,$AA20)/$K20,2))</f>
        <v/>
      </c>
      <c r="X20" s="27" t="str">
        <f aca="false">IF($A20="","",ROUND(SUM(N20:W20),2))</f>
        <v/>
      </c>
      <c r="Y20" s="27" t="str">
        <f aca="false">IF($A20="","",ROUND($J20-X20,2))</f>
        <v/>
      </c>
      <c r="Z20" s="43" t="str">
        <f aca="false">IF($A20="","",IF($AA20=0,"⚠ 工时分配表无此人当月记录",IF($AB20&gt;1,"⚠ 工时分配表存在重复行","√ 正常")))</f>
        <v/>
      </c>
      <c r="AA20" s="47" t="n">
        <f aca="false">IF($A20="",0,IFERROR(MATCH($A20&amp;"|"&amp;$B20,研发人员工时分配表!$W$6:$W$245,0),0))</f>
        <v>0</v>
      </c>
      <c r="AB20" s="47" t="n">
        <f aca="false">IF($A20="",0,COUNTIFS(研发人员工时分配表!$A$6:$A$245,$A20,研发人员工时分配表!$B$6:$B$245,$B20))</f>
        <v>0</v>
      </c>
    </row>
    <row r="21" customFormat="false" ht="18" hidden="false" customHeight="true" outlineLevel="0" collapsed="false">
      <c r="A21" s="36"/>
      <c r="B21" s="36"/>
      <c r="C21" s="43" t="str">
        <f aca="false">IF($B21="","",IFERROR(VLOOKUP($B21,人员名册!$B$4:$G$53,2,0)&amp;"","名册中未登记"))</f>
        <v/>
      </c>
      <c r="D21" s="43" t="str">
        <f aca="false">IF($B21="","",IFERROR(VLOOKUP($B21,人员名册!$B$4:$G$53,5,0)&amp;"",""))</f>
        <v/>
      </c>
      <c r="E21" s="25"/>
      <c r="F21" s="25"/>
      <c r="G21" s="25"/>
      <c r="H21" s="25"/>
      <c r="I21" s="25"/>
      <c r="J21" s="27" t="str">
        <f aca="false">IF($A21="","",ROUND(SUM(E21:I21),2))</f>
        <v/>
      </c>
      <c r="K21" s="45" t="n">
        <f aca="false">IF(OR($A21="",$AA21=0),0,INDEX(研发人员工时分配表!$F$6:$F$245,$AA21))</f>
        <v>0</v>
      </c>
      <c r="L21" s="45" t="n">
        <f aca="false">IF(OR($A21="",$AA21=0),0,INDEX(研发人员工时分配表!$R$6:$R$245,$AA21))</f>
        <v>0</v>
      </c>
      <c r="M21" s="28" t="str">
        <f aca="false">IF(OR($A21="",$K21=0),"",$L21/$K21)</f>
        <v/>
      </c>
      <c r="N21" s="27" t="str">
        <f aca="false">IF(OR($A21="",$K21=0),"",ROUND($J21*INDEX(研发人员工时分配表!$H$6:$H$245,$AA21)/$K21,2))</f>
        <v/>
      </c>
      <c r="O21" s="27" t="str">
        <f aca="false">IF(OR($A21="",$K21=0),"",ROUND($J21*INDEX(研发人员工时分配表!$I$6:$I$245,$AA21)/$K21,2))</f>
        <v/>
      </c>
      <c r="P21" s="27" t="str">
        <f aca="false">IF(OR($A21="",$K21=0),"",ROUND($J21*INDEX(研发人员工时分配表!$J$6:$J$245,$AA21)/$K21,2))</f>
        <v/>
      </c>
      <c r="Q21" s="27" t="str">
        <f aca="false">IF(OR($A21="",$K21=0),"",ROUND($J21*INDEX(研发人员工时分配表!$K$6:$K$245,$AA21)/$K21,2))</f>
        <v/>
      </c>
      <c r="R21" s="27" t="str">
        <f aca="false">IF(OR($A21="",$K21=0),"",ROUND($J21*INDEX(研发人员工时分配表!$L$6:$L$245,$AA21)/$K21,2))</f>
        <v/>
      </c>
      <c r="S21" s="27" t="str">
        <f aca="false">IF(OR($A21="",$K21=0),"",ROUND($J21*INDEX(研发人员工时分配表!$M$6:$M$245,$AA21)/$K21,2))</f>
        <v/>
      </c>
      <c r="T21" s="27" t="str">
        <f aca="false">IF(OR($A21="",$K21=0),"",ROUND($J21*INDEX(研发人员工时分配表!$N$6:$N$245,$AA21)/$K21,2))</f>
        <v/>
      </c>
      <c r="U21" s="27" t="str">
        <f aca="false">IF(OR($A21="",$K21=0),"",ROUND($J21*INDEX(研发人员工时分配表!$O$6:$O$245,$AA21)/$K21,2))</f>
        <v/>
      </c>
      <c r="V21" s="27" t="str">
        <f aca="false">IF(OR($A21="",$K21=0),"",ROUND($J21*INDEX(研发人员工时分配表!$P$6:$P$245,$AA21)/$K21,2))</f>
        <v/>
      </c>
      <c r="W21" s="27" t="str">
        <f aca="false">IF(OR($A21="",$K21=0),"",ROUND($J21*INDEX(研发人员工时分配表!$Q$6:$Q$245,$AA21)/$K21,2))</f>
        <v/>
      </c>
      <c r="X21" s="27" t="str">
        <f aca="false">IF($A21="","",ROUND(SUM(N21:W21),2))</f>
        <v/>
      </c>
      <c r="Y21" s="27" t="str">
        <f aca="false">IF($A21="","",ROUND($J21-X21,2))</f>
        <v/>
      </c>
      <c r="Z21" s="43" t="str">
        <f aca="false">IF($A21="","",IF($AA21=0,"⚠ 工时分配表无此人当月记录",IF($AB21&gt;1,"⚠ 工时分配表存在重复行","√ 正常")))</f>
        <v/>
      </c>
      <c r="AA21" s="47" t="n">
        <f aca="false">IF($A21="",0,IFERROR(MATCH($A21&amp;"|"&amp;$B21,研发人员工时分配表!$W$6:$W$245,0),0))</f>
        <v>0</v>
      </c>
      <c r="AB21" s="47" t="n">
        <f aca="false">IF($A21="",0,COUNTIFS(研发人员工时分配表!$A$6:$A$245,$A21,研发人员工时分配表!$B$6:$B$245,$B21))</f>
        <v>0</v>
      </c>
    </row>
    <row r="22" customFormat="false" ht="18" hidden="false" customHeight="true" outlineLevel="0" collapsed="false">
      <c r="A22" s="36"/>
      <c r="B22" s="36"/>
      <c r="C22" s="43" t="str">
        <f aca="false">IF($B22="","",IFERROR(VLOOKUP($B22,人员名册!$B$4:$G$53,2,0)&amp;"","名册中未登记"))</f>
        <v/>
      </c>
      <c r="D22" s="43" t="str">
        <f aca="false">IF($B22="","",IFERROR(VLOOKUP($B22,人员名册!$B$4:$G$53,5,0)&amp;"",""))</f>
        <v/>
      </c>
      <c r="E22" s="25"/>
      <c r="F22" s="25"/>
      <c r="G22" s="25"/>
      <c r="H22" s="25"/>
      <c r="I22" s="25"/>
      <c r="J22" s="27" t="str">
        <f aca="false">IF($A22="","",ROUND(SUM(E22:I22),2))</f>
        <v/>
      </c>
      <c r="K22" s="45" t="n">
        <f aca="false">IF(OR($A22="",$AA22=0),0,INDEX(研发人员工时分配表!$F$6:$F$245,$AA22))</f>
        <v>0</v>
      </c>
      <c r="L22" s="45" t="n">
        <f aca="false">IF(OR($A22="",$AA22=0),0,INDEX(研发人员工时分配表!$R$6:$R$245,$AA22))</f>
        <v>0</v>
      </c>
      <c r="M22" s="28" t="str">
        <f aca="false">IF(OR($A22="",$K22=0),"",$L22/$K22)</f>
        <v/>
      </c>
      <c r="N22" s="27" t="str">
        <f aca="false">IF(OR($A22="",$K22=0),"",ROUND($J22*INDEX(研发人员工时分配表!$H$6:$H$245,$AA22)/$K22,2))</f>
        <v/>
      </c>
      <c r="O22" s="27" t="str">
        <f aca="false">IF(OR($A22="",$K22=0),"",ROUND($J22*INDEX(研发人员工时分配表!$I$6:$I$245,$AA22)/$K22,2))</f>
        <v/>
      </c>
      <c r="P22" s="27" t="str">
        <f aca="false">IF(OR($A22="",$K22=0),"",ROUND($J22*INDEX(研发人员工时分配表!$J$6:$J$245,$AA22)/$K22,2))</f>
        <v/>
      </c>
      <c r="Q22" s="27" t="str">
        <f aca="false">IF(OR($A22="",$K22=0),"",ROUND($J22*INDEX(研发人员工时分配表!$K$6:$K$245,$AA22)/$K22,2))</f>
        <v/>
      </c>
      <c r="R22" s="27" t="str">
        <f aca="false">IF(OR($A22="",$K22=0),"",ROUND($J22*INDEX(研发人员工时分配表!$L$6:$L$245,$AA22)/$K22,2))</f>
        <v/>
      </c>
      <c r="S22" s="27" t="str">
        <f aca="false">IF(OR($A22="",$K22=0),"",ROUND($J22*INDEX(研发人员工时分配表!$M$6:$M$245,$AA22)/$K22,2))</f>
        <v/>
      </c>
      <c r="T22" s="27" t="str">
        <f aca="false">IF(OR($A22="",$K22=0),"",ROUND($J22*INDEX(研发人员工时分配表!$N$6:$N$245,$AA22)/$K22,2))</f>
        <v/>
      </c>
      <c r="U22" s="27" t="str">
        <f aca="false">IF(OR($A22="",$K22=0),"",ROUND($J22*INDEX(研发人员工时分配表!$O$6:$O$245,$AA22)/$K22,2))</f>
        <v/>
      </c>
      <c r="V22" s="27" t="str">
        <f aca="false">IF(OR($A22="",$K22=0),"",ROUND($J22*INDEX(研发人员工时分配表!$P$6:$P$245,$AA22)/$K22,2))</f>
        <v/>
      </c>
      <c r="W22" s="27" t="str">
        <f aca="false">IF(OR($A22="",$K22=0),"",ROUND($J22*INDEX(研发人员工时分配表!$Q$6:$Q$245,$AA22)/$K22,2))</f>
        <v/>
      </c>
      <c r="X22" s="27" t="str">
        <f aca="false">IF($A22="","",ROUND(SUM(N22:W22),2))</f>
        <v/>
      </c>
      <c r="Y22" s="27" t="str">
        <f aca="false">IF($A22="","",ROUND($J22-X22,2))</f>
        <v/>
      </c>
      <c r="Z22" s="43" t="str">
        <f aca="false">IF($A22="","",IF($AA22=0,"⚠ 工时分配表无此人当月记录",IF($AB22&gt;1,"⚠ 工时分配表存在重复行","√ 正常")))</f>
        <v/>
      </c>
      <c r="AA22" s="47" t="n">
        <f aca="false">IF($A22="",0,IFERROR(MATCH($A22&amp;"|"&amp;$B22,研发人员工时分配表!$W$6:$W$245,0),0))</f>
        <v>0</v>
      </c>
      <c r="AB22" s="47" t="n">
        <f aca="false">IF($A22="",0,COUNTIFS(研发人员工时分配表!$A$6:$A$245,$A22,研发人员工时分配表!$B$6:$B$245,$B22))</f>
        <v>0</v>
      </c>
    </row>
    <row r="23" customFormat="false" ht="18" hidden="false" customHeight="true" outlineLevel="0" collapsed="false">
      <c r="A23" s="36"/>
      <c r="B23" s="36"/>
      <c r="C23" s="43" t="str">
        <f aca="false">IF($B23="","",IFERROR(VLOOKUP($B23,人员名册!$B$4:$G$53,2,0)&amp;"","名册中未登记"))</f>
        <v/>
      </c>
      <c r="D23" s="43" t="str">
        <f aca="false">IF($B23="","",IFERROR(VLOOKUP($B23,人员名册!$B$4:$G$53,5,0)&amp;"",""))</f>
        <v/>
      </c>
      <c r="E23" s="25"/>
      <c r="F23" s="25"/>
      <c r="G23" s="25"/>
      <c r="H23" s="25"/>
      <c r="I23" s="25"/>
      <c r="J23" s="27" t="str">
        <f aca="false">IF($A23="","",ROUND(SUM(E23:I23),2))</f>
        <v/>
      </c>
      <c r="K23" s="45" t="n">
        <f aca="false">IF(OR($A23="",$AA23=0),0,INDEX(研发人员工时分配表!$F$6:$F$245,$AA23))</f>
        <v>0</v>
      </c>
      <c r="L23" s="45" t="n">
        <f aca="false">IF(OR($A23="",$AA23=0),0,INDEX(研发人员工时分配表!$R$6:$R$245,$AA23))</f>
        <v>0</v>
      </c>
      <c r="M23" s="28" t="str">
        <f aca="false">IF(OR($A23="",$K23=0),"",$L23/$K23)</f>
        <v/>
      </c>
      <c r="N23" s="27" t="str">
        <f aca="false">IF(OR($A23="",$K23=0),"",ROUND($J23*INDEX(研发人员工时分配表!$H$6:$H$245,$AA23)/$K23,2))</f>
        <v/>
      </c>
      <c r="O23" s="27" t="str">
        <f aca="false">IF(OR($A23="",$K23=0),"",ROUND($J23*INDEX(研发人员工时分配表!$I$6:$I$245,$AA23)/$K23,2))</f>
        <v/>
      </c>
      <c r="P23" s="27" t="str">
        <f aca="false">IF(OR($A23="",$K23=0),"",ROUND($J23*INDEX(研发人员工时分配表!$J$6:$J$245,$AA23)/$K23,2))</f>
        <v/>
      </c>
      <c r="Q23" s="27" t="str">
        <f aca="false">IF(OR($A23="",$K23=0),"",ROUND($J23*INDEX(研发人员工时分配表!$K$6:$K$245,$AA23)/$K23,2))</f>
        <v/>
      </c>
      <c r="R23" s="27" t="str">
        <f aca="false">IF(OR($A23="",$K23=0),"",ROUND($J23*INDEX(研发人员工时分配表!$L$6:$L$245,$AA23)/$K23,2))</f>
        <v/>
      </c>
      <c r="S23" s="27" t="str">
        <f aca="false">IF(OR($A23="",$K23=0),"",ROUND($J23*INDEX(研发人员工时分配表!$M$6:$M$245,$AA23)/$K23,2))</f>
        <v/>
      </c>
      <c r="T23" s="27" t="str">
        <f aca="false">IF(OR($A23="",$K23=0),"",ROUND($J23*INDEX(研发人员工时分配表!$N$6:$N$245,$AA23)/$K23,2))</f>
        <v/>
      </c>
      <c r="U23" s="27" t="str">
        <f aca="false">IF(OR($A23="",$K23=0),"",ROUND($J23*INDEX(研发人员工时分配表!$O$6:$O$245,$AA23)/$K23,2))</f>
        <v/>
      </c>
      <c r="V23" s="27" t="str">
        <f aca="false">IF(OR($A23="",$K23=0),"",ROUND($J23*INDEX(研发人员工时分配表!$P$6:$P$245,$AA23)/$K23,2))</f>
        <v/>
      </c>
      <c r="W23" s="27" t="str">
        <f aca="false">IF(OR($A23="",$K23=0),"",ROUND($J23*INDEX(研发人员工时分配表!$Q$6:$Q$245,$AA23)/$K23,2))</f>
        <v/>
      </c>
      <c r="X23" s="27" t="str">
        <f aca="false">IF($A23="","",ROUND(SUM(N23:W23),2))</f>
        <v/>
      </c>
      <c r="Y23" s="27" t="str">
        <f aca="false">IF($A23="","",ROUND($J23-X23,2))</f>
        <v/>
      </c>
      <c r="Z23" s="43" t="str">
        <f aca="false">IF($A23="","",IF($AA23=0,"⚠ 工时分配表无此人当月记录",IF($AB23&gt;1,"⚠ 工时分配表存在重复行","√ 正常")))</f>
        <v/>
      </c>
      <c r="AA23" s="47" t="n">
        <f aca="false">IF($A23="",0,IFERROR(MATCH($A23&amp;"|"&amp;$B23,研发人员工时分配表!$W$6:$W$245,0),0))</f>
        <v>0</v>
      </c>
      <c r="AB23" s="47" t="n">
        <f aca="false">IF($A23="",0,COUNTIFS(研发人员工时分配表!$A$6:$A$245,$A23,研发人员工时分配表!$B$6:$B$245,$B23))</f>
        <v>0</v>
      </c>
    </row>
    <row r="24" customFormat="false" ht="18" hidden="false" customHeight="true" outlineLevel="0" collapsed="false">
      <c r="A24" s="36"/>
      <c r="B24" s="36"/>
      <c r="C24" s="43" t="str">
        <f aca="false">IF($B24="","",IFERROR(VLOOKUP($B24,人员名册!$B$4:$G$53,2,0)&amp;"","名册中未登记"))</f>
        <v/>
      </c>
      <c r="D24" s="43" t="str">
        <f aca="false">IF($B24="","",IFERROR(VLOOKUP($B24,人员名册!$B$4:$G$53,5,0)&amp;"",""))</f>
        <v/>
      </c>
      <c r="E24" s="25"/>
      <c r="F24" s="25"/>
      <c r="G24" s="25"/>
      <c r="H24" s="25"/>
      <c r="I24" s="25"/>
      <c r="J24" s="27" t="str">
        <f aca="false">IF($A24="","",ROUND(SUM(E24:I24),2))</f>
        <v/>
      </c>
      <c r="K24" s="45" t="n">
        <f aca="false">IF(OR($A24="",$AA24=0),0,INDEX(研发人员工时分配表!$F$6:$F$245,$AA24))</f>
        <v>0</v>
      </c>
      <c r="L24" s="45" t="n">
        <f aca="false">IF(OR($A24="",$AA24=0),0,INDEX(研发人员工时分配表!$R$6:$R$245,$AA24))</f>
        <v>0</v>
      </c>
      <c r="M24" s="28" t="str">
        <f aca="false">IF(OR($A24="",$K24=0),"",$L24/$K24)</f>
        <v/>
      </c>
      <c r="N24" s="27" t="str">
        <f aca="false">IF(OR($A24="",$K24=0),"",ROUND($J24*INDEX(研发人员工时分配表!$H$6:$H$245,$AA24)/$K24,2))</f>
        <v/>
      </c>
      <c r="O24" s="27" t="str">
        <f aca="false">IF(OR($A24="",$K24=0),"",ROUND($J24*INDEX(研发人员工时分配表!$I$6:$I$245,$AA24)/$K24,2))</f>
        <v/>
      </c>
      <c r="P24" s="27" t="str">
        <f aca="false">IF(OR($A24="",$K24=0),"",ROUND($J24*INDEX(研发人员工时分配表!$J$6:$J$245,$AA24)/$K24,2))</f>
        <v/>
      </c>
      <c r="Q24" s="27" t="str">
        <f aca="false">IF(OR($A24="",$K24=0),"",ROUND($J24*INDEX(研发人员工时分配表!$K$6:$K$245,$AA24)/$K24,2))</f>
        <v/>
      </c>
      <c r="R24" s="27" t="str">
        <f aca="false">IF(OR($A24="",$K24=0),"",ROUND($J24*INDEX(研发人员工时分配表!$L$6:$L$245,$AA24)/$K24,2))</f>
        <v/>
      </c>
      <c r="S24" s="27" t="str">
        <f aca="false">IF(OR($A24="",$K24=0),"",ROUND($J24*INDEX(研发人员工时分配表!$M$6:$M$245,$AA24)/$K24,2))</f>
        <v/>
      </c>
      <c r="T24" s="27" t="str">
        <f aca="false">IF(OR($A24="",$K24=0),"",ROUND($J24*INDEX(研发人员工时分配表!$N$6:$N$245,$AA24)/$K24,2))</f>
        <v/>
      </c>
      <c r="U24" s="27" t="str">
        <f aca="false">IF(OR($A24="",$K24=0),"",ROUND($J24*INDEX(研发人员工时分配表!$O$6:$O$245,$AA24)/$K24,2))</f>
        <v/>
      </c>
      <c r="V24" s="27" t="str">
        <f aca="false">IF(OR($A24="",$K24=0),"",ROUND($J24*INDEX(研发人员工时分配表!$P$6:$P$245,$AA24)/$K24,2))</f>
        <v/>
      </c>
      <c r="W24" s="27" t="str">
        <f aca="false">IF(OR($A24="",$K24=0),"",ROUND($J24*INDEX(研发人员工时分配表!$Q$6:$Q$245,$AA24)/$K24,2))</f>
        <v/>
      </c>
      <c r="X24" s="27" t="str">
        <f aca="false">IF($A24="","",ROUND(SUM(N24:W24),2))</f>
        <v/>
      </c>
      <c r="Y24" s="27" t="str">
        <f aca="false">IF($A24="","",ROUND($J24-X24,2))</f>
        <v/>
      </c>
      <c r="Z24" s="43" t="str">
        <f aca="false">IF($A24="","",IF($AA24=0,"⚠ 工时分配表无此人当月记录",IF($AB24&gt;1,"⚠ 工时分配表存在重复行","√ 正常")))</f>
        <v/>
      </c>
      <c r="AA24" s="47" t="n">
        <f aca="false">IF($A24="",0,IFERROR(MATCH($A24&amp;"|"&amp;$B24,研发人员工时分配表!$W$6:$W$245,0),0))</f>
        <v>0</v>
      </c>
      <c r="AB24" s="47" t="n">
        <f aca="false">IF($A24="",0,COUNTIFS(研发人员工时分配表!$A$6:$A$245,$A24,研发人员工时分配表!$B$6:$B$245,$B24))</f>
        <v>0</v>
      </c>
    </row>
    <row r="25" customFormat="false" ht="18" hidden="false" customHeight="true" outlineLevel="0" collapsed="false">
      <c r="A25" s="36"/>
      <c r="B25" s="36"/>
      <c r="C25" s="43" t="str">
        <f aca="false">IF($B25="","",IFERROR(VLOOKUP($B25,人员名册!$B$4:$G$53,2,0)&amp;"","名册中未登记"))</f>
        <v/>
      </c>
      <c r="D25" s="43" t="str">
        <f aca="false">IF($B25="","",IFERROR(VLOOKUP($B25,人员名册!$B$4:$G$53,5,0)&amp;"",""))</f>
        <v/>
      </c>
      <c r="E25" s="25"/>
      <c r="F25" s="25"/>
      <c r="G25" s="25"/>
      <c r="H25" s="25"/>
      <c r="I25" s="25"/>
      <c r="J25" s="27" t="str">
        <f aca="false">IF($A25="","",ROUND(SUM(E25:I25),2))</f>
        <v/>
      </c>
      <c r="K25" s="45" t="n">
        <f aca="false">IF(OR($A25="",$AA25=0),0,INDEX(研发人员工时分配表!$F$6:$F$245,$AA25))</f>
        <v>0</v>
      </c>
      <c r="L25" s="45" t="n">
        <f aca="false">IF(OR($A25="",$AA25=0),0,INDEX(研发人员工时分配表!$R$6:$R$245,$AA25))</f>
        <v>0</v>
      </c>
      <c r="M25" s="28" t="str">
        <f aca="false">IF(OR($A25="",$K25=0),"",$L25/$K25)</f>
        <v/>
      </c>
      <c r="N25" s="27" t="str">
        <f aca="false">IF(OR($A25="",$K25=0),"",ROUND($J25*INDEX(研发人员工时分配表!$H$6:$H$245,$AA25)/$K25,2))</f>
        <v/>
      </c>
      <c r="O25" s="27" t="str">
        <f aca="false">IF(OR($A25="",$K25=0),"",ROUND($J25*INDEX(研发人员工时分配表!$I$6:$I$245,$AA25)/$K25,2))</f>
        <v/>
      </c>
      <c r="P25" s="27" t="str">
        <f aca="false">IF(OR($A25="",$K25=0),"",ROUND($J25*INDEX(研发人员工时分配表!$J$6:$J$245,$AA25)/$K25,2))</f>
        <v/>
      </c>
      <c r="Q25" s="27" t="str">
        <f aca="false">IF(OR($A25="",$K25=0),"",ROUND($J25*INDEX(研发人员工时分配表!$K$6:$K$245,$AA25)/$K25,2))</f>
        <v/>
      </c>
      <c r="R25" s="27" t="str">
        <f aca="false">IF(OR($A25="",$K25=0),"",ROUND($J25*INDEX(研发人员工时分配表!$L$6:$L$245,$AA25)/$K25,2))</f>
        <v/>
      </c>
      <c r="S25" s="27" t="str">
        <f aca="false">IF(OR($A25="",$K25=0),"",ROUND($J25*INDEX(研发人员工时分配表!$M$6:$M$245,$AA25)/$K25,2))</f>
        <v/>
      </c>
      <c r="T25" s="27" t="str">
        <f aca="false">IF(OR($A25="",$K25=0),"",ROUND($J25*INDEX(研发人员工时分配表!$N$6:$N$245,$AA25)/$K25,2))</f>
        <v/>
      </c>
      <c r="U25" s="27" t="str">
        <f aca="false">IF(OR($A25="",$K25=0),"",ROUND($J25*INDEX(研发人员工时分配表!$O$6:$O$245,$AA25)/$K25,2))</f>
        <v/>
      </c>
      <c r="V25" s="27" t="str">
        <f aca="false">IF(OR($A25="",$K25=0),"",ROUND($J25*INDEX(研发人员工时分配表!$P$6:$P$245,$AA25)/$K25,2))</f>
        <v/>
      </c>
      <c r="W25" s="27" t="str">
        <f aca="false">IF(OR($A25="",$K25=0),"",ROUND($J25*INDEX(研发人员工时分配表!$Q$6:$Q$245,$AA25)/$K25,2))</f>
        <v/>
      </c>
      <c r="X25" s="27" t="str">
        <f aca="false">IF($A25="","",ROUND(SUM(N25:W25),2))</f>
        <v/>
      </c>
      <c r="Y25" s="27" t="str">
        <f aca="false">IF($A25="","",ROUND($J25-X25,2))</f>
        <v/>
      </c>
      <c r="Z25" s="43" t="str">
        <f aca="false">IF($A25="","",IF($AA25=0,"⚠ 工时分配表无此人当月记录",IF($AB25&gt;1,"⚠ 工时分配表存在重复行","√ 正常")))</f>
        <v/>
      </c>
      <c r="AA25" s="47" t="n">
        <f aca="false">IF($A25="",0,IFERROR(MATCH($A25&amp;"|"&amp;$B25,研发人员工时分配表!$W$6:$W$245,0),0))</f>
        <v>0</v>
      </c>
      <c r="AB25" s="47" t="n">
        <f aca="false">IF($A25="",0,COUNTIFS(研发人员工时分配表!$A$6:$A$245,$A25,研发人员工时分配表!$B$6:$B$245,$B25))</f>
        <v>0</v>
      </c>
    </row>
    <row r="26" customFormat="false" ht="18" hidden="false" customHeight="true" outlineLevel="0" collapsed="false">
      <c r="A26" s="36"/>
      <c r="B26" s="36"/>
      <c r="C26" s="43" t="str">
        <f aca="false">IF($B26="","",IFERROR(VLOOKUP($B26,人员名册!$B$4:$G$53,2,0)&amp;"","名册中未登记"))</f>
        <v/>
      </c>
      <c r="D26" s="43" t="str">
        <f aca="false">IF($B26="","",IFERROR(VLOOKUP($B26,人员名册!$B$4:$G$53,5,0)&amp;"",""))</f>
        <v/>
      </c>
      <c r="E26" s="25"/>
      <c r="F26" s="25"/>
      <c r="G26" s="25"/>
      <c r="H26" s="25"/>
      <c r="I26" s="25"/>
      <c r="J26" s="27" t="str">
        <f aca="false">IF($A26="","",ROUND(SUM(E26:I26),2))</f>
        <v/>
      </c>
      <c r="K26" s="45" t="n">
        <f aca="false">IF(OR($A26="",$AA26=0),0,INDEX(研发人员工时分配表!$F$6:$F$245,$AA26))</f>
        <v>0</v>
      </c>
      <c r="L26" s="45" t="n">
        <f aca="false">IF(OR($A26="",$AA26=0),0,INDEX(研发人员工时分配表!$R$6:$R$245,$AA26))</f>
        <v>0</v>
      </c>
      <c r="M26" s="28" t="str">
        <f aca="false">IF(OR($A26="",$K26=0),"",$L26/$K26)</f>
        <v/>
      </c>
      <c r="N26" s="27" t="str">
        <f aca="false">IF(OR($A26="",$K26=0),"",ROUND($J26*INDEX(研发人员工时分配表!$H$6:$H$245,$AA26)/$K26,2))</f>
        <v/>
      </c>
      <c r="O26" s="27" t="str">
        <f aca="false">IF(OR($A26="",$K26=0),"",ROUND($J26*INDEX(研发人员工时分配表!$I$6:$I$245,$AA26)/$K26,2))</f>
        <v/>
      </c>
      <c r="P26" s="27" t="str">
        <f aca="false">IF(OR($A26="",$K26=0),"",ROUND($J26*INDEX(研发人员工时分配表!$J$6:$J$245,$AA26)/$K26,2))</f>
        <v/>
      </c>
      <c r="Q26" s="27" t="str">
        <f aca="false">IF(OR($A26="",$K26=0),"",ROUND($J26*INDEX(研发人员工时分配表!$K$6:$K$245,$AA26)/$K26,2))</f>
        <v/>
      </c>
      <c r="R26" s="27" t="str">
        <f aca="false">IF(OR($A26="",$K26=0),"",ROUND($J26*INDEX(研发人员工时分配表!$L$6:$L$245,$AA26)/$K26,2))</f>
        <v/>
      </c>
      <c r="S26" s="27" t="str">
        <f aca="false">IF(OR($A26="",$K26=0),"",ROUND($J26*INDEX(研发人员工时分配表!$M$6:$M$245,$AA26)/$K26,2))</f>
        <v/>
      </c>
      <c r="T26" s="27" t="str">
        <f aca="false">IF(OR($A26="",$K26=0),"",ROUND($J26*INDEX(研发人员工时分配表!$N$6:$N$245,$AA26)/$K26,2))</f>
        <v/>
      </c>
      <c r="U26" s="27" t="str">
        <f aca="false">IF(OR($A26="",$K26=0),"",ROUND($J26*INDEX(研发人员工时分配表!$O$6:$O$245,$AA26)/$K26,2))</f>
        <v/>
      </c>
      <c r="V26" s="27" t="str">
        <f aca="false">IF(OR($A26="",$K26=0),"",ROUND($J26*INDEX(研发人员工时分配表!$P$6:$P$245,$AA26)/$K26,2))</f>
        <v/>
      </c>
      <c r="W26" s="27" t="str">
        <f aca="false">IF(OR($A26="",$K26=0),"",ROUND($J26*INDEX(研发人员工时分配表!$Q$6:$Q$245,$AA26)/$K26,2))</f>
        <v/>
      </c>
      <c r="X26" s="27" t="str">
        <f aca="false">IF($A26="","",ROUND(SUM(N26:W26),2))</f>
        <v/>
      </c>
      <c r="Y26" s="27" t="str">
        <f aca="false">IF($A26="","",ROUND($J26-X26,2))</f>
        <v/>
      </c>
      <c r="Z26" s="43" t="str">
        <f aca="false">IF($A26="","",IF($AA26=0,"⚠ 工时分配表无此人当月记录",IF($AB26&gt;1,"⚠ 工时分配表存在重复行","√ 正常")))</f>
        <v/>
      </c>
      <c r="AA26" s="47" t="n">
        <f aca="false">IF($A26="",0,IFERROR(MATCH($A26&amp;"|"&amp;$B26,研发人员工时分配表!$W$6:$W$245,0),0))</f>
        <v>0</v>
      </c>
      <c r="AB26" s="47" t="n">
        <f aca="false">IF($A26="",0,COUNTIFS(研发人员工时分配表!$A$6:$A$245,$A26,研发人员工时分配表!$B$6:$B$245,$B26))</f>
        <v>0</v>
      </c>
    </row>
    <row r="27" customFormat="false" ht="18" hidden="false" customHeight="true" outlineLevel="0" collapsed="false">
      <c r="A27" s="36"/>
      <c r="B27" s="36"/>
      <c r="C27" s="43" t="str">
        <f aca="false">IF($B27="","",IFERROR(VLOOKUP($B27,人员名册!$B$4:$G$53,2,0)&amp;"","名册中未登记"))</f>
        <v/>
      </c>
      <c r="D27" s="43" t="str">
        <f aca="false">IF($B27="","",IFERROR(VLOOKUP($B27,人员名册!$B$4:$G$53,5,0)&amp;"",""))</f>
        <v/>
      </c>
      <c r="E27" s="25"/>
      <c r="F27" s="25"/>
      <c r="G27" s="25"/>
      <c r="H27" s="25"/>
      <c r="I27" s="25"/>
      <c r="J27" s="27" t="str">
        <f aca="false">IF($A27="","",ROUND(SUM(E27:I27),2))</f>
        <v/>
      </c>
      <c r="K27" s="45" t="n">
        <f aca="false">IF(OR($A27="",$AA27=0),0,INDEX(研发人员工时分配表!$F$6:$F$245,$AA27))</f>
        <v>0</v>
      </c>
      <c r="L27" s="45" t="n">
        <f aca="false">IF(OR($A27="",$AA27=0),0,INDEX(研发人员工时分配表!$R$6:$R$245,$AA27))</f>
        <v>0</v>
      </c>
      <c r="M27" s="28" t="str">
        <f aca="false">IF(OR($A27="",$K27=0),"",$L27/$K27)</f>
        <v/>
      </c>
      <c r="N27" s="27" t="str">
        <f aca="false">IF(OR($A27="",$K27=0),"",ROUND($J27*INDEX(研发人员工时分配表!$H$6:$H$245,$AA27)/$K27,2))</f>
        <v/>
      </c>
      <c r="O27" s="27" t="str">
        <f aca="false">IF(OR($A27="",$K27=0),"",ROUND($J27*INDEX(研发人员工时分配表!$I$6:$I$245,$AA27)/$K27,2))</f>
        <v/>
      </c>
      <c r="P27" s="27" t="str">
        <f aca="false">IF(OR($A27="",$K27=0),"",ROUND($J27*INDEX(研发人员工时分配表!$J$6:$J$245,$AA27)/$K27,2))</f>
        <v/>
      </c>
      <c r="Q27" s="27" t="str">
        <f aca="false">IF(OR($A27="",$K27=0),"",ROUND($J27*INDEX(研发人员工时分配表!$K$6:$K$245,$AA27)/$K27,2))</f>
        <v/>
      </c>
      <c r="R27" s="27" t="str">
        <f aca="false">IF(OR($A27="",$K27=0),"",ROUND($J27*INDEX(研发人员工时分配表!$L$6:$L$245,$AA27)/$K27,2))</f>
        <v/>
      </c>
      <c r="S27" s="27" t="str">
        <f aca="false">IF(OR($A27="",$K27=0),"",ROUND($J27*INDEX(研发人员工时分配表!$M$6:$M$245,$AA27)/$K27,2))</f>
        <v/>
      </c>
      <c r="T27" s="27" t="str">
        <f aca="false">IF(OR($A27="",$K27=0),"",ROUND($J27*INDEX(研发人员工时分配表!$N$6:$N$245,$AA27)/$K27,2))</f>
        <v/>
      </c>
      <c r="U27" s="27" t="str">
        <f aca="false">IF(OR($A27="",$K27=0),"",ROUND($J27*INDEX(研发人员工时分配表!$O$6:$O$245,$AA27)/$K27,2))</f>
        <v/>
      </c>
      <c r="V27" s="27" t="str">
        <f aca="false">IF(OR($A27="",$K27=0),"",ROUND($J27*INDEX(研发人员工时分配表!$P$6:$P$245,$AA27)/$K27,2))</f>
        <v/>
      </c>
      <c r="W27" s="27" t="str">
        <f aca="false">IF(OR($A27="",$K27=0),"",ROUND($J27*INDEX(研发人员工时分配表!$Q$6:$Q$245,$AA27)/$K27,2))</f>
        <v/>
      </c>
      <c r="X27" s="27" t="str">
        <f aca="false">IF($A27="","",ROUND(SUM(N27:W27),2))</f>
        <v/>
      </c>
      <c r="Y27" s="27" t="str">
        <f aca="false">IF($A27="","",ROUND($J27-X27,2))</f>
        <v/>
      </c>
      <c r="Z27" s="43" t="str">
        <f aca="false">IF($A27="","",IF($AA27=0,"⚠ 工时分配表无此人当月记录",IF($AB27&gt;1,"⚠ 工时分配表存在重复行","√ 正常")))</f>
        <v/>
      </c>
      <c r="AA27" s="47" t="n">
        <f aca="false">IF($A27="",0,IFERROR(MATCH($A27&amp;"|"&amp;$B27,研发人员工时分配表!$W$6:$W$245,0),0))</f>
        <v>0</v>
      </c>
      <c r="AB27" s="47" t="n">
        <f aca="false">IF($A27="",0,COUNTIFS(研发人员工时分配表!$A$6:$A$245,$A27,研发人员工时分配表!$B$6:$B$245,$B27))</f>
        <v>0</v>
      </c>
    </row>
    <row r="28" customFormat="false" ht="18" hidden="false" customHeight="true" outlineLevel="0" collapsed="false">
      <c r="A28" s="36"/>
      <c r="B28" s="36"/>
      <c r="C28" s="43" t="str">
        <f aca="false">IF($B28="","",IFERROR(VLOOKUP($B28,人员名册!$B$4:$G$53,2,0)&amp;"","名册中未登记"))</f>
        <v/>
      </c>
      <c r="D28" s="43" t="str">
        <f aca="false">IF($B28="","",IFERROR(VLOOKUP($B28,人员名册!$B$4:$G$53,5,0)&amp;"",""))</f>
        <v/>
      </c>
      <c r="E28" s="25"/>
      <c r="F28" s="25"/>
      <c r="G28" s="25"/>
      <c r="H28" s="25"/>
      <c r="I28" s="25"/>
      <c r="J28" s="27" t="str">
        <f aca="false">IF($A28="","",ROUND(SUM(E28:I28),2))</f>
        <v/>
      </c>
      <c r="K28" s="45" t="n">
        <f aca="false">IF(OR($A28="",$AA28=0),0,INDEX(研发人员工时分配表!$F$6:$F$245,$AA28))</f>
        <v>0</v>
      </c>
      <c r="L28" s="45" t="n">
        <f aca="false">IF(OR($A28="",$AA28=0),0,INDEX(研发人员工时分配表!$R$6:$R$245,$AA28))</f>
        <v>0</v>
      </c>
      <c r="M28" s="28" t="str">
        <f aca="false">IF(OR($A28="",$K28=0),"",$L28/$K28)</f>
        <v/>
      </c>
      <c r="N28" s="27" t="str">
        <f aca="false">IF(OR($A28="",$K28=0),"",ROUND($J28*INDEX(研发人员工时分配表!$H$6:$H$245,$AA28)/$K28,2))</f>
        <v/>
      </c>
      <c r="O28" s="27" t="str">
        <f aca="false">IF(OR($A28="",$K28=0),"",ROUND($J28*INDEX(研发人员工时分配表!$I$6:$I$245,$AA28)/$K28,2))</f>
        <v/>
      </c>
      <c r="P28" s="27" t="str">
        <f aca="false">IF(OR($A28="",$K28=0),"",ROUND($J28*INDEX(研发人员工时分配表!$J$6:$J$245,$AA28)/$K28,2))</f>
        <v/>
      </c>
      <c r="Q28" s="27" t="str">
        <f aca="false">IF(OR($A28="",$K28=0),"",ROUND($J28*INDEX(研发人员工时分配表!$K$6:$K$245,$AA28)/$K28,2))</f>
        <v/>
      </c>
      <c r="R28" s="27" t="str">
        <f aca="false">IF(OR($A28="",$K28=0),"",ROUND($J28*INDEX(研发人员工时分配表!$L$6:$L$245,$AA28)/$K28,2))</f>
        <v/>
      </c>
      <c r="S28" s="27" t="str">
        <f aca="false">IF(OR($A28="",$K28=0),"",ROUND($J28*INDEX(研发人员工时分配表!$M$6:$M$245,$AA28)/$K28,2))</f>
        <v/>
      </c>
      <c r="T28" s="27" t="str">
        <f aca="false">IF(OR($A28="",$K28=0),"",ROUND($J28*INDEX(研发人员工时分配表!$N$6:$N$245,$AA28)/$K28,2))</f>
        <v/>
      </c>
      <c r="U28" s="27" t="str">
        <f aca="false">IF(OR($A28="",$K28=0),"",ROUND($J28*INDEX(研发人员工时分配表!$O$6:$O$245,$AA28)/$K28,2))</f>
        <v/>
      </c>
      <c r="V28" s="27" t="str">
        <f aca="false">IF(OR($A28="",$K28=0),"",ROUND($J28*INDEX(研发人员工时分配表!$P$6:$P$245,$AA28)/$K28,2))</f>
        <v/>
      </c>
      <c r="W28" s="27" t="str">
        <f aca="false">IF(OR($A28="",$K28=0),"",ROUND($J28*INDEX(研发人员工时分配表!$Q$6:$Q$245,$AA28)/$K28,2))</f>
        <v/>
      </c>
      <c r="X28" s="27" t="str">
        <f aca="false">IF($A28="","",ROUND(SUM(N28:W28),2))</f>
        <v/>
      </c>
      <c r="Y28" s="27" t="str">
        <f aca="false">IF($A28="","",ROUND($J28-X28,2))</f>
        <v/>
      </c>
      <c r="Z28" s="43" t="str">
        <f aca="false">IF($A28="","",IF($AA28=0,"⚠ 工时分配表无此人当月记录",IF($AB28&gt;1,"⚠ 工时分配表存在重复行","√ 正常")))</f>
        <v/>
      </c>
      <c r="AA28" s="47" t="n">
        <f aca="false">IF($A28="",0,IFERROR(MATCH($A28&amp;"|"&amp;$B28,研发人员工时分配表!$W$6:$W$245,0),0))</f>
        <v>0</v>
      </c>
      <c r="AB28" s="47" t="n">
        <f aca="false">IF($A28="",0,COUNTIFS(研发人员工时分配表!$A$6:$A$245,$A28,研发人员工时分配表!$B$6:$B$245,$B28))</f>
        <v>0</v>
      </c>
    </row>
    <row r="29" customFormat="false" ht="18" hidden="false" customHeight="true" outlineLevel="0" collapsed="false">
      <c r="A29" s="36"/>
      <c r="B29" s="36"/>
      <c r="C29" s="43" t="str">
        <f aca="false">IF($B29="","",IFERROR(VLOOKUP($B29,人员名册!$B$4:$G$53,2,0)&amp;"","名册中未登记"))</f>
        <v/>
      </c>
      <c r="D29" s="43" t="str">
        <f aca="false">IF($B29="","",IFERROR(VLOOKUP($B29,人员名册!$B$4:$G$53,5,0)&amp;"",""))</f>
        <v/>
      </c>
      <c r="E29" s="25"/>
      <c r="F29" s="25"/>
      <c r="G29" s="25"/>
      <c r="H29" s="25"/>
      <c r="I29" s="25"/>
      <c r="J29" s="27" t="str">
        <f aca="false">IF($A29="","",ROUND(SUM(E29:I29),2))</f>
        <v/>
      </c>
      <c r="K29" s="45" t="n">
        <f aca="false">IF(OR($A29="",$AA29=0),0,INDEX(研发人员工时分配表!$F$6:$F$245,$AA29))</f>
        <v>0</v>
      </c>
      <c r="L29" s="45" t="n">
        <f aca="false">IF(OR($A29="",$AA29=0),0,INDEX(研发人员工时分配表!$R$6:$R$245,$AA29))</f>
        <v>0</v>
      </c>
      <c r="M29" s="28" t="str">
        <f aca="false">IF(OR($A29="",$K29=0),"",$L29/$K29)</f>
        <v/>
      </c>
      <c r="N29" s="27" t="str">
        <f aca="false">IF(OR($A29="",$K29=0),"",ROUND($J29*INDEX(研发人员工时分配表!$H$6:$H$245,$AA29)/$K29,2))</f>
        <v/>
      </c>
      <c r="O29" s="27" t="str">
        <f aca="false">IF(OR($A29="",$K29=0),"",ROUND($J29*INDEX(研发人员工时分配表!$I$6:$I$245,$AA29)/$K29,2))</f>
        <v/>
      </c>
      <c r="P29" s="27" t="str">
        <f aca="false">IF(OR($A29="",$K29=0),"",ROUND($J29*INDEX(研发人员工时分配表!$J$6:$J$245,$AA29)/$K29,2))</f>
        <v/>
      </c>
      <c r="Q29" s="27" t="str">
        <f aca="false">IF(OR($A29="",$K29=0),"",ROUND($J29*INDEX(研发人员工时分配表!$K$6:$K$245,$AA29)/$K29,2))</f>
        <v/>
      </c>
      <c r="R29" s="27" t="str">
        <f aca="false">IF(OR($A29="",$K29=0),"",ROUND($J29*INDEX(研发人员工时分配表!$L$6:$L$245,$AA29)/$K29,2))</f>
        <v/>
      </c>
      <c r="S29" s="27" t="str">
        <f aca="false">IF(OR($A29="",$K29=0),"",ROUND($J29*INDEX(研发人员工时分配表!$M$6:$M$245,$AA29)/$K29,2))</f>
        <v/>
      </c>
      <c r="T29" s="27" t="str">
        <f aca="false">IF(OR($A29="",$K29=0),"",ROUND($J29*INDEX(研发人员工时分配表!$N$6:$N$245,$AA29)/$K29,2))</f>
        <v/>
      </c>
      <c r="U29" s="27" t="str">
        <f aca="false">IF(OR($A29="",$K29=0),"",ROUND($J29*INDEX(研发人员工时分配表!$O$6:$O$245,$AA29)/$K29,2))</f>
        <v/>
      </c>
      <c r="V29" s="27" t="str">
        <f aca="false">IF(OR($A29="",$K29=0),"",ROUND($J29*INDEX(研发人员工时分配表!$P$6:$P$245,$AA29)/$K29,2))</f>
        <v/>
      </c>
      <c r="W29" s="27" t="str">
        <f aca="false">IF(OR($A29="",$K29=0),"",ROUND($J29*INDEX(研发人员工时分配表!$Q$6:$Q$245,$AA29)/$K29,2))</f>
        <v/>
      </c>
      <c r="X29" s="27" t="str">
        <f aca="false">IF($A29="","",ROUND(SUM(N29:W29),2))</f>
        <v/>
      </c>
      <c r="Y29" s="27" t="str">
        <f aca="false">IF($A29="","",ROUND($J29-X29,2))</f>
        <v/>
      </c>
      <c r="Z29" s="43" t="str">
        <f aca="false">IF($A29="","",IF($AA29=0,"⚠ 工时分配表无此人当月记录",IF($AB29&gt;1,"⚠ 工时分配表存在重复行","√ 正常")))</f>
        <v/>
      </c>
      <c r="AA29" s="47" t="n">
        <f aca="false">IF($A29="",0,IFERROR(MATCH($A29&amp;"|"&amp;$B29,研发人员工时分配表!$W$6:$W$245,0),0))</f>
        <v>0</v>
      </c>
      <c r="AB29" s="47" t="n">
        <f aca="false">IF($A29="",0,COUNTIFS(研发人员工时分配表!$A$6:$A$245,$A29,研发人员工时分配表!$B$6:$B$245,$B29))</f>
        <v>0</v>
      </c>
    </row>
    <row r="30" customFormat="false" ht="18" hidden="false" customHeight="true" outlineLevel="0" collapsed="false">
      <c r="A30" s="36"/>
      <c r="B30" s="36"/>
      <c r="C30" s="43" t="str">
        <f aca="false">IF($B30="","",IFERROR(VLOOKUP($B30,人员名册!$B$4:$G$53,2,0)&amp;"","名册中未登记"))</f>
        <v/>
      </c>
      <c r="D30" s="43" t="str">
        <f aca="false">IF($B30="","",IFERROR(VLOOKUP($B30,人员名册!$B$4:$G$53,5,0)&amp;"",""))</f>
        <v/>
      </c>
      <c r="E30" s="25"/>
      <c r="F30" s="25"/>
      <c r="G30" s="25"/>
      <c r="H30" s="25"/>
      <c r="I30" s="25"/>
      <c r="J30" s="27" t="str">
        <f aca="false">IF($A30="","",ROUND(SUM(E30:I30),2))</f>
        <v/>
      </c>
      <c r="K30" s="45" t="n">
        <f aca="false">IF(OR($A30="",$AA30=0),0,INDEX(研发人员工时分配表!$F$6:$F$245,$AA30))</f>
        <v>0</v>
      </c>
      <c r="L30" s="45" t="n">
        <f aca="false">IF(OR($A30="",$AA30=0),0,INDEX(研发人员工时分配表!$R$6:$R$245,$AA30))</f>
        <v>0</v>
      </c>
      <c r="M30" s="28" t="str">
        <f aca="false">IF(OR($A30="",$K30=0),"",$L30/$K30)</f>
        <v/>
      </c>
      <c r="N30" s="27" t="str">
        <f aca="false">IF(OR($A30="",$K30=0),"",ROUND($J30*INDEX(研发人员工时分配表!$H$6:$H$245,$AA30)/$K30,2))</f>
        <v/>
      </c>
      <c r="O30" s="27" t="str">
        <f aca="false">IF(OR($A30="",$K30=0),"",ROUND($J30*INDEX(研发人员工时分配表!$I$6:$I$245,$AA30)/$K30,2))</f>
        <v/>
      </c>
      <c r="P30" s="27" t="str">
        <f aca="false">IF(OR($A30="",$K30=0),"",ROUND($J30*INDEX(研发人员工时分配表!$J$6:$J$245,$AA30)/$K30,2))</f>
        <v/>
      </c>
      <c r="Q30" s="27" t="str">
        <f aca="false">IF(OR($A30="",$K30=0),"",ROUND($J30*INDEX(研发人员工时分配表!$K$6:$K$245,$AA30)/$K30,2))</f>
        <v/>
      </c>
      <c r="R30" s="27" t="str">
        <f aca="false">IF(OR($A30="",$K30=0),"",ROUND($J30*INDEX(研发人员工时分配表!$L$6:$L$245,$AA30)/$K30,2))</f>
        <v/>
      </c>
      <c r="S30" s="27" t="str">
        <f aca="false">IF(OR($A30="",$K30=0),"",ROUND($J30*INDEX(研发人员工时分配表!$M$6:$M$245,$AA30)/$K30,2))</f>
        <v/>
      </c>
      <c r="T30" s="27" t="str">
        <f aca="false">IF(OR($A30="",$K30=0),"",ROUND($J30*INDEX(研发人员工时分配表!$N$6:$N$245,$AA30)/$K30,2))</f>
        <v/>
      </c>
      <c r="U30" s="27" t="str">
        <f aca="false">IF(OR($A30="",$K30=0),"",ROUND($J30*INDEX(研发人员工时分配表!$O$6:$O$245,$AA30)/$K30,2))</f>
        <v/>
      </c>
      <c r="V30" s="27" t="str">
        <f aca="false">IF(OR($A30="",$K30=0),"",ROUND($J30*INDEX(研发人员工时分配表!$P$6:$P$245,$AA30)/$K30,2))</f>
        <v/>
      </c>
      <c r="W30" s="27" t="str">
        <f aca="false">IF(OR($A30="",$K30=0),"",ROUND($J30*INDEX(研发人员工时分配表!$Q$6:$Q$245,$AA30)/$K30,2))</f>
        <v/>
      </c>
      <c r="X30" s="27" t="str">
        <f aca="false">IF($A30="","",ROUND(SUM(N30:W30),2))</f>
        <v/>
      </c>
      <c r="Y30" s="27" t="str">
        <f aca="false">IF($A30="","",ROUND($J30-X30,2))</f>
        <v/>
      </c>
      <c r="Z30" s="43" t="str">
        <f aca="false">IF($A30="","",IF($AA30=0,"⚠ 工时分配表无此人当月记录",IF($AB30&gt;1,"⚠ 工时分配表存在重复行","√ 正常")))</f>
        <v/>
      </c>
      <c r="AA30" s="47" t="n">
        <f aca="false">IF($A30="",0,IFERROR(MATCH($A30&amp;"|"&amp;$B30,研发人员工时分配表!$W$6:$W$245,0),0))</f>
        <v>0</v>
      </c>
      <c r="AB30" s="47" t="n">
        <f aca="false">IF($A30="",0,COUNTIFS(研发人员工时分配表!$A$6:$A$245,$A30,研发人员工时分配表!$B$6:$B$245,$B30))</f>
        <v>0</v>
      </c>
    </row>
    <row r="31" customFormat="false" ht="18" hidden="false" customHeight="true" outlineLevel="0" collapsed="false">
      <c r="A31" s="36"/>
      <c r="B31" s="36"/>
      <c r="C31" s="43" t="str">
        <f aca="false">IF($B31="","",IFERROR(VLOOKUP($B31,人员名册!$B$4:$G$53,2,0)&amp;"","名册中未登记"))</f>
        <v/>
      </c>
      <c r="D31" s="43" t="str">
        <f aca="false">IF($B31="","",IFERROR(VLOOKUP($B31,人员名册!$B$4:$G$53,5,0)&amp;"",""))</f>
        <v/>
      </c>
      <c r="E31" s="25"/>
      <c r="F31" s="25"/>
      <c r="G31" s="25"/>
      <c r="H31" s="25"/>
      <c r="I31" s="25"/>
      <c r="J31" s="27" t="str">
        <f aca="false">IF($A31="","",ROUND(SUM(E31:I31),2))</f>
        <v/>
      </c>
      <c r="K31" s="45" t="n">
        <f aca="false">IF(OR($A31="",$AA31=0),0,INDEX(研发人员工时分配表!$F$6:$F$245,$AA31))</f>
        <v>0</v>
      </c>
      <c r="L31" s="45" t="n">
        <f aca="false">IF(OR($A31="",$AA31=0),0,INDEX(研发人员工时分配表!$R$6:$R$245,$AA31))</f>
        <v>0</v>
      </c>
      <c r="M31" s="28" t="str">
        <f aca="false">IF(OR($A31="",$K31=0),"",$L31/$K31)</f>
        <v/>
      </c>
      <c r="N31" s="27" t="str">
        <f aca="false">IF(OR($A31="",$K31=0),"",ROUND($J31*INDEX(研发人员工时分配表!$H$6:$H$245,$AA31)/$K31,2))</f>
        <v/>
      </c>
      <c r="O31" s="27" t="str">
        <f aca="false">IF(OR($A31="",$K31=0),"",ROUND($J31*INDEX(研发人员工时分配表!$I$6:$I$245,$AA31)/$K31,2))</f>
        <v/>
      </c>
      <c r="P31" s="27" t="str">
        <f aca="false">IF(OR($A31="",$K31=0),"",ROUND($J31*INDEX(研发人员工时分配表!$J$6:$J$245,$AA31)/$K31,2))</f>
        <v/>
      </c>
      <c r="Q31" s="27" t="str">
        <f aca="false">IF(OR($A31="",$K31=0),"",ROUND($J31*INDEX(研发人员工时分配表!$K$6:$K$245,$AA31)/$K31,2))</f>
        <v/>
      </c>
      <c r="R31" s="27" t="str">
        <f aca="false">IF(OR($A31="",$K31=0),"",ROUND($J31*INDEX(研发人员工时分配表!$L$6:$L$245,$AA31)/$K31,2))</f>
        <v/>
      </c>
      <c r="S31" s="27" t="str">
        <f aca="false">IF(OR($A31="",$K31=0),"",ROUND($J31*INDEX(研发人员工时分配表!$M$6:$M$245,$AA31)/$K31,2))</f>
        <v/>
      </c>
      <c r="T31" s="27" t="str">
        <f aca="false">IF(OR($A31="",$K31=0),"",ROUND($J31*INDEX(研发人员工时分配表!$N$6:$N$245,$AA31)/$K31,2))</f>
        <v/>
      </c>
      <c r="U31" s="27" t="str">
        <f aca="false">IF(OR($A31="",$K31=0),"",ROUND($J31*INDEX(研发人员工时分配表!$O$6:$O$245,$AA31)/$K31,2))</f>
        <v/>
      </c>
      <c r="V31" s="27" t="str">
        <f aca="false">IF(OR($A31="",$K31=0),"",ROUND($J31*INDEX(研发人员工时分配表!$P$6:$P$245,$AA31)/$K31,2))</f>
        <v/>
      </c>
      <c r="W31" s="27" t="str">
        <f aca="false">IF(OR($A31="",$K31=0),"",ROUND($J31*INDEX(研发人员工时分配表!$Q$6:$Q$245,$AA31)/$K31,2))</f>
        <v/>
      </c>
      <c r="X31" s="27" t="str">
        <f aca="false">IF($A31="","",ROUND(SUM(N31:W31),2))</f>
        <v/>
      </c>
      <c r="Y31" s="27" t="str">
        <f aca="false">IF($A31="","",ROUND($J31-X31,2))</f>
        <v/>
      </c>
      <c r="Z31" s="43" t="str">
        <f aca="false">IF($A31="","",IF($AA31=0,"⚠ 工时分配表无此人当月记录",IF($AB31&gt;1,"⚠ 工时分配表存在重复行","√ 正常")))</f>
        <v/>
      </c>
      <c r="AA31" s="47" t="n">
        <f aca="false">IF($A31="",0,IFERROR(MATCH($A31&amp;"|"&amp;$B31,研发人员工时分配表!$W$6:$W$245,0),0))</f>
        <v>0</v>
      </c>
      <c r="AB31" s="47" t="n">
        <f aca="false">IF($A31="",0,COUNTIFS(研发人员工时分配表!$A$6:$A$245,$A31,研发人员工时分配表!$B$6:$B$245,$B31))</f>
        <v>0</v>
      </c>
    </row>
    <row r="32" customFormat="false" ht="18" hidden="false" customHeight="true" outlineLevel="0" collapsed="false">
      <c r="A32" s="36"/>
      <c r="B32" s="36"/>
      <c r="C32" s="43" t="str">
        <f aca="false">IF($B32="","",IFERROR(VLOOKUP($B32,人员名册!$B$4:$G$53,2,0)&amp;"","名册中未登记"))</f>
        <v/>
      </c>
      <c r="D32" s="43" t="str">
        <f aca="false">IF($B32="","",IFERROR(VLOOKUP($B32,人员名册!$B$4:$G$53,5,0)&amp;"",""))</f>
        <v/>
      </c>
      <c r="E32" s="25"/>
      <c r="F32" s="25"/>
      <c r="G32" s="25"/>
      <c r="H32" s="25"/>
      <c r="I32" s="25"/>
      <c r="J32" s="27" t="str">
        <f aca="false">IF($A32="","",ROUND(SUM(E32:I32),2))</f>
        <v/>
      </c>
      <c r="K32" s="45" t="n">
        <f aca="false">IF(OR($A32="",$AA32=0),0,INDEX(研发人员工时分配表!$F$6:$F$245,$AA32))</f>
        <v>0</v>
      </c>
      <c r="L32" s="45" t="n">
        <f aca="false">IF(OR($A32="",$AA32=0),0,INDEX(研发人员工时分配表!$R$6:$R$245,$AA32))</f>
        <v>0</v>
      </c>
      <c r="M32" s="28" t="str">
        <f aca="false">IF(OR($A32="",$K32=0),"",$L32/$K32)</f>
        <v/>
      </c>
      <c r="N32" s="27" t="str">
        <f aca="false">IF(OR($A32="",$K32=0),"",ROUND($J32*INDEX(研发人员工时分配表!$H$6:$H$245,$AA32)/$K32,2))</f>
        <v/>
      </c>
      <c r="O32" s="27" t="str">
        <f aca="false">IF(OR($A32="",$K32=0),"",ROUND($J32*INDEX(研发人员工时分配表!$I$6:$I$245,$AA32)/$K32,2))</f>
        <v/>
      </c>
      <c r="P32" s="27" t="str">
        <f aca="false">IF(OR($A32="",$K32=0),"",ROUND($J32*INDEX(研发人员工时分配表!$J$6:$J$245,$AA32)/$K32,2))</f>
        <v/>
      </c>
      <c r="Q32" s="27" t="str">
        <f aca="false">IF(OR($A32="",$K32=0),"",ROUND($J32*INDEX(研发人员工时分配表!$K$6:$K$245,$AA32)/$K32,2))</f>
        <v/>
      </c>
      <c r="R32" s="27" t="str">
        <f aca="false">IF(OR($A32="",$K32=0),"",ROUND($J32*INDEX(研发人员工时分配表!$L$6:$L$245,$AA32)/$K32,2))</f>
        <v/>
      </c>
      <c r="S32" s="27" t="str">
        <f aca="false">IF(OR($A32="",$K32=0),"",ROUND($J32*INDEX(研发人员工时分配表!$M$6:$M$245,$AA32)/$K32,2))</f>
        <v/>
      </c>
      <c r="T32" s="27" t="str">
        <f aca="false">IF(OR($A32="",$K32=0),"",ROUND($J32*INDEX(研发人员工时分配表!$N$6:$N$245,$AA32)/$K32,2))</f>
        <v/>
      </c>
      <c r="U32" s="27" t="str">
        <f aca="false">IF(OR($A32="",$K32=0),"",ROUND($J32*INDEX(研发人员工时分配表!$O$6:$O$245,$AA32)/$K32,2))</f>
        <v/>
      </c>
      <c r="V32" s="27" t="str">
        <f aca="false">IF(OR($A32="",$K32=0),"",ROUND($J32*INDEX(研发人员工时分配表!$P$6:$P$245,$AA32)/$K32,2))</f>
        <v/>
      </c>
      <c r="W32" s="27" t="str">
        <f aca="false">IF(OR($A32="",$K32=0),"",ROUND($J32*INDEX(研发人员工时分配表!$Q$6:$Q$245,$AA32)/$K32,2))</f>
        <v/>
      </c>
      <c r="X32" s="27" t="str">
        <f aca="false">IF($A32="","",ROUND(SUM(N32:W32),2))</f>
        <v/>
      </c>
      <c r="Y32" s="27" t="str">
        <f aca="false">IF($A32="","",ROUND($J32-X32,2))</f>
        <v/>
      </c>
      <c r="Z32" s="43" t="str">
        <f aca="false">IF($A32="","",IF($AA32=0,"⚠ 工时分配表无此人当月记录",IF($AB32&gt;1,"⚠ 工时分配表存在重复行","√ 正常")))</f>
        <v/>
      </c>
      <c r="AA32" s="47" t="n">
        <f aca="false">IF($A32="",0,IFERROR(MATCH($A32&amp;"|"&amp;$B32,研发人员工时分配表!$W$6:$W$245,0),0))</f>
        <v>0</v>
      </c>
      <c r="AB32" s="47" t="n">
        <f aca="false">IF($A32="",0,COUNTIFS(研发人员工时分配表!$A$6:$A$245,$A32,研发人员工时分配表!$B$6:$B$245,$B32))</f>
        <v>0</v>
      </c>
    </row>
    <row r="33" customFormat="false" ht="18" hidden="false" customHeight="true" outlineLevel="0" collapsed="false">
      <c r="A33" s="36"/>
      <c r="B33" s="36"/>
      <c r="C33" s="43" t="str">
        <f aca="false">IF($B33="","",IFERROR(VLOOKUP($B33,人员名册!$B$4:$G$53,2,0)&amp;"","名册中未登记"))</f>
        <v/>
      </c>
      <c r="D33" s="43" t="str">
        <f aca="false">IF($B33="","",IFERROR(VLOOKUP($B33,人员名册!$B$4:$G$53,5,0)&amp;"",""))</f>
        <v/>
      </c>
      <c r="E33" s="25"/>
      <c r="F33" s="25"/>
      <c r="G33" s="25"/>
      <c r="H33" s="25"/>
      <c r="I33" s="25"/>
      <c r="J33" s="27" t="str">
        <f aca="false">IF($A33="","",ROUND(SUM(E33:I33),2))</f>
        <v/>
      </c>
      <c r="K33" s="45" t="n">
        <f aca="false">IF(OR($A33="",$AA33=0),0,INDEX(研发人员工时分配表!$F$6:$F$245,$AA33))</f>
        <v>0</v>
      </c>
      <c r="L33" s="45" t="n">
        <f aca="false">IF(OR($A33="",$AA33=0),0,INDEX(研发人员工时分配表!$R$6:$R$245,$AA33))</f>
        <v>0</v>
      </c>
      <c r="M33" s="28" t="str">
        <f aca="false">IF(OR($A33="",$K33=0),"",$L33/$K33)</f>
        <v/>
      </c>
      <c r="N33" s="27" t="str">
        <f aca="false">IF(OR($A33="",$K33=0),"",ROUND($J33*INDEX(研发人员工时分配表!$H$6:$H$245,$AA33)/$K33,2))</f>
        <v/>
      </c>
      <c r="O33" s="27" t="str">
        <f aca="false">IF(OR($A33="",$K33=0),"",ROUND($J33*INDEX(研发人员工时分配表!$I$6:$I$245,$AA33)/$K33,2))</f>
        <v/>
      </c>
      <c r="P33" s="27" t="str">
        <f aca="false">IF(OR($A33="",$K33=0),"",ROUND($J33*INDEX(研发人员工时分配表!$J$6:$J$245,$AA33)/$K33,2))</f>
        <v/>
      </c>
      <c r="Q33" s="27" t="str">
        <f aca="false">IF(OR($A33="",$K33=0),"",ROUND($J33*INDEX(研发人员工时分配表!$K$6:$K$245,$AA33)/$K33,2))</f>
        <v/>
      </c>
      <c r="R33" s="27" t="str">
        <f aca="false">IF(OR($A33="",$K33=0),"",ROUND($J33*INDEX(研发人员工时分配表!$L$6:$L$245,$AA33)/$K33,2))</f>
        <v/>
      </c>
      <c r="S33" s="27" t="str">
        <f aca="false">IF(OR($A33="",$K33=0),"",ROUND($J33*INDEX(研发人员工时分配表!$M$6:$M$245,$AA33)/$K33,2))</f>
        <v/>
      </c>
      <c r="T33" s="27" t="str">
        <f aca="false">IF(OR($A33="",$K33=0),"",ROUND($J33*INDEX(研发人员工时分配表!$N$6:$N$245,$AA33)/$K33,2))</f>
        <v/>
      </c>
      <c r="U33" s="27" t="str">
        <f aca="false">IF(OR($A33="",$K33=0),"",ROUND($J33*INDEX(研发人员工时分配表!$O$6:$O$245,$AA33)/$K33,2))</f>
        <v/>
      </c>
      <c r="V33" s="27" t="str">
        <f aca="false">IF(OR($A33="",$K33=0),"",ROUND($J33*INDEX(研发人员工时分配表!$P$6:$P$245,$AA33)/$K33,2))</f>
        <v/>
      </c>
      <c r="W33" s="27" t="str">
        <f aca="false">IF(OR($A33="",$K33=0),"",ROUND($J33*INDEX(研发人员工时分配表!$Q$6:$Q$245,$AA33)/$K33,2))</f>
        <v/>
      </c>
      <c r="X33" s="27" t="str">
        <f aca="false">IF($A33="","",ROUND(SUM(N33:W33),2))</f>
        <v/>
      </c>
      <c r="Y33" s="27" t="str">
        <f aca="false">IF($A33="","",ROUND($J33-X33,2))</f>
        <v/>
      </c>
      <c r="Z33" s="43" t="str">
        <f aca="false">IF($A33="","",IF($AA33=0,"⚠ 工时分配表无此人当月记录",IF($AB33&gt;1,"⚠ 工时分配表存在重复行","√ 正常")))</f>
        <v/>
      </c>
      <c r="AA33" s="47" t="n">
        <f aca="false">IF($A33="",0,IFERROR(MATCH($A33&amp;"|"&amp;$B33,研发人员工时分配表!$W$6:$W$245,0),0))</f>
        <v>0</v>
      </c>
      <c r="AB33" s="47" t="n">
        <f aca="false">IF($A33="",0,COUNTIFS(研发人员工时分配表!$A$6:$A$245,$A33,研发人员工时分配表!$B$6:$B$245,$B33))</f>
        <v>0</v>
      </c>
    </row>
    <row r="34" customFormat="false" ht="18" hidden="false" customHeight="true" outlineLevel="0" collapsed="false">
      <c r="A34" s="36"/>
      <c r="B34" s="36"/>
      <c r="C34" s="43" t="str">
        <f aca="false">IF($B34="","",IFERROR(VLOOKUP($B34,人员名册!$B$4:$G$53,2,0)&amp;"","名册中未登记"))</f>
        <v/>
      </c>
      <c r="D34" s="43" t="str">
        <f aca="false">IF($B34="","",IFERROR(VLOOKUP($B34,人员名册!$B$4:$G$53,5,0)&amp;"",""))</f>
        <v/>
      </c>
      <c r="E34" s="25"/>
      <c r="F34" s="25"/>
      <c r="G34" s="25"/>
      <c r="H34" s="25"/>
      <c r="I34" s="25"/>
      <c r="J34" s="27" t="str">
        <f aca="false">IF($A34="","",ROUND(SUM(E34:I34),2))</f>
        <v/>
      </c>
      <c r="K34" s="45" t="n">
        <f aca="false">IF(OR($A34="",$AA34=0),0,INDEX(研发人员工时分配表!$F$6:$F$245,$AA34))</f>
        <v>0</v>
      </c>
      <c r="L34" s="45" t="n">
        <f aca="false">IF(OR($A34="",$AA34=0),0,INDEX(研发人员工时分配表!$R$6:$R$245,$AA34))</f>
        <v>0</v>
      </c>
      <c r="M34" s="28" t="str">
        <f aca="false">IF(OR($A34="",$K34=0),"",$L34/$K34)</f>
        <v/>
      </c>
      <c r="N34" s="27" t="str">
        <f aca="false">IF(OR($A34="",$K34=0),"",ROUND($J34*INDEX(研发人员工时分配表!$H$6:$H$245,$AA34)/$K34,2))</f>
        <v/>
      </c>
      <c r="O34" s="27" t="str">
        <f aca="false">IF(OR($A34="",$K34=0),"",ROUND($J34*INDEX(研发人员工时分配表!$I$6:$I$245,$AA34)/$K34,2))</f>
        <v/>
      </c>
      <c r="P34" s="27" t="str">
        <f aca="false">IF(OR($A34="",$K34=0),"",ROUND($J34*INDEX(研发人员工时分配表!$J$6:$J$245,$AA34)/$K34,2))</f>
        <v/>
      </c>
      <c r="Q34" s="27" t="str">
        <f aca="false">IF(OR($A34="",$K34=0),"",ROUND($J34*INDEX(研发人员工时分配表!$K$6:$K$245,$AA34)/$K34,2))</f>
        <v/>
      </c>
      <c r="R34" s="27" t="str">
        <f aca="false">IF(OR($A34="",$K34=0),"",ROUND($J34*INDEX(研发人员工时分配表!$L$6:$L$245,$AA34)/$K34,2))</f>
        <v/>
      </c>
      <c r="S34" s="27" t="str">
        <f aca="false">IF(OR($A34="",$K34=0),"",ROUND($J34*INDEX(研发人员工时分配表!$M$6:$M$245,$AA34)/$K34,2))</f>
        <v/>
      </c>
      <c r="T34" s="27" t="str">
        <f aca="false">IF(OR($A34="",$K34=0),"",ROUND($J34*INDEX(研发人员工时分配表!$N$6:$N$245,$AA34)/$K34,2))</f>
        <v/>
      </c>
      <c r="U34" s="27" t="str">
        <f aca="false">IF(OR($A34="",$K34=0),"",ROUND($J34*INDEX(研发人员工时分配表!$O$6:$O$245,$AA34)/$K34,2))</f>
        <v/>
      </c>
      <c r="V34" s="27" t="str">
        <f aca="false">IF(OR($A34="",$K34=0),"",ROUND($J34*INDEX(研发人员工时分配表!$P$6:$P$245,$AA34)/$K34,2))</f>
        <v/>
      </c>
      <c r="W34" s="27" t="str">
        <f aca="false">IF(OR($A34="",$K34=0),"",ROUND($J34*INDEX(研发人员工时分配表!$Q$6:$Q$245,$AA34)/$K34,2))</f>
        <v/>
      </c>
      <c r="X34" s="27" t="str">
        <f aca="false">IF($A34="","",ROUND(SUM(N34:W34),2))</f>
        <v/>
      </c>
      <c r="Y34" s="27" t="str">
        <f aca="false">IF($A34="","",ROUND($J34-X34,2))</f>
        <v/>
      </c>
      <c r="Z34" s="43" t="str">
        <f aca="false">IF($A34="","",IF($AA34=0,"⚠ 工时分配表无此人当月记录",IF($AB34&gt;1,"⚠ 工时分配表存在重复行","√ 正常")))</f>
        <v/>
      </c>
      <c r="AA34" s="47" t="n">
        <f aca="false">IF($A34="",0,IFERROR(MATCH($A34&amp;"|"&amp;$B34,研发人员工时分配表!$W$6:$W$245,0),0))</f>
        <v>0</v>
      </c>
      <c r="AB34" s="47" t="n">
        <f aca="false">IF($A34="",0,COUNTIFS(研发人员工时分配表!$A$6:$A$245,$A34,研发人员工时分配表!$B$6:$B$245,$B34))</f>
        <v>0</v>
      </c>
    </row>
    <row r="35" customFormat="false" ht="18" hidden="false" customHeight="true" outlineLevel="0" collapsed="false">
      <c r="A35" s="36"/>
      <c r="B35" s="36"/>
      <c r="C35" s="43" t="str">
        <f aca="false">IF($B35="","",IFERROR(VLOOKUP($B35,人员名册!$B$4:$G$53,2,0)&amp;"","名册中未登记"))</f>
        <v/>
      </c>
      <c r="D35" s="43" t="str">
        <f aca="false">IF($B35="","",IFERROR(VLOOKUP($B35,人员名册!$B$4:$G$53,5,0)&amp;"",""))</f>
        <v/>
      </c>
      <c r="E35" s="25"/>
      <c r="F35" s="25"/>
      <c r="G35" s="25"/>
      <c r="H35" s="25"/>
      <c r="I35" s="25"/>
      <c r="J35" s="27" t="str">
        <f aca="false">IF($A35="","",ROUND(SUM(E35:I35),2))</f>
        <v/>
      </c>
      <c r="K35" s="45" t="n">
        <f aca="false">IF(OR($A35="",$AA35=0),0,INDEX(研发人员工时分配表!$F$6:$F$245,$AA35))</f>
        <v>0</v>
      </c>
      <c r="L35" s="45" t="n">
        <f aca="false">IF(OR($A35="",$AA35=0),0,INDEX(研发人员工时分配表!$R$6:$R$245,$AA35))</f>
        <v>0</v>
      </c>
      <c r="M35" s="28" t="str">
        <f aca="false">IF(OR($A35="",$K35=0),"",$L35/$K35)</f>
        <v/>
      </c>
      <c r="N35" s="27" t="str">
        <f aca="false">IF(OR($A35="",$K35=0),"",ROUND($J35*INDEX(研发人员工时分配表!$H$6:$H$245,$AA35)/$K35,2))</f>
        <v/>
      </c>
      <c r="O35" s="27" t="str">
        <f aca="false">IF(OR($A35="",$K35=0),"",ROUND($J35*INDEX(研发人员工时分配表!$I$6:$I$245,$AA35)/$K35,2))</f>
        <v/>
      </c>
      <c r="P35" s="27" t="str">
        <f aca="false">IF(OR($A35="",$K35=0),"",ROUND($J35*INDEX(研发人员工时分配表!$J$6:$J$245,$AA35)/$K35,2))</f>
        <v/>
      </c>
      <c r="Q35" s="27" t="str">
        <f aca="false">IF(OR($A35="",$K35=0),"",ROUND($J35*INDEX(研发人员工时分配表!$K$6:$K$245,$AA35)/$K35,2))</f>
        <v/>
      </c>
      <c r="R35" s="27" t="str">
        <f aca="false">IF(OR($A35="",$K35=0),"",ROUND($J35*INDEX(研发人员工时分配表!$L$6:$L$245,$AA35)/$K35,2))</f>
        <v/>
      </c>
      <c r="S35" s="27" t="str">
        <f aca="false">IF(OR($A35="",$K35=0),"",ROUND($J35*INDEX(研发人员工时分配表!$M$6:$M$245,$AA35)/$K35,2))</f>
        <v/>
      </c>
      <c r="T35" s="27" t="str">
        <f aca="false">IF(OR($A35="",$K35=0),"",ROUND($J35*INDEX(研发人员工时分配表!$N$6:$N$245,$AA35)/$K35,2))</f>
        <v/>
      </c>
      <c r="U35" s="27" t="str">
        <f aca="false">IF(OR($A35="",$K35=0),"",ROUND($J35*INDEX(研发人员工时分配表!$O$6:$O$245,$AA35)/$K35,2))</f>
        <v/>
      </c>
      <c r="V35" s="27" t="str">
        <f aca="false">IF(OR($A35="",$K35=0),"",ROUND($J35*INDEX(研发人员工时分配表!$P$6:$P$245,$AA35)/$K35,2))</f>
        <v/>
      </c>
      <c r="W35" s="27" t="str">
        <f aca="false">IF(OR($A35="",$K35=0),"",ROUND($J35*INDEX(研发人员工时分配表!$Q$6:$Q$245,$AA35)/$K35,2))</f>
        <v/>
      </c>
      <c r="X35" s="27" t="str">
        <f aca="false">IF($A35="","",ROUND(SUM(N35:W35),2))</f>
        <v/>
      </c>
      <c r="Y35" s="27" t="str">
        <f aca="false">IF($A35="","",ROUND($J35-X35,2))</f>
        <v/>
      </c>
      <c r="Z35" s="43" t="str">
        <f aca="false">IF($A35="","",IF($AA35=0,"⚠ 工时分配表无此人当月记录",IF($AB35&gt;1,"⚠ 工时分配表存在重复行","√ 正常")))</f>
        <v/>
      </c>
      <c r="AA35" s="47" t="n">
        <f aca="false">IF($A35="",0,IFERROR(MATCH($A35&amp;"|"&amp;$B35,研发人员工时分配表!$W$6:$W$245,0),0))</f>
        <v>0</v>
      </c>
      <c r="AB35" s="47" t="n">
        <f aca="false">IF($A35="",0,COUNTIFS(研发人员工时分配表!$A$6:$A$245,$A35,研发人员工时分配表!$B$6:$B$245,$B35))</f>
        <v>0</v>
      </c>
    </row>
    <row r="36" customFormat="false" ht="18" hidden="false" customHeight="true" outlineLevel="0" collapsed="false">
      <c r="A36" s="36"/>
      <c r="B36" s="36"/>
      <c r="C36" s="43" t="str">
        <f aca="false">IF($B36="","",IFERROR(VLOOKUP($B36,人员名册!$B$4:$G$53,2,0)&amp;"","名册中未登记"))</f>
        <v/>
      </c>
      <c r="D36" s="43" t="str">
        <f aca="false">IF($B36="","",IFERROR(VLOOKUP($B36,人员名册!$B$4:$G$53,5,0)&amp;"",""))</f>
        <v/>
      </c>
      <c r="E36" s="25"/>
      <c r="F36" s="25"/>
      <c r="G36" s="25"/>
      <c r="H36" s="25"/>
      <c r="I36" s="25"/>
      <c r="J36" s="27" t="str">
        <f aca="false">IF($A36="","",ROUND(SUM(E36:I36),2))</f>
        <v/>
      </c>
      <c r="K36" s="45" t="n">
        <f aca="false">IF(OR($A36="",$AA36=0),0,INDEX(研发人员工时分配表!$F$6:$F$245,$AA36))</f>
        <v>0</v>
      </c>
      <c r="L36" s="45" t="n">
        <f aca="false">IF(OR($A36="",$AA36=0),0,INDEX(研发人员工时分配表!$R$6:$R$245,$AA36))</f>
        <v>0</v>
      </c>
      <c r="M36" s="28" t="str">
        <f aca="false">IF(OR($A36="",$K36=0),"",$L36/$K36)</f>
        <v/>
      </c>
      <c r="N36" s="27" t="str">
        <f aca="false">IF(OR($A36="",$K36=0),"",ROUND($J36*INDEX(研发人员工时分配表!$H$6:$H$245,$AA36)/$K36,2))</f>
        <v/>
      </c>
      <c r="O36" s="27" t="str">
        <f aca="false">IF(OR($A36="",$K36=0),"",ROUND($J36*INDEX(研发人员工时分配表!$I$6:$I$245,$AA36)/$K36,2))</f>
        <v/>
      </c>
      <c r="P36" s="27" t="str">
        <f aca="false">IF(OR($A36="",$K36=0),"",ROUND($J36*INDEX(研发人员工时分配表!$J$6:$J$245,$AA36)/$K36,2))</f>
        <v/>
      </c>
      <c r="Q36" s="27" t="str">
        <f aca="false">IF(OR($A36="",$K36=0),"",ROUND($J36*INDEX(研发人员工时分配表!$K$6:$K$245,$AA36)/$K36,2))</f>
        <v/>
      </c>
      <c r="R36" s="27" t="str">
        <f aca="false">IF(OR($A36="",$K36=0),"",ROUND($J36*INDEX(研发人员工时分配表!$L$6:$L$245,$AA36)/$K36,2))</f>
        <v/>
      </c>
      <c r="S36" s="27" t="str">
        <f aca="false">IF(OR($A36="",$K36=0),"",ROUND($J36*INDEX(研发人员工时分配表!$M$6:$M$245,$AA36)/$K36,2))</f>
        <v/>
      </c>
      <c r="T36" s="27" t="str">
        <f aca="false">IF(OR($A36="",$K36=0),"",ROUND($J36*INDEX(研发人员工时分配表!$N$6:$N$245,$AA36)/$K36,2))</f>
        <v/>
      </c>
      <c r="U36" s="27" t="str">
        <f aca="false">IF(OR($A36="",$K36=0),"",ROUND($J36*INDEX(研发人员工时分配表!$O$6:$O$245,$AA36)/$K36,2))</f>
        <v/>
      </c>
      <c r="V36" s="27" t="str">
        <f aca="false">IF(OR($A36="",$K36=0),"",ROUND($J36*INDEX(研发人员工时分配表!$P$6:$P$245,$AA36)/$K36,2))</f>
        <v/>
      </c>
      <c r="W36" s="27" t="str">
        <f aca="false">IF(OR($A36="",$K36=0),"",ROUND($J36*INDEX(研发人员工时分配表!$Q$6:$Q$245,$AA36)/$K36,2))</f>
        <v/>
      </c>
      <c r="X36" s="27" t="str">
        <f aca="false">IF($A36="","",ROUND(SUM(N36:W36),2))</f>
        <v/>
      </c>
      <c r="Y36" s="27" t="str">
        <f aca="false">IF($A36="","",ROUND($J36-X36,2))</f>
        <v/>
      </c>
      <c r="Z36" s="43" t="str">
        <f aca="false">IF($A36="","",IF($AA36=0,"⚠ 工时分配表无此人当月记录",IF($AB36&gt;1,"⚠ 工时分配表存在重复行","√ 正常")))</f>
        <v/>
      </c>
      <c r="AA36" s="47" t="n">
        <f aca="false">IF($A36="",0,IFERROR(MATCH($A36&amp;"|"&amp;$B36,研发人员工时分配表!$W$6:$W$245,0),0))</f>
        <v>0</v>
      </c>
      <c r="AB36" s="47" t="n">
        <f aca="false">IF($A36="",0,COUNTIFS(研发人员工时分配表!$A$6:$A$245,$A36,研发人员工时分配表!$B$6:$B$245,$B36))</f>
        <v>0</v>
      </c>
    </row>
    <row r="37" customFormat="false" ht="18" hidden="false" customHeight="true" outlineLevel="0" collapsed="false">
      <c r="A37" s="36"/>
      <c r="B37" s="36"/>
      <c r="C37" s="43" t="str">
        <f aca="false">IF($B37="","",IFERROR(VLOOKUP($B37,人员名册!$B$4:$G$53,2,0)&amp;"","名册中未登记"))</f>
        <v/>
      </c>
      <c r="D37" s="43" t="str">
        <f aca="false">IF($B37="","",IFERROR(VLOOKUP($B37,人员名册!$B$4:$G$53,5,0)&amp;"",""))</f>
        <v/>
      </c>
      <c r="E37" s="25"/>
      <c r="F37" s="25"/>
      <c r="G37" s="25"/>
      <c r="H37" s="25"/>
      <c r="I37" s="25"/>
      <c r="J37" s="27" t="str">
        <f aca="false">IF($A37="","",ROUND(SUM(E37:I37),2))</f>
        <v/>
      </c>
      <c r="K37" s="45" t="n">
        <f aca="false">IF(OR($A37="",$AA37=0),0,INDEX(研发人员工时分配表!$F$6:$F$245,$AA37))</f>
        <v>0</v>
      </c>
      <c r="L37" s="45" t="n">
        <f aca="false">IF(OR($A37="",$AA37=0),0,INDEX(研发人员工时分配表!$R$6:$R$245,$AA37))</f>
        <v>0</v>
      </c>
      <c r="M37" s="28" t="str">
        <f aca="false">IF(OR($A37="",$K37=0),"",$L37/$K37)</f>
        <v/>
      </c>
      <c r="N37" s="27" t="str">
        <f aca="false">IF(OR($A37="",$K37=0),"",ROUND($J37*INDEX(研发人员工时分配表!$H$6:$H$245,$AA37)/$K37,2))</f>
        <v/>
      </c>
      <c r="O37" s="27" t="str">
        <f aca="false">IF(OR($A37="",$K37=0),"",ROUND($J37*INDEX(研发人员工时分配表!$I$6:$I$245,$AA37)/$K37,2))</f>
        <v/>
      </c>
      <c r="P37" s="27" t="str">
        <f aca="false">IF(OR($A37="",$K37=0),"",ROUND($J37*INDEX(研发人员工时分配表!$J$6:$J$245,$AA37)/$K37,2))</f>
        <v/>
      </c>
      <c r="Q37" s="27" t="str">
        <f aca="false">IF(OR($A37="",$K37=0),"",ROUND($J37*INDEX(研发人员工时分配表!$K$6:$K$245,$AA37)/$K37,2))</f>
        <v/>
      </c>
      <c r="R37" s="27" t="str">
        <f aca="false">IF(OR($A37="",$K37=0),"",ROUND($J37*INDEX(研发人员工时分配表!$L$6:$L$245,$AA37)/$K37,2))</f>
        <v/>
      </c>
      <c r="S37" s="27" t="str">
        <f aca="false">IF(OR($A37="",$K37=0),"",ROUND($J37*INDEX(研发人员工时分配表!$M$6:$M$245,$AA37)/$K37,2))</f>
        <v/>
      </c>
      <c r="T37" s="27" t="str">
        <f aca="false">IF(OR($A37="",$K37=0),"",ROUND($J37*INDEX(研发人员工时分配表!$N$6:$N$245,$AA37)/$K37,2))</f>
        <v/>
      </c>
      <c r="U37" s="27" t="str">
        <f aca="false">IF(OR($A37="",$K37=0),"",ROUND($J37*INDEX(研发人员工时分配表!$O$6:$O$245,$AA37)/$K37,2))</f>
        <v/>
      </c>
      <c r="V37" s="27" t="str">
        <f aca="false">IF(OR($A37="",$K37=0),"",ROUND($J37*INDEX(研发人员工时分配表!$P$6:$P$245,$AA37)/$K37,2))</f>
        <v/>
      </c>
      <c r="W37" s="27" t="str">
        <f aca="false">IF(OR($A37="",$K37=0),"",ROUND($J37*INDEX(研发人员工时分配表!$Q$6:$Q$245,$AA37)/$K37,2))</f>
        <v/>
      </c>
      <c r="X37" s="27" t="str">
        <f aca="false">IF($A37="","",ROUND(SUM(N37:W37),2))</f>
        <v/>
      </c>
      <c r="Y37" s="27" t="str">
        <f aca="false">IF($A37="","",ROUND($J37-X37,2))</f>
        <v/>
      </c>
      <c r="Z37" s="43" t="str">
        <f aca="false">IF($A37="","",IF($AA37=0,"⚠ 工时分配表无此人当月记录",IF($AB37&gt;1,"⚠ 工时分配表存在重复行","√ 正常")))</f>
        <v/>
      </c>
      <c r="AA37" s="47" t="n">
        <f aca="false">IF($A37="",0,IFERROR(MATCH($A37&amp;"|"&amp;$B37,研发人员工时分配表!$W$6:$W$245,0),0))</f>
        <v>0</v>
      </c>
      <c r="AB37" s="47" t="n">
        <f aca="false">IF($A37="",0,COUNTIFS(研发人员工时分配表!$A$6:$A$245,$A37,研发人员工时分配表!$B$6:$B$245,$B37))</f>
        <v>0</v>
      </c>
    </row>
    <row r="38" customFormat="false" ht="18" hidden="false" customHeight="true" outlineLevel="0" collapsed="false">
      <c r="A38" s="36"/>
      <c r="B38" s="36"/>
      <c r="C38" s="43" t="str">
        <f aca="false">IF($B38="","",IFERROR(VLOOKUP($B38,人员名册!$B$4:$G$53,2,0)&amp;"","名册中未登记"))</f>
        <v/>
      </c>
      <c r="D38" s="43" t="str">
        <f aca="false">IF($B38="","",IFERROR(VLOOKUP($B38,人员名册!$B$4:$G$53,5,0)&amp;"",""))</f>
        <v/>
      </c>
      <c r="E38" s="25"/>
      <c r="F38" s="25"/>
      <c r="G38" s="25"/>
      <c r="H38" s="25"/>
      <c r="I38" s="25"/>
      <c r="J38" s="27" t="str">
        <f aca="false">IF($A38="","",ROUND(SUM(E38:I38),2))</f>
        <v/>
      </c>
      <c r="K38" s="45" t="n">
        <f aca="false">IF(OR($A38="",$AA38=0),0,INDEX(研发人员工时分配表!$F$6:$F$245,$AA38))</f>
        <v>0</v>
      </c>
      <c r="L38" s="45" t="n">
        <f aca="false">IF(OR($A38="",$AA38=0),0,INDEX(研发人员工时分配表!$R$6:$R$245,$AA38))</f>
        <v>0</v>
      </c>
      <c r="M38" s="28" t="str">
        <f aca="false">IF(OR($A38="",$K38=0),"",$L38/$K38)</f>
        <v/>
      </c>
      <c r="N38" s="27" t="str">
        <f aca="false">IF(OR($A38="",$K38=0),"",ROUND($J38*INDEX(研发人员工时分配表!$H$6:$H$245,$AA38)/$K38,2))</f>
        <v/>
      </c>
      <c r="O38" s="27" t="str">
        <f aca="false">IF(OR($A38="",$K38=0),"",ROUND($J38*INDEX(研发人员工时分配表!$I$6:$I$245,$AA38)/$K38,2))</f>
        <v/>
      </c>
      <c r="P38" s="27" t="str">
        <f aca="false">IF(OR($A38="",$K38=0),"",ROUND($J38*INDEX(研发人员工时分配表!$J$6:$J$245,$AA38)/$K38,2))</f>
        <v/>
      </c>
      <c r="Q38" s="27" t="str">
        <f aca="false">IF(OR($A38="",$K38=0),"",ROUND($J38*INDEX(研发人员工时分配表!$K$6:$K$245,$AA38)/$K38,2))</f>
        <v/>
      </c>
      <c r="R38" s="27" t="str">
        <f aca="false">IF(OR($A38="",$K38=0),"",ROUND($J38*INDEX(研发人员工时分配表!$L$6:$L$245,$AA38)/$K38,2))</f>
        <v/>
      </c>
      <c r="S38" s="27" t="str">
        <f aca="false">IF(OR($A38="",$K38=0),"",ROUND($J38*INDEX(研发人员工时分配表!$M$6:$M$245,$AA38)/$K38,2))</f>
        <v/>
      </c>
      <c r="T38" s="27" t="str">
        <f aca="false">IF(OR($A38="",$K38=0),"",ROUND($J38*INDEX(研发人员工时分配表!$N$6:$N$245,$AA38)/$K38,2))</f>
        <v/>
      </c>
      <c r="U38" s="27" t="str">
        <f aca="false">IF(OR($A38="",$K38=0),"",ROUND($J38*INDEX(研发人员工时分配表!$O$6:$O$245,$AA38)/$K38,2))</f>
        <v/>
      </c>
      <c r="V38" s="27" t="str">
        <f aca="false">IF(OR($A38="",$K38=0),"",ROUND($J38*INDEX(研发人员工时分配表!$P$6:$P$245,$AA38)/$K38,2))</f>
        <v/>
      </c>
      <c r="W38" s="27" t="str">
        <f aca="false">IF(OR($A38="",$K38=0),"",ROUND($J38*INDEX(研发人员工时分配表!$Q$6:$Q$245,$AA38)/$K38,2))</f>
        <v/>
      </c>
      <c r="X38" s="27" t="str">
        <f aca="false">IF($A38="","",ROUND(SUM(N38:W38),2))</f>
        <v/>
      </c>
      <c r="Y38" s="27" t="str">
        <f aca="false">IF($A38="","",ROUND($J38-X38,2))</f>
        <v/>
      </c>
      <c r="Z38" s="43" t="str">
        <f aca="false">IF($A38="","",IF($AA38=0,"⚠ 工时分配表无此人当月记录",IF($AB38&gt;1,"⚠ 工时分配表存在重复行","√ 正常")))</f>
        <v/>
      </c>
      <c r="AA38" s="47" t="n">
        <f aca="false">IF($A38="",0,IFERROR(MATCH($A38&amp;"|"&amp;$B38,研发人员工时分配表!$W$6:$W$245,0),0))</f>
        <v>0</v>
      </c>
      <c r="AB38" s="47" t="n">
        <f aca="false">IF($A38="",0,COUNTIFS(研发人员工时分配表!$A$6:$A$245,$A38,研发人员工时分配表!$B$6:$B$245,$B38))</f>
        <v>0</v>
      </c>
    </row>
    <row r="39" customFormat="false" ht="18" hidden="false" customHeight="true" outlineLevel="0" collapsed="false">
      <c r="A39" s="36"/>
      <c r="B39" s="36"/>
      <c r="C39" s="43" t="str">
        <f aca="false">IF($B39="","",IFERROR(VLOOKUP($B39,人员名册!$B$4:$G$53,2,0)&amp;"","名册中未登记"))</f>
        <v/>
      </c>
      <c r="D39" s="43" t="str">
        <f aca="false">IF($B39="","",IFERROR(VLOOKUP($B39,人员名册!$B$4:$G$53,5,0)&amp;"",""))</f>
        <v/>
      </c>
      <c r="E39" s="25"/>
      <c r="F39" s="25"/>
      <c r="G39" s="25"/>
      <c r="H39" s="25"/>
      <c r="I39" s="25"/>
      <c r="J39" s="27" t="str">
        <f aca="false">IF($A39="","",ROUND(SUM(E39:I39),2))</f>
        <v/>
      </c>
      <c r="K39" s="45" t="n">
        <f aca="false">IF(OR($A39="",$AA39=0),0,INDEX(研发人员工时分配表!$F$6:$F$245,$AA39))</f>
        <v>0</v>
      </c>
      <c r="L39" s="45" t="n">
        <f aca="false">IF(OR($A39="",$AA39=0),0,INDEX(研发人员工时分配表!$R$6:$R$245,$AA39))</f>
        <v>0</v>
      </c>
      <c r="M39" s="28" t="str">
        <f aca="false">IF(OR($A39="",$K39=0),"",$L39/$K39)</f>
        <v/>
      </c>
      <c r="N39" s="27" t="str">
        <f aca="false">IF(OR($A39="",$K39=0),"",ROUND($J39*INDEX(研发人员工时分配表!$H$6:$H$245,$AA39)/$K39,2))</f>
        <v/>
      </c>
      <c r="O39" s="27" t="str">
        <f aca="false">IF(OR($A39="",$K39=0),"",ROUND($J39*INDEX(研发人员工时分配表!$I$6:$I$245,$AA39)/$K39,2))</f>
        <v/>
      </c>
      <c r="P39" s="27" t="str">
        <f aca="false">IF(OR($A39="",$K39=0),"",ROUND($J39*INDEX(研发人员工时分配表!$J$6:$J$245,$AA39)/$K39,2))</f>
        <v/>
      </c>
      <c r="Q39" s="27" t="str">
        <f aca="false">IF(OR($A39="",$K39=0),"",ROUND($J39*INDEX(研发人员工时分配表!$K$6:$K$245,$AA39)/$K39,2))</f>
        <v/>
      </c>
      <c r="R39" s="27" t="str">
        <f aca="false">IF(OR($A39="",$K39=0),"",ROUND($J39*INDEX(研发人员工时分配表!$L$6:$L$245,$AA39)/$K39,2))</f>
        <v/>
      </c>
      <c r="S39" s="27" t="str">
        <f aca="false">IF(OR($A39="",$K39=0),"",ROUND($J39*INDEX(研发人员工时分配表!$M$6:$M$245,$AA39)/$K39,2))</f>
        <v/>
      </c>
      <c r="T39" s="27" t="str">
        <f aca="false">IF(OR($A39="",$K39=0),"",ROUND($J39*INDEX(研发人员工时分配表!$N$6:$N$245,$AA39)/$K39,2))</f>
        <v/>
      </c>
      <c r="U39" s="27" t="str">
        <f aca="false">IF(OR($A39="",$K39=0),"",ROUND($J39*INDEX(研发人员工时分配表!$O$6:$O$245,$AA39)/$K39,2))</f>
        <v/>
      </c>
      <c r="V39" s="27" t="str">
        <f aca="false">IF(OR($A39="",$K39=0),"",ROUND($J39*INDEX(研发人员工时分配表!$P$6:$P$245,$AA39)/$K39,2))</f>
        <v/>
      </c>
      <c r="W39" s="27" t="str">
        <f aca="false">IF(OR($A39="",$K39=0),"",ROUND($J39*INDEX(研发人员工时分配表!$Q$6:$Q$245,$AA39)/$K39,2))</f>
        <v/>
      </c>
      <c r="X39" s="27" t="str">
        <f aca="false">IF($A39="","",ROUND(SUM(N39:W39),2))</f>
        <v/>
      </c>
      <c r="Y39" s="27" t="str">
        <f aca="false">IF($A39="","",ROUND($J39-X39,2))</f>
        <v/>
      </c>
      <c r="Z39" s="43" t="str">
        <f aca="false">IF($A39="","",IF($AA39=0,"⚠ 工时分配表无此人当月记录",IF($AB39&gt;1,"⚠ 工时分配表存在重复行","√ 正常")))</f>
        <v/>
      </c>
      <c r="AA39" s="47" t="n">
        <f aca="false">IF($A39="",0,IFERROR(MATCH($A39&amp;"|"&amp;$B39,研发人员工时分配表!$W$6:$W$245,0),0))</f>
        <v>0</v>
      </c>
      <c r="AB39" s="47" t="n">
        <f aca="false">IF($A39="",0,COUNTIFS(研发人员工时分配表!$A$6:$A$245,$A39,研发人员工时分配表!$B$6:$B$245,$B39))</f>
        <v>0</v>
      </c>
    </row>
    <row r="40" customFormat="false" ht="18" hidden="false" customHeight="true" outlineLevel="0" collapsed="false">
      <c r="A40" s="36"/>
      <c r="B40" s="36"/>
      <c r="C40" s="43" t="str">
        <f aca="false">IF($B40="","",IFERROR(VLOOKUP($B40,人员名册!$B$4:$G$53,2,0)&amp;"","名册中未登记"))</f>
        <v/>
      </c>
      <c r="D40" s="43" t="str">
        <f aca="false">IF($B40="","",IFERROR(VLOOKUP($B40,人员名册!$B$4:$G$53,5,0)&amp;"",""))</f>
        <v/>
      </c>
      <c r="E40" s="25"/>
      <c r="F40" s="25"/>
      <c r="G40" s="25"/>
      <c r="H40" s="25"/>
      <c r="I40" s="25"/>
      <c r="J40" s="27" t="str">
        <f aca="false">IF($A40="","",ROUND(SUM(E40:I40),2))</f>
        <v/>
      </c>
      <c r="K40" s="45" t="n">
        <f aca="false">IF(OR($A40="",$AA40=0),0,INDEX(研发人员工时分配表!$F$6:$F$245,$AA40))</f>
        <v>0</v>
      </c>
      <c r="L40" s="45" t="n">
        <f aca="false">IF(OR($A40="",$AA40=0),0,INDEX(研发人员工时分配表!$R$6:$R$245,$AA40))</f>
        <v>0</v>
      </c>
      <c r="M40" s="28" t="str">
        <f aca="false">IF(OR($A40="",$K40=0),"",$L40/$K40)</f>
        <v/>
      </c>
      <c r="N40" s="27" t="str">
        <f aca="false">IF(OR($A40="",$K40=0),"",ROUND($J40*INDEX(研发人员工时分配表!$H$6:$H$245,$AA40)/$K40,2))</f>
        <v/>
      </c>
      <c r="O40" s="27" t="str">
        <f aca="false">IF(OR($A40="",$K40=0),"",ROUND($J40*INDEX(研发人员工时分配表!$I$6:$I$245,$AA40)/$K40,2))</f>
        <v/>
      </c>
      <c r="P40" s="27" t="str">
        <f aca="false">IF(OR($A40="",$K40=0),"",ROUND($J40*INDEX(研发人员工时分配表!$J$6:$J$245,$AA40)/$K40,2))</f>
        <v/>
      </c>
      <c r="Q40" s="27" t="str">
        <f aca="false">IF(OR($A40="",$K40=0),"",ROUND($J40*INDEX(研发人员工时分配表!$K$6:$K$245,$AA40)/$K40,2))</f>
        <v/>
      </c>
      <c r="R40" s="27" t="str">
        <f aca="false">IF(OR($A40="",$K40=0),"",ROUND($J40*INDEX(研发人员工时分配表!$L$6:$L$245,$AA40)/$K40,2))</f>
        <v/>
      </c>
      <c r="S40" s="27" t="str">
        <f aca="false">IF(OR($A40="",$K40=0),"",ROUND($J40*INDEX(研发人员工时分配表!$M$6:$M$245,$AA40)/$K40,2))</f>
        <v/>
      </c>
      <c r="T40" s="27" t="str">
        <f aca="false">IF(OR($A40="",$K40=0),"",ROUND($J40*INDEX(研发人员工时分配表!$N$6:$N$245,$AA40)/$K40,2))</f>
        <v/>
      </c>
      <c r="U40" s="27" t="str">
        <f aca="false">IF(OR($A40="",$K40=0),"",ROUND($J40*INDEX(研发人员工时分配表!$O$6:$O$245,$AA40)/$K40,2))</f>
        <v/>
      </c>
      <c r="V40" s="27" t="str">
        <f aca="false">IF(OR($A40="",$K40=0),"",ROUND($J40*INDEX(研发人员工时分配表!$P$6:$P$245,$AA40)/$K40,2))</f>
        <v/>
      </c>
      <c r="W40" s="27" t="str">
        <f aca="false">IF(OR($A40="",$K40=0),"",ROUND($J40*INDEX(研发人员工时分配表!$Q$6:$Q$245,$AA40)/$K40,2))</f>
        <v/>
      </c>
      <c r="X40" s="27" t="str">
        <f aca="false">IF($A40="","",ROUND(SUM(N40:W40),2))</f>
        <v/>
      </c>
      <c r="Y40" s="27" t="str">
        <f aca="false">IF($A40="","",ROUND($J40-X40,2))</f>
        <v/>
      </c>
      <c r="Z40" s="43" t="str">
        <f aca="false">IF($A40="","",IF($AA40=0,"⚠ 工时分配表无此人当月记录",IF($AB40&gt;1,"⚠ 工时分配表存在重复行","√ 正常")))</f>
        <v/>
      </c>
      <c r="AA40" s="47" t="n">
        <f aca="false">IF($A40="",0,IFERROR(MATCH($A40&amp;"|"&amp;$B40,研发人员工时分配表!$W$6:$W$245,0),0))</f>
        <v>0</v>
      </c>
      <c r="AB40" s="47" t="n">
        <f aca="false">IF($A40="",0,COUNTIFS(研发人员工时分配表!$A$6:$A$245,$A40,研发人员工时分配表!$B$6:$B$245,$B40))</f>
        <v>0</v>
      </c>
    </row>
    <row r="41" customFormat="false" ht="18" hidden="false" customHeight="true" outlineLevel="0" collapsed="false">
      <c r="A41" s="36"/>
      <c r="B41" s="36"/>
      <c r="C41" s="43" t="str">
        <f aca="false">IF($B41="","",IFERROR(VLOOKUP($B41,人员名册!$B$4:$G$53,2,0)&amp;"","名册中未登记"))</f>
        <v/>
      </c>
      <c r="D41" s="43" t="str">
        <f aca="false">IF($B41="","",IFERROR(VLOOKUP($B41,人员名册!$B$4:$G$53,5,0)&amp;"",""))</f>
        <v/>
      </c>
      <c r="E41" s="25"/>
      <c r="F41" s="25"/>
      <c r="G41" s="25"/>
      <c r="H41" s="25"/>
      <c r="I41" s="25"/>
      <c r="J41" s="27" t="str">
        <f aca="false">IF($A41="","",ROUND(SUM(E41:I41),2))</f>
        <v/>
      </c>
      <c r="K41" s="45" t="n">
        <f aca="false">IF(OR($A41="",$AA41=0),0,INDEX(研发人员工时分配表!$F$6:$F$245,$AA41))</f>
        <v>0</v>
      </c>
      <c r="L41" s="45" t="n">
        <f aca="false">IF(OR($A41="",$AA41=0),0,INDEX(研发人员工时分配表!$R$6:$R$245,$AA41))</f>
        <v>0</v>
      </c>
      <c r="M41" s="28" t="str">
        <f aca="false">IF(OR($A41="",$K41=0),"",$L41/$K41)</f>
        <v/>
      </c>
      <c r="N41" s="27" t="str">
        <f aca="false">IF(OR($A41="",$K41=0),"",ROUND($J41*INDEX(研发人员工时分配表!$H$6:$H$245,$AA41)/$K41,2))</f>
        <v/>
      </c>
      <c r="O41" s="27" t="str">
        <f aca="false">IF(OR($A41="",$K41=0),"",ROUND($J41*INDEX(研发人员工时分配表!$I$6:$I$245,$AA41)/$K41,2))</f>
        <v/>
      </c>
      <c r="P41" s="27" t="str">
        <f aca="false">IF(OR($A41="",$K41=0),"",ROUND($J41*INDEX(研发人员工时分配表!$J$6:$J$245,$AA41)/$K41,2))</f>
        <v/>
      </c>
      <c r="Q41" s="27" t="str">
        <f aca="false">IF(OR($A41="",$K41=0),"",ROUND($J41*INDEX(研发人员工时分配表!$K$6:$K$245,$AA41)/$K41,2))</f>
        <v/>
      </c>
      <c r="R41" s="27" t="str">
        <f aca="false">IF(OR($A41="",$K41=0),"",ROUND($J41*INDEX(研发人员工时分配表!$L$6:$L$245,$AA41)/$K41,2))</f>
        <v/>
      </c>
      <c r="S41" s="27" t="str">
        <f aca="false">IF(OR($A41="",$K41=0),"",ROUND($J41*INDEX(研发人员工时分配表!$M$6:$M$245,$AA41)/$K41,2))</f>
        <v/>
      </c>
      <c r="T41" s="27" t="str">
        <f aca="false">IF(OR($A41="",$K41=0),"",ROUND($J41*INDEX(研发人员工时分配表!$N$6:$N$245,$AA41)/$K41,2))</f>
        <v/>
      </c>
      <c r="U41" s="27" t="str">
        <f aca="false">IF(OR($A41="",$K41=0),"",ROUND($J41*INDEX(研发人员工时分配表!$O$6:$O$245,$AA41)/$K41,2))</f>
        <v/>
      </c>
      <c r="V41" s="27" t="str">
        <f aca="false">IF(OR($A41="",$K41=0),"",ROUND($J41*INDEX(研发人员工时分配表!$P$6:$P$245,$AA41)/$K41,2))</f>
        <v/>
      </c>
      <c r="W41" s="27" t="str">
        <f aca="false">IF(OR($A41="",$K41=0),"",ROUND($J41*INDEX(研发人员工时分配表!$Q$6:$Q$245,$AA41)/$K41,2))</f>
        <v/>
      </c>
      <c r="X41" s="27" t="str">
        <f aca="false">IF($A41="","",ROUND(SUM(N41:W41),2))</f>
        <v/>
      </c>
      <c r="Y41" s="27" t="str">
        <f aca="false">IF($A41="","",ROUND($J41-X41,2))</f>
        <v/>
      </c>
      <c r="Z41" s="43" t="str">
        <f aca="false">IF($A41="","",IF($AA41=0,"⚠ 工时分配表无此人当月记录",IF($AB41&gt;1,"⚠ 工时分配表存在重复行","√ 正常")))</f>
        <v/>
      </c>
      <c r="AA41" s="47" t="n">
        <f aca="false">IF($A41="",0,IFERROR(MATCH($A41&amp;"|"&amp;$B41,研发人员工时分配表!$W$6:$W$245,0),0))</f>
        <v>0</v>
      </c>
      <c r="AB41" s="47" t="n">
        <f aca="false">IF($A41="",0,COUNTIFS(研发人员工时分配表!$A$6:$A$245,$A41,研发人员工时分配表!$B$6:$B$245,$B41))</f>
        <v>0</v>
      </c>
    </row>
    <row r="42" customFormat="false" ht="18" hidden="false" customHeight="true" outlineLevel="0" collapsed="false">
      <c r="A42" s="36"/>
      <c r="B42" s="36"/>
      <c r="C42" s="43" t="str">
        <f aca="false">IF($B42="","",IFERROR(VLOOKUP($B42,人员名册!$B$4:$G$53,2,0)&amp;"","名册中未登记"))</f>
        <v/>
      </c>
      <c r="D42" s="43" t="str">
        <f aca="false">IF($B42="","",IFERROR(VLOOKUP($B42,人员名册!$B$4:$G$53,5,0)&amp;"",""))</f>
        <v/>
      </c>
      <c r="E42" s="25"/>
      <c r="F42" s="25"/>
      <c r="G42" s="25"/>
      <c r="H42" s="25"/>
      <c r="I42" s="25"/>
      <c r="J42" s="27" t="str">
        <f aca="false">IF($A42="","",ROUND(SUM(E42:I42),2))</f>
        <v/>
      </c>
      <c r="K42" s="45" t="n">
        <f aca="false">IF(OR($A42="",$AA42=0),0,INDEX(研发人员工时分配表!$F$6:$F$245,$AA42))</f>
        <v>0</v>
      </c>
      <c r="L42" s="45" t="n">
        <f aca="false">IF(OR($A42="",$AA42=0),0,INDEX(研发人员工时分配表!$R$6:$R$245,$AA42))</f>
        <v>0</v>
      </c>
      <c r="M42" s="28" t="str">
        <f aca="false">IF(OR($A42="",$K42=0),"",$L42/$K42)</f>
        <v/>
      </c>
      <c r="N42" s="27" t="str">
        <f aca="false">IF(OR($A42="",$K42=0),"",ROUND($J42*INDEX(研发人员工时分配表!$H$6:$H$245,$AA42)/$K42,2))</f>
        <v/>
      </c>
      <c r="O42" s="27" t="str">
        <f aca="false">IF(OR($A42="",$K42=0),"",ROUND($J42*INDEX(研发人员工时分配表!$I$6:$I$245,$AA42)/$K42,2))</f>
        <v/>
      </c>
      <c r="P42" s="27" t="str">
        <f aca="false">IF(OR($A42="",$K42=0),"",ROUND($J42*INDEX(研发人员工时分配表!$J$6:$J$245,$AA42)/$K42,2))</f>
        <v/>
      </c>
      <c r="Q42" s="27" t="str">
        <f aca="false">IF(OR($A42="",$K42=0),"",ROUND($J42*INDEX(研发人员工时分配表!$K$6:$K$245,$AA42)/$K42,2))</f>
        <v/>
      </c>
      <c r="R42" s="27" t="str">
        <f aca="false">IF(OR($A42="",$K42=0),"",ROUND($J42*INDEX(研发人员工时分配表!$L$6:$L$245,$AA42)/$K42,2))</f>
        <v/>
      </c>
      <c r="S42" s="27" t="str">
        <f aca="false">IF(OR($A42="",$K42=0),"",ROUND($J42*INDEX(研发人员工时分配表!$M$6:$M$245,$AA42)/$K42,2))</f>
        <v/>
      </c>
      <c r="T42" s="27" t="str">
        <f aca="false">IF(OR($A42="",$K42=0),"",ROUND($J42*INDEX(研发人员工时分配表!$N$6:$N$245,$AA42)/$K42,2))</f>
        <v/>
      </c>
      <c r="U42" s="27" t="str">
        <f aca="false">IF(OR($A42="",$K42=0),"",ROUND($J42*INDEX(研发人员工时分配表!$O$6:$O$245,$AA42)/$K42,2))</f>
        <v/>
      </c>
      <c r="V42" s="27" t="str">
        <f aca="false">IF(OR($A42="",$K42=0),"",ROUND($J42*INDEX(研发人员工时分配表!$P$6:$P$245,$AA42)/$K42,2))</f>
        <v/>
      </c>
      <c r="W42" s="27" t="str">
        <f aca="false">IF(OR($A42="",$K42=0),"",ROUND($J42*INDEX(研发人员工时分配表!$Q$6:$Q$245,$AA42)/$K42,2))</f>
        <v/>
      </c>
      <c r="X42" s="27" t="str">
        <f aca="false">IF($A42="","",ROUND(SUM(N42:W42),2))</f>
        <v/>
      </c>
      <c r="Y42" s="27" t="str">
        <f aca="false">IF($A42="","",ROUND($J42-X42,2))</f>
        <v/>
      </c>
      <c r="Z42" s="43" t="str">
        <f aca="false">IF($A42="","",IF($AA42=0,"⚠ 工时分配表无此人当月记录",IF($AB42&gt;1,"⚠ 工时分配表存在重复行","√ 正常")))</f>
        <v/>
      </c>
      <c r="AA42" s="47" t="n">
        <f aca="false">IF($A42="",0,IFERROR(MATCH($A42&amp;"|"&amp;$B42,研发人员工时分配表!$W$6:$W$245,0),0))</f>
        <v>0</v>
      </c>
      <c r="AB42" s="47" t="n">
        <f aca="false">IF($A42="",0,COUNTIFS(研发人员工时分配表!$A$6:$A$245,$A42,研发人员工时分配表!$B$6:$B$245,$B42))</f>
        <v>0</v>
      </c>
    </row>
    <row r="43" customFormat="false" ht="18" hidden="false" customHeight="true" outlineLevel="0" collapsed="false">
      <c r="A43" s="36"/>
      <c r="B43" s="36"/>
      <c r="C43" s="43" t="str">
        <f aca="false">IF($B43="","",IFERROR(VLOOKUP($B43,人员名册!$B$4:$G$53,2,0)&amp;"","名册中未登记"))</f>
        <v/>
      </c>
      <c r="D43" s="43" t="str">
        <f aca="false">IF($B43="","",IFERROR(VLOOKUP($B43,人员名册!$B$4:$G$53,5,0)&amp;"",""))</f>
        <v/>
      </c>
      <c r="E43" s="25"/>
      <c r="F43" s="25"/>
      <c r="G43" s="25"/>
      <c r="H43" s="25"/>
      <c r="I43" s="25"/>
      <c r="J43" s="27" t="str">
        <f aca="false">IF($A43="","",ROUND(SUM(E43:I43),2))</f>
        <v/>
      </c>
      <c r="K43" s="45" t="n">
        <f aca="false">IF(OR($A43="",$AA43=0),0,INDEX(研发人员工时分配表!$F$6:$F$245,$AA43))</f>
        <v>0</v>
      </c>
      <c r="L43" s="45" t="n">
        <f aca="false">IF(OR($A43="",$AA43=0),0,INDEX(研发人员工时分配表!$R$6:$R$245,$AA43))</f>
        <v>0</v>
      </c>
      <c r="M43" s="28" t="str">
        <f aca="false">IF(OR($A43="",$K43=0),"",$L43/$K43)</f>
        <v/>
      </c>
      <c r="N43" s="27" t="str">
        <f aca="false">IF(OR($A43="",$K43=0),"",ROUND($J43*INDEX(研发人员工时分配表!$H$6:$H$245,$AA43)/$K43,2))</f>
        <v/>
      </c>
      <c r="O43" s="27" t="str">
        <f aca="false">IF(OR($A43="",$K43=0),"",ROUND($J43*INDEX(研发人员工时分配表!$I$6:$I$245,$AA43)/$K43,2))</f>
        <v/>
      </c>
      <c r="P43" s="27" t="str">
        <f aca="false">IF(OR($A43="",$K43=0),"",ROUND($J43*INDEX(研发人员工时分配表!$J$6:$J$245,$AA43)/$K43,2))</f>
        <v/>
      </c>
      <c r="Q43" s="27" t="str">
        <f aca="false">IF(OR($A43="",$K43=0),"",ROUND($J43*INDEX(研发人员工时分配表!$K$6:$K$245,$AA43)/$K43,2))</f>
        <v/>
      </c>
      <c r="R43" s="27" t="str">
        <f aca="false">IF(OR($A43="",$K43=0),"",ROUND($J43*INDEX(研发人员工时分配表!$L$6:$L$245,$AA43)/$K43,2))</f>
        <v/>
      </c>
      <c r="S43" s="27" t="str">
        <f aca="false">IF(OR($A43="",$K43=0),"",ROUND($J43*INDEX(研发人员工时分配表!$M$6:$M$245,$AA43)/$K43,2))</f>
        <v/>
      </c>
      <c r="T43" s="27" t="str">
        <f aca="false">IF(OR($A43="",$K43=0),"",ROUND($J43*INDEX(研发人员工时分配表!$N$6:$N$245,$AA43)/$K43,2))</f>
        <v/>
      </c>
      <c r="U43" s="27" t="str">
        <f aca="false">IF(OR($A43="",$K43=0),"",ROUND($J43*INDEX(研发人员工时分配表!$O$6:$O$245,$AA43)/$K43,2))</f>
        <v/>
      </c>
      <c r="V43" s="27" t="str">
        <f aca="false">IF(OR($A43="",$K43=0),"",ROUND($J43*INDEX(研发人员工时分配表!$P$6:$P$245,$AA43)/$K43,2))</f>
        <v/>
      </c>
      <c r="W43" s="27" t="str">
        <f aca="false">IF(OR($A43="",$K43=0),"",ROUND($J43*INDEX(研发人员工时分配表!$Q$6:$Q$245,$AA43)/$K43,2))</f>
        <v/>
      </c>
      <c r="X43" s="27" t="str">
        <f aca="false">IF($A43="","",ROUND(SUM(N43:W43),2))</f>
        <v/>
      </c>
      <c r="Y43" s="27" t="str">
        <f aca="false">IF($A43="","",ROUND($J43-X43,2))</f>
        <v/>
      </c>
      <c r="Z43" s="43" t="str">
        <f aca="false">IF($A43="","",IF($AA43=0,"⚠ 工时分配表无此人当月记录",IF($AB43&gt;1,"⚠ 工时分配表存在重复行","√ 正常")))</f>
        <v/>
      </c>
      <c r="AA43" s="47" t="n">
        <f aca="false">IF($A43="",0,IFERROR(MATCH($A43&amp;"|"&amp;$B43,研发人员工时分配表!$W$6:$W$245,0),0))</f>
        <v>0</v>
      </c>
      <c r="AB43" s="47" t="n">
        <f aca="false">IF($A43="",0,COUNTIFS(研发人员工时分配表!$A$6:$A$245,$A43,研发人员工时分配表!$B$6:$B$245,$B43))</f>
        <v>0</v>
      </c>
    </row>
    <row r="44" customFormat="false" ht="18" hidden="false" customHeight="true" outlineLevel="0" collapsed="false">
      <c r="A44" s="36"/>
      <c r="B44" s="36"/>
      <c r="C44" s="43" t="str">
        <f aca="false">IF($B44="","",IFERROR(VLOOKUP($B44,人员名册!$B$4:$G$53,2,0)&amp;"","名册中未登记"))</f>
        <v/>
      </c>
      <c r="D44" s="43" t="str">
        <f aca="false">IF($B44="","",IFERROR(VLOOKUP($B44,人员名册!$B$4:$G$53,5,0)&amp;"",""))</f>
        <v/>
      </c>
      <c r="E44" s="25"/>
      <c r="F44" s="25"/>
      <c r="G44" s="25"/>
      <c r="H44" s="25"/>
      <c r="I44" s="25"/>
      <c r="J44" s="27" t="str">
        <f aca="false">IF($A44="","",ROUND(SUM(E44:I44),2))</f>
        <v/>
      </c>
      <c r="K44" s="45" t="n">
        <f aca="false">IF(OR($A44="",$AA44=0),0,INDEX(研发人员工时分配表!$F$6:$F$245,$AA44))</f>
        <v>0</v>
      </c>
      <c r="L44" s="45" t="n">
        <f aca="false">IF(OR($A44="",$AA44=0),0,INDEX(研发人员工时分配表!$R$6:$R$245,$AA44))</f>
        <v>0</v>
      </c>
      <c r="M44" s="28" t="str">
        <f aca="false">IF(OR($A44="",$K44=0),"",$L44/$K44)</f>
        <v/>
      </c>
      <c r="N44" s="27" t="str">
        <f aca="false">IF(OR($A44="",$K44=0),"",ROUND($J44*INDEX(研发人员工时分配表!$H$6:$H$245,$AA44)/$K44,2))</f>
        <v/>
      </c>
      <c r="O44" s="27" t="str">
        <f aca="false">IF(OR($A44="",$K44=0),"",ROUND($J44*INDEX(研发人员工时分配表!$I$6:$I$245,$AA44)/$K44,2))</f>
        <v/>
      </c>
      <c r="P44" s="27" t="str">
        <f aca="false">IF(OR($A44="",$K44=0),"",ROUND($J44*INDEX(研发人员工时分配表!$J$6:$J$245,$AA44)/$K44,2))</f>
        <v/>
      </c>
      <c r="Q44" s="27" t="str">
        <f aca="false">IF(OR($A44="",$K44=0),"",ROUND($J44*INDEX(研发人员工时分配表!$K$6:$K$245,$AA44)/$K44,2))</f>
        <v/>
      </c>
      <c r="R44" s="27" t="str">
        <f aca="false">IF(OR($A44="",$K44=0),"",ROUND($J44*INDEX(研发人员工时分配表!$L$6:$L$245,$AA44)/$K44,2))</f>
        <v/>
      </c>
      <c r="S44" s="27" t="str">
        <f aca="false">IF(OR($A44="",$K44=0),"",ROUND($J44*INDEX(研发人员工时分配表!$M$6:$M$245,$AA44)/$K44,2))</f>
        <v/>
      </c>
      <c r="T44" s="27" t="str">
        <f aca="false">IF(OR($A44="",$K44=0),"",ROUND($J44*INDEX(研发人员工时分配表!$N$6:$N$245,$AA44)/$K44,2))</f>
        <v/>
      </c>
      <c r="U44" s="27" t="str">
        <f aca="false">IF(OR($A44="",$K44=0),"",ROUND($J44*INDEX(研发人员工时分配表!$O$6:$O$245,$AA44)/$K44,2))</f>
        <v/>
      </c>
      <c r="V44" s="27" t="str">
        <f aca="false">IF(OR($A44="",$K44=0),"",ROUND($J44*INDEX(研发人员工时分配表!$P$6:$P$245,$AA44)/$K44,2))</f>
        <v/>
      </c>
      <c r="W44" s="27" t="str">
        <f aca="false">IF(OR($A44="",$K44=0),"",ROUND($J44*INDEX(研发人员工时分配表!$Q$6:$Q$245,$AA44)/$K44,2))</f>
        <v/>
      </c>
      <c r="X44" s="27" t="str">
        <f aca="false">IF($A44="","",ROUND(SUM(N44:W44),2))</f>
        <v/>
      </c>
      <c r="Y44" s="27" t="str">
        <f aca="false">IF($A44="","",ROUND($J44-X44,2))</f>
        <v/>
      </c>
      <c r="Z44" s="43" t="str">
        <f aca="false">IF($A44="","",IF($AA44=0,"⚠ 工时分配表无此人当月记录",IF($AB44&gt;1,"⚠ 工时分配表存在重复行","√ 正常")))</f>
        <v/>
      </c>
      <c r="AA44" s="47" t="n">
        <f aca="false">IF($A44="",0,IFERROR(MATCH($A44&amp;"|"&amp;$B44,研发人员工时分配表!$W$6:$W$245,0),0))</f>
        <v>0</v>
      </c>
      <c r="AB44" s="47" t="n">
        <f aca="false">IF($A44="",0,COUNTIFS(研发人员工时分配表!$A$6:$A$245,$A44,研发人员工时分配表!$B$6:$B$245,$B44))</f>
        <v>0</v>
      </c>
    </row>
    <row r="45" customFormat="false" ht="18" hidden="false" customHeight="true" outlineLevel="0" collapsed="false">
      <c r="A45" s="36"/>
      <c r="B45" s="36"/>
      <c r="C45" s="43" t="str">
        <f aca="false">IF($B45="","",IFERROR(VLOOKUP($B45,人员名册!$B$4:$G$53,2,0)&amp;"","名册中未登记"))</f>
        <v/>
      </c>
      <c r="D45" s="43" t="str">
        <f aca="false">IF($B45="","",IFERROR(VLOOKUP($B45,人员名册!$B$4:$G$53,5,0)&amp;"",""))</f>
        <v/>
      </c>
      <c r="E45" s="25"/>
      <c r="F45" s="25"/>
      <c r="G45" s="25"/>
      <c r="H45" s="25"/>
      <c r="I45" s="25"/>
      <c r="J45" s="27" t="str">
        <f aca="false">IF($A45="","",ROUND(SUM(E45:I45),2))</f>
        <v/>
      </c>
      <c r="K45" s="45" t="n">
        <f aca="false">IF(OR($A45="",$AA45=0),0,INDEX(研发人员工时分配表!$F$6:$F$245,$AA45))</f>
        <v>0</v>
      </c>
      <c r="L45" s="45" t="n">
        <f aca="false">IF(OR($A45="",$AA45=0),0,INDEX(研发人员工时分配表!$R$6:$R$245,$AA45))</f>
        <v>0</v>
      </c>
      <c r="M45" s="28" t="str">
        <f aca="false">IF(OR($A45="",$K45=0),"",$L45/$K45)</f>
        <v/>
      </c>
      <c r="N45" s="27" t="str">
        <f aca="false">IF(OR($A45="",$K45=0),"",ROUND($J45*INDEX(研发人员工时分配表!$H$6:$H$245,$AA45)/$K45,2))</f>
        <v/>
      </c>
      <c r="O45" s="27" t="str">
        <f aca="false">IF(OR($A45="",$K45=0),"",ROUND($J45*INDEX(研发人员工时分配表!$I$6:$I$245,$AA45)/$K45,2))</f>
        <v/>
      </c>
      <c r="P45" s="27" t="str">
        <f aca="false">IF(OR($A45="",$K45=0),"",ROUND($J45*INDEX(研发人员工时分配表!$J$6:$J$245,$AA45)/$K45,2))</f>
        <v/>
      </c>
      <c r="Q45" s="27" t="str">
        <f aca="false">IF(OR($A45="",$K45=0),"",ROUND($J45*INDEX(研发人员工时分配表!$K$6:$K$245,$AA45)/$K45,2))</f>
        <v/>
      </c>
      <c r="R45" s="27" t="str">
        <f aca="false">IF(OR($A45="",$K45=0),"",ROUND($J45*INDEX(研发人员工时分配表!$L$6:$L$245,$AA45)/$K45,2))</f>
        <v/>
      </c>
      <c r="S45" s="27" t="str">
        <f aca="false">IF(OR($A45="",$K45=0),"",ROUND($J45*INDEX(研发人员工时分配表!$M$6:$M$245,$AA45)/$K45,2))</f>
        <v/>
      </c>
      <c r="T45" s="27" t="str">
        <f aca="false">IF(OR($A45="",$K45=0),"",ROUND($J45*INDEX(研发人员工时分配表!$N$6:$N$245,$AA45)/$K45,2))</f>
        <v/>
      </c>
      <c r="U45" s="27" t="str">
        <f aca="false">IF(OR($A45="",$K45=0),"",ROUND($J45*INDEX(研发人员工时分配表!$O$6:$O$245,$AA45)/$K45,2))</f>
        <v/>
      </c>
      <c r="V45" s="27" t="str">
        <f aca="false">IF(OR($A45="",$K45=0),"",ROUND($J45*INDEX(研发人员工时分配表!$P$6:$P$245,$AA45)/$K45,2))</f>
        <v/>
      </c>
      <c r="W45" s="27" t="str">
        <f aca="false">IF(OR($A45="",$K45=0),"",ROUND($J45*INDEX(研发人员工时分配表!$Q$6:$Q$245,$AA45)/$K45,2))</f>
        <v/>
      </c>
      <c r="X45" s="27" t="str">
        <f aca="false">IF($A45="","",ROUND(SUM(N45:W45),2))</f>
        <v/>
      </c>
      <c r="Y45" s="27" t="str">
        <f aca="false">IF($A45="","",ROUND($J45-X45,2))</f>
        <v/>
      </c>
      <c r="Z45" s="43" t="str">
        <f aca="false">IF($A45="","",IF($AA45=0,"⚠ 工时分配表无此人当月记录",IF($AB45&gt;1,"⚠ 工时分配表存在重复行","√ 正常")))</f>
        <v/>
      </c>
      <c r="AA45" s="47" t="n">
        <f aca="false">IF($A45="",0,IFERROR(MATCH($A45&amp;"|"&amp;$B45,研发人员工时分配表!$W$6:$W$245,0),0))</f>
        <v>0</v>
      </c>
      <c r="AB45" s="47" t="n">
        <f aca="false">IF($A45="",0,COUNTIFS(研发人员工时分配表!$A$6:$A$245,$A45,研发人员工时分配表!$B$6:$B$245,$B45))</f>
        <v>0</v>
      </c>
    </row>
    <row r="46" customFormat="false" ht="18" hidden="false" customHeight="true" outlineLevel="0" collapsed="false">
      <c r="A46" s="36"/>
      <c r="B46" s="36"/>
      <c r="C46" s="43" t="str">
        <f aca="false">IF($B46="","",IFERROR(VLOOKUP($B46,人员名册!$B$4:$G$53,2,0)&amp;"","名册中未登记"))</f>
        <v/>
      </c>
      <c r="D46" s="43" t="str">
        <f aca="false">IF($B46="","",IFERROR(VLOOKUP($B46,人员名册!$B$4:$G$53,5,0)&amp;"",""))</f>
        <v/>
      </c>
      <c r="E46" s="25"/>
      <c r="F46" s="25"/>
      <c r="G46" s="25"/>
      <c r="H46" s="25"/>
      <c r="I46" s="25"/>
      <c r="J46" s="27" t="str">
        <f aca="false">IF($A46="","",ROUND(SUM(E46:I46),2))</f>
        <v/>
      </c>
      <c r="K46" s="45" t="n">
        <f aca="false">IF(OR($A46="",$AA46=0),0,INDEX(研发人员工时分配表!$F$6:$F$245,$AA46))</f>
        <v>0</v>
      </c>
      <c r="L46" s="45" t="n">
        <f aca="false">IF(OR($A46="",$AA46=0),0,INDEX(研发人员工时分配表!$R$6:$R$245,$AA46))</f>
        <v>0</v>
      </c>
      <c r="M46" s="28" t="str">
        <f aca="false">IF(OR($A46="",$K46=0),"",$L46/$K46)</f>
        <v/>
      </c>
      <c r="N46" s="27" t="str">
        <f aca="false">IF(OR($A46="",$K46=0),"",ROUND($J46*INDEX(研发人员工时分配表!$H$6:$H$245,$AA46)/$K46,2))</f>
        <v/>
      </c>
      <c r="O46" s="27" t="str">
        <f aca="false">IF(OR($A46="",$K46=0),"",ROUND($J46*INDEX(研发人员工时分配表!$I$6:$I$245,$AA46)/$K46,2))</f>
        <v/>
      </c>
      <c r="P46" s="27" t="str">
        <f aca="false">IF(OR($A46="",$K46=0),"",ROUND($J46*INDEX(研发人员工时分配表!$J$6:$J$245,$AA46)/$K46,2))</f>
        <v/>
      </c>
      <c r="Q46" s="27" t="str">
        <f aca="false">IF(OR($A46="",$K46=0),"",ROUND($J46*INDEX(研发人员工时分配表!$K$6:$K$245,$AA46)/$K46,2))</f>
        <v/>
      </c>
      <c r="R46" s="27" t="str">
        <f aca="false">IF(OR($A46="",$K46=0),"",ROUND($J46*INDEX(研发人员工时分配表!$L$6:$L$245,$AA46)/$K46,2))</f>
        <v/>
      </c>
      <c r="S46" s="27" t="str">
        <f aca="false">IF(OR($A46="",$K46=0),"",ROUND($J46*INDEX(研发人员工时分配表!$M$6:$M$245,$AA46)/$K46,2))</f>
        <v/>
      </c>
      <c r="T46" s="27" t="str">
        <f aca="false">IF(OR($A46="",$K46=0),"",ROUND($J46*INDEX(研发人员工时分配表!$N$6:$N$245,$AA46)/$K46,2))</f>
        <v/>
      </c>
      <c r="U46" s="27" t="str">
        <f aca="false">IF(OR($A46="",$K46=0),"",ROUND($J46*INDEX(研发人员工时分配表!$O$6:$O$245,$AA46)/$K46,2))</f>
        <v/>
      </c>
      <c r="V46" s="27" t="str">
        <f aca="false">IF(OR($A46="",$K46=0),"",ROUND($J46*INDEX(研发人员工时分配表!$P$6:$P$245,$AA46)/$K46,2))</f>
        <v/>
      </c>
      <c r="W46" s="27" t="str">
        <f aca="false">IF(OR($A46="",$K46=0),"",ROUND($J46*INDEX(研发人员工时分配表!$Q$6:$Q$245,$AA46)/$K46,2))</f>
        <v/>
      </c>
      <c r="X46" s="27" t="str">
        <f aca="false">IF($A46="","",ROUND(SUM(N46:W46),2))</f>
        <v/>
      </c>
      <c r="Y46" s="27" t="str">
        <f aca="false">IF($A46="","",ROUND($J46-X46,2))</f>
        <v/>
      </c>
      <c r="Z46" s="43" t="str">
        <f aca="false">IF($A46="","",IF($AA46=0,"⚠ 工时分配表无此人当月记录",IF($AB46&gt;1,"⚠ 工时分配表存在重复行","√ 正常")))</f>
        <v/>
      </c>
      <c r="AA46" s="47" t="n">
        <f aca="false">IF($A46="",0,IFERROR(MATCH($A46&amp;"|"&amp;$B46,研发人员工时分配表!$W$6:$W$245,0),0))</f>
        <v>0</v>
      </c>
      <c r="AB46" s="47" t="n">
        <f aca="false">IF($A46="",0,COUNTIFS(研发人员工时分配表!$A$6:$A$245,$A46,研发人员工时分配表!$B$6:$B$245,$B46))</f>
        <v>0</v>
      </c>
    </row>
    <row r="47" customFormat="false" ht="18" hidden="false" customHeight="true" outlineLevel="0" collapsed="false">
      <c r="A47" s="36"/>
      <c r="B47" s="36"/>
      <c r="C47" s="43" t="str">
        <f aca="false">IF($B47="","",IFERROR(VLOOKUP($B47,人员名册!$B$4:$G$53,2,0)&amp;"","名册中未登记"))</f>
        <v/>
      </c>
      <c r="D47" s="43" t="str">
        <f aca="false">IF($B47="","",IFERROR(VLOOKUP($B47,人员名册!$B$4:$G$53,5,0)&amp;"",""))</f>
        <v/>
      </c>
      <c r="E47" s="25"/>
      <c r="F47" s="25"/>
      <c r="G47" s="25"/>
      <c r="H47" s="25"/>
      <c r="I47" s="25"/>
      <c r="J47" s="27" t="str">
        <f aca="false">IF($A47="","",ROUND(SUM(E47:I47),2))</f>
        <v/>
      </c>
      <c r="K47" s="45" t="n">
        <f aca="false">IF(OR($A47="",$AA47=0),0,INDEX(研发人员工时分配表!$F$6:$F$245,$AA47))</f>
        <v>0</v>
      </c>
      <c r="L47" s="45" t="n">
        <f aca="false">IF(OR($A47="",$AA47=0),0,INDEX(研发人员工时分配表!$R$6:$R$245,$AA47))</f>
        <v>0</v>
      </c>
      <c r="M47" s="28" t="str">
        <f aca="false">IF(OR($A47="",$K47=0),"",$L47/$K47)</f>
        <v/>
      </c>
      <c r="N47" s="27" t="str">
        <f aca="false">IF(OR($A47="",$K47=0),"",ROUND($J47*INDEX(研发人员工时分配表!$H$6:$H$245,$AA47)/$K47,2))</f>
        <v/>
      </c>
      <c r="O47" s="27" t="str">
        <f aca="false">IF(OR($A47="",$K47=0),"",ROUND($J47*INDEX(研发人员工时分配表!$I$6:$I$245,$AA47)/$K47,2))</f>
        <v/>
      </c>
      <c r="P47" s="27" t="str">
        <f aca="false">IF(OR($A47="",$K47=0),"",ROUND($J47*INDEX(研发人员工时分配表!$J$6:$J$245,$AA47)/$K47,2))</f>
        <v/>
      </c>
      <c r="Q47" s="27" t="str">
        <f aca="false">IF(OR($A47="",$K47=0),"",ROUND($J47*INDEX(研发人员工时分配表!$K$6:$K$245,$AA47)/$K47,2))</f>
        <v/>
      </c>
      <c r="R47" s="27" t="str">
        <f aca="false">IF(OR($A47="",$K47=0),"",ROUND($J47*INDEX(研发人员工时分配表!$L$6:$L$245,$AA47)/$K47,2))</f>
        <v/>
      </c>
      <c r="S47" s="27" t="str">
        <f aca="false">IF(OR($A47="",$K47=0),"",ROUND($J47*INDEX(研发人员工时分配表!$M$6:$M$245,$AA47)/$K47,2))</f>
        <v/>
      </c>
      <c r="T47" s="27" t="str">
        <f aca="false">IF(OR($A47="",$K47=0),"",ROUND($J47*INDEX(研发人员工时分配表!$N$6:$N$245,$AA47)/$K47,2))</f>
        <v/>
      </c>
      <c r="U47" s="27" t="str">
        <f aca="false">IF(OR($A47="",$K47=0),"",ROUND($J47*INDEX(研发人员工时分配表!$O$6:$O$245,$AA47)/$K47,2))</f>
        <v/>
      </c>
      <c r="V47" s="27" t="str">
        <f aca="false">IF(OR($A47="",$K47=0),"",ROUND($J47*INDEX(研发人员工时分配表!$P$6:$P$245,$AA47)/$K47,2))</f>
        <v/>
      </c>
      <c r="W47" s="27" t="str">
        <f aca="false">IF(OR($A47="",$K47=0),"",ROUND($J47*INDEX(研发人员工时分配表!$Q$6:$Q$245,$AA47)/$K47,2))</f>
        <v/>
      </c>
      <c r="X47" s="27" t="str">
        <f aca="false">IF($A47="","",ROUND(SUM(N47:W47),2))</f>
        <v/>
      </c>
      <c r="Y47" s="27" t="str">
        <f aca="false">IF($A47="","",ROUND($J47-X47,2))</f>
        <v/>
      </c>
      <c r="Z47" s="43" t="str">
        <f aca="false">IF($A47="","",IF($AA47=0,"⚠ 工时分配表无此人当月记录",IF($AB47&gt;1,"⚠ 工时分配表存在重复行","√ 正常")))</f>
        <v/>
      </c>
      <c r="AA47" s="47" t="n">
        <f aca="false">IF($A47="",0,IFERROR(MATCH($A47&amp;"|"&amp;$B47,研发人员工时分配表!$W$6:$W$245,0),0))</f>
        <v>0</v>
      </c>
      <c r="AB47" s="47" t="n">
        <f aca="false">IF($A47="",0,COUNTIFS(研发人员工时分配表!$A$6:$A$245,$A47,研发人员工时分配表!$B$6:$B$245,$B47))</f>
        <v>0</v>
      </c>
    </row>
    <row r="48" customFormat="false" ht="18" hidden="false" customHeight="true" outlineLevel="0" collapsed="false">
      <c r="A48" s="36"/>
      <c r="B48" s="36"/>
      <c r="C48" s="43" t="str">
        <f aca="false">IF($B48="","",IFERROR(VLOOKUP($B48,人员名册!$B$4:$G$53,2,0)&amp;"","名册中未登记"))</f>
        <v/>
      </c>
      <c r="D48" s="43" t="str">
        <f aca="false">IF($B48="","",IFERROR(VLOOKUP($B48,人员名册!$B$4:$G$53,5,0)&amp;"",""))</f>
        <v/>
      </c>
      <c r="E48" s="25"/>
      <c r="F48" s="25"/>
      <c r="G48" s="25"/>
      <c r="H48" s="25"/>
      <c r="I48" s="25"/>
      <c r="J48" s="27" t="str">
        <f aca="false">IF($A48="","",ROUND(SUM(E48:I48),2))</f>
        <v/>
      </c>
      <c r="K48" s="45" t="n">
        <f aca="false">IF(OR($A48="",$AA48=0),0,INDEX(研发人员工时分配表!$F$6:$F$245,$AA48))</f>
        <v>0</v>
      </c>
      <c r="L48" s="45" t="n">
        <f aca="false">IF(OR($A48="",$AA48=0),0,INDEX(研发人员工时分配表!$R$6:$R$245,$AA48))</f>
        <v>0</v>
      </c>
      <c r="M48" s="28" t="str">
        <f aca="false">IF(OR($A48="",$K48=0),"",$L48/$K48)</f>
        <v/>
      </c>
      <c r="N48" s="27" t="str">
        <f aca="false">IF(OR($A48="",$K48=0),"",ROUND($J48*INDEX(研发人员工时分配表!$H$6:$H$245,$AA48)/$K48,2))</f>
        <v/>
      </c>
      <c r="O48" s="27" t="str">
        <f aca="false">IF(OR($A48="",$K48=0),"",ROUND($J48*INDEX(研发人员工时分配表!$I$6:$I$245,$AA48)/$K48,2))</f>
        <v/>
      </c>
      <c r="P48" s="27" t="str">
        <f aca="false">IF(OR($A48="",$K48=0),"",ROUND($J48*INDEX(研发人员工时分配表!$J$6:$J$245,$AA48)/$K48,2))</f>
        <v/>
      </c>
      <c r="Q48" s="27" t="str">
        <f aca="false">IF(OR($A48="",$K48=0),"",ROUND($J48*INDEX(研发人员工时分配表!$K$6:$K$245,$AA48)/$K48,2))</f>
        <v/>
      </c>
      <c r="R48" s="27" t="str">
        <f aca="false">IF(OR($A48="",$K48=0),"",ROUND($J48*INDEX(研发人员工时分配表!$L$6:$L$245,$AA48)/$K48,2))</f>
        <v/>
      </c>
      <c r="S48" s="27" t="str">
        <f aca="false">IF(OR($A48="",$K48=0),"",ROUND($J48*INDEX(研发人员工时分配表!$M$6:$M$245,$AA48)/$K48,2))</f>
        <v/>
      </c>
      <c r="T48" s="27" t="str">
        <f aca="false">IF(OR($A48="",$K48=0),"",ROUND($J48*INDEX(研发人员工时分配表!$N$6:$N$245,$AA48)/$K48,2))</f>
        <v/>
      </c>
      <c r="U48" s="27" t="str">
        <f aca="false">IF(OR($A48="",$K48=0),"",ROUND($J48*INDEX(研发人员工时分配表!$O$6:$O$245,$AA48)/$K48,2))</f>
        <v/>
      </c>
      <c r="V48" s="27" t="str">
        <f aca="false">IF(OR($A48="",$K48=0),"",ROUND($J48*INDEX(研发人员工时分配表!$P$6:$P$245,$AA48)/$K48,2))</f>
        <v/>
      </c>
      <c r="W48" s="27" t="str">
        <f aca="false">IF(OR($A48="",$K48=0),"",ROUND($J48*INDEX(研发人员工时分配表!$Q$6:$Q$245,$AA48)/$K48,2))</f>
        <v/>
      </c>
      <c r="X48" s="27" t="str">
        <f aca="false">IF($A48="","",ROUND(SUM(N48:W48),2))</f>
        <v/>
      </c>
      <c r="Y48" s="27" t="str">
        <f aca="false">IF($A48="","",ROUND($J48-X48,2))</f>
        <v/>
      </c>
      <c r="Z48" s="43" t="str">
        <f aca="false">IF($A48="","",IF($AA48=0,"⚠ 工时分配表无此人当月记录",IF($AB48&gt;1,"⚠ 工时分配表存在重复行","√ 正常")))</f>
        <v/>
      </c>
      <c r="AA48" s="47" t="n">
        <f aca="false">IF($A48="",0,IFERROR(MATCH($A48&amp;"|"&amp;$B48,研发人员工时分配表!$W$6:$W$245,0),0))</f>
        <v>0</v>
      </c>
      <c r="AB48" s="47" t="n">
        <f aca="false">IF($A48="",0,COUNTIFS(研发人员工时分配表!$A$6:$A$245,$A48,研发人员工时分配表!$B$6:$B$245,$B48))</f>
        <v>0</v>
      </c>
    </row>
    <row r="49" customFormat="false" ht="18" hidden="false" customHeight="true" outlineLevel="0" collapsed="false">
      <c r="A49" s="36"/>
      <c r="B49" s="36"/>
      <c r="C49" s="43" t="str">
        <f aca="false">IF($B49="","",IFERROR(VLOOKUP($B49,人员名册!$B$4:$G$53,2,0)&amp;"","名册中未登记"))</f>
        <v/>
      </c>
      <c r="D49" s="43" t="str">
        <f aca="false">IF($B49="","",IFERROR(VLOOKUP($B49,人员名册!$B$4:$G$53,5,0)&amp;"",""))</f>
        <v/>
      </c>
      <c r="E49" s="25"/>
      <c r="F49" s="25"/>
      <c r="G49" s="25"/>
      <c r="H49" s="25"/>
      <c r="I49" s="25"/>
      <c r="J49" s="27" t="str">
        <f aca="false">IF($A49="","",ROUND(SUM(E49:I49),2))</f>
        <v/>
      </c>
      <c r="K49" s="45" t="n">
        <f aca="false">IF(OR($A49="",$AA49=0),0,INDEX(研发人员工时分配表!$F$6:$F$245,$AA49))</f>
        <v>0</v>
      </c>
      <c r="L49" s="45" t="n">
        <f aca="false">IF(OR($A49="",$AA49=0),0,INDEX(研发人员工时分配表!$R$6:$R$245,$AA49))</f>
        <v>0</v>
      </c>
      <c r="M49" s="28" t="str">
        <f aca="false">IF(OR($A49="",$K49=0),"",$L49/$K49)</f>
        <v/>
      </c>
      <c r="N49" s="27" t="str">
        <f aca="false">IF(OR($A49="",$K49=0),"",ROUND($J49*INDEX(研发人员工时分配表!$H$6:$H$245,$AA49)/$K49,2))</f>
        <v/>
      </c>
      <c r="O49" s="27" t="str">
        <f aca="false">IF(OR($A49="",$K49=0),"",ROUND($J49*INDEX(研发人员工时分配表!$I$6:$I$245,$AA49)/$K49,2))</f>
        <v/>
      </c>
      <c r="P49" s="27" t="str">
        <f aca="false">IF(OR($A49="",$K49=0),"",ROUND($J49*INDEX(研发人员工时分配表!$J$6:$J$245,$AA49)/$K49,2))</f>
        <v/>
      </c>
      <c r="Q49" s="27" t="str">
        <f aca="false">IF(OR($A49="",$K49=0),"",ROUND($J49*INDEX(研发人员工时分配表!$K$6:$K$245,$AA49)/$K49,2))</f>
        <v/>
      </c>
      <c r="R49" s="27" t="str">
        <f aca="false">IF(OR($A49="",$K49=0),"",ROUND($J49*INDEX(研发人员工时分配表!$L$6:$L$245,$AA49)/$K49,2))</f>
        <v/>
      </c>
      <c r="S49" s="27" t="str">
        <f aca="false">IF(OR($A49="",$K49=0),"",ROUND($J49*INDEX(研发人员工时分配表!$M$6:$M$245,$AA49)/$K49,2))</f>
        <v/>
      </c>
      <c r="T49" s="27" t="str">
        <f aca="false">IF(OR($A49="",$K49=0),"",ROUND($J49*INDEX(研发人员工时分配表!$N$6:$N$245,$AA49)/$K49,2))</f>
        <v/>
      </c>
      <c r="U49" s="27" t="str">
        <f aca="false">IF(OR($A49="",$K49=0),"",ROUND($J49*INDEX(研发人员工时分配表!$O$6:$O$245,$AA49)/$K49,2))</f>
        <v/>
      </c>
      <c r="V49" s="27" t="str">
        <f aca="false">IF(OR($A49="",$K49=0),"",ROUND($J49*INDEX(研发人员工时分配表!$P$6:$P$245,$AA49)/$K49,2))</f>
        <v/>
      </c>
      <c r="W49" s="27" t="str">
        <f aca="false">IF(OR($A49="",$K49=0),"",ROUND($J49*INDEX(研发人员工时分配表!$Q$6:$Q$245,$AA49)/$K49,2))</f>
        <v/>
      </c>
      <c r="X49" s="27" t="str">
        <f aca="false">IF($A49="","",ROUND(SUM(N49:W49),2))</f>
        <v/>
      </c>
      <c r="Y49" s="27" t="str">
        <f aca="false">IF($A49="","",ROUND($J49-X49,2))</f>
        <v/>
      </c>
      <c r="Z49" s="43" t="str">
        <f aca="false">IF($A49="","",IF($AA49=0,"⚠ 工时分配表无此人当月记录",IF($AB49&gt;1,"⚠ 工时分配表存在重复行","√ 正常")))</f>
        <v/>
      </c>
      <c r="AA49" s="47" t="n">
        <f aca="false">IF($A49="",0,IFERROR(MATCH($A49&amp;"|"&amp;$B49,研发人员工时分配表!$W$6:$W$245,0),0))</f>
        <v>0</v>
      </c>
      <c r="AB49" s="47" t="n">
        <f aca="false">IF($A49="",0,COUNTIFS(研发人员工时分配表!$A$6:$A$245,$A49,研发人员工时分配表!$B$6:$B$245,$B49))</f>
        <v>0</v>
      </c>
    </row>
    <row r="50" customFormat="false" ht="18" hidden="false" customHeight="true" outlineLevel="0" collapsed="false">
      <c r="A50" s="36"/>
      <c r="B50" s="36"/>
      <c r="C50" s="43" t="str">
        <f aca="false">IF($B50="","",IFERROR(VLOOKUP($B50,人员名册!$B$4:$G$53,2,0)&amp;"","名册中未登记"))</f>
        <v/>
      </c>
      <c r="D50" s="43" t="str">
        <f aca="false">IF($B50="","",IFERROR(VLOOKUP($B50,人员名册!$B$4:$G$53,5,0)&amp;"",""))</f>
        <v/>
      </c>
      <c r="E50" s="25"/>
      <c r="F50" s="25"/>
      <c r="G50" s="25"/>
      <c r="H50" s="25"/>
      <c r="I50" s="25"/>
      <c r="J50" s="27" t="str">
        <f aca="false">IF($A50="","",ROUND(SUM(E50:I50),2))</f>
        <v/>
      </c>
      <c r="K50" s="45" t="n">
        <f aca="false">IF(OR($A50="",$AA50=0),0,INDEX(研发人员工时分配表!$F$6:$F$245,$AA50))</f>
        <v>0</v>
      </c>
      <c r="L50" s="45" t="n">
        <f aca="false">IF(OR($A50="",$AA50=0),0,INDEX(研发人员工时分配表!$R$6:$R$245,$AA50))</f>
        <v>0</v>
      </c>
      <c r="M50" s="28" t="str">
        <f aca="false">IF(OR($A50="",$K50=0),"",$L50/$K50)</f>
        <v/>
      </c>
      <c r="N50" s="27" t="str">
        <f aca="false">IF(OR($A50="",$K50=0),"",ROUND($J50*INDEX(研发人员工时分配表!$H$6:$H$245,$AA50)/$K50,2))</f>
        <v/>
      </c>
      <c r="O50" s="27" t="str">
        <f aca="false">IF(OR($A50="",$K50=0),"",ROUND($J50*INDEX(研发人员工时分配表!$I$6:$I$245,$AA50)/$K50,2))</f>
        <v/>
      </c>
      <c r="P50" s="27" t="str">
        <f aca="false">IF(OR($A50="",$K50=0),"",ROUND($J50*INDEX(研发人员工时分配表!$J$6:$J$245,$AA50)/$K50,2))</f>
        <v/>
      </c>
      <c r="Q50" s="27" t="str">
        <f aca="false">IF(OR($A50="",$K50=0),"",ROUND($J50*INDEX(研发人员工时分配表!$K$6:$K$245,$AA50)/$K50,2))</f>
        <v/>
      </c>
      <c r="R50" s="27" t="str">
        <f aca="false">IF(OR($A50="",$K50=0),"",ROUND($J50*INDEX(研发人员工时分配表!$L$6:$L$245,$AA50)/$K50,2))</f>
        <v/>
      </c>
      <c r="S50" s="27" t="str">
        <f aca="false">IF(OR($A50="",$K50=0),"",ROUND($J50*INDEX(研发人员工时分配表!$M$6:$M$245,$AA50)/$K50,2))</f>
        <v/>
      </c>
      <c r="T50" s="27" t="str">
        <f aca="false">IF(OR($A50="",$K50=0),"",ROUND($J50*INDEX(研发人员工时分配表!$N$6:$N$245,$AA50)/$K50,2))</f>
        <v/>
      </c>
      <c r="U50" s="27" t="str">
        <f aca="false">IF(OR($A50="",$K50=0),"",ROUND($J50*INDEX(研发人员工时分配表!$O$6:$O$245,$AA50)/$K50,2))</f>
        <v/>
      </c>
      <c r="V50" s="27" t="str">
        <f aca="false">IF(OR($A50="",$K50=0),"",ROUND($J50*INDEX(研发人员工时分配表!$P$6:$P$245,$AA50)/$K50,2))</f>
        <v/>
      </c>
      <c r="W50" s="27" t="str">
        <f aca="false">IF(OR($A50="",$K50=0),"",ROUND($J50*INDEX(研发人员工时分配表!$Q$6:$Q$245,$AA50)/$K50,2))</f>
        <v/>
      </c>
      <c r="X50" s="27" t="str">
        <f aca="false">IF($A50="","",ROUND(SUM(N50:W50),2))</f>
        <v/>
      </c>
      <c r="Y50" s="27" t="str">
        <f aca="false">IF($A50="","",ROUND($J50-X50,2))</f>
        <v/>
      </c>
      <c r="Z50" s="43" t="str">
        <f aca="false">IF($A50="","",IF($AA50=0,"⚠ 工时分配表无此人当月记录",IF($AB50&gt;1,"⚠ 工时分配表存在重复行","√ 正常")))</f>
        <v/>
      </c>
      <c r="AA50" s="47" t="n">
        <f aca="false">IF($A50="",0,IFERROR(MATCH($A50&amp;"|"&amp;$B50,研发人员工时分配表!$W$6:$W$245,0),0))</f>
        <v>0</v>
      </c>
      <c r="AB50" s="47" t="n">
        <f aca="false">IF($A50="",0,COUNTIFS(研发人员工时分配表!$A$6:$A$245,$A50,研发人员工时分配表!$B$6:$B$245,$B50))</f>
        <v>0</v>
      </c>
    </row>
    <row r="51" customFormat="false" ht="18" hidden="false" customHeight="true" outlineLevel="0" collapsed="false">
      <c r="A51" s="36"/>
      <c r="B51" s="36"/>
      <c r="C51" s="43" t="str">
        <f aca="false">IF($B51="","",IFERROR(VLOOKUP($B51,人员名册!$B$4:$G$53,2,0)&amp;"","名册中未登记"))</f>
        <v/>
      </c>
      <c r="D51" s="43" t="str">
        <f aca="false">IF($B51="","",IFERROR(VLOOKUP($B51,人员名册!$B$4:$G$53,5,0)&amp;"",""))</f>
        <v/>
      </c>
      <c r="E51" s="25"/>
      <c r="F51" s="25"/>
      <c r="G51" s="25"/>
      <c r="H51" s="25"/>
      <c r="I51" s="25"/>
      <c r="J51" s="27" t="str">
        <f aca="false">IF($A51="","",ROUND(SUM(E51:I51),2))</f>
        <v/>
      </c>
      <c r="K51" s="45" t="n">
        <f aca="false">IF(OR($A51="",$AA51=0),0,INDEX(研发人员工时分配表!$F$6:$F$245,$AA51))</f>
        <v>0</v>
      </c>
      <c r="L51" s="45" t="n">
        <f aca="false">IF(OR($A51="",$AA51=0),0,INDEX(研发人员工时分配表!$R$6:$R$245,$AA51))</f>
        <v>0</v>
      </c>
      <c r="M51" s="28" t="str">
        <f aca="false">IF(OR($A51="",$K51=0),"",$L51/$K51)</f>
        <v/>
      </c>
      <c r="N51" s="27" t="str">
        <f aca="false">IF(OR($A51="",$K51=0),"",ROUND($J51*INDEX(研发人员工时分配表!$H$6:$H$245,$AA51)/$K51,2))</f>
        <v/>
      </c>
      <c r="O51" s="27" t="str">
        <f aca="false">IF(OR($A51="",$K51=0),"",ROUND($J51*INDEX(研发人员工时分配表!$I$6:$I$245,$AA51)/$K51,2))</f>
        <v/>
      </c>
      <c r="P51" s="27" t="str">
        <f aca="false">IF(OR($A51="",$K51=0),"",ROUND($J51*INDEX(研发人员工时分配表!$J$6:$J$245,$AA51)/$K51,2))</f>
        <v/>
      </c>
      <c r="Q51" s="27" t="str">
        <f aca="false">IF(OR($A51="",$K51=0),"",ROUND($J51*INDEX(研发人员工时分配表!$K$6:$K$245,$AA51)/$K51,2))</f>
        <v/>
      </c>
      <c r="R51" s="27" t="str">
        <f aca="false">IF(OR($A51="",$K51=0),"",ROUND($J51*INDEX(研发人员工时分配表!$L$6:$L$245,$AA51)/$K51,2))</f>
        <v/>
      </c>
      <c r="S51" s="27" t="str">
        <f aca="false">IF(OR($A51="",$K51=0),"",ROUND($J51*INDEX(研发人员工时分配表!$M$6:$M$245,$AA51)/$K51,2))</f>
        <v/>
      </c>
      <c r="T51" s="27" t="str">
        <f aca="false">IF(OR($A51="",$K51=0),"",ROUND($J51*INDEX(研发人员工时分配表!$N$6:$N$245,$AA51)/$K51,2))</f>
        <v/>
      </c>
      <c r="U51" s="27" t="str">
        <f aca="false">IF(OR($A51="",$K51=0),"",ROUND($J51*INDEX(研发人员工时分配表!$O$6:$O$245,$AA51)/$K51,2))</f>
        <v/>
      </c>
      <c r="V51" s="27" t="str">
        <f aca="false">IF(OR($A51="",$K51=0),"",ROUND($J51*INDEX(研发人员工时分配表!$P$6:$P$245,$AA51)/$K51,2))</f>
        <v/>
      </c>
      <c r="W51" s="27" t="str">
        <f aca="false">IF(OR($A51="",$K51=0),"",ROUND($J51*INDEX(研发人员工时分配表!$Q$6:$Q$245,$AA51)/$K51,2))</f>
        <v/>
      </c>
      <c r="X51" s="27" t="str">
        <f aca="false">IF($A51="","",ROUND(SUM(N51:W51),2))</f>
        <v/>
      </c>
      <c r="Y51" s="27" t="str">
        <f aca="false">IF($A51="","",ROUND($J51-X51,2))</f>
        <v/>
      </c>
      <c r="Z51" s="43" t="str">
        <f aca="false">IF($A51="","",IF($AA51=0,"⚠ 工时分配表无此人当月记录",IF($AB51&gt;1,"⚠ 工时分配表存在重复行","√ 正常")))</f>
        <v/>
      </c>
      <c r="AA51" s="47" t="n">
        <f aca="false">IF($A51="",0,IFERROR(MATCH($A51&amp;"|"&amp;$B51,研发人员工时分配表!$W$6:$W$245,0),0))</f>
        <v>0</v>
      </c>
      <c r="AB51" s="47" t="n">
        <f aca="false">IF($A51="",0,COUNTIFS(研发人员工时分配表!$A$6:$A$245,$A51,研发人员工时分配表!$B$6:$B$245,$B51))</f>
        <v>0</v>
      </c>
    </row>
    <row r="52" customFormat="false" ht="18" hidden="false" customHeight="true" outlineLevel="0" collapsed="false">
      <c r="A52" s="36"/>
      <c r="B52" s="36"/>
      <c r="C52" s="43" t="str">
        <f aca="false">IF($B52="","",IFERROR(VLOOKUP($B52,人员名册!$B$4:$G$53,2,0)&amp;"","名册中未登记"))</f>
        <v/>
      </c>
      <c r="D52" s="43" t="str">
        <f aca="false">IF($B52="","",IFERROR(VLOOKUP($B52,人员名册!$B$4:$G$53,5,0)&amp;"",""))</f>
        <v/>
      </c>
      <c r="E52" s="25"/>
      <c r="F52" s="25"/>
      <c r="G52" s="25"/>
      <c r="H52" s="25"/>
      <c r="I52" s="25"/>
      <c r="J52" s="27" t="str">
        <f aca="false">IF($A52="","",ROUND(SUM(E52:I52),2))</f>
        <v/>
      </c>
      <c r="K52" s="45" t="n">
        <f aca="false">IF(OR($A52="",$AA52=0),0,INDEX(研发人员工时分配表!$F$6:$F$245,$AA52))</f>
        <v>0</v>
      </c>
      <c r="L52" s="45" t="n">
        <f aca="false">IF(OR($A52="",$AA52=0),0,INDEX(研发人员工时分配表!$R$6:$R$245,$AA52))</f>
        <v>0</v>
      </c>
      <c r="M52" s="28" t="str">
        <f aca="false">IF(OR($A52="",$K52=0),"",$L52/$K52)</f>
        <v/>
      </c>
      <c r="N52" s="27" t="str">
        <f aca="false">IF(OR($A52="",$K52=0),"",ROUND($J52*INDEX(研发人员工时分配表!$H$6:$H$245,$AA52)/$K52,2))</f>
        <v/>
      </c>
      <c r="O52" s="27" t="str">
        <f aca="false">IF(OR($A52="",$K52=0),"",ROUND($J52*INDEX(研发人员工时分配表!$I$6:$I$245,$AA52)/$K52,2))</f>
        <v/>
      </c>
      <c r="P52" s="27" t="str">
        <f aca="false">IF(OR($A52="",$K52=0),"",ROUND($J52*INDEX(研发人员工时分配表!$J$6:$J$245,$AA52)/$K52,2))</f>
        <v/>
      </c>
      <c r="Q52" s="27" t="str">
        <f aca="false">IF(OR($A52="",$K52=0),"",ROUND($J52*INDEX(研发人员工时分配表!$K$6:$K$245,$AA52)/$K52,2))</f>
        <v/>
      </c>
      <c r="R52" s="27" t="str">
        <f aca="false">IF(OR($A52="",$K52=0),"",ROUND($J52*INDEX(研发人员工时分配表!$L$6:$L$245,$AA52)/$K52,2))</f>
        <v/>
      </c>
      <c r="S52" s="27" t="str">
        <f aca="false">IF(OR($A52="",$K52=0),"",ROUND($J52*INDEX(研发人员工时分配表!$M$6:$M$245,$AA52)/$K52,2))</f>
        <v/>
      </c>
      <c r="T52" s="27" t="str">
        <f aca="false">IF(OR($A52="",$K52=0),"",ROUND($J52*INDEX(研发人员工时分配表!$N$6:$N$245,$AA52)/$K52,2))</f>
        <v/>
      </c>
      <c r="U52" s="27" t="str">
        <f aca="false">IF(OR($A52="",$K52=0),"",ROUND($J52*INDEX(研发人员工时分配表!$O$6:$O$245,$AA52)/$K52,2))</f>
        <v/>
      </c>
      <c r="V52" s="27" t="str">
        <f aca="false">IF(OR($A52="",$K52=0),"",ROUND($J52*INDEX(研发人员工时分配表!$P$6:$P$245,$AA52)/$K52,2))</f>
        <v/>
      </c>
      <c r="W52" s="27" t="str">
        <f aca="false">IF(OR($A52="",$K52=0),"",ROUND($J52*INDEX(研发人员工时分配表!$Q$6:$Q$245,$AA52)/$K52,2))</f>
        <v/>
      </c>
      <c r="X52" s="27" t="str">
        <f aca="false">IF($A52="","",ROUND(SUM(N52:W52),2))</f>
        <v/>
      </c>
      <c r="Y52" s="27" t="str">
        <f aca="false">IF($A52="","",ROUND($J52-X52,2))</f>
        <v/>
      </c>
      <c r="Z52" s="43" t="str">
        <f aca="false">IF($A52="","",IF($AA52=0,"⚠ 工时分配表无此人当月记录",IF($AB52&gt;1,"⚠ 工时分配表存在重复行","√ 正常")))</f>
        <v/>
      </c>
      <c r="AA52" s="47" t="n">
        <f aca="false">IF($A52="",0,IFERROR(MATCH($A52&amp;"|"&amp;$B52,研发人员工时分配表!$W$6:$W$245,0),0))</f>
        <v>0</v>
      </c>
      <c r="AB52" s="47" t="n">
        <f aca="false">IF($A52="",0,COUNTIFS(研发人员工时分配表!$A$6:$A$245,$A52,研发人员工时分配表!$B$6:$B$245,$B52))</f>
        <v>0</v>
      </c>
    </row>
    <row r="53" customFormat="false" ht="18" hidden="false" customHeight="true" outlineLevel="0" collapsed="false">
      <c r="A53" s="36"/>
      <c r="B53" s="36"/>
      <c r="C53" s="43" t="str">
        <f aca="false">IF($B53="","",IFERROR(VLOOKUP($B53,人员名册!$B$4:$G$53,2,0)&amp;"","名册中未登记"))</f>
        <v/>
      </c>
      <c r="D53" s="43" t="str">
        <f aca="false">IF($B53="","",IFERROR(VLOOKUP($B53,人员名册!$B$4:$G$53,5,0)&amp;"",""))</f>
        <v/>
      </c>
      <c r="E53" s="25"/>
      <c r="F53" s="25"/>
      <c r="G53" s="25"/>
      <c r="H53" s="25"/>
      <c r="I53" s="25"/>
      <c r="J53" s="27" t="str">
        <f aca="false">IF($A53="","",ROUND(SUM(E53:I53),2))</f>
        <v/>
      </c>
      <c r="K53" s="45" t="n">
        <f aca="false">IF(OR($A53="",$AA53=0),0,INDEX(研发人员工时分配表!$F$6:$F$245,$AA53))</f>
        <v>0</v>
      </c>
      <c r="L53" s="45" t="n">
        <f aca="false">IF(OR($A53="",$AA53=0),0,INDEX(研发人员工时分配表!$R$6:$R$245,$AA53))</f>
        <v>0</v>
      </c>
      <c r="M53" s="28" t="str">
        <f aca="false">IF(OR($A53="",$K53=0),"",$L53/$K53)</f>
        <v/>
      </c>
      <c r="N53" s="27" t="str">
        <f aca="false">IF(OR($A53="",$K53=0),"",ROUND($J53*INDEX(研发人员工时分配表!$H$6:$H$245,$AA53)/$K53,2))</f>
        <v/>
      </c>
      <c r="O53" s="27" t="str">
        <f aca="false">IF(OR($A53="",$K53=0),"",ROUND($J53*INDEX(研发人员工时分配表!$I$6:$I$245,$AA53)/$K53,2))</f>
        <v/>
      </c>
      <c r="P53" s="27" t="str">
        <f aca="false">IF(OR($A53="",$K53=0),"",ROUND($J53*INDEX(研发人员工时分配表!$J$6:$J$245,$AA53)/$K53,2))</f>
        <v/>
      </c>
      <c r="Q53" s="27" t="str">
        <f aca="false">IF(OR($A53="",$K53=0),"",ROUND($J53*INDEX(研发人员工时分配表!$K$6:$K$245,$AA53)/$K53,2))</f>
        <v/>
      </c>
      <c r="R53" s="27" t="str">
        <f aca="false">IF(OR($A53="",$K53=0),"",ROUND($J53*INDEX(研发人员工时分配表!$L$6:$L$245,$AA53)/$K53,2))</f>
        <v/>
      </c>
      <c r="S53" s="27" t="str">
        <f aca="false">IF(OR($A53="",$K53=0),"",ROUND($J53*INDEX(研发人员工时分配表!$M$6:$M$245,$AA53)/$K53,2))</f>
        <v/>
      </c>
      <c r="T53" s="27" t="str">
        <f aca="false">IF(OR($A53="",$K53=0),"",ROUND($J53*INDEX(研发人员工时分配表!$N$6:$N$245,$AA53)/$K53,2))</f>
        <v/>
      </c>
      <c r="U53" s="27" t="str">
        <f aca="false">IF(OR($A53="",$K53=0),"",ROUND($J53*INDEX(研发人员工时分配表!$O$6:$O$245,$AA53)/$K53,2))</f>
        <v/>
      </c>
      <c r="V53" s="27" t="str">
        <f aca="false">IF(OR($A53="",$K53=0),"",ROUND($J53*INDEX(研发人员工时分配表!$P$6:$P$245,$AA53)/$K53,2))</f>
        <v/>
      </c>
      <c r="W53" s="27" t="str">
        <f aca="false">IF(OR($A53="",$K53=0),"",ROUND($J53*INDEX(研发人员工时分配表!$Q$6:$Q$245,$AA53)/$K53,2))</f>
        <v/>
      </c>
      <c r="X53" s="27" t="str">
        <f aca="false">IF($A53="","",ROUND(SUM(N53:W53),2))</f>
        <v/>
      </c>
      <c r="Y53" s="27" t="str">
        <f aca="false">IF($A53="","",ROUND($J53-X53,2))</f>
        <v/>
      </c>
      <c r="Z53" s="43" t="str">
        <f aca="false">IF($A53="","",IF($AA53=0,"⚠ 工时分配表无此人当月记录",IF($AB53&gt;1,"⚠ 工时分配表存在重复行","√ 正常")))</f>
        <v/>
      </c>
      <c r="AA53" s="47" t="n">
        <f aca="false">IF($A53="",0,IFERROR(MATCH($A53&amp;"|"&amp;$B53,研发人员工时分配表!$W$6:$W$245,0),0))</f>
        <v>0</v>
      </c>
      <c r="AB53" s="47" t="n">
        <f aca="false">IF($A53="",0,COUNTIFS(研发人员工时分配表!$A$6:$A$245,$A53,研发人员工时分配表!$B$6:$B$245,$B53))</f>
        <v>0</v>
      </c>
    </row>
    <row r="54" customFormat="false" ht="18" hidden="false" customHeight="true" outlineLevel="0" collapsed="false">
      <c r="A54" s="36"/>
      <c r="B54" s="36"/>
      <c r="C54" s="43" t="str">
        <f aca="false">IF($B54="","",IFERROR(VLOOKUP($B54,人员名册!$B$4:$G$53,2,0)&amp;"","名册中未登记"))</f>
        <v/>
      </c>
      <c r="D54" s="43" t="str">
        <f aca="false">IF($B54="","",IFERROR(VLOOKUP($B54,人员名册!$B$4:$G$53,5,0)&amp;"",""))</f>
        <v/>
      </c>
      <c r="E54" s="25"/>
      <c r="F54" s="25"/>
      <c r="G54" s="25"/>
      <c r="H54" s="25"/>
      <c r="I54" s="25"/>
      <c r="J54" s="27" t="str">
        <f aca="false">IF($A54="","",ROUND(SUM(E54:I54),2))</f>
        <v/>
      </c>
      <c r="K54" s="45" t="n">
        <f aca="false">IF(OR($A54="",$AA54=0),0,INDEX(研发人员工时分配表!$F$6:$F$245,$AA54))</f>
        <v>0</v>
      </c>
      <c r="L54" s="45" t="n">
        <f aca="false">IF(OR($A54="",$AA54=0),0,INDEX(研发人员工时分配表!$R$6:$R$245,$AA54))</f>
        <v>0</v>
      </c>
      <c r="M54" s="28" t="str">
        <f aca="false">IF(OR($A54="",$K54=0),"",$L54/$K54)</f>
        <v/>
      </c>
      <c r="N54" s="27" t="str">
        <f aca="false">IF(OR($A54="",$K54=0),"",ROUND($J54*INDEX(研发人员工时分配表!$H$6:$H$245,$AA54)/$K54,2))</f>
        <v/>
      </c>
      <c r="O54" s="27" t="str">
        <f aca="false">IF(OR($A54="",$K54=0),"",ROUND($J54*INDEX(研发人员工时分配表!$I$6:$I$245,$AA54)/$K54,2))</f>
        <v/>
      </c>
      <c r="P54" s="27" t="str">
        <f aca="false">IF(OR($A54="",$K54=0),"",ROUND($J54*INDEX(研发人员工时分配表!$J$6:$J$245,$AA54)/$K54,2))</f>
        <v/>
      </c>
      <c r="Q54" s="27" t="str">
        <f aca="false">IF(OR($A54="",$K54=0),"",ROUND($J54*INDEX(研发人员工时分配表!$K$6:$K$245,$AA54)/$K54,2))</f>
        <v/>
      </c>
      <c r="R54" s="27" t="str">
        <f aca="false">IF(OR($A54="",$K54=0),"",ROUND($J54*INDEX(研发人员工时分配表!$L$6:$L$245,$AA54)/$K54,2))</f>
        <v/>
      </c>
      <c r="S54" s="27" t="str">
        <f aca="false">IF(OR($A54="",$K54=0),"",ROUND($J54*INDEX(研发人员工时分配表!$M$6:$M$245,$AA54)/$K54,2))</f>
        <v/>
      </c>
      <c r="T54" s="27" t="str">
        <f aca="false">IF(OR($A54="",$K54=0),"",ROUND($J54*INDEX(研发人员工时分配表!$N$6:$N$245,$AA54)/$K54,2))</f>
        <v/>
      </c>
      <c r="U54" s="27" t="str">
        <f aca="false">IF(OR($A54="",$K54=0),"",ROUND($J54*INDEX(研发人员工时分配表!$O$6:$O$245,$AA54)/$K54,2))</f>
        <v/>
      </c>
      <c r="V54" s="27" t="str">
        <f aca="false">IF(OR($A54="",$K54=0),"",ROUND($J54*INDEX(研发人员工时分配表!$P$6:$P$245,$AA54)/$K54,2))</f>
        <v/>
      </c>
      <c r="W54" s="27" t="str">
        <f aca="false">IF(OR($A54="",$K54=0),"",ROUND($J54*INDEX(研发人员工时分配表!$Q$6:$Q$245,$AA54)/$K54,2))</f>
        <v/>
      </c>
      <c r="X54" s="27" t="str">
        <f aca="false">IF($A54="","",ROUND(SUM(N54:W54),2))</f>
        <v/>
      </c>
      <c r="Y54" s="27" t="str">
        <f aca="false">IF($A54="","",ROUND($J54-X54,2))</f>
        <v/>
      </c>
      <c r="Z54" s="43" t="str">
        <f aca="false">IF($A54="","",IF($AA54=0,"⚠ 工时分配表无此人当月记录",IF($AB54&gt;1,"⚠ 工时分配表存在重复行","√ 正常")))</f>
        <v/>
      </c>
      <c r="AA54" s="47" t="n">
        <f aca="false">IF($A54="",0,IFERROR(MATCH($A54&amp;"|"&amp;$B54,研发人员工时分配表!$W$6:$W$245,0),0))</f>
        <v>0</v>
      </c>
      <c r="AB54" s="47" t="n">
        <f aca="false">IF($A54="",0,COUNTIFS(研发人员工时分配表!$A$6:$A$245,$A54,研发人员工时分配表!$B$6:$B$245,$B54))</f>
        <v>0</v>
      </c>
    </row>
    <row r="55" customFormat="false" ht="18" hidden="false" customHeight="true" outlineLevel="0" collapsed="false">
      <c r="A55" s="36"/>
      <c r="B55" s="36"/>
      <c r="C55" s="43" t="str">
        <f aca="false">IF($B55="","",IFERROR(VLOOKUP($B55,人员名册!$B$4:$G$53,2,0)&amp;"","名册中未登记"))</f>
        <v/>
      </c>
      <c r="D55" s="43" t="str">
        <f aca="false">IF($B55="","",IFERROR(VLOOKUP($B55,人员名册!$B$4:$G$53,5,0)&amp;"",""))</f>
        <v/>
      </c>
      <c r="E55" s="25"/>
      <c r="F55" s="25"/>
      <c r="G55" s="25"/>
      <c r="H55" s="25"/>
      <c r="I55" s="25"/>
      <c r="J55" s="27" t="str">
        <f aca="false">IF($A55="","",ROUND(SUM(E55:I55),2))</f>
        <v/>
      </c>
      <c r="K55" s="45" t="n">
        <f aca="false">IF(OR($A55="",$AA55=0),0,INDEX(研发人员工时分配表!$F$6:$F$245,$AA55))</f>
        <v>0</v>
      </c>
      <c r="L55" s="45" t="n">
        <f aca="false">IF(OR($A55="",$AA55=0),0,INDEX(研发人员工时分配表!$R$6:$R$245,$AA55))</f>
        <v>0</v>
      </c>
      <c r="M55" s="28" t="str">
        <f aca="false">IF(OR($A55="",$K55=0),"",$L55/$K55)</f>
        <v/>
      </c>
      <c r="N55" s="27" t="str">
        <f aca="false">IF(OR($A55="",$K55=0),"",ROUND($J55*INDEX(研发人员工时分配表!$H$6:$H$245,$AA55)/$K55,2))</f>
        <v/>
      </c>
      <c r="O55" s="27" t="str">
        <f aca="false">IF(OR($A55="",$K55=0),"",ROUND($J55*INDEX(研发人员工时分配表!$I$6:$I$245,$AA55)/$K55,2))</f>
        <v/>
      </c>
      <c r="P55" s="27" t="str">
        <f aca="false">IF(OR($A55="",$K55=0),"",ROUND($J55*INDEX(研发人员工时分配表!$J$6:$J$245,$AA55)/$K55,2))</f>
        <v/>
      </c>
      <c r="Q55" s="27" t="str">
        <f aca="false">IF(OR($A55="",$K55=0),"",ROUND($J55*INDEX(研发人员工时分配表!$K$6:$K$245,$AA55)/$K55,2))</f>
        <v/>
      </c>
      <c r="R55" s="27" t="str">
        <f aca="false">IF(OR($A55="",$K55=0),"",ROUND($J55*INDEX(研发人员工时分配表!$L$6:$L$245,$AA55)/$K55,2))</f>
        <v/>
      </c>
      <c r="S55" s="27" t="str">
        <f aca="false">IF(OR($A55="",$K55=0),"",ROUND($J55*INDEX(研发人员工时分配表!$M$6:$M$245,$AA55)/$K55,2))</f>
        <v/>
      </c>
      <c r="T55" s="27" t="str">
        <f aca="false">IF(OR($A55="",$K55=0),"",ROUND($J55*INDEX(研发人员工时分配表!$N$6:$N$245,$AA55)/$K55,2))</f>
        <v/>
      </c>
      <c r="U55" s="27" t="str">
        <f aca="false">IF(OR($A55="",$K55=0),"",ROUND($J55*INDEX(研发人员工时分配表!$O$6:$O$245,$AA55)/$K55,2))</f>
        <v/>
      </c>
      <c r="V55" s="27" t="str">
        <f aca="false">IF(OR($A55="",$K55=0),"",ROUND($J55*INDEX(研发人员工时分配表!$P$6:$P$245,$AA55)/$K55,2))</f>
        <v/>
      </c>
      <c r="W55" s="27" t="str">
        <f aca="false">IF(OR($A55="",$K55=0),"",ROUND($J55*INDEX(研发人员工时分配表!$Q$6:$Q$245,$AA55)/$K55,2))</f>
        <v/>
      </c>
      <c r="X55" s="27" t="str">
        <f aca="false">IF($A55="","",ROUND(SUM(N55:W55),2))</f>
        <v/>
      </c>
      <c r="Y55" s="27" t="str">
        <f aca="false">IF($A55="","",ROUND($J55-X55,2))</f>
        <v/>
      </c>
      <c r="Z55" s="43" t="str">
        <f aca="false">IF($A55="","",IF($AA55=0,"⚠ 工时分配表无此人当月记录",IF($AB55&gt;1,"⚠ 工时分配表存在重复行","√ 正常")))</f>
        <v/>
      </c>
      <c r="AA55" s="47" t="n">
        <f aca="false">IF($A55="",0,IFERROR(MATCH($A55&amp;"|"&amp;$B55,研发人员工时分配表!$W$6:$W$245,0),0))</f>
        <v>0</v>
      </c>
      <c r="AB55" s="47" t="n">
        <f aca="false">IF($A55="",0,COUNTIFS(研发人员工时分配表!$A$6:$A$245,$A55,研发人员工时分配表!$B$6:$B$245,$B55))</f>
        <v>0</v>
      </c>
    </row>
    <row r="56" customFormat="false" ht="18" hidden="false" customHeight="true" outlineLevel="0" collapsed="false">
      <c r="A56" s="36"/>
      <c r="B56" s="36"/>
      <c r="C56" s="43" t="str">
        <f aca="false">IF($B56="","",IFERROR(VLOOKUP($B56,人员名册!$B$4:$G$53,2,0)&amp;"","名册中未登记"))</f>
        <v/>
      </c>
      <c r="D56" s="43" t="str">
        <f aca="false">IF($B56="","",IFERROR(VLOOKUP($B56,人员名册!$B$4:$G$53,5,0)&amp;"",""))</f>
        <v/>
      </c>
      <c r="E56" s="25"/>
      <c r="F56" s="25"/>
      <c r="G56" s="25"/>
      <c r="H56" s="25"/>
      <c r="I56" s="25"/>
      <c r="J56" s="27" t="str">
        <f aca="false">IF($A56="","",ROUND(SUM(E56:I56),2))</f>
        <v/>
      </c>
      <c r="K56" s="45" t="n">
        <f aca="false">IF(OR($A56="",$AA56=0),0,INDEX(研发人员工时分配表!$F$6:$F$245,$AA56))</f>
        <v>0</v>
      </c>
      <c r="L56" s="45" t="n">
        <f aca="false">IF(OR($A56="",$AA56=0),0,INDEX(研发人员工时分配表!$R$6:$R$245,$AA56))</f>
        <v>0</v>
      </c>
      <c r="M56" s="28" t="str">
        <f aca="false">IF(OR($A56="",$K56=0),"",$L56/$K56)</f>
        <v/>
      </c>
      <c r="N56" s="27" t="str">
        <f aca="false">IF(OR($A56="",$K56=0),"",ROUND($J56*INDEX(研发人员工时分配表!$H$6:$H$245,$AA56)/$K56,2))</f>
        <v/>
      </c>
      <c r="O56" s="27" t="str">
        <f aca="false">IF(OR($A56="",$K56=0),"",ROUND($J56*INDEX(研发人员工时分配表!$I$6:$I$245,$AA56)/$K56,2))</f>
        <v/>
      </c>
      <c r="P56" s="27" t="str">
        <f aca="false">IF(OR($A56="",$K56=0),"",ROUND($J56*INDEX(研发人员工时分配表!$J$6:$J$245,$AA56)/$K56,2))</f>
        <v/>
      </c>
      <c r="Q56" s="27" t="str">
        <f aca="false">IF(OR($A56="",$K56=0),"",ROUND($J56*INDEX(研发人员工时分配表!$K$6:$K$245,$AA56)/$K56,2))</f>
        <v/>
      </c>
      <c r="R56" s="27" t="str">
        <f aca="false">IF(OR($A56="",$K56=0),"",ROUND($J56*INDEX(研发人员工时分配表!$L$6:$L$245,$AA56)/$K56,2))</f>
        <v/>
      </c>
      <c r="S56" s="27" t="str">
        <f aca="false">IF(OR($A56="",$K56=0),"",ROUND($J56*INDEX(研发人员工时分配表!$M$6:$M$245,$AA56)/$K56,2))</f>
        <v/>
      </c>
      <c r="T56" s="27" t="str">
        <f aca="false">IF(OR($A56="",$K56=0),"",ROUND($J56*INDEX(研发人员工时分配表!$N$6:$N$245,$AA56)/$K56,2))</f>
        <v/>
      </c>
      <c r="U56" s="27" t="str">
        <f aca="false">IF(OR($A56="",$K56=0),"",ROUND($J56*INDEX(研发人员工时分配表!$O$6:$O$245,$AA56)/$K56,2))</f>
        <v/>
      </c>
      <c r="V56" s="27" t="str">
        <f aca="false">IF(OR($A56="",$K56=0),"",ROUND($J56*INDEX(研发人员工时分配表!$P$6:$P$245,$AA56)/$K56,2))</f>
        <v/>
      </c>
      <c r="W56" s="27" t="str">
        <f aca="false">IF(OR($A56="",$K56=0),"",ROUND($J56*INDEX(研发人员工时分配表!$Q$6:$Q$245,$AA56)/$K56,2))</f>
        <v/>
      </c>
      <c r="X56" s="27" t="str">
        <f aca="false">IF($A56="","",ROUND(SUM(N56:W56),2))</f>
        <v/>
      </c>
      <c r="Y56" s="27" t="str">
        <f aca="false">IF($A56="","",ROUND($J56-X56,2))</f>
        <v/>
      </c>
      <c r="Z56" s="43" t="str">
        <f aca="false">IF($A56="","",IF($AA56=0,"⚠ 工时分配表无此人当月记录",IF($AB56&gt;1,"⚠ 工时分配表存在重复行","√ 正常")))</f>
        <v/>
      </c>
      <c r="AA56" s="47" t="n">
        <f aca="false">IF($A56="",0,IFERROR(MATCH($A56&amp;"|"&amp;$B56,研发人员工时分配表!$W$6:$W$245,0),0))</f>
        <v>0</v>
      </c>
      <c r="AB56" s="47" t="n">
        <f aca="false">IF($A56="",0,COUNTIFS(研发人员工时分配表!$A$6:$A$245,$A56,研发人员工时分配表!$B$6:$B$245,$B56))</f>
        <v>0</v>
      </c>
    </row>
    <row r="57" customFormat="false" ht="18" hidden="false" customHeight="true" outlineLevel="0" collapsed="false">
      <c r="A57" s="36"/>
      <c r="B57" s="36"/>
      <c r="C57" s="43" t="str">
        <f aca="false">IF($B57="","",IFERROR(VLOOKUP($B57,人员名册!$B$4:$G$53,2,0)&amp;"","名册中未登记"))</f>
        <v/>
      </c>
      <c r="D57" s="43" t="str">
        <f aca="false">IF($B57="","",IFERROR(VLOOKUP($B57,人员名册!$B$4:$G$53,5,0)&amp;"",""))</f>
        <v/>
      </c>
      <c r="E57" s="25"/>
      <c r="F57" s="25"/>
      <c r="G57" s="25"/>
      <c r="H57" s="25"/>
      <c r="I57" s="25"/>
      <c r="J57" s="27" t="str">
        <f aca="false">IF($A57="","",ROUND(SUM(E57:I57),2))</f>
        <v/>
      </c>
      <c r="K57" s="45" t="n">
        <f aca="false">IF(OR($A57="",$AA57=0),0,INDEX(研发人员工时分配表!$F$6:$F$245,$AA57))</f>
        <v>0</v>
      </c>
      <c r="L57" s="45" t="n">
        <f aca="false">IF(OR($A57="",$AA57=0),0,INDEX(研发人员工时分配表!$R$6:$R$245,$AA57))</f>
        <v>0</v>
      </c>
      <c r="M57" s="28" t="str">
        <f aca="false">IF(OR($A57="",$K57=0),"",$L57/$K57)</f>
        <v/>
      </c>
      <c r="N57" s="27" t="str">
        <f aca="false">IF(OR($A57="",$K57=0),"",ROUND($J57*INDEX(研发人员工时分配表!$H$6:$H$245,$AA57)/$K57,2))</f>
        <v/>
      </c>
      <c r="O57" s="27" t="str">
        <f aca="false">IF(OR($A57="",$K57=0),"",ROUND($J57*INDEX(研发人员工时分配表!$I$6:$I$245,$AA57)/$K57,2))</f>
        <v/>
      </c>
      <c r="P57" s="27" t="str">
        <f aca="false">IF(OR($A57="",$K57=0),"",ROUND($J57*INDEX(研发人员工时分配表!$J$6:$J$245,$AA57)/$K57,2))</f>
        <v/>
      </c>
      <c r="Q57" s="27" t="str">
        <f aca="false">IF(OR($A57="",$K57=0),"",ROUND($J57*INDEX(研发人员工时分配表!$K$6:$K$245,$AA57)/$K57,2))</f>
        <v/>
      </c>
      <c r="R57" s="27" t="str">
        <f aca="false">IF(OR($A57="",$K57=0),"",ROUND($J57*INDEX(研发人员工时分配表!$L$6:$L$245,$AA57)/$K57,2))</f>
        <v/>
      </c>
      <c r="S57" s="27" t="str">
        <f aca="false">IF(OR($A57="",$K57=0),"",ROUND($J57*INDEX(研发人员工时分配表!$M$6:$M$245,$AA57)/$K57,2))</f>
        <v/>
      </c>
      <c r="T57" s="27" t="str">
        <f aca="false">IF(OR($A57="",$K57=0),"",ROUND($J57*INDEX(研发人员工时分配表!$N$6:$N$245,$AA57)/$K57,2))</f>
        <v/>
      </c>
      <c r="U57" s="27" t="str">
        <f aca="false">IF(OR($A57="",$K57=0),"",ROUND($J57*INDEX(研发人员工时分配表!$O$6:$O$245,$AA57)/$K57,2))</f>
        <v/>
      </c>
      <c r="V57" s="27" t="str">
        <f aca="false">IF(OR($A57="",$K57=0),"",ROUND($J57*INDEX(研发人员工时分配表!$P$6:$P$245,$AA57)/$K57,2))</f>
        <v/>
      </c>
      <c r="W57" s="27" t="str">
        <f aca="false">IF(OR($A57="",$K57=0),"",ROUND($J57*INDEX(研发人员工时分配表!$Q$6:$Q$245,$AA57)/$K57,2))</f>
        <v/>
      </c>
      <c r="X57" s="27" t="str">
        <f aca="false">IF($A57="","",ROUND(SUM(N57:W57),2))</f>
        <v/>
      </c>
      <c r="Y57" s="27" t="str">
        <f aca="false">IF($A57="","",ROUND($J57-X57,2))</f>
        <v/>
      </c>
      <c r="Z57" s="43" t="str">
        <f aca="false">IF($A57="","",IF($AA57=0,"⚠ 工时分配表无此人当月记录",IF($AB57&gt;1,"⚠ 工时分配表存在重复行","√ 正常")))</f>
        <v/>
      </c>
      <c r="AA57" s="47" t="n">
        <f aca="false">IF($A57="",0,IFERROR(MATCH($A57&amp;"|"&amp;$B57,研发人员工时分配表!$W$6:$W$245,0),0))</f>
        <v>0</v>
      </c>
      <c r="AB57" s="47" t="n">
        <f aca="false">IF($A57="",0,COUNTIFS(研发人员工时分配表!$A$6:$A$245,$A57,研发人员工时分配表!$B$6:$B$245,$B57))</f>
        <v>0</v>
      </c>
    </row>
    <row r="58" customFormat="false" ht="18" hidden="false" customHeight="true" outlineLevel="0" collapsed="false">
      <c r="A58" s="36"/>
      <c r="B58" s="36"/>
      <c r="C58" s="43" t="str">
        <f aca="false">IF($B58="","",IFERROR(VLOOKUP($B58,人员名册!$B$4:$G$53,2,0)&amp;"","名册中未登记"))</f>
        <v/>
      </c>
      <c r="D58" s="43" t="str">
        <f aca="false">IF($B58="","",IFERROR(VLOOKUP($B58,人员名册!$B$4:$G$53,5,0)&amp;"",""))</f>
        <v/>
      </c>
      <c r="E58" s="25"/>
      <c r="F58" s="25"/>
      <c r="G58" s="25"/>
      <c r="H58" s="25"/>
      <c r="I58" s="25"/>
      <c r="J58" s="27" t="str">
        <f aca="false">IF($A58="","",ROUND(SUM(E58:I58),2))</f>
        <v/>
      </c>
      <c r="K58" s="45" t="n">
        <f aca="false">IF(OR($A58="",$AA58=0),0,INDEX(研发人员工时分配表!$F$6:$F$245,$AA58))</f>
        <v>0</v>
      </c>
      <c r="L58" s="45" t="n">
        <f aca="false">IF(OR($A58="",$AA58=0),0,INDEX(研发人员工时分配表!$R$6:$R$245,$AA58))</f>
        <v>0</v>
      </c>
      <c r="M58" s="28" t="str">
        <f aca="false">IF(OR($A58="",$K58=0),"",$L58/$K58)</f>
        <v/>
      </c>
      <c r="N58" s="27" t="str">
        <f aca="false">IF(OR($A58="",$K58=0),"",ROUND($J58*INDEX(研发人员工时分配表!$H$6:$H$245,$AA58)/$K58,2))</f>
        <v/>
      </c>
      <c r="O58" s="27" t="str">
        <f aca="false">IF(OR($A58="",$K58=0),"",ROUND($J58*INDEX(研发人员工时分配表!$I$6:$I$245,$AA58)/$K58,2))</f>
        <v/>
      </c>
      <c r="P58" s="27" t="str">
        <f aca="false">IF(OR($A58="",$K58=0),"",ROUND($J58*INDEX(研发人员工时分配表!$J$6:$J$245,$AA58)/$K58,2))</f>
        <v/>
      </c>
      <c r="Q58" s="27" t="str">
        <f aca="false">IF(OR($A58="",$K58=0),"",ROUND($J58*INDEX(研发人员工时分配表!$K$6:$K$245,$AA58)/$K58,2))</f>
        <v/>
      </c>
      <c r="R58" s="27" t="str">
        <f aca="false">IF(OR($A58="",$K58=0),"",ROUND($J58*INDEX(研发人员工时分配表!$L$6:$L$245,$AA58)/$K58,2))</f>
        <v/>
      </c>
      <c r="S58" s="27" t="str">
        <f aca="false">IF(OR($A58="",$K58=0),"",ROUND($J58*INDEX(研发人员工时分配表!$M$6:$M$245,$AA58)/$K58,2))</f>
        <v/>
      </c>
      <c r="T58" s="27" t="str">
        <f aca="false">IF(OR($A58="",$K58=0),"",ROUND($J58*INDEX(研发人员工时分配表!$N$6:$N$245,$AA58)/$K58,2))</f>
        <v/>
      </c>
      <c r="U58" s="27" t="str">
        <f aca="false">IF(OR($A58="",$K58=0),"",ROUND($J58*INDEX(研发人员工时分配表!$O$6:$O$245,$AA58)/$K58,2))</f>
        <v/>
      </c>
      <c r="V58" s="27" t="str">
        <f aca="false">IF(OR($A58="",$K58=0),"",ROUND($J58*INDEX(研发人员工时分配表!$P$6:$P$245,$AA58)/$K58,2))</f>
        <v/>
      </c>
      <c r="W58" s="27" t="str">
        <f aca="false">IF(OR($A58="",$K58=0),"",ROUND($J58*INDEX(研发人员工时分配表!$Q$6:$Q$245,$AA58)/$K58,2))</f>
        <v/>
      </c>
      <c r="X58" s="27" t="str">
        <f aca="false">IF($A58="","",ROUND(SUM(N58:W58),2))</f>
        <v/>
      </c>
      <c r="Y58" s="27" t="str">
        <f aca="false">IF($A58="","",ROUND($J58-X58,2))</f>
        <v/>
      </c>
      <c r="Z58" s="43" t="str">
        <f aca="false">IF($A58="","",IF($AA58=0,"⚠ 工时分配表无此人当月记录",IF($AB58&gt;1,"⚠ 工时分配表存在重复行","√ 正常")))</f>
        <v/>
      </c>
      <c r="AA58" s="47" t="n">
        <f aca="false">IF($A58="",0,IFERROR(MATCH($A58&amp;"|"&amp;$B58,研发人员工时分配表!$W$6:$W$245,0),0))</f>
        <v>0</v>
      </c>
      <c r="AB58" s="47" t="n">
        <f aca="false">IF($A58="",0,COUNTIFS(研发人员工时分配表!$A$6:$A$245,$A58,研发人员工时分配表!$B$6:$B$245,$B58))</f>
        <v>0</v>
      </c>
    </row>
    <row r="59" customFormat="false" ht="18" hidden="false" customHeight="true" outlineLevel="0" collapsed="false">
      <c r="A59" s="36"/>
      <c r="B59" s="36"/>
      <c r="C59" s="43" t="str">
        <f aca="false">IF($B59="","",IFERROR(VLOOKUP($B59,人员名册!$B$4:$G$53,2,0)&amp;"","名册中未登记"))</f>
        <v/>
      </c>
      <c r="D59" s="43" t="str">
        <f aca="false">IF($B59="","",IFERROR(VLOOKUP($B59,人员名册!$B$4:$G$53,5,0)&amp;"",""))</f>
        <v/>
      </c>
      <c r="E59" s="25"/>
      <c r="F59" s="25"/>
      <c r="G59" s="25"/>
      <c r="H59" s="25"/>
      <c r="I59" s="25"/>
      <c r="J59" s="27" t="str">
        <f aca="false">IF($A59="","",ROUND(SUM(E59:I59),2))</f>
        <v/>
      </c>
      <c r="K59" s="45" t="n">
        <f aca="false">IF(OR($A59="",$AA59=0),0,INDEX(研发人员工时分配表!$F$6:$F$245,$AA59))</f>
        <v>0</v>
      </c>
      <c r="L59" s="45" t="n">
        <f aca="false">IF(OR($A59="",$AA59=0),0,INDEX(研发人员工时分配表!$R$6:$R$245,$AA59))</f>
        <v>0</v>
      </c>
      <c r="M59" s="28" t="str">
        <f aca="false">IF(OR($A59="",$K59=0),"",$L59/$K59)</f>
        <v/>
      </c>
      <c r="N59" s="27" t="str">
        <f aca="false">IF(OR($A59="",$K59=0),"",ROUND($J59*INDEX(研发人员工时分配表!$H$6:$H$245,$AA59)/$K59,2))</f>
        <v/>
      </c>
      <c r="O59" s="27" t="str">
        <f aca="false">IF(OR($A59="",$K59=0),"",ROUND($J59*INDEX(研发人员工时分配表!$I$6:$I$245,$AA59)/$K59,2))</f>
        <v/>
      </c>
      <c r="P59" s="27" t="str">
        <f aca="false">IF(OR($A59="",$K59=0),"",ROUND($J59*INDEX(研发人员工时分配表!$J$6:$J$245,$AA59)/$K59,2))</f>
        <v/>
      </c>
      <c r="Q59" s="27" t="str">
        <f aca="false">IF(OR($A59="",$K59=0),"",ROUND($J59*INDEX(研发人员工时分配表!$K$6:$K$245,$AA59)/$K59,2))</f>
        <v/>
      </c>
      <c r="R59" s="27" t="str">
        <f aca="false">IF(OR($A59="",$K59=0),"",ROUND($J59*INDEX(研发人员工时分配表!$L$6:$L$245,$AA59)/$K59,2))</f>
        <v/>
      </c>
      <c r="S59" s="27" t="str">
        <f aca="false">IF(OR($A59="",$K59=0),"",ROUND($J59*INDEX(研发人员工时分配表!$M$6:$M$245,$AA59)/$K59,2))</f>
        <v/>
      </c>
      <c r="T59" s="27" t="str">
        <f aca="false">IF(OR($A59="",$K59=0),"",ROUND($J59*INDEX(研发人员工时分配表!$N$6:$N$245,$AA59)/$K59,2))</f>
        <v/>
      </c>
      <c r="U59" s="27" t="str">
        <f aca="false">IF(OR($A59="",$K59=0),"",ROUND($J59*INDEX(研发人员工时分配表!$O$6:$O$245,$AA59)/$K59,2))</f>
        <v/>
      </c>
      <c r="V59" s="27" t="str">
        <f aca="false">IF(OR($A59="",$K59=0),"",ROUND($J59*INDEX(研发人员工时分配表!$P$6:$P$245,$AA59)/$K59,2))</f>
        <v/>
      </c>
      <c r="W59" s="27" t="str">
        <f aca="false">IF(OR($A59="",$K59=0),"",ROUND($J59*INDEX(研发人员工时分配表!$Q$6:$Q$245,$AA59)/$K59,2))</f>
        <v/>
      </c>
      <c r="X59" s="27" t="str">
        <f aca="false">IF($A59="","",ROUND(SUM(N59:W59),2))</f>
        <v/>
      </c>
      <c r="Y59" s="27" t="str">
        <f aca="false">IF($A59="","",ROUND($J59-X59,2))</f>
        <v/>
      </c>
      <c r="Z59" s="43" t="str">
        <f aca="false">IF($A59="","",IF($AA59=0,"⚠ 工时分配表无此人当月记录",IF($AB59&gt;1,"⚠ 工时分配表存在重复行","√ 正常")))</f>
        <v/>
      </c>
      <c r="AA59" s="47" t="n">
        <f aca="false">IF($A59="",0,IFERROR(MATCH($A59&amp;"|"&amp;$B59,研发人员工时分配表!$W$6:$W$245,0),0))</f>
        <v>0</v>
      </c>
      <c r="AB59" s="47" t="n">
        <f aca="false">IF($A59="",0,COUNTIFS(研发人员工时分配表!$A$6:$A$245,$A59,研发人员工时分配表!$B$6:$B$245,$B59))</f>
        <v>0</v>
      </c>
    </row>
    <row r="60" customFormat="false" ht="18" hidden="false" customHeight="true" outlineLevel="0" collapsed="false">
      <c r="A60" s="36"/>
      <c r="B60" s="36"/>
      <c r="C60" s="43" t="str">
        <f aca="false">IF($B60="","",IFERROR(VLOOKUP($B60,人员名册!$B$4:$G$53,2,0)&amp;"","名册中未登记"))</f>
        <v/>
      </c>
      <c r="D60" s="43" t="str">
        <f aca="false">IF($B60="","",IFERROR(VLOOKUP($B60,人员名册!$B$4:$G$53,5,0)&amp;"",""))</f>
        <v/>
      </c>
      <c r="E60" s="25"/>
      <c r="F60" s="25"/>
      <c r="G60" s="25"/>
      <c r="H60" s="25"/>
      <c r="I60" s="25"/>
      <c r="J60" s="27" t="str">
        <f aca="false">IF($A60="","",ROUND(SUM(E60:I60),2))</f>
        <v/>
      </c>
      <c r="K60" s="45" t="n">
        <f aca="false">IF(OR($A60="",$AA60=0),0,INDEX(研发人员工时分配表!$F$6:$F$245,$AA60))</f>
        <v>0</v>
      </c>
      <c r="L60" s="45" t="n">
        <f aca="false">IF(OR($A60="",$AA60=0),0,INDEX(研发人员工时分配表!$R$6:$R$245,$AA60))</f>
        <v>0</v>
      </c>
      <c r="M60" s="28" t="str">
        <f aca="false">IF(OR($A60="",$K60=0),"",$L60/$K60)</f>
        <v/>
      </c>
      <c r="N60" s="27" t="str">
        <f aca="false">IF(OR($A60="",$K60=0),"",ROUND($J60*INDEX(研发人员工时分配表!$H$6:$H$245,$AA60)/$K60,2))</f>
        <v/>
      </c>
      <c r="O60" s="27" t="str">
        <f aca="false">IF(OR($A60="",$K60=0),"",ROUND($J60*INDEX(研发人员工时分配表!$I$6:$I$245,$AA60)/$K60,2))</f>
        <v/>
      </c>
      <c r="P60" s="27" t="str">
        <f aca="false">IF(OR($A60="",$K60=0),"",ROUND($J60*INDEX(研发人员工时分配表!$J$6:$J$245,$AA60)/$K60,2))</f>
        <v/>
      </c>
      <c r="Q60" s="27" t="str">
        <f aca="false">IF(OR($A60="",$K60=0),"",ROUND($J60*INDEX(研发人员工时分配表!$K$6:$K$245,$AA60)/$K60,2))</f>
        <v/>
      </c>
      <c r="R60" s="27" t="str">
        <f aca="false">IF(OR($A60="",$K60=0),"",ROUND($J60*INDEX(研发人员工时分配表!$L$6:$L$245,$AA60)/$K60,2))</f>
        <v/>
      </c>
      <c r="S60" s="27" t="str">
        <f aca="false">IF(OR($A60="",$K60=0),"",ROUND($J60*INDEX(研发人员工时分配表!$M$6:$M$245,$AA60)/$K60,2))</f>
        <v/>
      </c>
      <c r="T60" s="27" t="str">
        <f aca="false">IF(OR($A60="",$K60=0),"",ROUND($J60*INDEX(研发人员工时分配表!$N$6:$N$245,$AA60)/$K60,2))</f>
        <v/>
      </c>
      <c r="U60" s="27" t="str">
        <f aca="false">IF(OR($A60="",$K60=0),"",ROUND($J60*INDEX(研发人员工时分配表!$O$6:$O$245,$AA60)/$K60,2))</f>
        <v/>
      </c>
      <c r="V60" s="27" t="str">
        <f aca="false">IF(OR($A60="",$K60=0),"",ROUND($J60*INDEX(研发人员工时分配表!$P$6:$P$245,$AA60)/$K60,2))</f>
        <v/>
      </c>
      <c r="W60" s="27" t="str">
        <f aca="false">IF(OR($A60="",$K60=0),"",ROUND($J60*INDEX(研发人员工时分配表!$Q$6:$Q$245,$AA60)/$K60,2))</f>
        <v/>
      </c>
      <c r="X60" s="27" t="str">
        <f aca="false">IF($A60="","",ROUND(SUM(N60:W60),2))</f>
        <v/>
      </c>
      <c r="Y60" s="27" t="str">
        <f aca="false">IF($A60="","",ROUND($J60-X60,2))</f>
        <v/>
      </c>
      <c r="Z60" s="43" t="str">
        <f aca="false">IF($A60="","",IF($AA60=0,"⚠ 工时分配表无此人当月记录",IF($AB60&gt;1,"⚠ 工时分配表存在重复行","√ 正常")))</f>
        <v/>
      </c>
      <c r="AA60" s="47" t="n">
        <f aca="false">IF($A60="",0,IFERROR(MATCH($A60&amp;"|"&amp;$B60,研发人员工时分配表!$W$6:$W$245,0),0))</f>
        <v>0</v>
      </c>
      <c r="AB60" s="47" t="n">
        <f aca="false">IF($A60="",0,COUNTIFS(研发人员工时分配表!$A$6:$A$245,$A60,研发人员工时分配表!$B$6:$B$245,$B60))</f>
        <v>0</v>
      </c>
    </row>
    <row r="61" customFormat="false" ht="18" hidden="false" customHeight="true" outlineLevel="0" collapsed="false">
      <c r="A61" s="36"/>
      <c r="B61" s="36"/>
      <c r="C61" s="43" t="str">
        <f aca="false">IF($B61="","",IFERROR(VLOOKUP($B61,人员名册!$B$4:$G$53,2,0)&amp;"","名册中未登记"))</f>
        <v/>
      </c>
      <c r="D61" s="43" t="str">
        <f aca="false">IF($B61="","",IFERROR(VLOOKUP($B61,人员名册!$B$4:$G$53,5,0)&amp;"",""))</f>
        <v/>
      </c>
      <c r="E61" s="25"/>
      <c r="F61" s="25"/>
      <c r="G61" s="25"/>
      <c r="H61" s="25"/>
      <c r="I61" s="25"/>
      <c r="J61" s="27" t="str">
        <f aca="false">IF($A61="","",ROUND(SUM(E61:I61),2))</f>
        <v/>
      </c>
      <c r="K61" s="45" t="n">
        <f aca="false">IF(OR($A61="",$AA61=0),0,INDEX(研发人员工时分配表!$F$6:$F$245,$AA61))</f>
        <v>0</v>
      </c>
      <c r="L61" s="45" t="n">
        <f aca="false">IF(OR($A61="",$AA61=0),0,INDEX(研发人员工时分配表!$R$6:$R$245,$AA61))</f>
        <v>0</v>
      </c>
      <c r="M61" s="28" t="str">
        <f aca="false">IF(OR($A61="",$K61=0),"",$L61/$K61)</f>
        <v/>
      </c>
      <c r="N61" s="27" t="str">
        <f aca="false">IF(OR($A61="",$K61=0),"",ROUND($J61*INDEX(研发人员工时分配表!$H$6:$H$245,$AA61)/$K61,2))</f>
        <v/>
      </c>
      <c r="O61" s="27" t="str">
        <f aca="false">IF(OR($A61="",$K61=0),"",ROUND($J61*INDEX(研发人员工时分配表!$I$6:$I$245,$AA61)/$K61,2))</f>
        <v/>
      </c>
      <c r="P61" s="27" t="str">
        <f aca="false">IF(OR($A61="",$K61=0),"",ROUND($J61*INDEX(研发人员工时分配表!$J$6:$J$245,$AA61)/$K61,2))</f>
        <v/>
      </c>
      <c r="Q61" s="27" t="str">
        <f aca="false">IF(OR($A61="",$K61=0),"",ROUND($J61*INDEX(研发人员工时分配表!$K$6:$K$245,$AA61)/$K61,2))</f>
        <v/>
      </c>
      <c r="R61" s="27" t="str">
        <f aca="false">IF(OR($A61="",$K61=0),"",ROUND($J61*INDEX(研发人员工时分配表!$L$6:$L$245,$AA61)/$K61,2))</f>
        <v/>
      </c>
      <c r="S61" s="27" t="str">
        <f aca="false">IF(OR($A61="",$K61=0),"",ROUND($J61*INDEX(研发人员工时分配表!$M$6:$M$245,$AA61)/$K61,2))</f>
        <v/>
      </c>
      <c r="T61" s="27" t="str">
        <f aca="false">IF(OR($A61="",$K61=0),"",ROUND($J61*INDEX(研发人员工时分配表!$N$6:$N$245,$AA61)/$K61,2))</f>
        <v/>
      </c>
      <c r="U61" s="27" t="str">
        <f aca="false">IF(OR($A61="",$K61=0),"",ROUND($J61*INDEX(研发人员工时分配表!$O$6:$O$245,$AA61)/$K61,2))</f>
        <v/>
      </c>
      <c r="V61" s="27" t="str">
        <f aca="false">IF(OR($A61="",$K61=0),"",ROUND($J61*INDEX(研发人员工时分配表!$P$6:$P$245,$AA61)/$K61,2))</f>
        <v/>
      </c>
      <c r="W61" s="27" t="str">
        <f aca="false">IF(OR($A61="",$K61=0),"",ROUND($J61*INDEX(研发人员工时分配表!$Q$6:$Q$245,$AA61)/$K61,2))</f>
        <v/>
      </c>
      <c r="X61" s="27" t="str">
        <f aca="false">IF($A61="","",ROUND(SUM(N61:W61),2))</f>
        <v/>
      </c>
      <c r="Y61" s="27" t="str">
        <f aca="false">IF($A61="","",ROUND($J61-X61,2))</f>
        <v/>
      </c>
      <c r="Z61" s="43" t="str">
        <f aca="false">IF($A61="","",IF($AA61=0,"⚠ 工时分配表无此人当月记录",IF($AB61&gt;1,"⚠ 工时分配表存在重复行","√ 正常")))</f>
        <v/>
      </c>
      <c r="AA61" s="47" t="n">
        <f aca="false">IF($A61="",0,IFERROR(MATCH($A61&amp;"|"&amp;$B61,研发人员工时分配表!$W$6:$W$245,0),0))</f>
        <v>0</v>
      </c>
      <c r="AB61" s="47" t="n">
        <f aca="false">IF($A61="",0,COUNTIFS(研发人员工时分配表!$A$6:$A$245,$A61,研发人员工时分配表!$B$6:$B$245,$B61))</f>
        <v>0</v>
      </c>
    </row>
    <row r="62" customFormat="false" ht="18" hidden="false" customHeight="true" outlineLevel="0" collapsed="false">
      <c r="A62" s="36"/>
      <c r="B62" s="36"/>
      <c r="C62" s="43" t="str">
        <f aca="false">IF($B62="","",IFERROR(VLOOKUP($B62,人员名册!$B$4:$G$53,2,0)&amp;"","名册中未登记"))</f>
        <v/>
      </c>
      <c r="D62" s="43" t="str">
        <f aca="false">IF($B62="","",IFERROR(VLOOKUP($B62,人员名册!$B$4:$G$53,5,0)&amp;"",""))</f>
        <v/>
      </c>
      <c r="E62" s="25"/>
      <c r="F62" s="25"/>
      <c r="G62" s="25"/>
      <c r="H62" s="25"/>
      <c r="I62" s="25"/>
      <c r="J62" s="27" t="str">
        <f aca="false">IF($A62="","",ROUND(SUM(E62:I62),2))</f>
        <v/>
      </c>
      <c r="K62" s="45" t="n">
        <f aca="false">IF(OR($A62="",$AA62=0),0,INDEX(研发人员工时分配表!$F$6:$F$245,$AA62))</f>
        <v>0</v>
      </c>
      <c r="L62" s="45" t="n">
        <f aca="false">IF(OR($A62="",$AA62=0),0,INDEX(研发人员工时分配表!$R$6:$R$245,$AA62))</f>
        <v>0</v>
      </c>
      <c r="M62" s="28" t="str">
        <f aca="false">IF(OR($A62="",$K62=0),"",$L62/$K62)</f>
        <v/>
      </c>
      <c r="N62" s="27" t="str">
        <f aca="false">IF(OR($A62="",$K62=0),"",ROUND($J62*INDEX(研发人员工时分配表!$H$6:$H$245,$AA62)/$K62,2))</f>
        <v/>
      </c>
      <c r="O62" s="27" t="str">
        <f aca="false">IF(OR($A62="",$K62=0),"",ROUND($J62*INDEX(研发人员工时分配表!$I$6:$I$245,$AA62)/$K62,2))</f>
        <v/>
      </c>
      <c r="P62" s="27" t="str">
        <f aca="false">IF(OR($A62="",$K62=0),"",ROUND($J62*INDEX(研发人员工时分配表!$J$6:$J$245,$AA62)/$K62,2))</f>
        <v/>
      </c>
      <c r="Q62" s="27" t="str">
        <f aca="false">IF(OR($A62="",$K62=0),"",ROUND($J62*INDEX(研发人员工时分配表!$K$6:$K$245,$AA62)/$K62,2))</f>
        <v/>
      </c>
      <c r="R62" s="27" t="str">
        <f aca="false">IF(OR($A62="",$K62=0),"",ROUND($J62*INDEX(研发人员工时分配表!$L$6:$L$245,$AA62)/$K62,2))</f>
        <v/>
      </c>
      <c r="S62" s="27" t="str">
        <f aca="false">IF(OR($A62="",$K62=0),"",ROUND($J62*INDEX(研发人员工时分配表!$M$6:$M$245,$AA62)/$K62,2))</f>
        <v/>
      </c>
      <c r="T62" s="27" t="str">
        <f aca="false">IF(OR($A62="",$K62=0),"",ROUND($J62*INDEX(研发人员工时分配表!$N$6:$N$245,$AA62)/$K62,2))</f>
        <v/>
      </c>
      <c r="U62" s="27" t="str">
        <f aca="false">IF(OR($A62="",$K62=0),"",ROUND($J62*INDEX(研发人员工时分配表!$O$6:$O$245,$AA62)/$K62,2))</f>
        <v/>
      </c>
      <c r="V62" s="27" t="str">
        <f aca="false">IF(OR($A62="",$K62=0),"",ROUND($J62*INDEX(研发人员工时分配表!$P$6:$P$245,$AA62)/$K62,2))</f>
        <v/>
      </c>
      <c r="W62" s="27" t="str">
        <f aca="false">IF(OR($A62="",$K62=0),"",ROUND($J62*INDEX(研发人员工时分配表!$Q$6:$Q$245,$AA62)/$K62,2))</f>
        <v/>
      </c>
      <c r="X62" s="27" t="str">
        <f aca="false">IF($A62="","",ROUND(SUM(N62:W62),2))</f>
        <v/>
      </c>
      <c r="Y62" s="27" t="str">
        <f aca="false">IF($A62="","",ROUND($J62-X62,2))</f>
        <v/>
      </c>
      <c r="Z62" s="43" t="str">
        <f aca="false">IF($A62="","",IF($AA62=0,"⚠ 工时分配表无此人当月记录",IF($AB62&gt;1,"⚠ 工时分配表存在重复行","√ 正常")))</f>
        <v/>
      </c>
      <c r="AA62" s="47" t="n">
        <f aca="false">IF($A62="",0,IFERROR(MATCH($A62&amp;"|"&amp;$B62,研发人员工时分配表!$W$6:$W$245,0),0))</f>
        <v>0</v>
      </c>
      <c r="AB62" s="47" t="n">
        <f aca="false">IF($A62="",0,COUNTIFS(研发人员工时分配表!$A$6:$A$245,$A62,研发人员工时分配表!$B$6:$B$245,$B62))</f>
        <v>0</v>
      </c>
    </row>
    <row r="63" customFormat="false" ht="18" hidden="false" customHeight="true" outlineLevel="0" collapsed="false">
      <c r="A63" s="36"/>
      <c r="B63" s="36"/>
      <c r="C63" s="43" t="str">
        <f aca="false">IF($B63="","",IFERROR(VLOOKUP($B63,人员名册!$B$4:$G$53,2,0)&amp;"","名册中未登记"))</f>
        <v/>
      </c>
      <c r="D63" s="43" t="str">
        <f aca="false">IF($B63="","",IFERROR(VLOOKUP($B63,人员名册!$B$4:$G$53,5,0)&amp;"",""))</f>
        <v/>
      </c>
      <c r="E63" s="25"/>
      <c r="F63" s="25"/>
      <c r="G63" s="25"/>
      <c r="H63" s="25"/>
      <c r="I63" s="25"/>
      <c r="J63" s="27" t="str">
        <f aca="false">IF($A63="","",ROUND(SUM(E63:I63),2))</f>
        <v/>
      </c>
      <c r="K63" s="45" t="n">
        <f aca="false">IF(OR($A63="",$AA63=0),0,INDEX(研发人员工时分配表!$F$6:$F$245,$AA63))</f>
        <v>0</v>
      </c>
      <c r="L63" s="45" t="n">
        <f aca="false">IF(OR($A63="",$AA63=0),0,INDEX(研发人员工时分配表!$R$6:$R$245,$AA63))</f>
        <v>0</v>
      </c>
      <c r="M63" s="28" t="str">
        <f aca="false">IF(OR($A63="",$K63=0),"",$L63/$K63)</f>
        <v/>
      </c>
      <c r="N63" s="27" t="str">
        <f aca="false">IF(OR($A63="",$K63=0),"",ROUND($J63*INDEX(研发人员工时分配表!$H$6:$H$245,$AA63)/$K63,2))</f>
        <v/>
      </c>
      <c r="O63" s="27" t="str">
        <f aca="false">IF(OR($A63="",$K63=0),"",ROUND($J63*INDEX(研发人员工时分配表!$I$6:$I$245,$AA63)/$K63,2))</f>
        <v/>
      </c>
      <c r="P63" s="27" t="str">
        <f aca="false">IF(OR($A63="",$K63=0),"",ROUND($J63*INDEX(研发人员工时分配表!$J$6:$J$245,$AA63)/$K63,2))</f>
        <v/>
      </c>
      <c r="Q63" s="27" t="str">
        <f aca="false">IF(OR($A63="",$K63=0),"",ROUND($J63*INDEX(研发人员工时分配表!$K$6:$K$245,$AA63)/$K63,2))</f>
        <v/>
      </c>
      <c r="R63" s="27" t="str">
        <f aca="false">IF(OR($A63="",$K63=0),"",ROUND($J63*INDEX(研发人员工时分配表!$L$6:$L$245,$AA63)/$K63,2))</f>
        <v/>
      </c>
      <c r="S63" s="27" t="str">
        <f aca="false">IF(OR($A63="",$K63=0),"",ROUND($J63*INDEX(研发人员工时分配表!$M$6:$M$245,$AA63)/$K63,2))</f>
        <v/>
      </c>
      <c r="T63" s="27" t="str">
        <f aca="false">IF(OR($A63="",$K63=0),"",ROUND($J63*INDEX(研发人员工时分配表!$N$6:$N$245,$AA63)/$K63,2))</f>
        <v/>
      </c>
      <c r="U63" s="27" t="str">
        <f aca="false">IF(OR($A63="",$K63=0),"",ROUND($J63*INDEX(研发人员工时分配表!$O$6:$O$245,$AA63)/$K63,2))</f>
        <v/>
      </c>
      <c r="V63" s="27" t="str">
        <f aca="false">IF(OR($A63="",$K63=0),"",ROUND($J63*INDEX(研发人员工时分配表!$P$6:$P$245,$AA63)/$K63,2))</f>
        <v/>
      </c>
      <c r="W63" s="27" t="str">
        <f aca="false">IF(OR($A63="",$K63=0),"",ROUND($J63*INDEX(研发人员工时分配表!$Q$6:$Q$245,$AA63)/$K63,2))</f>
        <v/>
      </c>
      <c r="X63" s="27" t="str">
        <f aca="false">IF($A63="","",ROUND(SUM(N63:W63),2))</f>
        <v/>
      </c>
      <c r="Y63" s="27" t="str">
        <f aca="false">IF($A63="","",ROUND($J63-X63,2))</f>
        <v/>
      </c>
      <c r="Z63" s="43" t="str">
        <f aca="false">IF($A63="","",IF($AA63=0,"⚠ 工时分配表无此人当月记录",IF($AB63&gt;1,"⚠ 工时分配表存在重复行","√ 正常")))</f>
        <v/>
      </c>
      <c r="AA63" s="47" t="n">
        <f aca="false">IF($A63="",0,IFERROR(MATCH($A63&amp;"|"&amp;$B63,研发人员工时分配表!$W$6:$W$245,0),0))</f>
        <v>0</v>
      </c>
      <c r="AB63" s="47" t="n">
        <f aca="false">IF($A63="",0,COUNTIFS(研发人员工时分配表!$A$6:$A$245,$A63,研发人员工时分配表!$B$6:$B$245,$B63))</f>
        <v>0</v>
      </c>
    </row>
    <row r="64" customFormat="false" ht="18" hidden="false" customHeight="true" outlineLevel="0" collapsed="false">
      <c r="A64" s="36"/>
      <c r="B64" s="36"/>
      <c r="C64" s="43" t="str">
        <f aca="false">IF($B64="","",IFERROR(VLOOKUP($B64,人员名册!$B$4:$G$53,2,0)&amp;"","名册中未登记"))</f>
        <v/>
      </c>
      <c r="D64" s="43" t="str">
        <f aca="false">IF($B64="","",IFERROR(VLOOKUP($B64,人员名册!$B$4:$G$53,5,0)&amp;"",""))</f>
        <v/>
      </c>
      <c r="E64" s="25"/>
      <c r="F64" s="25"/>
      <c r="G64" s="25"/>
      <c r="H64" s="25"/>
      <c r="I64" s="25"/>
      <c r="J64" s="27" t="str">
        <f aca="false">IF($A64="","",ROUND(SUM(E64:I64),2))</f>
        <v/>
      </c>
      <c r="K64" s="45" t="n">
        <f aca="false">IF(OR($A64="",$AA64=0),0,INDEX(研发人员工时分配表!$F$6:$F$245,$AA64))</f>
        <v>0</v>
      </c>
      <c r="L64" s="45" t="n">
        <f aca="false">IF(OR($A64="",$AA64=0),0,INDEX(研发人员工时分配表!$R$6:$R$245,$AA64))</f>
        <v>0</v>
      </c>
      <c r="M64" s="28" t="str">
        <f aca="false">IF(OR($A64="",$K64=0),"",$L64/$K64)</f>
        <v/>
      </c>
      <c r="N64" s="27" t="str">
        <f aca="false">IF(OR($A64="",$K64=0),"",ROUND($J64*INDEX(研发人员工时分配表!$H$6:$H$245,$AA64)/$K64,2))</f>
        <v/>
      </c>
      <c r="O64" s="27" t="str">
        <f aca="false">IF(OR($A64="",$K64=0),"",ROUND($J64*INDEX(研发人员工时分配表!$I$6:$I$245,$AA64)/$K64,2))</f>
        <v/>
      </c>
      <c r="P64" s="27" t="str">
        <f aca="false">IF(OR($A64="",$K64=0),"",ROUND($J64*INDEX(研发人员工时分配表!$J$6:$J$245,$AA64)/$K64,2))</f>
        <v/>
      </c>
      <c r="Q64" s="27" t="str">
        <f aca="false">IF(OR($A64="",$K64=0),"",ROUND($J64*INDEX(研发人员工时分配表!$K$6:$K$245,$AA64)/$K64,2))</f>
        <v/>
      </c>
      <c r="R64" s="27" t="str">
        <f aca="false">IF(OR($A64="",$K64=0),"",ROUND($J64*INDEX(研发人员工时分配表!$L$6:$L$245,$AA64)/$K64,2))</f>
        <v/>
      </c>
      <c r="S64" s="27" t="str">
        <f aca="false">IF(OR($A64="",$K64=0),"",ROUND($J64*INDEX(研发人员工时分配表!$M$6:$M$245,$AA64)/$K64,2))</f>
        <v/>
      </c>
      <c r="T64" s="27" t="str">
        <f aca="false">IF(OR($A64="",$K64=0),"",ROUND($J64*INDEX(研发人员工时分配表!$N$6:$N$245,$AA64)/$K64,2))</f>
        <v/>
      </c>
      <c r="U64" s="27" t="str">
        <f aca="false">IF(OR($A64="",$K64=0),"",ROUND($J64*INDEX(研发人员工时分配表!$O$6:$O$245,$AA64)/$K64,2))</f>
        <v/>
      </c>
      <c r="V64" s="27" t="str">
        <f aca="false">IF(OR($A64="",$K64=0),"",ROUND($J64*INDEX(研发人员工时分配表!$P$6:$P$245,$AA64)/$K64,2))</f>
        <v/>
      </c>
      <c r="W64" s="27" t="str">
        <f aca="false">IF(OR($A64="",$K64=0),"",ROUND($J64*INDEX(研发人员工时分配表!$Q$6:$Q$245,$AA64)/$K64,2))</f>
        <v/>
      </c>
      <c r="X64" s="27" t="str">
        <f aca="false">IF($A64="","",ROUND(SUM(N64:W64),2))</f>
        <v/>
      </c>
      <c r="Y64" s="27" t="str">
        <f aca="false">IF($A64="","",ROUND($J64-X64,2))</f>
        <v/>
      </c>
      <c r="Z64" s="43" t="str">
        <f aca="false">IF($A64="","",IF($AA64=0,"⚠ 工时分配表无此人当月记录",IF($AB64&gt;1,"⚠ 工时分配表存在重复行","√ 正常")))</f>
        <v/>
      </c>
      <c r="AA64" s="47" t="n">
        <f aca="false">IF($A64="",0,IFERROR(MATCH($A64&amp;"|"&amp;$B64,研发人员工时分配表!$W$6:$W$245,0),0))</f>
        <v>0</v>
      </c>
      <c r="AB64" s="47" t="n">
        <f aca="false">IF($A64="",0,COUNTIFS(研发人员工时分配表!$A$6:$A$245,$A64,研发人员工时分配表!$B$6:$B$245,$B64))</f>
        <v>0</v>
      </c>
    </row>
    <row r="65" customFormat="false" ht="18" hidden="false" customHeight="true" outlineLevel="0" collapsed="false">
      <c r="A65" s="36"/>
      <c r="B65" s="36"/>
      <c r="C65" s="43" t="str">
        <f aca="false">IF($B65="","",IFERROR(VLOOKUP($B65,人员名册!$B$4:$G$53,2,0)&amp;"","名册中未登记"))</f>
        <v/>
      </c>
      <c r="D65" s="43" t="str">
        <f aca="false">IF($B65="","",IFERROR(VLOOKUP($B65,人员名册!$B$4:$G$53,5,0)&amp;"",""))</f>
        <v/>
      </c>
      <c r="E65" s="25"/>
      <c r="F65" s="25"/>
      <c r="G65" s="25"/>
      <c r="H65" s="25"/>
      <c r="I65" s="25"/>
      <c r="J65" s="27" t="str">
        <f aca="false">IF($A65="","",ROUND(SUM(E65:I65),2))</f>
        <v/>
      </c>
      <c r="K65" s="45" t="n">
        <f aca="false">IF(OR($A65="",$AA65=0),0,INDEX(研发人员工时分配表!$F$6:$F$245,$AA65))</f>
        <v>0</v>
      </c>
      <c r="L65" s="45" t="n">
        <f aca="false">IF(OR($A65="",$AA65=0),0,INDEX(研发人员工时分配表!$R$6:$R$245,$AA65))</f>
        <v>0</v>
      </c>
      <c r="M65" s="28" t="str">
        <f aca="false">IF(OR($A65="",$K65=0),"",$L65/$K65)</f>
        <v/>
      </c>
      <c r="N65" s="27" t="str">
        <f aca="false">IF(OR($A65="",$K65=0),"",ROUND($J65*INDEX(研发人员工时分配表!$H$6:$H$245,$AA65)/$K65,2))</f>
        <v/>
      </c>
      <c r="O65" s="27" t="str">
        <f aca="false">IF(OR($A65="",$K65=0),"",ROUND($J65*INDEX(研发人员工时分配表!$I$6:$I$245,$AA65)/$K65,2))</f>
        <v/>
      </c>
      <c r="P65" s="27" t="str">
        <f aca="false">IF(OR($A65="",$K65=0),"",ROUND($J65*INDEX(研发人员工时分配表!$J$6:$J$245,$AA65)/$K65,2))</f>
        <v/>
      </c>
      <c r="Q65" s="27" t="str">
        <f aca="false">IF(OR($A65="",$K65=0),"",ROUND($J65*INDEX(研发人员工时分配表!$K$6:$K$245,$AA65)/$K65,2))</f>
        <v/>
      </c>
      <c r="R65" s="27" t="str">
        <f aca="false">IF(OR($A65="",$K65=0),"",ROUND($J65*INDEX(研发人员工时分配表!$L$6:$L$245,$AA65)/$K65,2))</f>
        <v/>
      </c>
      <c r="S65" s="27" t="str">
        <f aca="false">IF(OR($A65="",$K65=0),"",ROUND($J65*INDEX(研发人员工时分配表!$M$6:$M$245,$AA65)/$K65,2))</f>
        <v/>
      </c>
      <c r="T65" s="27" t="str">
        <f aca="false">IF(OR($A65="",$K65=0),"",ROUND($J65*INDEX(研发人员工时分配表!$N$6:$N$245,$AA65)/$K65,2))</f>
        <v/>
      </c>
      <c r="U65" s="27" t="str">
        <f aca="false">IF(OR($A65="",$K65=0),"",ROUND($J65*INDEX(研发人员工时分配表!$O$6:$O$245,$AA65)/$K65,2))</f>
        <v/>
      </c>
      <c r="V65" s="27" t="str">
        <f aca="false">IF(OR($A65="",$K65=0),"",ROUND($J65*INDEX(研发人员工时分配表!$P$6:$P$245,$AA65)/$K65,2))</f>
        <v/>
      </c>
      <c r="W65" s="27" t="str">
        <f aca="false">IF(OR($A65="",$K65=0),"",ROUND($J65*INDEX(研发人员工时分配表!$Q$6:$Q$245,$AA65)/$K65,2))</f>
        <v/>
      </c>
      <c r="X65" s="27" t="str">
        <f aca="false">IF($A65="","",ROUND(SUM(N65:W65),2))</f>
        <v/>
      </c>
      <c r="Y65" s="27" t="str">
        <f aca="false">IF($A65="","",ROUND($J65-X65,2))</f>
        <v/>
      </c>
      <c r="Z65" s="43" t="str">
        <f aca="false">IF($A65="","",IF($AA65=0,"⚠ 工时分配表无此人当月记录",IF($AB65&gt;1,"⚠ 工时分配表存在重复行","√ 正常")))</f>
        <v/>
      </c>
      <c r="AA65" s="47" t="n">
        <f aca="false">IF($A65="",0,IFERROR(MATCH($A65&amp;"|"&amp;$B65,研发人员工时分配表!$W$6:$W$245,0),0))</f>
        <v>0</v>
      </c>
      <c r="AB65" s="47" t="n">
        <f aca="false">IF($A65="",0,COUNTIFS(研发人员工时分配表!$A$6:$A$245,$A65,研发人员工时分配表!$B$6:$B$245,$B65))</f>
        <v>0</v>
      </c>
    </row>
    <row r="66" customFormat="false" ht="18" hidden="false" customHeight="true" outlineLevel="0" collapsed="false">
      <c r="A66" s="36"/>
      <c r="B66" s="36"/>
      <c r="C66" s="43" t="str">
        <f aca="false">IF($B66="","",IFERROR(VLOOKUP($B66,人员名册!$B$4:$G$53,2,0)&amp;"","名册中未登记"))</f>
        <v/>
      </c>
      <c r="D66" s="43" t="str">
        <f aca="false">IF($B66="","",IFERROR(VLOOKUP($B66,人员名册!$B$4:$G$53,5,0)&amp;"",""))</f>
        <v/>
      </c>
      <c r="E66" s="25"/>
      <c r="F66" s="25"/>
      <c r="G66" s="25"/>
      <c r="H66" s="25"/>
      <c r="I66" s="25"/>
      <c r="J66" s="27" t="str">
        <f aca="false">IF($A66="","",ROUND(SUM(E66:I66),2))</f>
        <v/>
      </c>
      <c r="K66" s="45" t="n">
        <f aca="false">IF(OR($A66="",$AA66=0),0,INDEX(研发人员工时分配表!$F$6:$F$245,$AA66))</f>
        <v>0</v>
      </c>
      <c r="L66" s="45" t="n">
        <f aca="false">IF(OR($A66="",$AA66=0),0,INDEX(研发人员工时分配表!$R$6:$R$245,$AA66))</f>
        <v>0</v>
      </c>
      <c r="M66" s="28" t="str">
        <f aca="false">IF(OR($A66="",$K66=0),"",$L66/$K66)</f>
        <v/>
      </c>
      <c r="N66" s="27" t="str">
        <f aca="false">IF(OR($A66="",$K66=0),"",ROUND($J66*INDEX(研发人员工时分配表!$H$6:$H$245,$AA66)/$K66,2))</f>
        <v/>
      </c>
      <c r="O66" s="27" t="str">
        <f aca="false">IF(OR($A66="",$K66=0),"",ROUND($J66*INDEX(研发人员工时分配表!$I$6:$I$245,$AA66)/$K66,2))</f>
        <v/>
      </c>
      <c r="P66" s="27" t="str">
        <f aca="false">IF(OR($A66="",$K66=0),"",ROUND($J66*INDEX(研发人员工时分配表!$J$6:$J$245,$AA66)/$K66,2))</f>
        <v/>
      </c>
      <c r="Q66" s="27" t="str">
        <f aca="false">IF(OR($A66="",$K66=0),"",ROUND($J66*INDEX(研发人员工时分配表!$K$6:$K$245,$AA66)/$K66,2))</f>
        <v/>
      </c>
      <c r="R66" s="27" t="str">
        <f aca="false">IF(OR($A66="",$K66=0),"",ROUND($J66*INDEX(研发人员工时分配表!$L$6:$L$245,$AA66)/$K66,2))</f>
        <v/>
      </c>
      <c r="S66" s="27" t="str">
        <f aca="false">IF(OR($A66="",$K66=0),"",ROUND($J66*INDEX(研发人员工时分配表!$M$6:$M$245,$AA66)/$K66,2))</f>
        <v/>
      </c>
      <c r="T66" s="27" t="str">
        <f aca="false">IF(OR($A66="",$K66=0),"",ROUND($J66*INDEX(研发人员工时分配表!$N$6:$N$245,$AA66)/$K66,2))</f>
        <v/>
      </c>
      <c r="U66" s="27" t="str">
        <f aca="false">IF(OR($A66="",$K66=0),"",ROUND($J66*INDEX(研发人员工时分配表!$O$6:$O$245,$AA66)/$K66,2))</f>
        <v/>
      </c>
      <c r="V66" s="27" t="str">
        <f aca="false">IF(OR($A66="",$K66=0),"",ROUND($J66*INDEX(研发人员工时分配表!$P$6:$P$245,$AA66)/$K66,2))</f>
        <v/>
      </c>
      <c r="W66" s="27" t="str">
        <f aca="false">IF(OR($A66="",$K66=0),"",ROUND($J66*INDEX(研发人员工时分配表!$Q$6:$Q$245,$AA66)/$K66,2))</f>
        <v/>
      </c>
      <c r="X66" s="27" t="str">
        <f aca="false">IF($A66="","",ROUND(SUM(N66:W66),2))</f>
        <v/>
      </c>
      <c r="Y66" s="27" t="str">
        <f aca="false">IF($A66="","",ROUND($J66-X66,2))</f>
        <v/>
      </c>
      <c r="Z66" s="43" t="str">
        <f aca="false">IF($A66="","",IF($AA66=0,"⚠ 工时分配表无此人当月记录",IF($AB66&gt;1,"⚠ 工时分配表存在重复行","√ 正常")))</f>
        <v/>
      </c>
      <c r="AA66" s="47" t="n">
        <f aca="false">IF($A66="",0,IFERROR(MATCH($A66&amp;"|"&amp;$B66,研发人员工时分配表!$W$6:$W$245,0),0))</f>
        <v>0</v>
      </c>
      <c r="AB66" s="47" t="n">
        <f aca="false">IF($A66="",0,COUNTIFS(研发人员工时分配表!$A$6:$A$245,$A66,研发人员工时分配表!$B$6:$B$245,$B66))</f>
        <v>0</v>
      </c>
    </row>
    <row r="67" customFormat="false" ht="18" hidden="false" customHeight="true" outlineLevel="0" collapsed="false">
      <c r="A67" s="36"/>
      <c r="B67" s="36"/>
      <c r="C67" s="43" t="str">
        <f aca="false">IF($B67="","",IFERROR(VLOOKUP($B67,人员名册!$B$4:$G$53,2,0)&amp;"","名册中未登记"))</f>
        <v/>
      </c>
      <c r="D67" s="43" t="str">
        <f aca="false">IF($B67="","",IFERROR(VLOOKUP($B67,人员名册!$B$4:$G$53,5,0)&amp;"",""))</f>
        <v/>
      </c>
      <c r="E67" s="25"/>
      <c r="F67" s="25"/>
      <c r="G67" s="25"/>
      <c r="H67" s="25"/>
      <c r="I67" s="25"/>
      <c r="J67" s="27" t="str">
        <f aca="false">IF($A67="","",ROUND(SUM(E67:I67),2))</f>
        <v/>
      </c>
      <c r="K67" s="45" t="n">
        <f aca="false">IF(OR($A67="",$AA67=0),0,INDEX(研发人员工时分配表!$F$6:$F$245,$AA67))</f>
        <v>0</v>
      </c>
      <c r="L67" s="45" t="n">
        <f aca="false">IF(OR($A67="",$AA67=0),0,INDEX(研发人员工时分配表!$R$6:$R$245,$AA67))</f>
        <v>0</v>
      </c>
      <c r="M67" s="28" t="str">
        <f aca="false">IF(OR($A67="",$K67=0),"",$L67/$K67)</f>
        <v/>
      </c>
      <c r="N67" s="27" t="str">
        <f aca="false">IF(OR($A67="",$K67=0),"",ROUND($J67*INDEX(研发人员工时分配表!$H$6:$H$245,$AA67)/$K67,2))</f>
        <v/>
      </c>
      <c r="O67" s="27" t="str">
        <f aca="false">IF(OR($A67="",$K67=0),"",ROUND($J67*INDEX(研发人员工时分配表!$I$6:$I$245,$AA67)/$K67,2))</f>
        <v/>
      </c>
      <c r="P67" s="27" t="str">
        <f aca="false">IF(OR($A67="",$K67=0),"",ROUND($J67*INDEX(研发人员工时分配表!$J$6:$J$245,$AA67)/$K67,2))</f>
        <v/>
      </c>
      <c r="Q67" s="27" t="str">
        <f aca="false">IF(OR($A67="",$K67=0),"",ROUND($J67*INDEX(研发人员工时分配表!$K$6:$K$245,$AA67)/$K67,2))</f>
        <v/>
      </c>
      <c r="R67" s="27" t="str">
        <f aca="false">IF(OR($A67="",$K67=0),"",ROUND($J67*INDEX(研发人员工时分配表!$L$6:$L$245,$AA67)/$K67,2))</f>
        <v/>
      </c>
      <c r="S67" s="27" t="str">
        <f aca="false">IF(OR($A67="",$K67=0),"",ROUND($J67*INDEX(研发人员工时分配表!$M$6:$M$245,$AA67)/$K67,2))</f>
        <v/>
      </c>
      <c r="T67" s="27" t="str">
        <f aca="false">IF(OR($A67="",$K67=0),"",ROUND($J67*INDEX(研发人员工时分配表!$N$6:$N$245,$AA67)/$K67,2))</f>
        <v/>
      </c>
      <c r="U67" s="27" t="str">
        <f aca="false">IF(OR($A67="",$K67=0),"",ROUND($J67*INDEX(研发人员工时分配表!$O$6:$O$245,$AA67)/$K67,2))</f>
        <v/>
      </c>
      <c r="V67" s="27" t="str">
        <f aca="false">IF(OR($A67="",$K67=0),"",ROUND($J67*INDEX(研发人员工时分配表!$P$6:$P$245,$AA67)/$K67,2))</f>
        <v/>
      </c>
      <c r="W67" s="27" t="str">
        <f aca="false">IF(OR($A67="",$K67=0),"",ROUND($J67*INDEX(研发人员工时分配表!$Q$6:$Q$245,$AA67)/$K67,2))</f>
        <v/>
      </c>
      <c r="X67" s="27" t="str">
        <f aca="false">IF($A67="","",ROUND(SUM(N67:W67),2))</f>
        <v/>
      </c>
      <c r="Y67" s="27" t="str">
        <f aca="false">IF($A67="","",ROUND($J67-X67,2))</f>
        <v/>
      </c>
      <c r="Z67" s="43" t="str">
        <f aca="false">IF($A67="","",IF($AA67=0,"⚠ 工时分配表无此人当月记录",IF($AB67&gt;1,"⚠ 工时分配表存在重复行","√ 正常")))</f>
        <v/>
      </c>
      <c r="AA67" s="47" t="n">
        <f aca="false">IF($A67="",0,IFERROR(MATCH($A67&amp;"|"&amp;$B67,研发人员工时分配表!$W$6:$W$245,0),0))</f>
        <v>0</v>
      </c>
      <c r="AB67" s="47" t="n">
        <f aca="false">IF($A67="",0,COUNTIFS(研发人员工时分配表!$A$6:$A$245,$A67,研发人员工时分配表!$B$6:$B$245,$B67))</f>
        <v>0</v>
      </c>
    </row>
    <row r="68" customFormat="false" ht="18" hidden="false" customHeight="true" outlineLevel="0" collapsed="false">
      <c r="A68" s="36"/>
      <c r="B68" s="36"/>
      <c r="C68" s="43" t="str">
        <f aca="false">IF($B68="","",IFERROR(VLOOKUP($B68,人员名册!$B$4:$G$53,2,0)&amp;"","名册中未登记"))</f>
        <v/>
      </c>
      <c r="D68" s="43" t="str">
        <f aca="false">IF($B68="","",IFERROR(VLOOKUP($B68,人员名册!$B$4:$G$53,5,0)&amp;"",""))</f>
        <v/>
      </c>
      <c r="E68" s="25"/>
      <c r="F68" s="25"/>
      <c r="G68" s="25"/>
      <c r="H68" s="25"/>
      <c r="I68" s="25"/>
      <c r="J68" s="27" t="str">
        <f aca="false">IF($A68="","",ROUND(SUM(E68:I68),2))</f>
        <v/>
      </c>
      <c r="K68" s="45" t="n">
        <f aca="false">IF(OR($A68="",$AA68=0),0,INDEX(研发人员工时分配表!$F$6:$F$245,$AA68))</f>
        <v>0</v>
      </c>
      <c r="L68" s="45" t="n">
        <f aca="false">IF(OR($A68="",$AA68=0),0,INDEX(研发人员工时分配表!$R$6:$R$245,$AA68))</f>
        <v>0</v>
      </c>
      <c r="M68" s="28" t="str">
        <f aca="false">IF(OR($A68="",$K68=0),"",$L68/$K68)</f>
        <v/>
      </c>
      <c r="N68" s="27" t="str">
        <f aca="false">IF(OR($A68="",$K68=0),"",ROUND($J68*INDEX(研发人员工时分配表!$H$6:$H$245,$AA68)/$K68,2))</f>
        <v/>
      </c>
      <c r="O68" s="27" t="str">
        <f aca="false">IF(OR($A68="",$K68=0),"",ROUND($J68*INDEX(研发人员工时分配表!$I$6:$I$245,$AA68)/$K68,2))</f>
        <v/>
      </c>
      <c r="P68" s="27" t="str">
        <f aca="false">IF(OR($A68="",$K68=0),"",ROUND($J68*INDEX(研发人员工时分配表!$J$6:$J$245,$AA68)/$K68,2))</f>
        <v/>
      </c>
      <c r="Q68" s="27" t="str">
        <f aca="false">IF(OR($A68="",$K68=0),"",ROUND($J68*INDEX(研发人员工时分配表!$K$6:$K$245,$AA68)/$K68,2))</f>
        <v/>
      </c>
      <c r="R68" s="27" t="str">
        <f aca="false">IF(OR($A68="",$K68=0),"",ROUND($J68*INDEX(研发人员工时分配表!$L$6:$L$245,$AA68)/$K68,2))</f>
        <v/>
      </c>
      <c r="S68" s="27" t="str">
        <f aca="false">IF(OR($A68="",$K68=0),"",ROUND($J68*INDEX(研发人员工时分配表!$M$6:$M$245,$AA68)/$K68,2))</f>
        <v/>
      </c>
      <c r="T68" s="27" t="str">
        <f aca="false">IF(OR($A68="",$K68=0),"",ROUND($J68*INDEX(研发人员工时分配表!$N$6:$N$245,$AA68)/$K68,2))</f>
        <v/>
      </c>
      <c r="U68" s="27" t="str">
        <f aca="false">IF(OR($A68="",$K68=0),"",ROUND($J68*INDEX(研发人员工时分配表!$O$6:$O$245,$AA68)/$K68,2))</f>
        <v/>
      </c>
      <c r="V68" s="27" t="str">
        <f aca="false">IF(OR($A68="",$K68=0),"",ROUND($J68*INDEX(研发人员工时分配表!$P$6:$P$245,$AA68)/$K68,2))</f>
        <v/>
      </c>
      <c r="W68" s="27" t="str">
        <f aca="false">IF(OR($A68="",$K68=0),"",ROUND($J68*INDEX(研发人员工时分配表!$Q$6:$Q$245,$AA68)/$K68,2))</f>
        <v/>
      </c>
      <c r="X68" s="27" t="str">
        <f aca="false">IF($A68="","",ROUND(SUM(N68:W68),2))</f>
        <v/>
      </c>
      <c r="Y68" s="27" t="str">
        <f aca="false">IF($A68="","",ROUND($J68-X68,2))</f>
        <v/>
      </c>
      <c r="Z68" s="43" t="str">
        <f aca="false">IF($A68="","",IF($AA68=0,"⚠ 工时分配表无此人当月记录",IF($AB68&gt;1,"⚠ 工时分配表存在重复行","√ 正常")))</f>
        <v/>
      </c>
      <c r="AA68" s="47" t="n">
        <f aca="false">IF($A68="",0,IFERROR(MATCH($A68&amp;"|"&amp;$B68,研发人员工时分配表!$W$6:$W$245,0),0))</f>
        <v>0</v>
      </c>
      <c r="AB68" s="47" t="n">
        <f aca="false">IF($A68="",0,COUNTIFS(研发人员工时分配表!$A$6:$A$245,$A68,研发人员工时分配表!$B$6:$B$245,$B68))</f>
        <v>0</v>
      </c>
    </row>
    <row r="69" customFormat="false" ht="18" hidden="false" customHeight="true" outlineLevel="0" collapsed="false">
      <c r="A69" s="36"/>
      <c r="B69" s="36"/>
      <c r="C69" s="43" t="str">
        <f aca="false">IF($B69="","",IFERROR(VLOOKUP($B69,人员名册!$B$4:$G$53,2,0)&amp;"","名册中未登记"))</f>
        <v/>
      </c>
      <c r="D69" s="43" t="str">
        <f aca="false">IF($B69="","",IFERROR(VLOOKUP($B69,人员名册!$B$4:$G$53,5,0)&amp;"",""))</f>
        <v/>
      </c>
      <c r="E69" s="25"/>
      <c r="F69" s="25"/>
      <c r="G69" s="25"/>
      <c r="H69" s="25"/>
      <c r="I69" s="25"/>
      <c r="J69" s="27" t="str">
        <f aca="false">IF($A69="","",ROUND(SUM(E69:I69),2))</f>
        <v/>
      </c>
      <c r="K69" s="45" t="n">
        <f aca="false">IF(OR($A69="",$AA69=0),0,INDEX(研发人员工时分配表!$F$6:$F$245,$AA69))</f>
        <v>0</v>
      </c>
      <c r="L69" s="45" t="n">
        <f aca="false">IF(OR($A69="",$AA69=0),0,INDEX(研发人员工时分配表!$R$6:$R$245,$AA69))</f>
        <v>0</v>
      </c>
      <c r="M69" s="28" t="str">
        <f aca="false">IF(OR($A69="",$K69=0),"",$L69/$K69)</f>
        <v/>
      </c>
      <c r="N69" s="27" t="str">
        <f aca="false">IF(OR($A69="",$K69=0),"",ROUND($J69*INDEX(研发人员工时分配表!$H$6:$H$245,$AA69)/$K69,2))</f>
        <v/>
      </c>
      <c r="O69" s="27" t="str">
        <f aca="false">IF(OR($A69="",$K69=0),"",ROUND($J69*INDEX(研发人员工时分配表!$I$6:$I$245,$AA69)/$K69,2))</f>
        <v/>
      </c>
      <c r="P69" s="27" t="str">
        <f aca="false">IF(OR($A69="",$K69=0),"",ROUND($J69*INDEX(研发人员工时分配表!$J$6:$J$245,$AA69)/$K69,2))</f>
        <v/>
      </c>
      <c r="Q69" s="27" t="str">
        <f aca="false">IF(OR($A69="",$K69=0),"",ROUND($J69*INDEX(研发人员工时分配表!$K$6:$K$245,$AA69)/$K69,2))</f>
        <v/>
      </c>
      <c r="R69" s="27" t="str">
        <f aca="false">IF(OR($A69="",$K69=0),"",ROUND($J69*INDEX(研发人员工时分配表!$L$6:$L$245,$AA69)/$K69,2))</f>
        <v/>
      </c>
      <c r="S69" s="27" t="str">
        <f aca="false">IF(OR($A69="",$K69=0),"",ROUND($J69*INDEX(研发人员工时分配表!$M$6:$M$245,$AA69)/$K69,2))</f>
        <v/>
      </c>
      <c r="T69" s="27" t="str">
        <f aca="false">IF(OR($A69="",$K69=0),"",ROUND($J69*INDEX(研发人员工时分配表!$N$6:$N$245,$AA69)/$K69,2))</f>
        <v/>
      </c>
      <c r="U69" s="27" t="str">
        <f aca="false">IF(OR($A69="",$K69=0),"",ROUND($J69*INDEX(研发人员工时分配表!$O$6:$O$245,$AA69)/$K69,2))</f>
        <v/>
      </c>
      <c r="V69" s="27" t="str">
        <f aca="false">IF(OR($A69="",$K69=0),"",ROUND($J69*INDEX(研发人员工时分配表!$P$6:$P$245,$AA69)/$K69,2))</f>
        <v/>
      </c>
      <c r="W69" s="27" t="str">
        <f aca="false">IF(OR($A69="",$K69=0),"",ROUND($J69*INDEX(研发人员工时分配表!$Q$6:$Q$245,$AA69)/$K69,2))</f>
        <v/>
      </c>
      <c r="X69" s="27" t="str">
        <f aca="false">IF($A69="","",ROUND(SUM(N69:W69),2))</f>
        <v/>
      </c>
      <c r="Y69" s="27" t="str">
        <f aca="false">IF($A69="","",ROUND($J69-X69,2))</f>
        <v/>
      </c>
      <c r="Z69" s="43" t="str">
        <f aca="false">IF($A69="","",IF($AA69=0,"⚠ 工时分配表无此人当月记录",IF($AB69&gt;1,"⚠ 工时分配表存在重复行","√ 正常")))</f>
        <v/>
      </c>
      <c r="AA69" s="47" t="n">
        <f aca="false">IF($A69="",0,IFERROR(MATCH($A69&amp;"|"&amp;$B69,研发人员工时分配表!$W$6:$W$245,0),0))</f>
        <v>0</v>
      </c>
      <c r="AB69" s="47" t="n">
        <f aca="false">IF($A69="",0,COUNTIFS(研发人员工时分配表!$A$6:$A$245,$A69,研发人员工时分配表!$B$6:$B$245,$B69))</f>
        <v>0</v>
      </c>
    </row>
    <row r="70" customFormat="false" ht="18" hidden="false" customHeight="true" outlineLevel="0" collapsed="false">
      <c r="A70" s="36"/>
      <c r="B70" s="36"/>
      <c r="C70" s="43" t="str">
        <f aca="false">IF($B70="","",IFERROR(VLOOKUP($B70,人员名册!$B$4:$G$53,2,0)&amp;"","名册中未登记"))</f>
        <v/>
      </c>
      <c r="D70" s="43" t="str">
        <f aca="false">IF($B70="","",IFERROR(VLOOKUP($B70,人员名册!$B$4:$G$53,5,0)&amp;"",""))</f>
        <v/>
      </c>
      <c r="E70" s="25"/>
      <c r="F70" s="25"/>
      <c r="G70" s="25"/>
      <c r="H70" s="25"/>
      <c r="I70" s="25"/>
      <c r="J70" s="27" t="str">
        <f aca="false">IF($A70="","",ROUND(SUM(E70:I70),2))</f>
        <v/>
      </c>
      <c r="K70" s="45" t="n">
        <f aca="false">IF(OR($A70="",$AA70=0),0,INDEX(研发人员工时分配表!$F$6:$F$245,$AA70))</f>
        <v>0</v>
      </c>
      <c r="L70" s="45" t="n">
        <f aca="false">IF(OR($A70="",$AA70=0),0,INDEX(研发人员工时分配表!$R$6:$R$245,$AA70))</f>
        <v>0</v>
      </c>
      <c r="M70" s="28" t="str">
        <f aca="false">IF(OR($A70="",$K70=0),"",$L70/$K70)</f>
        <v/>
      </c>
      <c r="N70" s="27" t="str">
        <f aca="false">IF(OR($A70="",$K70=0),"",ROUND($J70*INDEX(研发人员工时分配表!$H$6:$H$245,$AA70)/$K70,2))</f>
        <v/>
      </c>
      <c r="O70" s="27" t="str">
        <f aca="false">IF(OR($A70="",$K70=0),"",ROUND($J70*INDEX(研发人员工时分配表!$I$6:$I$245,$AA70)/$K70,2))</f>
        <v/>
      </c>
      <c r="P70" s="27" t="str">
        <f aca="false">IF(OR($A70="",$K70=0),"",ROUND($J70*INDEX(研发人员工时分配表!$J$6:$J$245,$AA70)/$K70,2))</f>
        <v/>
      </c>
      <c r="Q70" s="27" t="str">
        <f aca="false">IF(OR($A70="",$K70=0),"",ROUND($J70*INDEX(研发人员工时分配表!$K$6:$K$245,$AA70)/$K70,2))</f>
        <v/>
      </c>
      <c r="R70" s="27" t="str">
        <f aca="false">IF(OR($A70="",$K70=0),"",ROUND($J70*INDEX(研发人员工时分配表!$L$6:$L$245,$AA70)/$K70,2))</f>
        <v/>
      </c>
      <c r="S70" s="27" t="str">
        <f aca="false">IF(OR($A70="",$K70=0),"",ROUND($J70*INDEX(研发人员工时分配表!$M$6:$M$245,$AA70)/$K70,2))</f>
        <v/>
      </c>
      <c r="T70" s="27" t="str">
        <f aca="false">IF(OR($A70="",$K70=0),"",ROUND($J70*INDEX(研发人员工时分配表!$N$6:$N$245,$AA70)/$K70,2))</f>
        <v/>
      </c>
      <c r="U70" s="27" t="str">
        <f aca="false">IF(OR($A70="",$K70=0),"",ROUND($J70*INDEX(研发人员工时分配表!$O$6:$O$245,$AA70)/$K70,2))</f>
        <v/>
      </c>
      <c r="V70" s="27" t="str">
        <f aca="false">IF(OR($A70="",$K70=0),"",ROUND($J70*INDEX(研发人员工时分配表!$P$6:$P$245,$AA70)/$K70,2))</f>
        <v/>
      </c>
      <c r="W70" s="27" t="str">
        <f aca="false">IF(OR($A70="",$K70=0),"",ROUND($J70*INDEX(研发人员工时分配表!$Q$6:$Q$245,$AA70)/$K70,2))</f>
        <v/>
      </c>
      <c r="X70" s="27" t="str">
        <f aca="false">IF($A70="","",ROUND(SUM(N70:W70),2))</f>
        <v/>
      </c>
      <c r="Y70" s="27" t="str">
        <f aca="false">IF($A70="","",ROUND($J70-X70,2))</f>
        <v/>
      </c>
      <c r="Z70" s="43" t="str">
        <f aca="false">IF($A70="","",IF($AA70=0,"⚠ 工时分配表无此人当月记录",IF($AB70&gt;1,"⚠ 工时分配表存在重复行","√ 正常")))</f>
        <v/>
      </c>
      <c r="AA70" s="47" t="n">
        <f aca="false">IF($A70="",0,IFERROR(MATCH($A70&amp;"|"&amp;$B70,研发人员工时分配表!$W$6:$W$245,0),0))</f>
        <v>0</v>
      </c>
      <c r="AB70" s="47" t="n">
        <f aca="false">IF($A70="",0,COUNTIFS(研发人员工时分配表!$A$6:$A$245,$A70,研发人员工时分配表!$B$6:$B$245,$B70))</f>
        <v>0</v>
      </c>
    </row>
    <row r="71" customFormat="false" ht="18" hidden="false" customHeight="true" outlineLevel="0" collapsed="false">
      <c r="A71" s="36"/>
      <c r="B71" s="36"/>
      <c r="C71" s="43" t="str">
        <f aca="false">IF($B71="","",IFERROR(VLOOKUP($B71,人员名册!$B$4:$G$53,2,0)&amp;"","名册中未登记"))</f>
        <v/>
      </c>
      <c r="D71" s="43" t="str">
        <f aca="false">IF($B71="","",IFERROR(VLOOKUP($B71,人员名册!$B$4:$G$53,5,0)&amp;"",""))</f>
        <v/>
      </c>
      <c r="E71" s="25"/>
      <c r="F71" s="25"/>
      <c r="G71" s="25"/>
      <c r="H71" s="25"/>
      <c r="I71" s="25"/>
      <c r="J71" s="27" t="str">
        <f aca="false">IF($A71="","",ROUND(SUM(E71:I71),2))</f>
        <v/>
      </c>
      <c r="K71" s="45" t="n">
        <f aca="false">IF(OR($A71="",$AA71=0),0,INDEX(研发人员工时分配表!$F$6:$F$245,$AA71))</f>
        <v>0</v>
      </c>
      <c r="L71" s="45" t="n">
        <f aca="false">IF(OR($A71="",$AA71=0),0,INDEX(研发人员工时分配表!$R$6:$R$245,$AA71))</f>
        <v>0</v>
      </c>
      <c r="M71" s="28" t="str">
        <f aca="false">IF(OR($A71="",$K71=0),"",$L71/$K71)</f>
        <v/>
      </c>
      <c r="N71" s="27" t="str">
        <f aca="false">IF(OR($A71="",$K71=0),"",ROUND($J71*INDEX(研发人员工时分配表!$H$6:$H$245,$AA71)/$K71,2))</f>
        <v/>
      </c>
      <c r="O71" s="27" t="str">
        <f aca="false">IF(OR($A71="",$K71=0),"",ROUND($J71*INDEX(研发人员工时分配表!$I$6:$I$245,$AA71)/$K71,2))</f>
        <v/>
      </c>
      <c r="P71" s="27" t="str">
        <f aca="false">IF(OR($A71="",$K71=0),"",ROUND($J71*INDEX(研发人员工时分配表!$J$6:$J$245,$AA71)/$K71,2))</f>
        <v/>
      </c>
      <c r="Q71" s="27" t="str">
        <f aca="false">IF(OR($A71="",$K71=0),"",ROUND($J71*INDEX(研发人员工时分配表!$K$6:$K$245,$AA71)/$K71,2))</f>
        <v/>
      </c>
      <c r="R71" s="27" t="str">
        <f aca="false">IF(OR($A71="",$K71=0),"",ROUND($J71*INDEX(研发人员工时分配表!$L$6:$L$245,$AA71)/$K71,2))</f>
        <v/>
      </c>
      <c r="S71" s="27" t="str">
        <f aca="false">IF(OR($A71="",$K71=0),"",ROUND($J71*INDEX(研发人员工时分配表!$M$6:$M$245,$AA71)/$K71,2))</f>
        <v/>
      </c>
      <c r="T71" s="27" t="str">
        <f aca="false">IF(OR($A71="",$K71=0),"",ROUND($J71*INDEX(研发人员工时分配表!$N$6:$N$245,$AA71)/$K71,2))</f>
        <v/>
      </c>
      <c r="U71" s="27" t="str">
        <f aca="false">IF(OR($A71="",$K71=0),"",ROUND($J71*INDEX(研发人员工时分配表!$O$6:$O$245,$AA71)/$K71,2))</f>
        <v/>
      </c>
      <c r="V71" s="27" t="str">
        <f aca="false">IF(OR($A71="",$K71=0),"",ROUND($J71*INDEX(研发人员工时分配表!$P$6:$P$245,$AA71)/$K71,2))</f>
        <v/>
      </c>
      <c r="W71" s="27" t="str">
        <f aca="false">IF(OR($A71="",$K71=0),"",ROUND($J71*INDEX(研发人员工时分配表!$Q$6:$Q$245,$AA71)/$K71,2))</f>
        <v/>
      </c>
      <c r="X71" s="27" t="str">
        <f aca="false">IF($A71="","",ROUND(SUM(N71:W71),2))</f>
        <v/>
      </c>
      <c r="Y71" s="27" t="str">
        <f aca="false">IF($A71="","",ROUND($J71-X71,2))</f>
        <v/>
      </c>
      <c r="Z71" s="43" t="str">
        <f aca="false">IF($A71="","",IF($AA71=0,"⚠ 工时分配表无此人当月记录",IF($AB71&gt;1,"⚠ 工时分配表存在重复行","√ 正常")))</f>
        <v/>
      </c>
      <c r="AA71" s="47" t="n">
        <f aca="false">IF($A71="",0,IFERROR(MATCH($A71&amp;"|"&amp;$B71,研发人员工时分配表!$W$6:$W$245,0),0))</f>
        <v>0</v>
      </c>
      <c r="AB71" s="47" t="n">
        <f aca="false">IF($A71="",0,COUNTIFS(研发人员工时分配表!$A$6:$A$245,$A71,研发人员工时分配表!$B$6:$B$245,$B71))</f>
        <v>0</v>
      </c>
    </row>
    <row r="72" customFormat="false" ht="18" hidden="false" customHeight="true" outlineLevel="0" collapsed="false">
      <c r="A72" s="36"/>
      <c r="B72" s="36"/>
      <c r="C72" s="43" t="str">
        <f aca="false">IF($B72="","",IFERROR(VLOOKUP($B72,人员名册!$B$4:$G$53,2,0)&amp;"","名册中未登记"))</f>
        <v/>
      </c>
      <c r="D72" s="43" t="str">
        <f aca="false">IF($B72="","",IFERROR(VLOOKUP($B72,人员名册!$B$4:$G$53,5,0)&amp;"",""))</f>
        <v/>
      </c>
      <c r="E72" s="25"/>
      <c r="F72" s="25"/>
      <c r="G72" s="25"/>
      <c r="H72" s="25"/>
      <c r="I72" s="25"/>
      <c r="J72" s="27" t="str">
        <f aca="false">IF($A72="","",ROUND(SUM(E72:I72),2))</f>
        <v/>
      </c>
      <c r="K72" s="45" t="n">
        <f aca="false">IF(OR($A72="",$AA72=0),0,INDEX(研发人员工时分配表!$F$6:$F$245,$AA72))</f>
        <v>0</v>
      </c>
      <c r="L72" s="45" t="n">
        <f aca="false">IF(OR($A72="",$AA72=0),0,INDEX(研发人员工时分配表!$R$6:$R$245,$AA72))</f>
        <v>0</v>
      </c>
      <c r="M72" s="28" t="str">
        <f aca="false">IF(OR($A72="",$K72=0),"",$L72/$K72)</f>
        <v/>
      </c>
      <c r="N72" s="27" t="str">
        <f aca="false">IF(OR($A72="",$K72=0),"",ROUND($J72*INDEX(研发人员工时分配表!$H$6:$H$245,$AA72)/$K72,2))</f>
        <v/>
      </c>
      <c r="O72" s="27" t="str">
        <f aca="false">IF(OR($A72="",$K72=0),"",ROUND($J72*INDEX(研发人员工时分配表!$I$6:$I$245,$AA72)/$K72,2))</f>
        <v/>
      </c>
      <c r="P72" s="27" t="str">
        <f aca="false">IF(OR($A72="",$K72=0),"",ROUND($J72*INDEX(研发人员工时分配表!$J$6:$J$245,$AA72)/$K72,2))</f>
        <v/>
      </c>
      <c r="Q72" s="27" t="str">
        <f aca="false">IF(OR($A72="",$K72=0),"",ROUND($J72*INDEX(研发人员工时分配表!$K$6:$K$245,$AA72)/$K72,2))</f>
        <v/>
      </c>
      <c r="R72" s="27" t="str">
        <f aca="false">IF(OR($A72="",$K72=0),"",ROUND($J72*INDEX(研发人员工时分配表!$L$6:$L$245,$AA72)/$K72,2))</f>
        <v/>
      </c>
      <c r="S72" s="27" t="str">
        <f aca="false">IF(OR($A72="",$K72=0),"",ROUND($J72*INDEX(研发人员工时分配表!$M$6:$M$245,$AA72)/$K72,2))</f>
        <v/>
      </c>
      <c r="T72" s="27" t="str">
        <f aca="false">IF(OR($A72="",$K72=0),"",ROUND($J72*INDEX(研发人员工时分配表!$N$6:$N$245,$AA72)/$K72,2))</f>
        <v/>
      </c>
      <c r="U72" s="27" t="str">
        <f aca="false">IF(OR($A72="",$K72=0),"",ROUND($J72*INDEX(研发人员工时分配表!$O$6:$O$245,$AA72)/$K72,2))</f>
        <v/>
      </c>
      <c r="V72" s="27" t="str">
        <f aca="false">IF(OR($A72="",$K72=0),"",ROUND($J72*INDEX(研发人员工时分配表!$P$6:$P$245,$AA72)/$K72,2))</f>
        <v/>
      </c>
      <c r="W72" s="27" t="str">
        <f aca="false">IF(OR($A72="",$K72=0),"",ROUND($J72*INDEX(研发人员工时分配表!$Q$6:$Q$245,$AA72)/$K72,2))</f>
        <v/>
      </c>
      <c r="X72" s="27" t="str">
        <f aca="false">IF($A72="","",ROUND(SUM(N72:W72),2))</f>
        <v/>
      </c>
      <c r="Y72" s="27" t="str">
        <f aca="false">IF($A72="","",ROUND($J72-X72,2))</f>
        <v/>
      </c>
      <c r="Z72" s="43" t="str">
        <f aca="false">IF($A72="","",IF($AA72=0,"⚠ 工时分配表无此人当月记录",IF($AB72&gt;1,"⚠ 工时分配表存在重复行","√ 正常")))</f>
        <v/>
      </c>
      <c r="AA72" s="47" t="n">
        <f aca="false">IF($A72="",0,IFERROR(MATCH($A72&amp;"|"&amp;$B72,研发人员工时分配表!$W$6:$W$245,0),0))</f>
        <v>0</v>
      </c>
      <c r="AB72" s="47" t="n">
        <f aca="false">IF($A72="",0,COUNTIFS(研发人员工时分配表!$A$6:$A$245,$A72,研发人员工时分配表!$B$6:$B$245,$B72))</f>
        <v>0</v>
      </c>
    </row>
    <row r="73" customFormat="false" ht="18" hidden="false" customHeight="true" outlineLevel="0" collapsed="false">
      <c r="A73" s="36"/>
      <c r="B73" s="36"/>
      <c r="C73" s="43" t="str">
        <f aca="false">IF($B73="","",IFERROR(VLOOKUP($B73,人员名册!$B$4:$G$53,2,0)&amp;"","名册中未登记"))</f>
        <v/>
      </c>
      <c r="D73" s="43" t="str">
        <f aca="false">IF($B73="","",IFERROR(VLOOKUP($B73,人员名册!$B$4:$G$53,5,0)&amp;"",""))</f>
        <v/>
      </c>
      <c r="E73" s="25"/>
      <c r="F73" s="25"/>
      <c r="G73" s="25"/>
      <c r="H73" s="25"/>
      <c r="I73" s="25"/>
      <c r="J73" s="27" t="str">
        <f aca="false">IF($A73="","",ROUND(SUM(E73:I73),2))</f>
        <v/>
      </c>
      <c r="K73" s="45" t="n">
        <f aca="false">IF(OR($A73="",$AA73=0),0,INDEX(研发人员工时分配表!$F$6:$F$245,$AA73))</f>
        <v>0</v>
      </c>
      <c r="L73" s="45" t="n">
        <f aca="false">IF(OR($A73="",$AA73=0),0,INDEX(研发人员工时分配表!$R$6:$R$245,$AA73))</f>
        <v>0</v>
      </c>
      <c r="M73" s="28" t="str">
        <f aca="false">IF(OR($A73="",$K73=0),"",$L73/$K73)</f>
        <v/>
      </c>
      <c r="N73" s="27" t="str">
        <f aca="false">IF(OR($A73="",$K73=0),"",ROUND($J73*INDEX(研发人员工时分配表!$H$6:$H$245,$AA73)/$K73,2))</f>
        <v/>
      </c>
      <c r="O73" s="27" t="str">
        <f aca="false">IF(OR($A73="",$K73=0),"",ROUND($J73*INDEX(研发人员工时分配表!$I$6:$I$245,$AA73)/$K73,2))</f>
        <v/>
      </c>
      <c r="P73" s="27" t="str">
        <f aca="false">IF(OR($A73="",$K73=0),"",ROUND($J73*INDEX(研发人员工时分配表!$J$6:$J$245,$AA73)/$K73,2))</f>
        <v/>
      </c>
      <c r="Q73" s="27" t="str">
        <f aca="false">IF(OR($A73="",$K73=0),"",ROUND($J73*INDEX(研发人员工时分配表!$K$6:$K$245,$AA73)/$K73,2))</f>
        <v/>
      </c>
      <c r="R73" s="27" t="str">
        <f aca="false">IF(OR($A73="",$K73=0),"",ROUND($J73*INDEX(研发人员工时分配表!$L$6:$L$245,$AA73)/$K73,2))</f>
        <v/>
      </c>
      <c r="S73" s="27" t="str">
        <f aca="false">IF(OR($A73="",$K73=0),"",ROUND($J73*INDEX(研发人员工时分配表!$M$6:$M$245,$AA73)/$K73,2))</f>
        <v/>
      </c>
      <c r="T73" s="27" t="str">
        <f aca="false">IF(OR($A73="",$K73=0),"",ROUND($J73*INDEX(研发人员工时分配表!$N$6:$N$245,$AA73)/$K73,2))</f>
        <v/>
      </c>
      <c r="U73" s="27" t="str">
        <f aca="false">IF(OR($A73="",$K73=0),"",ROUND($J73*INDEX(研发人员工时分配表!$O$6:$O$245,$AA73)/$K73,2))</f>
        <v/>
      </c>
      <c r="V73" s="27" t="str">
        <f aca="false">IF(OR($A73="",$K73=0),"",ROUND($J73*INDEX(研发人员工时分配表!$P$6:$P$245,$AA73)/$K73,2))</f>
        <v/>
      </c>
      <c r="W73" s="27" t="str">
        <f aca="false">IF(OR($A73="",$K73=0),"",ROUND($J73*INDEX(研发人员工时分配表!$Q$6:$Q$245,$AA73)/$K73,2))</f>
        <v/>
      </c>
      <c r="X73" s="27" t="str">
        <f aca="false">IF($A73="","",ROUND(SUM(N73:W73),2))</f>
        <v/>
      </c>
      <c r="Y73" s="27" t="str">
        <f aca="false">IF($A73="","",ROUND($J73-X73,2))</f>
        <v/>
      </c>
      <c r="Z73" s="43" t="str">
        <f aca="false">IF($A73="","",IF($AA73=0,"⚠ 工时分配表无此人当月记录",IF($AB73&gt;1,"⚠ 工时分配表存在重复行","√ 正常")))</f>
        <v/>
      </c>
      <c r="AA73" s="47" t="n">
        <f aca="false">IF($A73="",0,IFERROR(MATCH($A73&amp;"|"&amp;$B73,研发人员工时分配表!$W$6:$W$245,0),0))</f>
        <v>0</v>
      </c>
      <c r="AB73" s="47" t="n">
        <f aca="false">IF($A73="",0,COUNTIFS(研发人员工时分配表!$A$6:$A$245,$A73,研发人员工时分配表!$B$6:$B$245,$B73))</f>
        <v>0</v>
      </c>
    </row>
    <row r="74" customFormat="false" ht="18" hidden="false" customHeight="true" outlineLevel="0" collapsed="false">
      <c r="A74" s="36"/>
      <c r="B74" s="36"/>
      <c r="C74" s="43" t="str">
        <f aca="false">IF($B74="","",IFERROR(VLOOKUP($B74,人员名册!$B$4:$G$53,2,0)&amp;"","名册中未登记"))</f>
        <v/>
      </c>
      <c r="D74" s="43" t="str">
        <f aca="false">IF($B74="","",IFERROR(VLOOKUP($B74,人员名册!$B$4:$G$53,5,0)&amp;"",""))</f>
        <v/>
      </c>
      <c r="E74" s="25"/>
      <c r="F74" s="25"/>
      <c r="G74" s="25"/>
      <c r="H74" s="25"/>
      <c r="I74" s="25"/>
      <c r="J74" s="27" t="str">
        <f aca="false">IF($A74="","",ROUND(SUM(E74:I74),2))</f>
        <v/>
      </c>
      <c r="K74" s="45" t="n">
        <f aca="false">IF(OR($A74="",$AA74=0),0,INDEX(研发人员工时分配表!$F$6:$F$245,$AA74))</f>
        <v>0</v>
      </c>
      <c r="L74" s="45" t="n">
        <f aca="false">IF(OR($A74="",$AA74=0),0,INDEX(研发人员工时分配表!$R$6:$R$245,$AA74))</f>
        <v>0</v>
      </c>
      <c r="M74" s="28" t="str">
        <f aca="false">IF(OR($A74="",$K74=0),"",$L74/$K74)</f>
        <v/>
      </c>
      <c r="N74" s="27" t="str">
        <f aca="false">IF(OR($A74="",$K74=0),"",ROUND($J74*INDEX(研发人员工时分配表!$H$6:$H$245,$AA74)/$K74,2))</f>
        <v/>
      </c>
      <c r="O74" s="27" t="str">
        <f aca="false">IF(OR($A74="",$K74=0),"",ROUND($J74*INDEX(研发人员工时分配表!$I$6:$I$245,$AA74)/$K74,2))</f>
        <v/>
      </c>
      <c r="P74" s="27" t="str">
        <f aca="false">IF(OR($A74="",$K74=0),"",ROUND($J74*INDEX(研发人员工时分配表!$J$6:$J$245,$AA74)/$K74,2))</f>
        <v/>
      </c>
      <c r="Q74" s="27" t="str">
        <f aca="false">IF(OR($A74="",$K74=0),"",ROUND($J74*INDEX(研发人员工时分配表!$K$6:$K$245,$AA74)/$K74,2))</f>
        <v/>
      </c>
      <c r="R74" s="27" t="str">
        <f aca="false">IF(OR($A74="",$K74=0),"",ROUND($J74*INDEX(研发人员工时分配表!$L$6:$L$245,$AA74)/$K74,2))</f>
        <v/>
      </c>
      <c r="S74" s="27" t="str">
        <f aca="false">IF(OR($A74="",$K74=0),"",ROUND($J74*INDEX(研发人员工时分配表!$M$6:$M$245,$AA74)/$K74,2))</f>
        <v/>
      </c>
      <c r="T74" s="27" t="str">
        <f aca="false">IF(OR($A74="",$K74=0),"",ROUND($J74*INDEX(研发人员工时分配表!$N$6:$N$245,$AA74)/$K74,2))</f>
        <v/>
      </c>
      <c r="U74" s="27" t="str">
        <f aca="false">IF(OR($A74="",$K74=0),"",ROUND($J74*INDEX(研发人员工时分配表!$O$6:$O$245,$AA74)/$K74,2))</f>
        <v/>
      </c>
      <c r="V74" s="27" t="str">
        <f aca="false">IF(OR($A74="",$K74=0),"",ROUND($J74*INDEX(研发人员工时分配表!$P$6:$P$245,$AA74)/$K74,2))</f>
        <v/>
      </c>
      <c r="W74" s="27" t="str">
        <f aca="false">IF(OR($A74="",$K74=0),"",ROUND($J74*INDEX(研发人员工时分配表!$Q$6:$Q$245,$AA74)/$K74,2))</f>
        <v/>
      </c>
      <c r="X74" s="27" t="str">
        <f aca="false">IF($A74="","",ROUND(SUM(N74:W74),2))</f>
        <v/>
      </c>
      <c r="Y74" s="27" t="str">
        <f aca="false">IF($A74="","",ROUND($J74-X74,2))</f>
        <v/>
      </c>
      <c r="Z74" s="43" t="str">
        <f aca="false">IF($A74="","",IF($AA74=0,"⚠ 工时分配表无此人当月记录",IF($AB74&gt;1,"⚠ 工时分配表存在重复行","√ 正常")))</f>
        <v/>
      </c>
      <c r="AA74" s="47" t="n">
        <f aca="false">IF($A74="",0,IFERROR(MATCH($A74&amp;"|"&amp;$B74,研发人员工时分配表!$W$6:$W$245,0),0))</f>
        <v>0</v>
      </c>
      <c r="AB74" s="47" t="n">
        <f aca="false">IF($A74="",0,COUNTIFS(研发人员工时分配表!$A$6:$A$245,$A74,研发人员工时分配表!$B$6:$B$245,$B74))</f>
        <v>0</v>
      </c>
    </row>
    <row r="75" customFormat="false" ht="18" hidden="false" customHeight="true" outlineLevel="0" collapsed="false">
      <c r="A75" s="36"/>
      <c r="B75" s="36"/>
      <c r="C75" s="43" t="str">
        <f aca="false">IF($B75="","",IFERROR(VLOOKUP($B75,人员名册!$B$4:$G$53,2,0)&amp;"","名册中未登记"))</f>
        <v/>
      </c>
      <c r="D75" s="43" t="str">
        <f aca="false">IF($B75="","",IFERROR(VLOOKUP($B75,人员名册!$B$4:$G$53,5,0)&amp;"",""))</f>
        <v/>
      </c>
      <c r="E75" s="25"/>
      <c r="F75" s="25"/>
      <c r="G75" s="25"/>
      <c r="H75" s="25"/>
      <c r="I75" s="25"/>
      <c r="J75" s="27" t="str">
        <f aca="false">IF($A75="","",ROUND(SUM(E75:I75),2))</f>
        <v/>
      </c>
      <c r="K75" s="45" t="n">
        <f aca="false">IF(OR($A75="",$AA75=0),0,INDEX(研发人员工时分配表!$F$6:$F$245,$AA75))</f>
        <v>0</v>
      </c>
      <c r="L75" s="45" t="n">
        <f aca="false">IF(OR($A75="",$AA75=0),0,INDEX(研发人员工时分配表!$R$6:$R$245,$AA75))</f>
        <v>0</v>
      </c>
      <c r="M75" s="28" t="str">
        <f aca="false">IF(OR($A75="",$K75=0),"",$L75/$K75)</f>
        <v/>
      </c>
      <c r="N75" s="27" t="str">
        <f aca="false">IF(OR($A75="",$K75=0),"",ROUND($J75*INDEX(研发人员工时分配表!$H$6:$H$245,$AA75)/$K75,2))</f>
        <v/>
      </c>
      <c r="O75" s="27" t="str">
        <f aca="false">IF(OR($A75="",$K75=0),"",ROUND($J75*INDEX(研发人员工时分配表!$I$6:$I$245,$AA75)/$K75,2))</f>
        <v/>
      </c>
      <c r="P75" s="27" t="str">
        <f aca="false">IF(OR($A75="",$K75=0),"",ROUND($J75*INDEX(研发人员工时分配表!$J$6:$J$245,$AA75)/$K75,2))</f>
        <v/>
      </c>
      <c r="Q75" s="27" t="str">
        <f aca="false">IF(OR($A75="",$K75=0),"",ROUND($J75*INDEX(研发人员工时分配表!$K$6:$K$245,$AA75)/$K75,2))</f>
        <v/>
      </c>
      <c r="R75" s="27" t="str">
        <f aca="false">IF(OR($A75="",$K75=0),"",ROUND($J75*INDEX(研发人员工时分配表!$L$6:$L$245,$AA75)/$K75,2))</f>
        <v/>
      </c>
      <c r="S75" s="27" t="str">
        <f aca="false">IF(OR($A75="",$K75=0),"",ROUND($J75*INDEX(研发人员工时分配表!$M$6:$M$245,$AA75)/$K75,2))</f>
        <v/>
      </c>
      <c r="T75" s="27" t="str">
        <f aca="false">IF(OR($A75="",$K75=0),"",ROUND($J75*INDEX(研发人员工时分配表!$N$6:$N$245,$AA75)/$K75,2))</f>
        <v/>
      </c>
      <c r="U75" s="27" t="str">
        <f aca="false">IF(OR($A75="",$K75=0),"",ROUND($J75*INDEX(研发人员工时分配表!$O$6:$O$245,$AA75)/$K75,2))</f>
        <v/>
      </c>
      <c r="V75" s="27" t="str">
        <f aca="false">IF(OR($A75="",$K75=0),"",ROUND($J75*INDEX(研发人员工时分配表!$P$6:$P$245,$AA75)/$K75,2))</f>
        <v/>
      </c>
      <c r="W75" s="27" t="str">
        <f aca="false">IF(OR($A75="",$K75=0),"",ROUND($J75*INDEX(研发人员工时分配表!$Q$6:$Q$245,$AA75)/$K75,2))</f>
        <v/>
      </c>
      <c r="X75" s="27" t="str">
        <f aca="false">IF($A75="","",ROUND(SUM(N75:W75),2))</f>
        <v/>
      </c>
      <c r="Y75" s="27" t="str">
        <f aca="false">IF($A75="","",ROUND($J75-X75,2))</f>
        <v/>
      </c>
      <c r="Z75" s="43" t="str">
        <f aca="false">IF($A75="","",IF($AA75=0,"⚠ 工时分配表无此人当月记录",IF($AB75&gt;1,"⚠ 工时分配表存在重复行","√ 正常")))</f>
        <v/>
      </c>
      <c r="AA75" s="47" t="n">
        <f aca="false">IF($A75="",0,IFERROR(MATCH($A75&amp;"|"&amp;$B75,研发人员工时分配表!$W$6:$W$245,0),0))</f>
        <v>0</v>
      </c>
      <c r="AB75" s="47" t="n">
        <f aca="false">IF($A75="",0,COUNTIFS(研发人员工时分配表!$A$6:$A$245,$A75,研发人员工时分配表!$B$6:$B$245,$B75))</f>
        <v>0</v>
      </c>
    </row>
    <row r="76" customFormat="false" ht="18" hidden="false" customHeight="true" outlineLevel="0" collapsed="false">
      <c r="A76" s="36"/>
      <c r="B76" s="36"/>
      <c r="C76" s="43" t="str">
        <f aca="false">IF($B76="","",IFERROR(VLOOKUP($B76,人员名册!$B$4:$G$53,2,0)&amp;"","名册中未登记"))</f>
        <v/>
      </c>
      <c r="D76" s="43" t="str">
        <f aca="false">IF($B76="","",IFERROR(VLOOKUP($B76,人员名册!$B$4:$G$53,5,0)&amp;"",""))</f>
        <v/>
      </c>
      <c r="E76" s="25"/>
      <c r="F76" s="25"/>
      <c r="G76" s="25"/>
      <c r="H76" s="25"/>
      <c r="I76" s="25"/>
      <c r="J76" s="27" t="str">
        <f aca="false">IF($A76="","",ROUND(SUM(E76:I76),2))</f>
        <v/>
      </c>
      <c r="K76" s="45" t="n">
        <f aca="false">IF(OR($A76="",$AA76=0),0,INDEX(研发人员工时分配表!$F$6:$F$245,$AA76))</f>
        <v>0</v>
      </c>
      <c r="L76" s="45" t="n">
        <f aca="false">IF(OR($A76="",$AA76=0),0,INDEX(研发人员工时分配表!$R$6:$R$245,$AA76))</f>
        <v>0</v>
      </c>
      <c r="M76" s="28" t="str">
        <f aca="false">IF(OR($A76="",$K76=0),"",$L76/$K76)</f>
        <v/>
      </c>
      <c r="N76" s="27" t="str">
        <f aca="false">IF(OR($A76="",$K76=0),"",ROUND($J76*INDEX(研发人员工时分配表!$H$6:$H$245,$AA76)/$K76,2))</f>
        <v/>
      </c>
      <c r="O76" s="27" t="str">
        <f aca="false">IF(OR($A76="",$K76=0),"",ROUND($J76*INDEX(研发人员工时分配表!$I$6:$I$245,$AA76)/$K76,2))</f>
        <v/>
      </c>
      <c r="P76" s="27" t="str">
        <f aca="false">IF(OR($A76="",$K76=0),"",ROUND($J76*INDEX(研发人员工时分配表!$J$6:$J$245,$AA76)/$K76,2))</f>
        <v/>
      </c>
      <c r="Q76" s="27" t="str">
        <f aca="false">IF(OR($A76="",$K76=0),"",ROUND($J76*INDEX(研发人员工时分配表!$K$6:$K$245,$AA76)/$K76,2))</f>
        <v/>
      </c>
      <c r="R76" s="27" t="str">
        <f aca="false">IF(OR($A76="",$K76=0),"",ROUND($J76*INDEX(研发人员工时分配表!$L$6:$L$245,$AA76)/$K76,2))</f>
        <v/>
      </c>
      <c r="S76" s="27" t="str">
        <f aca="false">IF(OR($A76="",$K76=0),"",ROUND($J76*INDEX(研发人员工时分配表!$M$6:$M$245,$AA76)/$K76,2))</f>
        <v/>
      </c>
      <c r="T76" s="27" t="str">
        <f aca="false">IF(OR($A76="",$K76=0),"",ROUND($J76*INDEX(研发人员工时分配表!$N$6:$N$245,$AA76)/$K76,2))</f>
        <v/>
      </c>
      <c r="U76" s="27" t="str">
        <f aca="false">IF(OR($A76="",$K76=0),"",ROUND($J76*INDEX(研发人员工时分配表!$O$6:$O$245,$AA76)/$K76,2))</f>
        <v/>
      </c>
      <c r="V76" s="27" t="str">
        <f aca="false">IF(OR($A76="",$K76=0),"",ROUND($J76*INDEX(研发人员工时分配表!$P$6:$P$245,$AA76)/$K76,2))</f>
        <v/>
      </c>
      <c r="W76" s="27" t="str">
        <f aca="false">IF(OR($A76="",$K76=0),"",ROUND($J76*INDEX(研发人员工时分配表!$Q$6:$Q$245,$AA76)/$K76,2))</f>
        <v/>
      </c>
      <c r="X76" s="27" t="str">
        <f aca="false">IF($A76="","",ROUND(SUM(N76:W76),2))</f>
        <v/>
      </c>
      <c r="Y76" s="27" t="str">
        <f aca="false">IF($A76="","",ROUND($J76-X76,2))</f>
        <v/>
      </c>
      <c r="Z76" s="43" t="str">
        <f aca="false">IF($A76="","",IF($AA76=0,"⚠ 工时分配表无此人当月记录",IF($AB76&gt;1,"⚠ 工时分配表存在重复行","√ 正常")))</f>
        <v/>
      </c>
      <c r="AA76" s="47" t="n">
        <f aca="false">IF($A76="",0,IFERROR(MATCH($A76&amp;"|"&amp;$B76,研发人员工时分配表!$W$6:$W$245,0),0))</f>
        <v>0</v>
      </c>
      <c r="AB76" s="47" t="n">
        <f aca="false">IF($A76="",0,COUNTIFS(研发人员工时分配表!$A$6:$A$245,$A76,研发人员工时分配表!$B$6:$B$245,$B76))</f>
        <v>0</v>
      </c>
    </row>
    <row r="77" customFormat="false" ht="18" hidden="false" customHeight="true" outlineLevel="0" collapsed="false">
      <c r="A77" s="36"/>
      <c r="B77" s="36"/>
      <c r="C77" s="43" t="str">
        <f aca="false">IF($B77="","",IFERROR(VLOOKUP($B77,人员名册!$B$4:$G$53,2,0)&amp;"","名册中未登记"))</f>
        <v/>
      </c>
      <c r="D77" s="43" t="str">
        <f aca="false">IF($B77="","",IFERROR(VLOOKUP($B77,人员名册!$B$4:$G$53,5,0)&amp;"",""))</f>
        <v/>
      </c>
      <c r="E77" s="25"/>
      <c r="F77" s="25"/>
      <c r="G77" s="25"/>
      <c r="H77" s="25"/>
      <c r="I77" s="25"/>
      <c r="J77" s="27" t="str">
        <f aca="false">IF($A77="","",ROUND(SUM(E77:I77),2))</f>
        <v/>
      </c>
      <c r="K77" s="45" t="n">
        <f aca="false">IF(OR($A77="",$AA77=0),0,INDEX(研发人员工时分配表!$F$6:$F$245,$AA77))</f>
        <v>0</v>
      </c>
      <c r="L77" s="45" t="n">
        <f aca="false">IF(OR($A77="",$AA77=0),0,INDEX(研发人员工时分配表!$R$6:$R$245,$AA77))</f>
        <v>0</v>
      </c>
      <c r="M77" s="28" t="str">
        <f aca="false">IF(OR($A77="",$K77=0),"",$L77/$K77)</f>
        <v/>
      </c>
      <c r="N77" s="27" t="str">
        <f aca="false">IF(OR($A77="",$K77=0),"",ROUND($J77*INDEX(研发人员工时分配表!$H$6:$H$245,$AA77)/$K77,2))</f>
        <v/>
      </c>
      <c r="O77" s="27" t="str">
        <f aca="false">IF(OR($A77="",$K77=0),"",ROUND($J77*INDEX(研发人员工时分配表!$I$6:$I$245,$AA77)/$K77,2))</f>
        <v/>
      </c>
      <c r="P77" s="27" t="str">
        <f aca="false">IF(OR($A77="",$K77=0),"",ROUND($J77*INDEX(研发人员工时分配表!$J$6:$J$245,$AA77)/$K77,2))</f>
        <v/>
      </c>
      <c r="Q77" s="27" t="str">
        <f aca="false">IF(OR($A77="",$K77=0),"",ROUND($J77*INDEX(研发人员工时分配表!$K$6:$K$245,$AA77)/$K77,2))</f>
        <v/>
      </c>
      <c r="R77" s="27" t="str">
        <f aca="false">IF(OR($A77="",$K77=0),"",ROUND($J77*INDEX(研发人员工时分配表!$L$6:$L$245,$AA77)/$K77,2))</f>
        <v/>
      </c>
      <c r="S77" s="27" t="str">
        <f aca="false">IF(OR($A77="",$K77=0),"",ROUND($J77*INDEX(研发人员工时分配表!$M$6:$M$245,$AA77)/$K77,2))</f>
        <v/>
      </c>
      <c r="T77" s="27" t="str">
        <f aca="false">IF(OR($A77="",$K77=0),"",ROUND($J77*INDEX(研发人员工时分配表!$N$6:$N$245,$AA77)/$K77,2))</f>
        <v/>
      </c>
      <c r="U77" s="27" t="str">
        <f aca="false">IF(OR($A77="",$K77=0),"",ROUND($J77*INDEX(研发人员工时分配表!$O$6:$O$245,$AA77)/$K77,2))</f>
        <v/>
      </c>
      <c r="V77" s="27" t="str">
        <f aca="false">IF(OR($A77="",$K77=0),"",ROUND($J77*INDEX(研发人员工时分配表!$P$6:$P$245,$AA77)/$K77,2))</f>
        <v/>
      </c>
      <c r="W77" s="27" t="str">
        <f aca="false">IF(OR($A77="",$K77=0),"",ROUND($J77*INDEX(研发人员工时分配表!$Q$6:$Q$245,$AA77)/$K77,2))</f>
        <v/>
      </c>
      <c r="X77" s="27" t="str">
        <f aca="false">IF($A77="","",ROUND(SUM(N77:W77),2))</f>
        <v/>
      </c>
      <c r="Y77" s="27" t="str">
        <f aca="false">IF($A77="","",ROUND($J77-X77,2))</f>
        <v/>
      </c>
      <c r="Z77" s="43" t="str">
        <f aca="false">IF($A77="","",IF($AA77=0,"⚠ 工时分配表无此人当月记录",IF($AB77&gt;1,"⚠ 工时分配表存在重复行","√ 正常")))</f>
        <v/>
      </c>
      <c r="AA77" s="47" t="n">
        <f aca="false">IF($A77="",0,IFERROR(MATCH($A77&amp;"|"&amp;$B77,研发人员工时分配表!$W$6:$W$245,0),0))</f>
        <v>0</v>
      </c>
      <c r="AB77" s="47" t="n">
        <f aca="false">IF($A77="",0,COUNTIFS(研发人员工时分配表!$A$6:$A$245,$A77,研发人员工时分配表!$B$6:$B$245,$B77))</f>
        <v>0</v>
      </c>
    </row>
    <row r="78" customFormat="false" ht="18" hidden="false" customHeight="true" outlineLevel="0" collapsed="false">
      <c r="A78" s="36"/>
      <c r="B78" s="36"/>
      <c r="C78" s="43" t="str">
        <f aca="false">IF($B78="","",IFERROR(VLOOKUP($B78,人员名册!$B$4:$G$53,2,0)&amp;"","名册中未登记"))</f>
        <v/>
      </c>
      <c r="D78" s="43" t="str">
        <f aca="false">IF($B78="","",IFERROR(VLOOKUP($B78,人员名册!$B$4:$G$53,5,0)&amp;"",""))</f>
        <v/>
      </c>
      <c r="E78" s="25"/>
      <c r="F78" s="25"/>
      <c r="G78" s="25"/>
      <c r="H78" s="25"/>
      <c r="I78" s="25"/>
      <c r="J78" s="27" t="str">
        <f aca="false">IF($A78="","",ROUND(SUM(E78:I78),2))</f>
        <v/>
      </c>
      <c r="K78" s="45" t="n">
        <f aca="false">IF(OR($A78="",$AA78=0),0,INDEX(研发人员工时分配表!$F$6:$F$245,$AA78))</f>
        <v>0</v>
      </c>
      <c r="L78" s="45" t="n">
        <f aca="false">IF(OR($A78="",$AA78=0),0,INDEX(研发人员工时分配表!$R$6:$R$245,$AA78))</f>
        <v>0</v>
      </c>
      <c r="M78" s="28" t="str">
        <f aca="false">IF(OR($A78="",$K78=0),"",$L78/$K78)</f>
        <v/>
      </c>
      <c r="N78" s="27" t="str">
        <f aca="false">IF(OR($A78="",$K78=0),"",ROUND($J78*INDEX(研发人员工时分配表!$H$6:$H$245,$AA78)/$K78,2))</f>
        <v/>
      </c>
      <c r="O78" s="27" t="str">
        <f aca="false">IF(OR($A78="",$K78=0),"",ROUND($J78*INDEX(研发人员工时分配表!$I$6:$I$245,$AA78)/$K78,2))</f>
        <v/>
      </c>
      <c r="P78" s="27" t="str">
        <f aca="false">IF(OR($A78="",$K78=0),"",ROUND($J78*INDEX(研发人员工时分配表!$J$6:$J$245,$AA78)/$K78,2))</f>
        <v/>
      </c>
      <c r="Q78" s="27" t="str">
        <f aca="false">IF(OR($A78="",$K78=0),"",ROUND($J78*INDEX(研发人员工时分配表!$K$6:$K$245,$AA78)/$K78,2))</f>
        <v/>
      </c>
      <c r="R78" s="27" t="str">
        <f aca="false">IF(OR($A78="",$K78=0),"",ROUND($J78*INDEX(研发人员工时分配表!$L$6:$L$245,$AA78)/$K78,2))</f>
        <v/>
      </c>
      <c r="S78" s="27" t="str">
        <f aca="false">IF(OR($A78="",$K78=0),"",ROUND($J78*INDEX(研发人员工时分配表!$M$6:$M$245,$AA78)/$K78,2))</f>
        <v/>
      </c>
      <c r="T78" s="27" t="str">
        <f aca="false">IF(OR($A78="",$K78=0),"",ROUND($J78*INDEX(研发人员工时分配表!$N$6:$N$245,$AA78)/$K78,2))</f>
        <v/>
      </c>
      <c r="U78" s="27" t="str">
        <f aca="false">IF(OR($A78="",$K78=0),"",ROUND($J78*INDEX(研发人员工时分配表!$O$6:$O$245,$AA78)/$K78,2))</f>
        <v/>
      </c>
      <c r="V78" s="27" t="str">
        <f aca="false">IF(OR($A78="",$K78=0),"",ROUND($J78*INDEX(研发人员工时分配表!$P$6:$P$245,$AA78)/$K78,2))</f>
        <v/>
      </c>
      <c r="W78" s="27" t="str">
        <f aca="false">IF(OR($A78="",$K78=0),"",ROUND($J78*INDEX(研发人员工时分配表!$Q$6:$Q$245,$AA78)/$K78,2))</f>
        <v/>
      </c>
      <c r="X78" s="27" t="str">
        <f aca="false">IF($A78="","",ROUND(SUM(N78:W78),2))</f>
        <v/>
      </c>
      <c r="Y78" s="27" t="str">
        <f aca="false">IF($A78="","",ROUND($J78-X78,2))</f>
        <v/>
      </c>
      <c r="Z78" s="43" t="str">
        <f aca="false">IF($A78="","",IF($AA78=0,"⚠ 工时分配表无此人当月记录",IF($AB78&gt;1,"⚠ 工时分配表存在重复行","√ 正常")))</f>
        <v/>
      </c>
      <c r="AA78" s="47" t="n">
        <f aca="false">IF($A78="",0,IFERROR(MATCH($A78&amp;"|"&amp;$B78,研发人员工时分配表!$W$6:$W$245,0),0))</f>
        <v>0</v>
      </c>
      <c r="AB78" s="47" t="n">
        <f aca="false">IF($A78="",0,COUNTIFS(研发人员工时分配表!$A$6:$A$245,$A78,研发人员工时分配表!$B$6:$B$245,$B78))</f>
        <v>0</v>
      </c>
    </row>
    <row r="79" customFormat="false" ht="18" hidden="false" customHeight="true" outlineLevel="0" collapsed="false">
      <c r="A79" s="36"/>
      <c r="B79" s="36"/>
      <c r="C79" s="43" t="str">
        <f aca="false">IF($B79="","",IFERROR(VLOOKUP($B79,人员名册!$B$4:$G$53,2,0)&amp;"","名册中未登记"))</f>
        <v/>
      </c>
      <c r="D79" s="43" t="str">
        <f aca="false">IF($B79="","",IFERROR(VLOOKUP($B79,人员名册!$B$4:$G$53,5,0)&amp;"",""))</f>
        <v/>
      </c>
      <c r="E79" s="25"/>
      <c r="F79" s="25"/>
      <c r="G79" s="25"/>
      <c r="H79" s="25"/>
      <c r="I79" s="25"/>
      <c r="J79" s="27" t="str">
        <f aca="false">IF($A79="","",ROUND(SUM(E79:I79),2))</f>
        <v/>
      </c>
      <c r="K79" s="45" t="n">
        <f aca="false">IF(OR($A79="",$AA79=0),0,INDEX(研发人员工时分配表!$F$6:$F$245,$AA79))</f>
        <v>0</v>
      </c>
      <c r="L79" s="45" t="n">
        <f aca="false">IF(OR($A79="",$AA79=0),0,INDEX(研发人员工时分配表!$R$6:$R$245,$AA79))</f>
        <v>0</v>
      </c>
      <c r="M79" s="28" t="str">
        <f aca="false">IF(OR($A79="",$K79=0),"",$L79/$K79)</f>
        <v/>
      </c>
      <c r="N79" s="27" t="str">
        <f aca="false">IF(OR($A79="",$K79=0),"",ROUND($J79*INDEX(研发人员工时分配表!$H$6:$H$245,$AA79)/$K79,2))</f>
        <v/>
      </c>
      <c r="O79" s="27" t="str">
        <f aca="false">IF(OR($A79="",$K79=0),"",ROUND($J79*INDEX(研发人员工时分配表!$I$6:$I$245,$AA79)/$K79,2))</f>
        <v/>
      </c>
      <c r="P79" s="27" t="str">
        <f aca="false">IF(OR($A79="",$K79=0),"",ROUND($J79*INDEX(研发人员工时分配表!$J$6:$J$245,$AA79)/$K79,2))</f>
        <v/>
      </c>
      <c r="Q79" s="27" t="str">
        <f aca="false">IF(OR($A79="",$K79=0),"",ROUND($J79*INDEX(研发人员工时分配表!$K$6:$K$245,$AA79)/$K79,2))</f>
        <v/>
      </c>
      <c r="R79" s="27" t="str">
        <f aca="false">IF(OR($A79="",$K79=0),"",ROUND($J79*INDEX(研发人员工时分配表!$L$6:$L$245,$AA79)/$K79,2))</f>
        <v/>
      </c>
      <c r="S79" s="27" t="str">
        <f aca="false">IF(OR($A79="",$K79=0),"",ROUND($J79*INDEX(研发人员工时分配表!$M$6:$M$245,$AA79)/$K79,2))</f>
        <v/>
      </c>
      <c r="T79" s="27" t="str">
        <f aca="false">IF(OR($A79="",$K79=0),"",ROUND($J79*INDEX(研发人员工时分配表!$N$6:$N$245,$AA79)/$K79,2))</f>
        <v/>
      </c>
      <c r="U79" s="27" t="str">
        <f aca="false">IF(OR($A79="",$K79=0),"",ROUND($J79*INDEX(研发人员工时分配表!$O$6:$O$245,$AA79)/$K79,2))</f>
        <v/>
      </c>
      <c r="V79" s="27" t="str">
        <f aca="false">IF(OR($A79="",$K79=0),"",ROUND($J79*INDEX(研发人员工时分配表!$P$6:$P$245,$AA79)/$K79,2))</f>
        <v/>
      </c>
      <c r="W79" s="27" t="str">
        <f aca="false">IF(OR($A79="",$K79=0),"",ROUND($J79*INDEX(研发人员工时分配表!$Q$6:$Q$245,$AA79)/$K79,2))</f>
        <v/>
      </c>
      <c r="X79" s="27" t="str">
        <f aca="false">IF($A79="","",ROUND(SUM(N79:W79),2))</f>
        <v/>
      </c>
      <c r="Y79" s="27" t="str">
        <f aca="false">IF($A79="","",ROUND($J79-X79,2))</f>
        <v/>
      </c>
      <c r="Z79" s="43" t="str">
        <f aca="false">IF($A79="","",IF($AA79=0,"⚠ 工时分配表无此人当月记录",IF($AB79&gt;1,"⚠ 工时分配表存在重复行","√ 正常")))</f>
        <v/>
      </c>
      <c r="AA79" s="47" t="n">
        <f aca="false">IF($A79="",0,IFERROR(MATCH($A79&amp;"|"&amp;$B79,研发人员工时分配表!$W$6:$W$245,0),0))</f>
        <v>0</v>
      </c>
      <c r="AB79" s="47" t="n">
        <f aca="false">IF($A79="",0,COUNTIFS(研发人员工时分配表!$A$6:$A$245,$A79,研发人员工时分配表!$B$6:$B$245,$B79))</f>
        <v>0</v>
      </c>
    </row>
    <row r="80" customFormat="false" ht="18" hidden="false" customHeight="true" outlineLevel="0" collapsed="false">
      <c r="A80" s="36"/>
      <c r="B80" s="36"/>
      <c r="C80" s="43" t="str">
        <f aca="false">IF($B80="","",IFERROR(VLOOKUP($B80,人员名册!$B$4:$G$53,2,0)&amp;"","名册中未登记"))</f>
        <v/>
      </c>
      <c r="D80" s="43" t="str">
        <f aca="false">IF($B80="","",IFERROR(VLOOKUP($B80,人员名册!$B$4:$G$53,5,0)&amp;"",""))</f>
        <v/>
      </c>
      <c r="E80" s="25"/>
      <c r="F80" s="25"/>
      <c r="G80" s="25"/>
      <c r="H80" s="25"/>
      <c r="I80" s="25"/>
      <c r="J80" s="27" t="str">
        <f aca="false">IF($A80="","",ROUND(SUM(E80:I80),2))</f>
        <v/>
      </c>
      <c r="K80" s="45" t="n">
        <f aca="false">IF(OR($A80="",$AA80=0),0,INDEX(研发人员工时分配表!$F$6:$F$245,$AA80))</f>
        <v>0</v>
      </c>
      <c r="L80" s="45" t="n">
        <f aca="false">IF(OR($A80="",$AA80=0),0,INDEX(研发人员工时分配表!$R$6:$R$245,$AA80))</f>
        <v>0</v>
      </c>
      <c r="M80" s="28" t="str">
        <f aca="false">IF(OR($A80="",$K80=0),"",$L80/$K80)</f>
        <v/>
      </c>
      <c r="N80" s="27" t="str">
        <f aca="false">IF(OR($A80="",$K80=0),"",ROUND($J80*INDEX(研发人员工时分配表!$H$6:$H$245,$AA80)/$K80,2))</f>
        <v/>
      </c>
      <c r="O80" s="27" t="str">
        <f aca="false">IF(OR($A80="",$K80=0),"",ROUND($J80*INDEX(研发人员工时分配表!$I$6:$I$245,$AA80)/$K80,2))</f>
        <v/>
      </c>
      <c r="P80" s="27" t="str">
        <f aca="false">IF(OR($A80="",$K80=0),"",ROUND($J80*INDEX(研发人员工时分配表!$J$6:$J$245,$AA80)/$K80,2))</f>
        <v/>
      </c>
      <c r="Q80" s="27" t="str">
        <f aca="false">IF(OR($A80="",$K80=0),"",ROUND($J80*INDEX(研发人员工时分配表!$K$6:$K$245,$AA80)/$K80,2))</f>
        <v/>
      </c>
      <c r="R80" s="27" t="str">
        <f aca="false">IF(OR($A80="",$K80=0),"",ROUND($J80*INDEX(研发人员工时分配表!$L$6:$L$245,$AA80)/$K80,2))</f>
        <v/>
      </c>
      <c r="S80" s="27" t="str">
        <f aca="false">IF(OR($A80="",$K80=0),"",ROUND($J80*INDEX(研发人员工时分配表!$M$6:$M$245,$AA80)/$K80,2))</f>
        <v/>
      </c>
      <c r="T80" s="27" t="str">
        <f aca="false">IF(OR($A80="",$K80=0),"",ROUND($J80*INDEX(研发人员工时分配表!$N$6:$N$245,$AA80)/$K80,2))</f>
        <v/>
      </c>
      <c r="U80" s="27" t="str">
        <f aca="false">IF(OR($A80="",$K80=0),"",ROUND($J80*INDEX(研发人员工时分配表!$O$6:$O$245,$AA80)/$K80,2))</f>
        <v/>
      </c>
      <c r="V80" s="27" t="str">
        <f aca="false">IF(OR($A80="",$K80=0),"",ROUND($J80*INDEX(研发人员工时分配表!$P$6:$P$245,$AA80)/$K80,2))</f>
        <v/>
      </c>
      <c r="W80" s="27" t="str">
        <f aca="false">IF(OR($A80="",$K80=0),"",ROUND($J80*INDEX(研发人员工时分配表!$Q$6:$Q$245,$AA80)/$K80,2))</f>
        <v/>
      </c>
      <c r="X80" s="27" t="str">
        <f aca="false">IF($A80="","",ROUND(SUM(N80:W80),2))</f>
        <v/>
      </c>
      <c r="Y80" s="27" t="str">
        <f aca="false">IF($A80="","",ROUND($J80-X80,2))</f>
        <v/>
      </c>
      <c r="Z80" s="43" t="str">
        <f aca="false">IF($A80="","",IF($AA80=0,"⚠ 工时分配表无此人当月记录",IF($AB80&gt;1,"⚠ 工时分配表存在重复行","√ 正常")))</f>
        <v/>
      </c>
      <c r="AA80" s="47" t="n">
        <f aca="false">IF($A80="",0,IFERROR(MATCH($A80&amp;"|"&amp;$B80,研发人员工时分配表!$W$6:$W$245,0),0))</f>
        <v>0</v>
      </c>
      <c r="AB80" s="47" t="n">
        <f aca="false">IF($A80="",0,COUNTIFS(研发人员工时分配表!$A$6:$A$245,$A80,研发人员工时分配表!$B$6:$B$245,$B80))</f>
        <v>0</v>
      </c>
    </row>
    <row r="81" customFormat="false" ht="18" hidden="false" customHeight="true" outlineLevel="0" collapsed="false">
      <c r="A81" s="36"/>
      <c r="B81" s="36"/>
      <c r="C81" s="43" t="str">
        <f aca="false">IF($B81="","",IFERROR(VLOOKUP($B81,人员名册!$B$4:$G$53,2,0)&amp;"","名册中未登记"))</f>
        <v/>
      </c>
      <c r="D81" s="43" t="str">
        <f aca="false">IF($B81="","",IFERROR(VLOOKUP($B81,人员名册!$B$4:$G$53,5,0)&amp;"",""))</f>
        <v/>
      </c>
      <c r="E81" s="25"/>
      <c r="F81" s="25"/>
      <c r="G81" s="25"/>
      <c r="H81" s="25"/>
      <c r="I81" s="25"/>
      <c r="J81" s="27" t="str">
        <f aca="false">IF($A81="","",ROUND(SUM(E81:I81),2))</f>
        <v/>
      </c>
      <c r="K81" s="45" t="n">
        <f aca="false">IF(OR($A81="",$AA81=0),0,INDEX(研发人员工时分配表!$F$6:$F$245,$AA81))</f>
        <v>0</v>
      </c>
      <c r="L81" s="45" t="n">
        <f aca="false">IF(OR($A81="",$AA81=0),0,INDEX(研发人员工时分配表!$R$6:$R$245,$AA81))</f>
        <v>0</v>
      </c>
      <c r="M81" s="28" t="str">
        <f aca="false">IF(OR($A81="",$K81=0),"",$L81/$K81)</f>
        <v/>
      </c>
      <c r="N81" s="27" t="str">
        <f aca="false">IF(OR($A81="",$K81=0),"",ROUND($J81*INDEX(研发人员工时分配表!$H$6:$H$245,$AA81)/$K81,2))</f>
        <v/>
      </c>
      <c r="O81" s="27" t="str">
        <f aca="false">IF(OR($A81="",$K81=0),"",ROUND($J81*INDEX(研发人员工时分配表!$I$6:$I$245,$AA81)/$K81,2))</f>
        <v/>
      </c>
      <c r="P81" s="27" t="str">
        <f aca="false">IF(OR($A81="",$K81=0),"",ROUND($J81*INDEX(研发人员工时分配表!$J$6:$J$245,$AA81)/$K81,2))</f>
        <v/>
      </c>
      <c r="Q81" s="27" t="str">
        <f aca="false">IF(OR($A81="",$K81=0),"",ROUND($J81*INDEX(研发人员工时分配表!$K$6:$K$245,$AA81)/$K81,2))</f>
        <v/>
      </c>
      <c r="R81" s="27" t="str">
        <f aca="false">IF(OR($A81="",$K81=0),"",ROUND($J81*INDEX(研发人员工时分配表!$L$6:$L$245,$AA81)/$K81,2))</f>
        <v/>
      </c>
      <c r="S81" s="27" t="str">
        <f aca="false">IF(OR($A81="",$K81=0),"",ROUND($J81*INDEX(研发人员工时分配表!$M$6:$M$245,$AA81)/$K81,2))</f>
        <v/>
      </c>
      <c r="T81" s="27" t="str">
        <f aca="false">IF(OR($A81="",$K81=0),"",ROUND($J81*INDEX(研发人员工时分配表!$N$6:$N$245,$AA81)/$K81,2))</f>
        <v/>
      </c>
      <c r="U81" s="27" t="str">
        <f aca="false">IF(OR($A81="",$K81=0),"",ROUND($J81*INDEX(研发人员工时分配表!$O$6:$O$245,$AA81)/$K81,2))</f>
        <v/>
      </c>
      <c r="V81" s="27" t="str">
        <f aca="false">IF(OR($A81="",$K81=0),"",ROUND($J81*INDEX(研发人员工时分配表!$P$6:$P$245,$AA81)/$K81,2))</f>
        <v/>
      </c>
      <c r="W81" s="27" t="str">
        <f aca="false">IF(OR($A81="",$K81=0),"",ROUND($J81*INDEX(研发人员工时分配表!$Q$6:$Q$245,$AA81)/$K81,2))</f>
        <v/>
      </c>
      <c r="X81" s="27" t="str">
        <f aca="false">IF($A81="","",ROUND(SUM(N81:W81),2))</f>
        <v/>
      </c>
      <c r="Y81" s="27" t="str">
        <f aca="false">IF($A81="","",ROUND($J81-X81,2))</f>
        <v/>
      </c>
      <c r="Z81" s="43" t="str">
        <f aca="false">IF($A81="","",IF($AA81=0,"⚠ 工时分配表无此人当月记录",IF($AB81&gt;1,"⚠ 工时分配表存在重复行","√ 正常")))</f>
        <v/>
      </c>
      <c r="AA81" s="47" t="n">
        <f aca="false">IF($A81="",0,IFERROR(MATCH($A81&amp;"|"&amp;$B81,研发人员工时分配表!$W$6:$W$245,0),0))</f>
        <v>0</v>
      </c>
      <c r="AB81" s="47" t="n">
        <f aca="false">IF($A81="",0,COUNTIFS(研发人员工时分配表!$A$6:$A$245,$A81,研发人员工时分配表!$B$6:$B$245,$B81))</f>
        <v>0</v>
      </c>
    </row>
    <row r="82" customFormat="false" ht="18" hidden="false" customHeight="true" outlineLevel="0" collapsed="false">
      <c r="A82" s="36"/>
      <c r="B82" s="36"/>
      <c r="C82" s="43" t="str">
        <f aca="false">IF($B82="","",IFERROR(VLOOKUP($B82,人员名册!$B$4:$G$53,2,0)&amp;"","名册中未登记"))</f>
        <v/>
      </c>
      <c r="D82" s="43" t="str">
        <f aca="false">IF($B82="","",IFERROR(VLOOKUP($B82,人员名册!$B$4:$G$53,5,0)&amp;"",""))</f>
        <v/>
      </c>
      <c r="E82" s="25"/>
      <c r="F82" s="25"/>
      <c r="G82" s="25"/>
      <c r="H82" s="25"/>
      <c r="I82" s="25"/>
      <c r="J82" s="27" t="str">
        <f aca="false">IF($A82="","",ROUND(SUM(E82:I82),2))</f>
        <v/>
      </c>
      <c r="K82" s="45" t="n">
        <f aca="false">IF(OR($A82="",$AA82=0),0,INDEX(研发人员工时分配表!$F$6:$F$245,$AA82))</f>
        <v>0</v>
      </c>
      <c r="L82" s="45" t="n">
        <f aca="false">IF(OR($A82="",$AA82=0),0,INDEX(研发人员工时分配表!$R$6:$R$245,$AA82))</f>
        <v>0</v>
      </c>
      <c r="M82" s="28" t="str">
        <f aca="false">IF(OR($A82="",$K82=0),"",$L82/$K82)</f>
        <v/>
      </c>
      <c r="N82" s="27" t="str">
        <f aca="false">IF(OR($A82="",$K82=0),"",ROUND($J82*INDEX(研发人员工时分配表!$H$6:$H$245,$AA82)/$K82,2))</f>
        <v/>
      </c>
      <c r="O82" s="27" t="str">
        <f aca="false">IF(OR($A82="",$K82=0),"",ROUND($J82*INDEX(研发人员工时分配表!$I$6:$I$245,$AA82)/$K82,2))</f>
        <v/>
      </c>
      <c r="P82" s="27" t="str">
        <f aca="false">IF(OR($A82="",$K82=0),"",ROUND($J82*INDEX(研发人员工时分配表!$J$6:$J$245,$AA82)/$K82,2))</f>
        <v/>
      </c>
      <c r="Q82" s="27" t="str">
        <f aca="false">IF(OR($A82="",$K82=0),"",ROUND($J82*INDEX(研发人员工时分配表!$K$6:$K$245,$AA82)/$K82,2))</f>
        <v/>
      </c>
      <c r="R82" s="27" t="str">
        <f aca="false">IF(OR($A82="",$K82=0),"",ROUND($J82*INDEX(研发人员工时分配表!$L$6:$L$245,$AA82)/$K82,2))</f>
        <v/>
      </c>
      <c r="S82" s="27" t="str">
        <f aca="false">IF(OR($A82="",$K82=0),"",ROUND($J82*INDEX(研发人员工时分配表!$M$6:$M$245,$AA82)/$K82,2))</f>
        <v/>
      </c>
      <c r="T82" s="27" t="str">
        <f aca="false">IF(OR($A82="",$K82=0),"",ROUND($J82*INDEX(研发人员工时分配表!$N$6:$N$245,$AA82)/$K82,2))</f>
        <v/>
      </c>
      <c r="U82" s="27" t="str">
        <f aca="false">IF(OR($A82="",$K82=0),"",ROUND($J82*INDEX(研发人员工时分配表!$O$6:$O$245,$AA82)/$K82,2))</f>
        <v/>
      </c>
      <c r="V82" s="27" t="str">
        <f aca="false">IF(OR($A82="",$K82=0),"",ROUND($J82*INDEX(研发人员工时分配表!$P$6:$P$245,$AA82)/$K82,2))</f>
        <v/>
      </c>
      <c r="W82" s="27" t="str">
        <f aca="false">IF(OR($A82="",$K82=0),"",ROUND($J82*INDEX(研发人员工时分配表!$Q$6:$Q$245,$AA82)/$K82,2))</f>
        <v/>
      </c>
      <c r="X82" s="27" t="str">
        <f aca="false">IF($A82="","",ROUND(SUM(N82:W82),2))</f>
        <v/>
      </c>
      <c r="Y82" s="27" t="str">
        <f aca="false">IF($A82="","",ROUND($J82-X82,2))</f>
        <v/>
      </c>
      <c r="Z82" s="43" t="str">
        <f aca="false">IF($A82="","",IF($AA82=0,"⚠ 工时分配表无此人当月记录",IF($AB82&gt;1,"⚠ 工时分配表存在重复行","√ 正常")))</f>
        <v/>
      </c>
      <c r="AA82" s="47" t="n">
        <f aca="false">IF($A82="",0,IFERROR(MATCH($A82&amp;"|"&amp;$B82,研发人员工时分配表!$W$6:$W$245,0),0))</f>
        <v>0</v>
      </c>
      <c r="AB82" s="47" t="n">
        <f aca="false">IF($A82="",0,COUNTIFS(研发人员工时分配表!$A$6:$A$245,$A82,研发人员工时分配表!$B$6:$B$245,$B82))</f>
        <v>0</v>
      </c>
    </row>
    <row r="83" customFormat="false" ht="18" hidden="false" customHeight="true" outlineLevel="0" collapsed="false">
      <c r="A83" s="36"/>
      <c r="B83" s="36"/>
      <c r="C83" s="43" t="str">
        <f aca="false">IF($B83="","",IFERROR(VLOOKUP($B83,人员名册!$B$4:$G$53,2,0)&amp;"","名册中未登记"))</f>
        <v/>
      </c>
      <c r="D83" s="43" t="str">
        <f aca="false">IF($B83="","",IFERROR(VLOOKUP($B83,人员名册!$B$4:$G$53,5,0)&amp;"",""))</f>
        <v/>
      </c>
      <c r="E83" s="25"/>
      <c r="F83" s="25"/>
      <c r="G83" s="25"/>
      <c r="H83" s="25"/>
      <c r="I83" s="25"/>
      <c r="J83" s="27" t="str">
        <f aca="false">IF($A83="","",ROUND(SUM(E83:I83),2))</f>
        <v/>
      </c>
      <c r="K83" s="45" t="n">
        <f aca="false">IF(OR($A83="",$AA83=0),0,INDEX(研发人员工时分配表!$F$6:$F$245,$AA83))</f>
        <v>0</v>
      </c>
      <c r="L83" s="45" t="n">
        <f aca="false">IF(OR($A83="",$AA83=0),0,INDEX(研发人员工时分配表!$R$6:$R$245,$AA83))</f>
        <v>0</v>
      </c>
      <c r="M83" s="28" t="str">
        <f aca="false">IF(OR($A83="",$K83=0),"",$L83/$K83)</f>
        <v/>
      </c>
      <c r="N83" s="27" t="str">
        <f aca="false">IF(OR($A83="",$K83=0),"",ROUND($J83*INDEX(研发人员工时分配表!$H$6:$H$245,$AA83)/$K83,2))</f>
        <v/>
      </c>
      <c r="O83" s="27" t="str">
        <f aca="false">IF(OR($A83="",$K83=0),"",ROUND($J83*INDEX(研发人员工时分配表!$I$6:$I$245,$AA83)/$K83,2))</f>
        <v/>
      </c>
      <c r="P83" s="27" t="str">
        <f aca="false">IF(OR($A83="",$K83=0),"",ROUND($J83*INDEX(研发人员工时分配表!$J$6:$J$245,$AA83)/$K83,2))</f>
        <v/>
      </c>
      <c r="Q83" s="27" t="str">
        <f aca="false">IF(OR($A83="",$K83=0),"",ROUND($J83*INDEX(研发人员工时分配表!$K$6:$K$245,$AA83)/$K83,2))</f>
        <v/>
      </c>
      <c r="R83" s="27" t="str">
        <f aca="false">IF(OR($A83="",$K83=0),"",ROUND($J83*INDEX(研发人员工时分配表!$L$6:$L$245,$AA83)/$K83,2))</f>
        <v/>
      </c>
      <c r="S83" s="27" t="str">
        <f aca="false">IF(OR($A83="",$K83=0),"",ROUND($J83*INDEX(研发人员工时分配表!$M$6:$M$245,$AA83)/$K83,2))</f>
        <v/>
      </c>
      <c r="T83" s="27" t="str">
        <f aca="false">IF(OR($A83="",$K83=0),"",ROUND($J83*INDEX(研发人员工时分配表!$N$6:$N$245,$AA83)/$K83,2))</f>
        <v/>
      </c>
      <c r="U83" s="27" t="str">
        <f aca="false">IF(OR($A83="",$K83=0),"",ROUND($J83*INDEX(研发人员工时分配表!$O$6:$O$245,$AA83)/$K83,2))</f>
        <v/>
      </c>
      <c r="V83" s="27" t="str">
        <f aca="false">IF(OR($A83="",$K83=0),"",ROUND($J83*INDEX(研发人员工时分配表!$P$6:$P$245,$AA83)/$K83,2))</f>
        <v/>
      </c>
      <c r="W83" s="27" t="str">
        <f aca="false">IF(OR($A83="",$K83=0),"",ROUND($J83*INDEX(研发人员工时分配表!$Q$6:$Q$245,$AA83)/$K83,2))</f>
        <v/>
      </c>
      <c r="X83" s="27" t="str">
        <f aca="false">IF($A83="","",ROUND(SUM(N83:W83),2))</f>
        <v/>
      </c>
      <c r="Y83" s="27" t="str">
        <f aca="false">IF($A83="","",ROUND($J83-X83,2))</f>
        <v/>
      </c>
      <c r="Z83" s="43" t="str">
        <f aca="false">IF($A83="","",IF($AA83=0,"⚠ 工时分配表无此人当月记录",IF($AB83&gt;1,"⚠ 工时分配表存在重复行","√ 正常")))</f>
        <v/>
      </c>
      <c r="AA83" s="47" t="n">
        <f aca="false">IF($A83="",0,IFERROR(MATCH($A83&amp;"|"&amp;$B83,研发人员工时分配表!$W$6:$W$245,0),0))</f>
        <v>0</v>
      </c>
      <c r="AB83" s="47" t="n">
        <f aca="false">IF($A83="",0,COUNTIFS(研发人员工时分配表!$A$6:$A$245,$A83,研发人员工时分配表!$B$6:$B$245,$B83))</f>
        <v>0</v>
      </c>
    </row>
    <row r="84" customFormat="false" ht="18" hidden="false" customHeight="true" outlineLevel="0" collapsed="false">
      <c r="A84" s="36"/>
      <c r="B84" s="36"/>
      <c r="C84" s="43" t="str">
        <f aca="false">IF($B84="","",IFERROR(VLOOKUP($B84,人员名册!$B$4:$G$53,2,0)&amp;"","名册中未登记"))</f>
        <v/>
      </c>
      <c r="D84" s="43" t="str">
        <f aca="false">IF($B84="","",IFERROR(VLOOKUP($B84,人员名册!$B$4:$G$53,5,0)&amp;"",""))</f>
        <v/>
      </c>
      <c r="E84" s="25"/>
      <c r="F84" s="25"/>
      <c r="G84" s="25"/>
      <c r="H84" s="25"/>
      <c r="I84" s="25"/>
      <c r="J84" s="27" t="str">
        <f aca="false">IF($A84="","",ROUND(SUM(E84:I84),2))</f>
        <v/>
      </c>
      <c r="K84" s="45" t="n">
        <f aca="false">IF(OR($A84="",$AA84=0),0,INDEX(研发人员工时分配表!$F$6:$F$245,$AA84))</f>
        <v>0</v>
      </c>
      <c r="L84" s="45" t="n">
        <f aca="false">IF(OR($A84="",$AA84=0),0,INDEX(研发人员工时分配表!$R$6:$R$245,$AA84))</f>
        <v>0</v>
      </c>
      <c r="M84" s="28" t="str">
        <f aca="false">IF(OR($A84="",$K84=0),"",$L84/$K84)</f>
        <v/>
      </c>
      <c r="N84" s="27" t="str">
        <f aca="false">IF(OR($A84="",$K84=0),"",ROUND($J84*INDEX(研发人员工时分配表!$H$6:$H$245,$AA84)/$K84,2))</f>
        <v/>
      </c>
      <c r="O84" s="27" t="str">
        <f aca="false">IF(OR($A84="",$K84=0),"",ROUND($J84*INDEX(研发人员工时分配表!$I$6:$I$245,$AA84)/$K84,2))</f>
        <v/>
      </c>
      <c r="P84" s="27" t="str">
        <f aca="false">IF(OR($A84="",$K84=0),"",ROUND($J84*INDEX(研发人员工时分配表!$J$6:$J$245,$AA84)/$K84,2))</f>
        <v/>
      </c>
      <c r="Q84" s="27" t="str">
        <f aca="false">IF(OR($A84="",$K84=0),"",ROUND($J84*INDEX(研发人员工时分配表!$K$6:$K$245,$AA84)/$K84,2))</f>
        <v/>
      </c>
      <c r="R84" s="27" t="str">
        <f aca="false">IF(OR($A84="",$K84=0),"",ROUND($J84*INDEX(研发人员工时分配表!$L$6:$L$245,$AA84)/$K84,2))</f>
        <v/>
      </c>
      <c r="S84" s="27" t="str">
        <f aca="false">IF(OR($A84="",$K84=0),"",ROUND($J84*INDEX(研发人员工时分配表!$M$6:$M$245,$AA84)/$K84,2))</f>
        <v/>
      </c>
      <c r="T84" s="27" t="str">
        <f aca="false">IF(OR($A84="",$K84=0),"",ROUND($J84*INDEX(研发人员工时分配表!$N$6:$N$245,$AA84)/$K84,2))</f>
        <v/>
      </c>
      <c r="U84" s="27" t="str">
        <f aca="false">IF(OR($A84="",$K84=0),"",ROUND($J84*INDEX(研发人员工时分配表!$O$6:$O$245,$AA84)/$K84,2))</f>
        <v/>
      </c>
      <c r="V84" s="27" t="str">
        <f aca="false">IF(OR($A84="",$K84=0),"",ROUND($J84*INDEX(研发人员工时分配表!$P$6:$P$245,$AA84)/$K84,2))</f>
        <v/>
      </c>
      <c r="W84" s="27" t="str">
        <f aca="false">IF(OR($A84="",$K84=0),"",ROUND($J84*INDEX(研发人员工时分配表!$Q$6:$Q$245,$AA84)/$K84,2))</f>
        <v/>
      </c>
      <c r="X84" s="27" t="str">
        <f aca="false">IF($A84="","",ROUND(SUM(N84:W84),2))</f>
        <v/>
      </c>
      <c r="Y84" s="27" t="str">
        <f aca="false">IF($A84="","",ROUND($J84-X84,2))</f>
        <v/>
      </c>
      <c r="Z84" s="43" t="str">
        <f aca="false">IF($A84="","",IF($AA84=0,"⚠ 工时分配表无此人当月记录",IF($AB84&gt;1,"⚠ 工时分配表存在重复行","√ 正常")))</f>
        <v/>
      </c>
      <c r="AA84" s="47" t="n">
        <f aca="false">IF($A84="",0,IFERROR(MATCH($A84&amp;"|"&amp;$B84,研发人员工时分配表!$W$6:$W$245,0),0))</f>
        <v>0</v>
      </c>
      <c r="AB84" s="47" t="n">
        <f aca="false">IF($A84="",0,COUNTIFS(研发人员工时分配表!$A$6:$A$245,$A84,研发人员工时分配表!$B$6:$B$245,$B84))</f>
        <v>0</v>
      </c>
    </row>
    <row r="85" customFormat="false" ht="18" hidden="false" customHeight="true" outlineLevel="0" collapsed="false">
      <c r="A85" s="36"/>
      <c r="B85" s="36"/>
      <c r="C85" s="43" t="str">
        <f aca="false">IF($B85="","",IFERROR(VLOOKUP($B85,人员名册!$B$4:$G$53,2,0)&amp;"","名册中未登记"))</f>
        <v/>
      </c>
      <c r="D85" s="43" t="str">
        <f aca="false">IF($B85="","",IFERROR(VLOOKUP($B85,人员名册!$B$4:$G$53,5,0)&amp;"",""))</f>
        <v/>
      </c>
      <c r="E85" s="25"/>
      <c r="F85" s="25"/>
      <c r="G85" s="25"/>
      <c r="H85" s="25"/>
      <c r="I85" s="25"/>
      <c r="J85" s="27" t="str">
        <f aca="false">IF($A85="","",ROUND(SUM(E85:I85),2))</f>
        <v/>
      </c>
      <c r="K85" s="45" t="n">
        <f aca="false">IF(OR($A85="",$AA85=0),0,INDEX(研发人员工时分配表!$F$6:$F$245,$AA85))</f>
        <v>0</v>
      </c>
      <c r="L85" s="45" t="n">
        <f aca="false">IF(OR($A85="",$AA85=0),0,INDEX(研发人员工时分配表!$R$6:$R$245,$AA85))</f>
        <v>0</v>
      </c>
      <c r="M85" s="28" t="str">
        <f aca="false">IF(OR($A85="",$K85=0),"",$L85/$K85)</f>
        <v/>
      </c>
      <c r="N85" s="27" t="str">
        <f aca="false">IF(OR($A85="",$K85=0),"",ROUND($J85*INDEX(研发人员工时分配表!$H$6:$H$245,$AA85)/$K85,2))</f>
        <v/>
      </c>
      <c r="O85" s="27" t="str">
        <f aca="false">IF(OR($A85="",$K85=0),"",ROUND($J85*INDEX(研发人员工时分配表!$I$6:$I$245,$AA85)/$K85,2))</f>
        <v/>
      </c>
      <c r="P85" s="27" t="str">
        <f aca="false">IF(OR($A85="",$K85=0),"",ROUND($J85*INDEX(研发人员工时分配表!$J$6:$J$245,$AA85)/$K85,2))</f>
        <v/>
      </c>
      <c r="Q85" s="27" t="str">
        <f aca="false">IF(OR($A85="",$K85=0),"",ROUND($J85*INDEX(研发人员工时分配表!$K$6:$K$245,$AA85)/$K85,2))</f>
        <v/>
      </c>
      <c r="R85" s="27" t="str">
        <f aca="false">IF(OR($A85="",$K85=0),"",ROUND($J85*INDEX(研发人员工时分配表!$L$6:$L$245,$AA85)/$K85,2))</f>
        <v/>
      </c>
      <c r="S85" s="27" t="str">
        <f aca="false">IF(OR($A85="",$K85=0),"",ROUND($J85*INDEX(研发人员工时分配表!$M$6:$M$245,$AA85)/$K85,2))</f>
        <v/>
      </c>
      <c r="T85" s="27" t="str">
        <f aca="false">IF(OR($A85="",$K85=0),"",ROUND($J85*INDEX(研发人员工时分配表!$N$6:$N$245,$AA85)/$K85,2))</f>
        <v/>
      </c>
      <c r="U85" s="27" t="str">
        <f aca="false">IF(OR($A85="",$K85=0),"",ROUND($J85*INDEX(研发人员工时分配表!$O$6:$O$245,$AA85)/$K85,2))</f>
        <v/>
      </c>
      <c r="V85" s="27" t="str">
        <f aca="false">IF(OR($A85="",$K85=0),"",ROUND($J85*INDEX(研发人员工时分配表!$P$6:$P$245,$AA85)/$K85,2))</f>
        <v/>
      </c>
      <c r="W85" s="27" t="str">
        <f aca="false">IF(OR($A85="",$K85=0),"",ROUND($J85*INDEX(研发人员工时分配表!$Q$6:$Q$245,$AA85)/$K85,2))</f>
        <v/>
      </c>
      <c r="X85" s="27" t="str">
        <f aca="false">IF($A85="","",ROUND(SUM(N85:W85),2))</f>
        <v/>
      </c>
      <c r="Y85" s="27" t="str">
        <f aca="false">IF($A85="","",ROUND($J85-X85,2))</f>
        <v/>
      </c>
      <c r="Z85" s="43" t="str">
        <f aca="false">IF($A85="","",IF($AA85=0,"⚠ 工时分配表无此人当月记录",IF($AB85&gt;1,"⚠ 工时分配表存在重复行","√ 正常")))</f>
        <v/>
      </c>
      <c r="AA85" s="47" t="n">
        <f aca="false">IF($A85="",0,IFERROR(MATCH($A85&amp;"|"&amp;$B85,研发人员工时分配表!$W$6:$W$245,0),0))</f>
        <v>0</v>
      </c>
      <c r="AB85" s="47" t="n">
        <f aca="false">IF($A85="",0,COUNTIFS(研发人员工时分配表!$A$6:$A$245,$A85,研发人员工时分配表!$B$6:$B$245,$B85))</f>
        <v>0</v>
      </c>
    </row>
    <row r="86" customFormat="false" ht="18" hidden="false" customHeight="true" outlineLevel="0" collapsed="false">
      <c r="A86" s="36"/>
      <c r="B86" s="36"/>
      <c r="C86" s="43" t="str">
        <f aca="false">IF($B86="","",IFERROR(VLOOKUP($B86,人员名册!$B$4:$G$53,2,0)&amp;"","名册中未登记"))</f>
        <v/>
      </c>
      <c r="D86" s="43" t="str">
        <f aca="false">IF($B86="","",IFERROR(VLOOKUP($B86,人员名册!$B$4:$G$53,5,0)&amp;"",""))</f>
        <v/>
      </c>
      <c r="E86" s="25"/>
      <c r="F86" s="25"/>
      <c r="G86" s="25"/>
      <c r="H86" s="25"/>
      <c r="I86" s="25"/>
      <c r="J86" s="27" t="str">
        <f aca="false">IF($A86="","",ROUND(SUM(E86:I86),2))</f>
        <v/>
      </c>
      <c r="K86" s="45" t="n">
        <f aca="false">IF(OR($A86="",$AA86=0),0,INDEX(研发人员工时分配表!$F$6:$F$245,$AA86))</f>
        <v>0</v>
      </c>
      <c r="L86" s="45" t="n">
        <f aca="false">IF(OR($A86="",$AA86=0),0,INDEX(研发人员工时分配表!$R$6:$R$245,$AA86))</f>
        <v>0</v>
      </c>
      <c r="M86" s="28" t="str">
        <f aca="false">IF(OR($A86="",$K86=0),"",$L86/$K86)</f>
        <v/>
      </c>
      <c r="N86" s="27" t="str">
        <f aca="false">IF(OR($A86="",$K86=0),"",ROUND($J86*INDEX(研发人员工时分配表!$H$6:$H$245,$AA86)/$K86,2))</f>
        <v/>
      </c>
      <c r="O86" s="27" t="str">
        <f aca="false">IF(OR($A86="",$K86=0),"",ROUND($J86*INDEX(研发人员工时分配表!$I$6:$I$245,$AA86)/$K86,2))</f>
        <v/>
      </c>
      <c r="P86" s="27" t="str">
        <f aca="false">IF(OR($A86="",$K86=0),"",ROUND($J86*INDEX(研发人员工时分配表!$J$6:$J$245,$AA86)/$K86,2))</f>
        <v/>
      </c>
      <c r="Q86" s="27" t="str">
        <f aca="false">IF(OR($A86="",$K86=0),"",ROUND($J86*INDEX(研发人员工时分配表!$K$6:$K$245,$AA86)/$K86,2))</f>
        <v/>
      </c>
      <c r="R86" s="27" t="str">
        <f aca="false">IF(OR($A86="",$K86=0),"",ROUND($J86*INDEX(研发人员工时分配表!$L$6:$L$245,$AA86)/$K86,2))</f>
        <v/>
      </c>
      <c r="S86" s="27" t="str">
        <f aca="false">IF(OR($A86="",$K86=0),"",ROUND($J86*INDEX(研发人员工时分配表!$M$6:$M$245,$AA86)/$K86,2))</f>
        <v/>
      </c>
      <c r="T86" s="27" t="str">
        <f aca="false">IF(OR($A86="",$K86=0),"",ROUND($J86*INDEX(研发人员工时分配表!$N$6:$N$245,$AA86)/$K86,2))</f>
        <v/>
      </c>
      <c r="U86" s="27" t="str">
        <f aca="false">IF(OR($A86="",$K86=0),"",ROUND($J86*INDEX(研发人员工时分配表!$O$6:$O$245,$AA86)/$K86,2))</f>
        <v/>
      </c>
      <c r="V86" s="27" t="str">
        <f aca="false">IF(OR($A86="",$K86=0),"",ROUND($J86*INDEX(研发人员工时分配表!$P$6:$P$245,$AA86)/$K86,2))</f>
        <v/>
      </c>
      <c r="W86" s="27" t="str">
        <f aca="false">IF(OR($A86="",$K86=0),"",ROUND($J86*INDEX(研发人员工时分配表!$Q$6:$Q$245,$AA86)/$K86,2))</f>
        <v/>
      </c>
      <c r="X86" s="27" t="str">
        <f aca="false">IF($A86="","",ROUND(SUM(N86:W86),2))</f>
        <v/>
      </c>
      <c r="Y86" s="27" t="str">
        <f aca="false">IF($A86="","",ROUND($J86-X86,2))</f>
        <v/>
      </c>
      <c r="Z86" s="43" t="str">
        <f aca="false">IF($A86="","",IF($AA86=0,"⚠ 工时分配表无此人当月记录",IF($AB86&gt;1,"⚠ 工时分配表存在重复行","√ 正常")))</f>
        <v/>
      </c>
      <c r="AA86" s="47" t="n">
        <f aca="false">IF($A86="",0,IFERROR(MATCH($A86&amp;"|"&amp;$B86,研发人员工时分配表!$W$6:$W$245,0),0))</f>
        <v>0</v>
      </c>
      <c r="AB86" s="47" t="n">
        <f aca="false">IF($A86="",0,COUNTIFS(研发人员工时分配表!$A$6:$A$245,$A86,研发人员工时分配表!$B$6:$B$245,$B86))</f>
        <v>0</v>
      </c>
    </row>
    <row r="87" customFormat="false" ht="18" hidden="false" customHeight="true" outlineLevel="0" collapsed="false">
      <c r="A87" s="36"/>
      <c r="B87" s="36"/>
      <c r="C87" s="43" t="str">
        <f aca="false">IF($B87="","",IFERROR(VLOOKUP($B87,人员名册!$B$4:$G$53,2,0)&amp;"","名册中未登记"))</f>
        <v/>
      </c>
      <c r="D87" s="43" t="str">
        <f aca="false">IF($B87="","",IFERROR(VLOOKUP($B87,人员名册!$B$4:$G$53,5,0)&amp;"",""))</f>
        <v/>
      </c>
      <c r="E87" s="25"/>
      <c r="F87" s="25"/>
      <c r="G87" s="25"/>
      <c r="H87" s="25"/>
      <c r="I87" s="25"/>
      <c r="J87" s="27" t="str">
        <f aca="false">IF($A87="","",ROUND(SUM(E87:I87),2))</f>
        <v/>
      </c>
      <c r="K87" s="45" t="n">
        <f aca="false">IF(OR($A87="",$AA87=0),0,INDEX(研发人员工时分配表!$F$6:$F$245,$AA87))</f>
        <v>0</v>
      </c>
      <c r="L87" s="45" t="n">
        <f aca="false">IF(OR($A87="",$AA87=0),0,INDEX(研发人员工时分配表!$R$6:$R$245,$AA87))</f>
        <v>0</v>
      </c>
      <c r="M87" s="28" t="str">
        <f aca="false">IF(OR($A87="",$K87=0),"",$L87/$K87)</f>
        <v/>
      </c>
      <c r="N87" s="27" t="str">
        <f aca="false">IF(OR($A87="",$K87=0),"",ROUND($J87*INDEX(研发人员工时分配表!$H$6:$H$245,$AA87)/$K87,2))</f>
        <v/>
      </c>
      <c r="O87" s="27" t="str">
        <f aca="false">IF(OR($A87="",$K87=0),"",ROUND($J87*INDEX(研发人员工时分配表!$I$6:$I$245,$AA87)/$K87,2))</f>
        <v/>
      </c>
      <c r="P87" s="27" t="str">
        <f aca="false">IF(OR($A87="",$K87=0),"",ROUND($J87*INDEX(研发人员工时分配表!$J$6:$J$245,$AA87)/$K87,2))</f>
        <v/>
      </c>
      <c r="Q87" s="27" t="str">
        <f aca="false">IF(OR($A87="",$K87=0),"",ROUND($J87*INDEX(研发人员工时分配表!$K$6:$K$245,$AA87)/$K87,2))</f>
        <v/>
      </c>
      <c r="R87" s="27" t="str">
        <f aca="false">IF(OR($A87="",$K87=0),"",ROUND($J87*INDEX(研发人员工时分配表!$L$6:$L$245,$AA87)/$K87,2))</f>
        <v/>
      </c>
      <c r="S87" s="27" t="str">
        <f aca="false">IF(OR($A87="",$K87=0),"",ROUND($J87*INDEX(研发人员工时分配表!$M$6:$M$245,$AA87)/$K87,2))</f>
        <v/>
      </c>
      <c r="T87" s="27" t="str">
        <f aca="false">IF(OR($A87="",$K87=0),"",ROUND($J87*INDEX(研发人员工时分配表!$N$6:$N$245,$AA87)/$K87,2))</f>
        <v/>
      </c>
      <c r="U87" s="27" t="str">
        <f aca="false">IF(OR($A87="",$K87=0),"",ROUND($J87*INDEX(研发人员工时分配表!$O$6:$O$245,$AA87)/$K87,2))</f>
        <v/>
      </c>
      <c r="V87" s="27" t="str">
        <f aca="false">IF(OR($A87="",$K87=0),"",ROUND($J87*INDEX(研发人员工时分配表!$P$6:$P$245,$AA87)/$K87,2))</f>
        <v/>
      </c>
      <c r="W87" s="27" t="str">
        <f aca="false">IF(OR($A87="",$K87=0),"",ROUND($J87*INDEX(研发人员工时分配表!$Q$6:$Q$245,$AA87)/$K87,2))</f>
        <v/>
      </c>
      <c r="X87" s="27" t="str">
        <f aca="false">IF($A87="","",ROUND(SUM(N87:W87),2))</f>
        <v/>
      </c>
      <c r="Y87" s="27" t="str">
        <f aca="false">IF($A87="","",ROUND($J87-X87,2))</f>
        <v/>
      </c>
      <c r="Z87" s="43" t="str">
        <f aca="false">IF($A87="","",IF($AA87=0,"⚠ 工时分配表无此人当月记录",IF($AB87&gt;1,"⚠ 工时分配表存在重复行","√ 正常")))</f>
        <v/>
      </c>
      <c r="AA87" s="47" t="n">
        <f aca="false">IF($A87="",0,IFERROR(MATCH($A87&amp;"|"&amp;$B87,研发人员工时分配表!$W$6:$W$245,0),0))</f>
        <v>0</v>
      </c>
      <c r="AB87" s="47" t="n">
        <f aca="false">IF($A87="",0,COUNTIFS(研发人员工时分配表!$A$6:$A$245,$A87,研发人员工时分配表!$B$6:$B$245,$B87))</f>
        <v>0</v>
      </c>
    </row>
    <row r="88" customFormat="false" ht="18" hidden="false" customHeight="true" outlineLevel="0" collapsed="false">
      <c r="A88" s="36"/>
      <c r="B88" s="36"/>
      <c r="C88" s="43" t="str">
        <f aca="false">IF($B88="","",IFERROR(VLOOKUP($B88,人员名册!$B$4:$G$53,2,0)&amp;"","名册中未登记"))</f>
        <v/>
      </c>
      <c r="D88" s="43" t="str">
        <f aca="false">IF($B88="","",IFERROR(VLOOKUP($B88,人员名册!$B$4:$G$53,5,0)&amp;"",""))</f>
        <v/>
      </c>
      <c r="E88" s="25"/>
      <c r="F88" s="25"/>
      <c r="G88" s="25"/>
      <c r="H88" s="25"/>
      <c r="I88" s="25"/>
      <c r="J88" s="27" t="str">
        <f aca="false">IF($A88="","",ROUND(SUM(E88:I88),2))</f>
        <v/>
      </c>
      <c r="K88" s="45" t="n">
        <f aca="false">IF(OR($A88="",$AA88=0),0,INDEX(研发人员工时分配表!$F$6:$F$245,$AA88))</f>
        <v>0</v>
      </c>
      <c r="L88" s="45" t="n">
        <f aca="false">IF(OR($A88="",$AA88=0),0,INDEX(研发人员工时分配表!$R$6:$R$245,$AA88))</f>
        <v>0</v>
      </c>
      <c r="M88" s="28" t="str">
        <f aca="false">IF(OR($A88="",$K88=0),"",$L88/$K88)</f>
        <v/>
      </c>
      <c r="N88" s="27" t="str">
        <f aca="false">IF(OR($A88="",$K88=0),"",ROUND($J88*INDEX(研发人员工时分配表!$H$6:$H$245,$AA88)/$K88,2))</f>
        <v/>
      </c>
      <c r="O88" s="27" t="str">
        <f aca="false">IF(OR($A88="",$K88=0),"",ROUND($J88*INDEX(研发人员工时分配表!$I$6:$I$245,$AA88)/$K88,2))</f>
        <v/>
      </c>
      <c r="P88" s="27" t="str">
        <f aca="false">IF(OR($A88="",$K88=0),"",ROUND($J88*INDEX(研发人员工时分配表!$J$6:$J$245,$AA88)/$K88,2))</f>
        <v/>
      </c>
      <c r="Q88" s="27" t="str">
        <f aca="false">IF(OR($A88="",$K88=0),"",ROUND($J88*INDEX(研发人员工时分配表!$K$6:$K$245,$AA88)/$K88,2))</f>
        <v/>
      </c>
      <c r="R88" s="27" t="str">
        <f aca="false">IF(OR($A88="",$K88=0),"",ROUND($J88*INDEX(研发人员工时分配表!$L$6:$L$245,$AA88)/$K88,2))</f>
        <v/>
      </c>
      <c r="S88" s="27" t="str">
        <f aca="false">IF(OR($A88="",$K88=0),"",ROUND($J88*INDEX(研发人员工时分配表!$M$6:$M$245,$AA88)/$K88,2))</f>
        <v/>
      </c>
      <c r="T88" s="27" t="str">
        <f aca="false">IF(OR($A88="",$K88=0),"",ROUND($J88*INDEX(研发人员工时分配表!$N$6:$N$245,$AA88)/$K88,2))</f>
        <v/>
      </c>
      <c r="U88" s="27" t="str">
        <f aca="false">IF(OR($A88="",$K88=0),"",ROUND($J88*INDEX(研发人员工时分配表!$O$6:$O$245,$AA88)/$K88,2))</f>
        <v/>
      </c>
      <c r="V88" s="27" t="str">
        <f aca="false">IF(OR($A88="",$K88=0),"",ROUND($J88*INDEX(研发人员工时分配表!$P$6:$P$245,$AA88)/$K88,2))</f>
        <v/>
      </c>
      <c r="W88" s="27" t="str">
        <f aca="false">IF(OR($A88="",$K88=0),"",ROUND($J88*INDEX(研发人员工时分配表!$Q$6:$Q$245,$AA88)/$K88,2))</f>
        <v/>
      </c>
      <c r="X88" s="27" t="str">
        <f aca="false">IF($A88="","",ROUND(SUM(N88:W88),2))</f>
        <v/>
      </c>
      <c r="Y88" s="27" t="str">
        <f aca="false">IF($A88="","",ROUND($J88-X88,2))</f>
        <v/>
      </c>
      <c r="Z88" s="43" t="str">
        <f aca="false">IF($A88="","",IF($AA88=0,"⚠ 工时分配表无此人当月记录",IF($AB88&gt;1,"⚠ 工时分配表存在重复行","√ 正常")))</f>
        <v/>
      </c>
      <c r="AA88" s="47" t="n">
        <f aca="false">IF($A88="",0,IFERROR(MATCH($A88&amp;"|"&amp;$B88,研发人员工时分配表!$W$6:$W$245,0),0))</f>
        <v>0</v>
      </c>
      <c r="AB88" s="47" t="n">
        <f aca="false">IF($A88="",0,COUNTIFS(研发人员工时分配表!$A$6:$A$245,$A88,研发人员工时分配表!$B$6:$B$245,$B88))</f>
        <v>0</v>
      </c>
    </row>
    <row r="89" customFormat="false" ht="18" hidden="false" customHeight="true" outlineLevel="0" collapsed="false">
      <c r="A89" s="36"/>
      <c r="B89" s="36"/>
      <c r="C89" s="43" t="str">
        <f aca="false">IF($B89="","",IFERROR(VLOOKUP($B89,人员名册!$B$4:$G$53,2,0)&amp;"","名册中未登记"))</f>
        <v/>
      </c>
      <c r="D89" s="43" t="str">
        <f aca="false">IF($B89="","",IFERROR(VLOOKUP($B89,人员名册!$B$4:$G$53,5,0)&amp;"",""))</f>
        <v/>
      </c>
      <c r="E89" s="25"/>
      <c r="F89" s="25"/>
      <c r="G89" s="25"/>
      <c r="H89" s="25"/>
      <c r="I89" s="25"/>
      <c r="J89" s="27" t="str">
        <f aca="false">IF($A89="","",ROUND(SUM(E89:I89),2))</f>
        <v/>
      </c>
      <c r="K89" s="45" t="n">
        <f aca="false">IF(OR($A89="",$AA89=0),0,INDEX(研发人员工时分配表!$F$6:$F$245,$AA89))</f>
        <v>0</v>
      </c>
      <c r="L89" s="45" t="n">
        <f aca="false">IF(OR($A89="",$AA89=0),0,INDEX(研发人员工时分配表!$R$6:$R$245,$AA89))</f>
        <v>0</v>
      </c>
      <c r="M89" s="28" t="str">
        <f aca="false">IF(OR($A89="",$K89=0),"",$L89/$K89)</f>
        <v/>
      </c>
      <c r="N89" s="27" t="str">
        <f aca="false">IF(OR($A89="",$K89=0),"",ROUND($J89*INDEX(研发人员工时分配表!$H$6:$H$245,$AA89)/$K89,2))</f>
        <v/>
      </c>
      <c r="O89" s="27" t="str">
        <f aca="false">IF(OR($A89="",$K89=0),"",ROUND($J89*INDEX(研发人员工时分配表!$I$6:$I$245,$AA89)/$K89,2))</f>
        <v/>
      </c>
      <c r="P89" s="27" t="str">
        <f aca="false">IF(OR($A89="",$K89=0),"",ROUND($J89*INDEX(研发人员工时分配表!$J$6:$J$245,$AA89)/$K89,2))</f>
        <v/>
      </c>
      <c r="Q89" s="27" t="str">
        <f aca="false">IF(OR($A89="",$K89=0),"",ROUND($J89*INDEX(研发人员工时分配表!$K$6:$K$245,$AA89)/$K89,2))</f>
        <v/>
      </c>
      <c r="R89" s="27" t="str">
        <f aca="false">IF(OR($A89="",$K89=0),"",ROUND($J89*INDEX(研发人员工时分配表!$L$6:$L$245,$AA89)/$K89,2))</f>
        <v/>
      </c>
      <c r="S89" s="27" t="str">
        <f aca="false">IF(OR($A89="",$K89=0),"",ROUND($J89*INDEX(研发人员工时分配表!$M$6:$M$245,$AA89)/$K89,2))</f>
        <v/>
      </c>
      <c r="T89" s="27" t="str">
        <f aca="false">IF(OR($A89="",$K89=0),"",ROUND($J89*INDEX(研发人员工时分配表!$N$6:$N$245,$AA89)/$K89,2))</f>
        <v/>
      </c>
      <c r="U89" s="27" t="str">
        <f aca="false">IF(OR($A89="",$K89=0),"",ROUND($J89*INDEX(研发人员工时分配表!$O$6:$O$245,$AA89)/$K89,2))</f>
        <v/>
      </c>
      <c r="V89" s="27" t="str">
        <f aca="false">IF(OR($A89="",$K89=0),"",ROUND($J89*INDEX(研发人员工时分配表!$P$6:$P$245,$AA89)/$K89,2))</f>
        <v/>
      </c>
      <c r="W89" s="27" t="str">
        <f aca="false">IF(OR($A89="",$K89=0),"",ROUND($J89*INDEX(研发人员工时分配表!$Q$6:$Q$245,$AA89)/$K89,2))</f>
        <v/>
      </c>
      <c r="X89" s="27" t="str">
        <f aca="false">IF($A89="","",ROUND(SUM(N89:W89),2))</f>
        <v/>
      </c>
      <c r="Y89" s="27" t="str">
        <f aca="false">IF($A89="","",ROUND($J89-X89,2))</f>
        <v/>
      </c>
      <c r="Z89" s="43" t="str">
        <f aca="false">IF($A89="","",IF($AA89=0,"⚠ 工时分配表无此人当月记录",IF($AB89&gt;1,"⚠ 工时分配表存在重复行","√ 正常")))</f>
        <v/>
      </c>
      <c r="AA89" s="47" t="n">
        <f aca="false">IF($A89="",0,IFERROR(MATCH($A89&amp;"|"&amp;$B89,研发人员工时分配表!$W$6:$W$245,0),0))</f>
        <v>0</v>
      </c>
      <c r="AB89" s="47" t="n">
        <f aca="false">IF($A89="",0,COUNTIFS(研发人员工时分配表!$A$6:$A$245,$A89,研发人员工时分配表!$B$6:$B$245,$B89))</f>
        <v>0</v>
      </c>
    </row>
    <row r="90" customFormat="false" ht="18" hidden="false" customHeight="true" outlineLevel="0" collapsed="false">
      <c r="A90" s="36"/>
      <c r="B90" s="36"/>
      <c r="C90" s="43" t="str">
        <f aca="false">IF($B90="","",IFERROR(VLOOKUP($B90,人员名册!$B$4:$G$53,2,0)&amp;"","名册中未登记"))</f>
        <v/>
      </c>
      <c r="D90" s="43" t="str">
        <f aca="false">IF($B90="","",IFERROR(VLOOKUP($B90,人员名册!$B$4:$G$53,5,0)&amp;"",""))</f>
        <v/>
      </c>
      <c r="E90" s="25"/>
      <c r="F90" s="25"/>
      <c r="G90" s="25"/>
      <c r="H90" s="25"/>
      <c r="I90" s="25"/>
      <c r="J90" s="27" t="str">
        <f aca="false">IF($A90="","",ROUND(SUM(E90:I90),2))</f>
        <v/>
      </c>
      <c r="K90" s="45" t="n">
        <f aca="false">IF(OR($A90="",$AA90=0),0,INDEX(研发人员工时分配表!$F$6:$F$245,$AA90))</f>
        <v>0</v>
      </c>
      <c r="L90" s="45" t="n">
        <f aca="false">IF(OR($A90="",$AA90=0),0,INDEX(研发人员工时分配表!$R$6:$R$245,$AA90))</f>
        <v>0</v>
      </c>
      <c r="M90" s="28" t="str">
        <f aca="false">IF(OR($A90="",$K90=0),"",$L90/$K90)</f>
        <v/>
      </c>
      <c r="N90" s="27" t="str">
        <f aca="false">IF(OR($A90="",$K90=0),"",ROUND($J90*INDEX(研发人员工时分配表!$H$6:$H$245,$AA90)/$K90,2))</f>
        <v/>
      </c>
      <c r="O90" s="27" t="str">
        <f aca="false">IF(OR($A90="",$K90=0),"",ROUND($J90*INDEX(研发人员工时分配表!$I$6:$I$245,$AA90)/$K90,2))</f>
        <v/>
      </c>
      <c r="P90" s="27" t="str">
        <f aca="false">IF(OR($A90="",$K90=0),"",ROUND($J90*INDEX(研发人员工时分配表!$J$6:$J$245,$AA90)/$K90,2))</f>
        <v/>
      </c>
      <c r="Q90" s="27" t="str">
        <f aca="false">IF(OR($A90="",$K90=0),"",ROUND($J90*INDEX(研发人员工时分配表!$K$6:$K$245,$AA90)/$K90,2))</f>
        <v/>
      </c>
      <c r="R90" s="27" t="str">
        <f aca="false">IF(OR($A90="",$K90=0),"",ROUND($J90*INDEX(研发人员工时分配表!$L$6:$L$245,$AA90)/$K90,2))</f>
        <v/>
      </c>
      <c r="S90" s="27" t="str">
        <f aca="false">IF(OR($A90="",$K90=0),"",ROUND($J90*INDEX(研发人员工时分配表!$M$6:$M$245,$AA90)/$K90,2))</f>
        <v/>
      </c>
      <c r="T90" s="27" t="str">
        <f aca="false">IF(OR($A90="",$K90=0),"",ROUND($J90*INDEX(研发人员工时分配表!$N$6:$N$245,$AA90)/$K90,2))</f>
        <v/>
      </c>
      <c r="U90" s="27" t="str">
        <f aca="false">IF(OR($A90="",$K90=0),"",ROUND($J90*INDEX(研发人员工时分配表!$O$6:$O$245,$AA90)/$K90,2))</f>
        <v/>
      </c>
      <c r="V90" s="27" t="str">
        <f aca="false">IF(OR($A90="",$K90=0),"",ROUND($J90*INDEX(研发人员工时分配表!$P$6:$P$245,$AA90)/$K90,2))</f>
        <v/>
      </c>
      <c r="W90" s="27" t="str">
        <f aca="false">IF(OR($A90="",$K90=0),"",ROUND($J90*INDEX(研发人员工时分配表!$Q$6:$Q$245,$AA90)/$K90,2))</f>
        <v/>
      </c>
      <c r="X90" s="27" t="str">
        <f aca="false">IF($A90="","",ROUND(SUM(N90:W90),2))</f>
        <v/>
      </c>
      <c r="Y90" s="27" t="str">
        <f aca="false">IF($A90="","",ROUND($J90-X90,2))</f>
        <v/>
      </c>
      <c r="Z90" s="43" t="str">
        <f aca="false">IF($A90="","",IF($AA90=0,"⚠ 工时分配表无此人当月记录",IF($AB90&gt;1,"⚠ 工时分配表存在重复行","√ 正常")))</f>
        <v/>
      </c>
      <c r="AA90" s="47" t="n">
        <f aca="false">IF($A90="",0,IFERROR(MATCH($A90&amp;"|"&amp;$B90,研发人员工时分配表!$W$6:$W$245,0),0))</f>
        <v>0</v>
      </c>
      <c r="AB90" s="47" t="n">
        <f aca="false">IF($A90="",0,COUNTIFS(研发人员工时分配表!$A$6:$A$245,$A90,研发人员工时分配表!$B$6:$B$245,$B90))</f>
        <v>0</v>
      </c>
    </row>
    <row r="91" customFormat="false" ht="18" hidden="false" customHeight="true" outlineLevel="0" collapsed="false">
      <c r="A91" s="36"/>
      <c r="B91" s="36"/>
      <c r="C91" s="43" t="str">
        <f aca="false">IF($B91="","",IFERROR(VLOOKUP($B91,人员名册!$B$4:$G$53,2,0)&amp;"","名册中未登记"))</f>
        <v/>
      </c>
      <c r="D91" s="43" t="str">
        <f aca="false">IF($B91="","",IFERROR(VLOOKUP($B91,人员名册!$B$4:$G$53,5,0)&amp;"",""))</f>
        <v/>
      </c>
      <c r="E91" s="25"/>
      <c r="F91" s="25"/>
      <c r="G91" s="25"/>
      <c r="H91" s="25"/>
      <c r="I91" s="25"/>
      <c r="J91" s="27" t="str">
        <f aca="false">IF($A91="","",ROUND(SUM(E91:I91),2))</f>
        <v/>
      </c>
      <c r="K91" s="45" t="n">
        <f aca="false">IF(OR($A91="",$AA91=0),0,INDEX(研发人员工时分配表!$F$6:$F$245,$AA91))</f>
        <v>0</v>
      </c>
      <c r="L91" s="45" t="n">
        <f aca="false">IF(OR($A91="",$AA91=0),0,INDEX(研发人员工时分配表!$R$6:$R$245,$AA91))</f>
        <v>0</v>
      </c>
      <c r="M91" s="28" t="str">
        <f aca="false">IF(OR($A91="",$K91=0),"",$L91/$K91)</f>
        <v/>
      </c>
      <c r="N91" s="27" t="str">
        <f aca="false">IF(OR($A91="",$K91=0),"",ROUND($J91*INDEX(研发人员工时分配表!$H$6:$H$245,$AA91)/$K91,2))</f>
        <v/>
      </c>
      <c r="O91" s="27" t="str">
        <f aca="false">IF(OR($A91="",$K91=0),"",ROUND($J91*INDEX(研发人员工时分配表!$I$6:$I$245,$AA91)/$K91,2))</f>
        <v/>
      </c>
      <c r="P91" s="27" t="str">
        <f aca="false">IF(OR($A91="",$K91=0),"",ROUND($J91*INDEX(研发人员工时分配表!$J$6:$J$245,$AA91)/$K91,2))</f>
        <v/>
      </c>
      <c r="Q91" s="27" t="str">
        <f aca="false">IF(OR($A91="",$K91=0),"",ROUND($J91*INDEX(研发人员工时分配表!$K$6:$K$245,$AA91)/$K91,2))</f>
        <v/>
      </c>
      <c r="R91" s="27" t="str">
        <f aca="false">IF(OR($A91="",$K91=0),"",ROUND($J91*INDEX(研发人员工时分配表!$L$6:$L$245,$AA91)/$K91,2))</f>
        <v/>
      </c>
      <c r="S91" s="27" t="str">
        <f aca="false">IF(OR($A91="",$K91=0),"",ROUND($J91*INDEX(研发人员工时分配表!$M$6:$M$245,$AA91)/$K91,2))</f>
        <v/>
      </c>
      <c r="T91" s="27" t="str">
        <f aca="false">IF(OR($A91="",$K91=0),"",ROUND($J91*INDEX(研发人员工时分配表!$N$6:$N$245,$AA91)/$K91,2))</f>
        <v/>
      </c>
      <c r="U91" s="27" t="str">
        <f aca="false">IF(OR($A91="",$K91=0),"",ROUND($J91*INDEX(研发人员工时分配表!$O$6:$O$245,$AA91)/$K91,2))</f>
        <v/>
      </c>
      <c r="V91" s="27" t="str">
        <f aca="false">IF(OR($A91="",$K91=0),"",ROUND($J91*INDEX(研发人员工时分配表!$P$6:$P$245,$AA91)/$K91,2))</f>
        <v/>
      </c>
      <c r="W91" s="27" t="str">
        <f aca="false">IF(OR($A91="",$K91=0),"",ROUND($J91*INDEX(研发人员工时分配表!$Q$6:$Q$245,$AA91)/$K91,2))</f>
        <v/>
      </c>
      <c r="X91" s="27" t="str">
        <f aca="false">IF($A91="","",ROUND(SUM(N91:W91),2))</f>
        <v/>
      </c>
      <c r="Y91" s="27" t="str">
        <f aca="false">IF($A91="","",ROUND($J91-X91,2))</f>
        <v/>
      </c>
      <c r="Z91" s="43" t="str">
        <f aca="false">IF($A91="","",IF($AA91=0,"⚠ 工时分配表无此人当月记录",IF($AB91&gt;1,"⚠ 工时分配表存在重复行","√ 正常")))</f>
        <v/>
      </c>
      <c r="AA91" s="47" t="n">
        <f aca="false">IF($A91="",0,IFERROR(MATCH($A91&amp;"|"&amp;$B91,研发人员工时分配表!$W$6:$W$245,0),0))</f>
        <v>0</v>
      </c>
      <c r="AB91" s="47" t="n">
        <f aca="false">IF($A91="",0,COUNTIFS(研发人员工时分配表!$A$6:$A$245,$A91,研发人员工时分配表!$B$6:$B$245,$B91))</f>
        <v>0</v>
      </c>
    </row>
    <row r="92" customFormat="false" ht="18" hidden="false" customHeight="true" outlineLevel="0" collapsed="false">
      <c r="A92" s="36"/>
      <c r="B92" s="36"/>
      <c r="C92" s="43" t="str">
        <f aca="false">IF($B92="","",IFERROR(VLOOKUP($B92,人员名册!$B$4:$G$53,2,0)&amp;"","名册中未登记"))</f>
        <v/>
      </c>
      <c r="D92" s="43" t="str">
        <f aca="false">IF($B92="","",IFERROR(VLOOKUP($B92,人员名册!$B$4:$G$53,5,0)&amp;"",""))</f>
        <v/>
      </c>
      <c r="E92" s="25"/>
      <c r="F92" s="25"/>
      <c r="G92" s="25"/>
      <c r="H92" s="25"/>
      <c r="I92" s="25"/>
      <c r="J92" s="27" t="str">
        <f aca="false">IF($A92="","",ROUND(SUM(E92:I92),2))</f>
        <v/>
      </c>
      <c r="K92" s="45" t="n">
        <f aca="false">IF(OR($A92="",$AA92=0),0,INDEX(研发人员工时分配表!$F$6:$F$245,$AA92))</f>
        <v>0</v>
      </c>
      <c r="L92" s="45" t="n">
        <f aca="false">IF(OR($A92="",$AA92=0),0,INDEX(研发人员工时分配表!$R$6:$R$245,$AA92))</f>
        <v>0</v>
      </c>
      <c r="M92" s="28" t="str">
        <f aca="false">IF(OR($A92="",$K92=0),"",$L92/$K92)</f>
        <v/>
      </c>
      <c r="N92" s="27" t="str">
        <f aca="false">IF(OR($A92="",$K92=0),"",ROUND($J92*INDEX(研发人员工时分配表!$H$6:$H$245,$AA92)/$K92,2))</f>
        <v/>
      </c>
      <c r="O92" s="27" t="str">
        <f aca="false">IF(OR($A92="",$K92=0),"",ROUND($J92*INDEX(研发人员工时分配表!$I$6:$I$245,$AA92)/$K92,2))</f>
        <v/>
      </c>
      <c r="P92" s="27" t="str">
        <f aca="false">IF(OR($A92="",$K92=0),"",ROUND($J92*INDEX(研发人员工时分配表!$J$6:$J$245,$AA92)/$K92,2))</f>
        <v/>
      </c>
      <c r="Q92" s="27" t="str">
        <f aca="false">IF(OR($A92="",$K92=0),"",ROUND($J92*INDEX(研发人员工时分配表!$K$6:$K$245,$AA92)/$K92,2))</f>
        <v/>
      </c>
      <c r="R92" s="27" t="str">
        <f aca="false">IF(OR($A92="",$K92=0),"",ROUND($J92*INDEX(研发人员工时分配表!$L$6:$L$245,$AA92)/$K92,2))</f>
        <v/>
      </c>
      <c r="S92" s="27" t="str">
        <f aca="false">IF(OR($A92="",$K92=0),"",ROUND($J92*INDEX(研发人员工时分配表!$M$6:$M$245,$AA92)/$K92,2))</f>
        <v/>
      </c>
      <c r="T92" s="27" t="str">
        <f aca="false">IF(OR($A92="",$K92=0),"",ROUND($J92*INDEX(研发人员工时分配表!$N$6:$N$245,$AA92)/$K92,2))</f>
        <v/>
      </c>
      <c r="U92" s="27" t="str">
        <f aca="false">IF(OR($A92="",$K92=0),"",ROUND($J92*INDEX(研发人员工时分配表!$O$6:$O$245,$AA92)/$K92,2))</f>
        <v/>
      </c>
      <c r="V92" s="27" t="str">
        <f aca="false">IF(OR($A92="",$K92=0),"",ROUND($J92*INDEX(研发人员工时分配表!$P$6:$P$245,$AA92)/$K92,2))</f>
        <v/>
      </c>
      <c r="W92" s="27" t="str">
        <f aca="false">IF(OR($A92="",$K92=0),"",ROUND($J92*INDEX(研发人员工时分配表!$Q$6:$Q$245,$AA92)/$K92,2))</f>
        <v/>
      </c>
      <c r="X92" s="27" t="str">
        <f aca="false">IF($A92="","",ROUND(SUM(N92:W92),2))</f>
        <v/>
      </c>
      <c r="Y92" s="27" t="str">
        <f aca="false">IF($A92="","",ROUND($J92-X92,2))</f>
        <v/>
      </c>
      <c r="Z92" s="43" t="str">
        <f aca="false">IF($A92="","",IF($AA92=0,"⚠ 工时分配表无此人当月记录",IF($AB92&gt;1,"⚠ 工时分配表存在重复行","√ 正常")))</f>
        <v/>
      </c>
      <c r="AA92" s="47" t="n">
        <f aca="false">IF($A92="",0,IFERROR(MATCH($A92&amp;"|"&amp;$B92,研发人员工时分配表!$W$6:$W$245,0),0))</f>
        <v>0</v>
      </c>
      <c r="AB92" s="47" t="n">
        <f aca="false">IF($A92="",0,COUNTIFS(研发人员工时分配表!$A$6:$A$245,$A92,研发人员工时分配表!$B$6:$B$245,$B92))</f>
        <v>0</v>
      </c>
    </row>
    <row r="93" customFormat="false" ht="18" hidden="false" customHeight="true" outlineLevel="0" collapsed="false">
      <c r="A93" s="36"/>
      <c r="B93" s="36"/>
      <c r="C93" s="43" t="str">
        <f aca="false">IF($B93="","",IFERROR(VLOOKUP($B93,人员名册!$B$4:$G$53,2,0)&amp;"","名册中未登记"))</f>
        <v/>
      </c>
      <c r="D93" s="43" t="str">
        <f aca="false">IF($B93="","",IFERROR(VLOOKUP($B93,人员名册!$B$4:$G$53,5,0)&amp;"",""))</f>
        <v/>
      </c>
      <c r="E93" s="25"/>
      <c r="F93" s="25"/>
      <c r="G93" s="25"/>
      <c r="H93" s="25"/>
      <c r="I93" s="25"/>
      <c r="J93" s="27" t="str">
        <f aca="false">IF($A93="","",ROUND(SUM(E93:I93),2))</f>
        <v/>
      </c>
      <c r="K93" s="45" t="n">
        <f aca="false">IF(OR($A93="",$AA93=0),0,INDEX(研发人员工时分配表!$F$6:$F$245,$AA93))</f>
        <v>0</v>
      </c>
      <c r="L93" s="45" t="n">
        <f aca="false">IF(OR($A93="",$AA93=0),0,INDEX(研发人员工时分配表!$R$6:$R$245,$AA93))</f>
        <v>0</v>
      </c>
      <c r="M93" s="28" t="str">
        <f aca="false">IF(OR($A93="",$K93=0),"",$L93/$K93)</f>
        <v/>
      </c>
      <c r="N93" s="27" t="str">
        <f aca="false">IF(OR($A93="",$K93=0),"",ROUND($J93*INDEX(研发人员工时分配表!$H$6:$H$245,$AA93)/$K93,2))</f>
        <v/>
      </c>
      <c r="O93" s="27" t="str">
        <f aca="false">IF(OR($A93="",$K93=0),"",ROUND($J93*INDEX(研发人员工时分配表!$I$6:$I$245,$AA93)/$K93,2))</f>
        <v/>
      </c>
      <c r="P93" s="27" t="str">
        <f aca="false">IF(OR($A93="",$K93=0),"",ROUND($J93*INDEX(研发人员工时分配表!$J$6:$J$245,$AA93)/$K93,2))</f>
        <v/>
      </c>
      <c r="Q93" s="27" t="str">
        <f aca="false">IF(OR($A93="",$K93=0),"",ROUND($J93*INDEX(研发人员工时分配表!$K$6:$K$245,$AA93)/$K93,2))</f>
        <v/>
      </c>
      <c r="R93" s="27" t="str">
        <f aca="false">IF(OR($A93="",$K93=0),"",ROUND($J93*INDEX(研发人员工时分配表!$L$6:$L$245,$AA93)/$K93,2))</f>
        <v/>
      </c>
      <c r="S93" s="27" t="str">
        <f aca="false">IF(OR($A93="",$K93=0),"",ROUND($J93*INDEX(研发人员工时分配表!$M$6:$M$245,$AA93)/$K93,2))</f>
        <v/>
      </c>
      <c r="T93" s="27" t="str">
        <f aca="false">IF(OR($A93="",$K93=0),"",ROUND($J93*INDEX(研发人员工时分配表!$N$6:$N$245,$AA93)/$K93,2))</f>
        <v/>
      </c>
      <c r="U93" s="27" t="str">
        <f aca="false">IF(OR($A93="",$K93=0),"",ROUND($J93*INDEX(研发人员工时分配表!$O$6:$O$245,$AA93)/$K93,2))</f>
        <v/>
      </c>
      <c r="V93" s="27" t="str">
        <f aca="false">IF(OR($A93="",$K93=0),"",ROUND($J93*INDEX(研发人员工时分配表!$P$6:$P$245,$AA93)/$K93,2))</f>
        <v/>
      </c>
      <c r="W93" s="27" t="str">
        <f aca="false">IF(OR($A93="",$K93=0),"",ROUND($J93*INDEX(研发人员工时分配表!$Q$6:$Q$245,$AA93)/$K93,2))</f>
        <v/>
      </c>
      <c r="X93" s="27" t="str">
        <f aca="false">IF($A93="","",ROUND(SUM(N93:W93),2))</f>
        <v/>
      </c>
      <c r="Y93" s="27" t="str">
        <f aca="false">IF($A93="","",ROUND($J93-X93,2))</f>
        <v/>
      </c>
      <c r="Z93" s="43" t="str">
        <f aca="false">IF($A93="","",IF($AA93=0,"⚠ 工时分配表无此人当月记录",IF($AB93&gt;1,"⚠ 工时分配表存在重复行","√ 正常")))</f>
        <v/>
      </c>
      <c r="AA93" s="47" t="n">
        <f aca="false">IF($A93="",0,IFERROR(MATCH($A93&amp;"|"&amp;$B93,研发人员工时分配表!$W$6:$W$245,0),0))</f>
        <v>0</v>
      </c>
      <c r="AB93" s="47" t="n">
        <f aca="false">IF($A93="",0,COUNTIFS(研发人员工时分配表!$A$6:$A$245,$A93,研发人员工时分配表!$B$6:$B$245,$B93))</f>
        <v>0</v>
      </c>
    </row>
    <row r="94" customFormat="false" ht="18" hidden="false" customHeight="true" outlineLevel="0" collapsed="false">
      <c r="A94" s="36"/>
      <c r="B94" s="36"/>
      <c r="C94" s="43" t="str">
        <f aca="false">IF($B94="","",IFERROR(VLOOKUP($B94,人员名册!$B$4:$G$53,2,0)&amp;"","名册中未登记"))</f>
        <v/>
      </c>
      <c r="D94" s="43" t="str">
        <f aca="false">IF($B94="","",IFERROR(VLOOKUP($B94,人员名册!$B$4:$G$53,5,0)&amp;"",""))</f>
        <v/>
      </c>
      <c r="E94" s="25"/>
      <c r="F94" s="25"/>
      <c r="G94" s="25"/>
      <c r="H94" s="25"/>
      <c r="I94" s="25"/>
      <c r="J94" s="27" t="str">
        <f aca="false">IF($A94="","",ROUND(SUM(E94:I94),2))</f>
        <v/>
      </c>
      <c r="K94" s="45" t="n">
        <f aca="false">IF(OR($A94="",$AA94=0),0,INDEX(研发人员工时分配表!$F$6:$F$245,$AA94))</f>
        <v>0</v>
      </c>
      <c r="L94" s="45" t="n">
        <f aca="false">IF(OR($A94="",$AA94=0),0,INDEX(研发人员工时分配表!$R$6:$R$245,$AA94))</f>
        <v>0</v>
      </c>
      <c r="M94" s="28" t="str">
        <f aca="false">IF(OR($A94="",$K94=0),"",$L94/$K94)</f>
        <v/>
      </c>
      <c r="N94" s="27" t="str">
        <f aca="false">IF(OR($A94="",$K94=0),"",ROUND($J94*INDEX(研发人员工时分配表!$H$6:$H$245,$AA94)/$K94,2))</f>
        <v/>
      </c>
      <c r="O94" s="27" t="str">
        <f aca="false">IF(OR($A94="",$K94=0),"",ROUND($J94*INDEX(研发人员工时分配表!$I$6:$I$245,$AA94)/$K94,2))</f>
        <v/>
      </c>
      <c r="P94" s="27" t="str">
        <f aca="false">IF(OR($A94="",$K94=0),"",ROUND($J94*INDEX(研发人员工时分配表!$J$6:$J$245,$AA94)/$K94,2))</f>
        <v/>
      </c>
      <c r="Q94" s="27" t="str">
        <f aca="false">IF(OR($A94="",$K94=0),"",ROUND($J94*INDEX(研发人员工时分配表!$K$6:$K$245,$AA94)/$K94,2))</f>
        <v/>
      </c>
      <c r="R94" s="27" t="str">
        <f aca="false">IF(OR($A94="",$K94=0),"",ROUND($J94*INDEX(研发人员工时分配表!$L$6:$L$245,$AA94)/$K94,2))</f>
        <v/>
      </c>
      <c r="S94" s="27" t="str">
        <f aca="false">IF(OR($A94="",$K94=0),"",ROUND($J94*INDEX(研发人员工时分配表!$M$6:$M$245,$AA94)/$K94,2))</f>
        <v/>
      </c>
      <c r="T94" s="27" t="str">
        <f aca="false">IF(OR($A94="",$K94=0),"",ROUND($J94*INDEX(研发人员工时分配表!$N$6:$N$245,$AA94)/$K94,2))</f>
        <v/>
      </c>
      <c r="U94" s="27" t="str">
        <f aca="false">IF(OR($A94="",$K94=0),"",ROUND($J94*INDEX(研发人员工时分配表!$O$6:$O$245,$AA94)/$K94,2))</f>
        <v/>
      </c>
      <c r="V94" s="27" t="str">
        <f aca="false">IF(OR($A94="",$K94=0),"",ROUND($J94*INDEX(研发人员工时分配表!$P$6:$P$245,$AA94)/$K94,2))</f>
        <v/>
      </c>
      <c r="W94" s="27" t="str">
        <f aca="false">IF(OR($A94="",$K94=0),"",ROUND($J94*INDEX(研发人员工时分配表!$Q$6:$Q$245,$AA94)/$K94,2))</f>
        <v/>
      </c>
      <c r="X94" s="27" t="str">
        <f aca="false">IF($A94="","",ROUND(SUM(N94:W94),2))</f>
        <v/>
      </c>
      <c r="Y94" s="27" t="str">
        <f aca="false">IF($A94="","",ROUND($J94-X94,2))</f>
        <v/>
      </c>
      <c r="Z94" s="43" t="str">
        <f aca="false">IF($A94="","",IF($AA94=0,"⚠ 工时分配表无此人当月记录",IF($AB94&gt;1,"⚠ 工时分配表存在重复行","√ 正常")))</f>
        <v/>
      </c>
      <c r="AA94" s="47" t="n">
        <f aca="false">IF($A94="",0,IFERROR(MATCH($A94&amp;"|"&amp;$B94,研发人员工时分配表!$W$6:$W$245,0),0))</f>
        <v>0</v>
      </c>
      <c r="AB94" s="47" t="n">
        <f aca="false">IF($A94="",0,COUNTIFS(研发人员工时分配表!$A$6:$A$245,$A94,研发人员工时分配表!$B$6:$B$245,$B94))</f>
        <v>0</v>
      </c>
    </row>
    <row r="95" customFormat="false" ht="18" hidden="false" customHeight="true" outlineLevel="0" collapsed="false">
      <c r="A95" s="36"/>
      <c r="B95" s="36"/>
      <c r="C95" s="43" t="str">
        <f aca="false">IF($B95="","",IFERROR(VLOOKUP($B95,人员名册!$B$4:$G$53,2,0)&amp;"","名册中未登记"))</f>
        <v/>
      </c>
      <c r="D95" s="43" t="str">
        <f aca="false">IF($B95="","",IFERROR(VLOOKUP($B95,人员名册!$B$4:$G$53,5,0)&amp;"",""))</f>
        <v/>
      </c>
      <c r="E95" s="25"/>
      <c r="F95" s="25"/>
      <c r="G95" s="25"/>
      <c r="H95" s="25"/>
      <c r="I95" s="25"/>
      <c r="J95" s="27" t="str">
        <f aca="false">IF($A95="","",ROUND(SUM(E95:I95),2))</f>
        <v/>
      </c>
      <c r="K95" s="45" t="n">
        <f aca="false">IF(OR($A95="",$AA95=0),0,INDEX(研发人员工时分配表!$F$6:$F$245,$AA95))</f>
        <v>0</v>
      </c>
      <c r="L95" s="45" t="n">
        <f aca="false">IF(OR($A95="",$AA95=0),0,INDEX(研发人员工时分配表!$R$6:$R$245,$AA95))</f>
        <v>0</v>
      </c>
      <c r="M95" s="28" t="str">
        <f aca="false">IF(OR($A95="",$K95=0),"",$L95/$K95)</f>
        <v/>
      </c>
      <c r="N95" s="27" t="str">
        <f aca="false">IF(OR($A95="",$K95=0),"",ROUND($J95*INDEX(研发人员工时分配表!$H$6:$H$245,$AA95)/$K95,2))</f>
        <v/>
      </c>
      <c r="O95" s="27" t="str">
        <f aca="false">IF(OR($A95="",$K95=0),"",ROUND($J95*INDEX(研发人员工时分配表!$I$6:$I$245,$AA95)/$K95,2))</f>
        <v/>
      </c>
      <c r="P95" s="27" t="str">
        <f aca="false">IF(OR($A95="",$K95=0),"",ROUND($J95*INDEX(研发人员工时分配表!$J$6:$J$245,$AA95)/$K95,2))</f>
        <v/>
      </c>
      <c r="Q95" s="27" t="str">
        <f aca="false">IF(OR($A95="",$K95=0),"",ROUND($J95*INDEX(研发人员工时分配表!$K$6:$K$245,$AA95)/$K95,2))</f>
        <v/>
      </c>
      <c r="R95" s="27" t="str">
        <f aca="false">IF(OR($A95="",$K95=0),"",ROUND($J95*INDEX(研发人员工时分配表!$L$6:$L$245,$AA95)/$K95,2))</f>
        <v/>
      </c>
      <c r="S95" s="27" t="str">
        <f aca="false">IF(OR($A95="",$K95=0),"",ROUND($J95*INDEX(研发人员工时分配表!$M$6:$M$245,$AA95)/$K95,2))</f>
        <v/>
      </c>
      <c r="T95" s="27" t="str">
        <f aca="false">IF(OR($A95="",$K95=0),"",ROUND($J95*INDEX(研发人员工时分配表!$N$6:$N$245,$AA95)/$K95,2))</f>
        <v/>
      </c>
      <c r="U95" s="27" t="str">
        <f aca="false">IF(OR($A95="",$K95=0),"",ROUND($J95*INDEX(研发人员工时分配表!$O$6:$O$245,$AA95)/$K95,2))</f>
        <v/>
      </c>
      <c r="V95" s="27" t="str">
        <f aca="false">IF(OR($A95="",$K95=0),"",ROUND($J95*INDEX(研发人员工时分配表!$P$6:$P$245,$AA95)/$K95,2))</f>
        <v/>
      </c>
      <c r="W95" s="27" t="str">
        <f aca="false">IF(OR($A95="",$K95=0),"",ROUND($J95*INDEX(研发人员工时分配表!$Q$6:$Q$245,$AA95)/$K95,2))</f>
        <v/>
      </c>
      <c r="X95" s="27" t="str">
        <f aca="false">IF($A95="","",ROUND(SUM(N95:W95),2))</f>
        <v/>
      </c>
      <c r="Y95" s="27" t="str">
        <f aca="false">IF($A95="","",ROUND($J95-X95,2))</f>
        <v/>
      </c>
      <c r="Z95" s="43" t="str">
        <f aca="false">IF($A95="","",IF($AA95=0,"⚠ 工时分配表无此人当月记录",IF($AB95&gt;1,"⚠ 工时分配表存在重复行","√ 正常")))</f>
        <v/>
      </c>
      <c r="AA95" s="47" t="n">
        <f aca="false">IF($A95="",0,IFERROR(MATCH($A95&amp;"|"&amp;$B95,研发人员工时分配表!$W$6:$W$245,0),0))</f>
        <v>0</v>
      </c>
      <c r="AB95" s="47" t="n">
        <f aca="false">IF($A95="",0,COUNTIFS(研发人员工时分配表!$A$6:$A$245,$A95,研发人员工时分配表!$B$6:$B$245,$B95))</f>
        <v>0</v>
      </c>
    </row>
    <row r="96" customFormat="false" ht="18" hidden="false" customHeight="true" outlineLevel="0" collapsed="false">
      <c r="A96" s="36"/>
      <c r="B96" s="36"/>
      <c r="C96" s="43" t="str">
        <f aca="false">IF($B96="","",IFERROR(VLOOKUP($B96,人员名册!$B$4:$G$53,2,0)&amp;"","名册中未登记"))</f>
        <v/>
      </c>
      <c r="D96" s="43" t="str">
        <f aca="false">IF($B96="","",IFERROR(VLOOKUP($B96,人员名册!$B$4:$G$53,5,0)&amp;"",""))</f>
        <v/>
      </c>
      <c r="E96" s="25"/>
      <c r="F96" s="25"/>
      <c r="G96" s="25"/>
      <c r="H96" s="25"/>
      <c r="I96" s="25"/>
      <c r="J96" s="27" t="str">
        <f aca="false">IF($A96="","",ROUND(SUM(E96:I96),2))</f>
        <v/>
      </c>
      <c r="K96" s="45" t="n">
        <f aca="false">IF(OR($A96="",$AA96=0),0,INDEX(研发人员工时分配表!$F$6:$F$245,$AA96))</f>
        <v>0</v>
      </c>
      <c r="L96" s="45" t="n">
        <f aca="false">IF(OR($A96="",$AA96=0),0,INDEX(研发人员工时分配表!$R$6:$R$245,$AA96))</f>
        <v>0</v>
      </c>
      <c r="M96" s="28" t="str">
        <f aca="false">IF(OR($A96="",$K96=0),"",$L96/$K96)</f>
        <v/>
      </c>
      <c r="N96" s="27" t="str">
        <f aca="false">IF(OR($A96="",$K96=0),"",ROUND($J96*INDEX(研发人员工时分配表!$H$6:$H$245,$AA96)/$K96,2))</f>
        <v/>
      </c>
      <c r="O96" s="27" t="str">
        <f aca="false">IF(OR($A96="",$K96=0),"",ROUND($J96*INDEX(研发人员工时分配表!$I$6:$I$245,$AA96)/$K96,2))</f>
        <v/>
      </c>
      <c r="P96" s="27" t="str">
        <f aca="false">IF(OR($A96="",$K96=0),"",ROUND($J96*INDEX(研发人员工时分配表!$J$6:$J$245,$AA96)/$K96,2))</f>
        <v/>
      </c>
      <c r="Q96" s="27" t="str">
        <f aca="false">IF(OR($A96="",$K96=0),"",ROUND($J96*INDEX(研发人员工时分配表!$K$6:$K$245,$AA96)/$K96,2))</f>
        <v/>
      </c>
      <c r="R96" s="27" t="str">
        <f aca="false">IF(OR($A96="",$K96=0),"",ROUND($J96*INDEX(研发人员工时分配表!$L$6:$L$245,$AA96)/$K96,2))</f>
        <v/>
      </c>
      <c r="S96" s="27" t="str">
        <f aca="false">IF(OR($A96="",$K96=0),"",ROUND($J96*INDEX(研发人员工时分配表!$M$6:$M$245,$AA96)/$K96,2))</f>
        <v/>
      </c>
      <c r="T96" s="27" t="str">
        <f aca="false">IF(OR($A96="",$K96=0),"",ROUND($J96*INDEX(研发人员工时分配表!$N$6:$N$245,$AA96)/$K96,2))</f>
        <v/>
      </c>
      <c r="U96" s="27" t="str">
        <f aca="false">IF(OR($A96="",$K96=0),"",ROUND($J96*INDEX(研发人员工时分配表!$O$6:$O$245,$AA96)/$K96,2))</f>
        <v/>
      </c>
      <c r="V96" s="27" t="str">
        <f aca="false">IF(OR($A96="",$K96=0),"",ROUND($J96*INDEX(研发人员工时分配表!$P$6:$P$245,$AA96)/$K96,2))</f>
        <v/>
      </c>
      <c r="W96" s="27" t="str">
        <f aca="false">IF(OR($A96="",$K96=0),"",ROUND($J96*INDEX(研发人员工时分配表!$Q$6:$Q$245,$AA96)/$K96,2))</f>
        <v/>
      </c>
      <c r="X96" s="27" t="str">
        <f aca="false">IF($A96="","",ROUND(SUM(N96:W96),2))</f>
        <v/>
      </c>
      <c r="Y96" s="27" t="str">
        <f aca="false">IF($A96="","",ROUND($J96-X96,2))</f>
        <v/>
      </c>
      <c r="Z96" s="43" t="str">
        <f aca="false">IF($A96="","",IF($AA96=0,"⚠ 工时分配表无此人当月记录",IF($AB96&gt;1,"⚠ 工时分配表存在重复行","√ 正常")))</f>
        <v/>
      </c>
      <c r="AA96" s="47" t="n">
        <f aca="false">IF($A96="",0,IFERROR(MATCH($A96&amp;"|"&amp;$B96,研发人员工时分配表!$W$6:$W$245,0),0))</f>
        <v>0</v>
      </c>
      <c r="AB96" s="47" t="n">
        <f aca="false">IF($A96="",0,COUNTIFS(研发人员工时分配表!$A$6:$A$245,$A96,研发人员工时分配表!$B$6:$B$245,$B96))</f>
        <v>0</v>
      </c>
    </row>
    <row r="97" customFormat="false" ht="18" hidden="false" customHeight="true" outlineLevel="0" collapsed="false">
      <c r="A97" s="36"/>
      <c r="B97" s="36"/>
      <c r="C97" s="43" t="str">
        <f aca="false">IF($B97="","",IFERROR(VLOOKUP($B97,人员名册!$B$4:$G$53,2,0)&amp;"","名册中未登记"))</f>
        <v/>
      </c>
      <c r="D97" s="43" t="str">
        <f aca="false">IF($B97="","",IFERROR(VLOOKUP($B97,人员名册!$B$4:$G$53,5,0)&amp;"",""))</f>
        <v/>
      </c>
      <c r="E97" s="25"/>
      <c r="F97" s="25"/>
      <c r="G97" s="25"/>
      <c r="H97" s="25"/>
      <c r="I97" s="25"/>
      <c r="J97" s="27" t="str">
        <f aca="false">IF($A97="","",ROUND(SUM(E97:I97),2))</f>
        <v/>
      </c>
      <c r="K97" s="45" t="n">
        <f aca="false">IF(OR($A97="",$AA97=0),0,INDEX(研发人员工时分配表!$F$6:$F$245,$AA97))</f>
        <v>0</v>
      </c>
      <c r="L97" s="45" t="n">
        <f aca="false">IF(OR($A97="",$AA97=0),0,INDEX(研发人员工时分配表!$R$6:$R$245,$AA97))</f>
        <v>0</v>
      </c>
      <c r="M97" s="28" t="str">
        <f aca="false">IF(OR($A97="",$K97=0),"",$L97/$K97)</f>
        <v/>
      </c>
      <c r="N97" s="27" t="str">
        <f aca="false">IF(OR($A97="",$K97=0),"",ROUND($J97*INDEX(研发人员工时分配表!$H$6:$H$245,$AA97)/$K97,2))</f>
        <v/>
      </c>
      <c r="O97" s="27" t="str">
        <f aca="false">IF(OR($A97="",$K97=0),"",ROUND($J97*INDEX(研发人员工时分配表!$I$6:$I$245,$AA97)/$K97,2))</f>
        <v/>
      </c>
      <c r="P97" s="27" t="str">
        <f aca="false">IF(OR($A97="",$K97=0),"",ROUND($J97*INDEX(研发人员工时分配表!$J$6:$J$245,$AA97)/$K97,2))</f>
        <v/>
      </c>
      <c r="Q97" s="27" t="str">
        <f aca="false">IF(OR($A97="",$K97=0),"",ROUND($J97*INDEX(研发人员工时分配表!$K$6:$K$245,$AA97)/$K97,2))</f>
        <v/>
      </c>
      <c r="R97" s="27" t="str">
        <f aca="false">IF(OR($A97="",$K97=0),"",ROUND($J97*INDEX(研发人员工时分配表!$L$6:$L$245,$AA97)/$K97,2))</f>
        <v/>
      </c>
      <c r="S97" s="27" t="str">
        <f aca="false">IF(OR($A97="",$K97=0),"",ROUND($J97*INDEX(研发人员工时分配表!$M$6:$M$245,$AA97)/$K97,2))</f>
        <v/>
      </c>
      <c r="T97" s="27" t="str">
        <f aca="false">IF(OR($A97="",$K97=0),"",ROUND($J97*INDEX(研发人员工时分配表!$N$6:$N$245,$AA97)/$K97,2))</f>
        <v/>
      </c>
      <c r="U97" s="27" t="str">
        <f aca="false">IF(OR($A97="",$K97=0),"",ROUND($J97*INDEX(研发人员工时分配表!$O$6:$O$245,$AA97)/$K97,2))</f>
        <v/>
      </c>
      <c r="V97" s="27" t="str">
        <f aca="false">IF(OR($A97="",$K97=0),"",ROUND($J97*INDEX(研发人员工时分配表!$P$6:$P$245,$AA97)/$K97,2))</f>
        <v/>
      </c>
      <c r="W97" s="27" t="str">
        <f aca="false">IF(OR($A97="",$K97=0),"",ROUND($J97*INDEX(研发人员工时分配表!$Q$6:$Q$245,$AA97)/$K97,2))</f>
        <v/>
      </c>
      <c r="X97" s="27" t="str">
        <f aca="false">IF($A97="","",ROUND(SUM(N97:W97),2))</f>
        <v/>
      </c>
      <c r="Y97" s="27" t="str">
        <f aca="false">IF($A97="","",ROUND($J97-X97,2))</f>
        <v/>
      </c>
      <c r="Z97" s="43" t="str">
        <f aca="false">IF($A97="","",IF($AA97=0,"⚠ 工时分配表无此人当月记录",IF($AB97&gt;1,"⚠ 工时分配表存在重复行","√ 正常")))</f>
        <v/>
      </c>
      <c r="AA97" s="47" t="n">
        <f aca="false">IF($A97="",0,IFERROR(MATCH($A97&amp;"|"&amp;$B97,研发人员工时分配表!$W$6:$W$245,0),0))</f>
        <v>0</v>
      </c>
      <c r="AB97" s="47" t="n">
        <f aca="false">IF($A97="",0,COUNTIFS(研发人员工时分配表!$A$6:$A$245,$A97,研发人员工时分配表!$B$6:$B$245,$B97))</f>
        <v>0</v>
      </c>
    </row>
    <row r="98" customFormat="false" ht="18" hidden="false" customHeight="true" outlineLevel="0" collapsed="false">
      <c r="A98" s="36"/>
      <c r="B98" s="36"/>
      <c r="C98" s="43" t="str">
        <f aca="false">IF($B98="","",IFERROR(VLOOKUP($B98,人员名册!$B$4:$G$53,2,0)&amp;"","名册中未登记"))</f>
        <v/>
      </c>
      <c r="D98" s="43" t="str">
        <f aca="false">IF($B98="","",IFERROR(VLOOKUP($B98,人员名册!$B$4:$G$53,5,0)&amp;"",""))</f>
        <v/>
      </c>
      <c r="E98" s="25"/>
      <c r="F98" s="25"/>
      <c r="G98" s="25"/>
      <c r="H98" s="25"/>
      <c r="I98" s="25"/>
      <c r="J98" s="27" t="str">
        <f aca="false">IF($A98="","",ROUND(SUM(E98:I98),2))</f>
        <v/>
      </c>
      <c r="K98" s="45" t="n">
        <f aca="false">IF(OR($A98="",$AA98=0),0,INDEX(研发人员工时分配表!$F$6:$F$245,$AA98))</f>
        <v>0</v>
      </c>
      <c r="L98" s="45" t="n">
        <f aca="false">IF(OR($A98="",$AA98=0),0,INDEX(研发人员工时分配表!$R$6:$R$245,$AA98))</f>
        <v>0</v>
      </c>
      <c r="M98" s="28" t="str">
        <f aca="false">IF(OR($A98="",$K98=0),"",$L98/$K98)</f>
        <v/>
      </c>
      <c r="N98" s="27" t="str">
        <f aca="false">IF(OR($A98="",$K98=0),"",ROUND($J98*INDEX(研发人员工时分配表!$H$6:$H$245,$AA98)/$K98,2))</f>
        <v/>
      </c>
      <c r="O98" s="27" t="str">
        <f aca="false">IF(OR($A98="",$K98=0),"",ROUND($J98*INDEX(研发人员工时分配表!$I$6:$I$245,$AA98)/$K98,2))</f>
        <v/>
      </c>
      <c r="P98" s="27" t="str">
        <f aca="false">IF(OR($A98="",$K98=0),"",ROUND($J98*INDEX(研发人员工时分配表!$J$6:$J$245,$AA98)/$K98,2))</f>
        <v/>
      </c>
      <c r="Q98" s="27" t="str">
        <f aca="false">IF(OR($A98="",$K98=0),"",ROUND($J98*INDEX(研发人员工时分配表!$K$6:$K$245,$AA98)/$K98,2))</f>
        <v/>
      </c>
      <c r="R98" s="27" t="str">
        <f aca="false">IF(OR($A98="",$K98=0),"",ROUND($J98*INDEX(研发人员工时分配表!$L$6:$L$245,$AA98)/$K98,2))</f>
        <v/>
      </c>
      <c r="S98" s="27" t="str">
        <f aca="false">IF(OR($A98="",$K98=0),"",ROUND($J98*INDEX(研发人员工时分配表!$M$6:$M$245,$AA98)/$K98,2))</f>
        <v/>
      </c>
      <c r="T98" s="27" t="str">
        <f aca="false">IF(OR($A98="",$K98=0),"",ROUND($J98*INDEX(研发人员工时分配表!$N$6:$N$245,$AA98)/$K98,2))</f>
        <v/>
      </c>
      <c r="U98" s="27" t="str">
        <f aca="false">IF(OR($A98="",$K98=0),"",ROUND($J98*INDEX(研发人员工时分配表!$O$6:$O$245,$AA98)/$K98,2))</f>
        <v/>
      </c>
      <c r="V98" s="27" t="str">
        <f aca="false">IF(OR($A98="",$K98=0),"",ROUND($J98*INDEX(研发人员工时分配表!$P$6:$P$245,$AA98)/$K98,2))</f>
        <v/>
      </c>
      <c r="W98" s="27" t="str">
        <f aca="false">IF(OR($A98="",$K98=0),"",ROUND($J98*INDEX(研发人员工时分配表!$Q$6:$Q$245,$AA98)/$K98,2))</f>
        <v/>
      </c>
      <c r="X98" s="27" t="str">
        <f aca="false">IF($A98="","",ROUND(SUM(N98:W98),2))</f>
        <v/>
      </c>
      <c r="Y98" s="27" t="str">
        <f aca="false">IF($A98="","",ROUND($J98-X98,2))</f>
        <v/>
      </c>
      <c r="Z98" s="43" t="str">
        <f aca="false">IF($A98="","",IF($AA98=0,"⚠ 工时分配表无此人当月记录",IF($AB98&gt;1,"⚠ 工时分配表存在重复行","√ 正常")))</f>
        <v/>
      </c>
      <c r="AA98" s="47" t="n">
        <f aca="false">IF($A98="",0,IFERROR(MATCH($A98&amp;"|"&amp;$B98,研发人员工时分配表!$W$6:$W$245,0),0))</f>
        <v>0</v>
      </c>
      <c r="AB98" s="47" t="n">
        <f aca="false">IF($A98="",0,COUNTIFS(研发人员工时分配表!$A$6:$A$245,$A98,研发人员工时分配表!$B$6:$B$245,$B98))</f>
        <v>0</v>
      </c>
    </row>
    <row r="99" customFormat="false" ht="18" hidden="false" customHeight="true" outlineLevel="0" collapsed="false">
      <c r="A99" s="36"/>
      <c r="B99" s="36"/>
      <c r="C99" s="43" t="str">
        <f aca="false">IF($B99="","",IFERROR(VLOOKUP($B99,人员名册!$B$4:$G$53,2,0)&amp;"","名册中未登记"))</f>
        <v/>
      </c>
      <c r="D99" s="43" t="str">
        <f aca="false">IF($B99="","",IFERROR(VLOOKUP($B99,人员名册!$B$4:$G$53,5,0)&amp;"",""))</f>
        <v/>
      </c>
      <c r="E99" s="25"/>
      <c r="F99" s="25"/>
      <c r="G99" s="25"/>
      <c r="H99" s="25"/>
      <c r="I99" s="25"/>
      <c r="J99" s="27" t="str">
        <f aca="false">IF($A99="","",ROUND(SUM(E99:I99),2))</f>
        <v/>
      </c>
      <c r="K99" s="45" t="n">
        <f aca="false">IF(OR($A99="",$AA99=0),0,INDEX(研发人员工时分配表!$F$6:$F$245,$AA99))</f>
        <v>0</v>
      </c>
      <c r="L99" s="45" t="n">
        <f aca="false">IF(OR($A99="",$AA99=0),0,INDEX(研发人员工时分配表!$R$6:$R$245,$AA99))</f>
        <v>0</v>
      </c>
      <c r="M99" s="28" t="str">
        <f aca="false">IF(OR($A99="",$K99=0),"",$L99/$K99)</f>
        <v/>
      </c>
      <c r="N99" s="27" t="str">
        <f aca="false">IF(OR($A99="",$K99=0),"",ROUND($J99*INDEX(研发人员工时分配表!$H$6:$H$245,$AA99)/$K99,2))</f>
        <v/>
      </c>
      <c r="O99" s="27" t="str">
        <f aca="false">IF(OR($A99="",$K99=0),"",ROUND($J99*INDEX(研发人员工时分配表!$I$6:$I$245,$AA99)/$K99,2))</f>
        <v/>
      </c>
      <c r="P99" s="27" t="str">
        <f aca="false">IF(OR($A99="",$K99=0),"",ROUND($J99*INDEX(研发人员工时分配表!$J$6:$J$245,$AA99)/$K99,2))</f>
        <v/>
      </c>
      <c r="Q99" s="27" t="str">
        <f aca="false">IF(OR($A99="",$K99=0),"",ROUND($J99*INDEX(研发人员工时分配表!$K$6:$K$245,$AA99)/$K99,2))</f>
        <v/>
      </c>
      <c r="R99" s="27" t="str">
        <f aca="false">IF(OR($A99="",$K99=0),"",ROUND($J99*INDEX(研发人员工时分配表!$L$6:$L$245,$AA99)/$K99,2))</f>
        <v/>
      </c>
      <c r="S99" s="27" t="str">
        <f aca="false">IF(OR($A99="",$K99=0),"",ROUND($J99*INDEX(研发人员工时分配表!$M$6:$M$245,$AA99)/$K99,2))</f>
        <v/>
      </c>
      <c r="T99" s="27" t="str">
        <f aca="false">IF(OR($A99="",$K99=0),"",ROUND($J99*INDEX(研发人员工时分配表!$N$6:$N$245,$AA99)/$K99,2))</f>
        <v/>
      </c>
      <c r="U99" s="27" t="str">
        <f aca="false">IF(OR($A99="",$K99=0),"",ROUND($J99*INDEX(研发人员工时分配表!$O$6:$O$245,$AA99)/$K99,2))</f>
        <v/>
      </c>
      <c r="V99" s="27" t="str">
        <f aca="false">IF(OR($A99="",$K99=0),"",ROUND($J99*INDEX(研发人员工时分配表!$P$6:$P$245,$AA99)/$K99,2))</f>
        <v/>
      </c>
      <c r="W99" s="27" t="str">
        <f aca="false">IF(OR($A99="",$K99=0),"",ROUND($J99*INDEX(研发人员工时分配表!$Q$6:$Q$245,$AA99)/$K99,2))</f>
        <v/>
      </c>
      <c r="X99" s="27" t="str">
        <f aca="false">IF($A99="","",ROUND(SUM(N99:W99),2))</f>
        <v/>
      </c>
      <c r="Y99" s="27" t="str">
        <f aca="false">IF($A99="","",ROUND($J99-X99,2))</f>
        <v/>
      </c>
      <c r="Z99" s="43" t="str">
        <f aca="false">IF($A99="","",IF($AA99=0,"⚠ 工时分配表无此人当月记录",IF($AB99&gt;1,"⚠ 工时分配表存在重复行","√ 正常")))</f>
        <v/>
      </c>
      <c r="AA99" s="47" t="n">
        <f aca="false">IF($A99="",0,IFERROR(MATCH($A99&amp;"|"&amp;$B99,研发人员工时分配表!$W$6:$W$245,0),0))</f>
        <v>0</v>
      </c>
      <c r="AB99" s="47" t="n">
        <f aca="false">IF($A99="",0,COUNTIFS(研发人员工时分配表!$A$6:$A$245,$A99,研发人员工时分配表!$B$6:$B$245,$B99))</f>
        <v>0</v>
      </c>
    </row>
    <row r="100" customFormat="false" ht="18" hidden="false" customHeight="true" outlineLevel="0" collapsed="false">
      <c r="A100" s="36"/>
      <c r="B100" s="36"/>
      <c r="C100" s="43" t="str">
        <f aca="false">IF($B100="","",IFERROR(VLOOKUP($B100,人员名册!$B$4:$G$53,2,0)&amp;"","名册中未登记"))</f>
        <v/>
      </c>
      <c r="D100" s="43" t="str">
        <f aca="false">IF($B100="","",IFERROR(VLOOKUP($B100,人员名册!$B$4:$G$53,5,0)&amp;"",""))</f>
        <v/>
      </c>
      <c r="E100" s="25"/>
      <c r="F100" s="25"/>
      <c r="G100" s="25"/>
      <c r="H100" s="25"/>
      <c r="I100" s="25"/>
      <c r="J100" s="27" t="str">
        <f aca="false">IF($A100="","",ROUND(SUM(E100:I100),2))</f>
        <v/>
      </c>
      <c r="K100" s="45" t="n">
        <f aca="false">IF(OR($A100="",$AA100=0),0,INDEX(研发人员工时分配表!$F$6:$F$245,$AA100))</f>
        <v>0</v>
      </c>
      <c r="L100" s="45" t="n">
        <f aca="false">IF(OR($A100="",$AA100=0),0,INDEX(研发人员工时分配表!$R$6:$R$245,$AA100))</f>
        <v>0</v>
      </c>
      <c r="M100" s="28" t="str">
        <f aca="false">IF(OR($A100="",$K100=0),"",$L100/$K100)</f>
        <v/>
      </c>
      <c r="N100" s="27" t="str">
        <f aca="false">IF(OR($A100="",$K100=0),"",ROUND($J100*INDEX(研发人员工时分配表!$H$6:$H$245,$AA100)/$K100,2))</f>
        <v/>
      </c>
      <c r="O100" s="27" t="str">
        <f aca="false">IF(OR($A100="",$K100=0),"",ROUND($J100*INDEX(研发人员工时分配表!$I$6:$I$245,$AA100)/$K100,2))</f>
        <v/>
      </c>
      <c r="P100" s="27" t="str">
        <f aca="false">IF(OR($A100="",$K100=0),"",ROUND($J100*INDEX(研发人员工时分配表!$J$6:$J$245,$AA100)/$K100,2))</f>
        <v/>
      </c>
      <c r="Q100" s="27" t="str">
        <f aca="false">IF(OR($A100="",$K100=0),"",ROUND($J100*INDEX(研发人员工时分配表!$K$6:$K$245,$AA100)/$K100,2))</f>
        <v/>
      </c>
      <c r="R100" s="27" t="str">
        <f aca="false">IF(OR($A100="",$K100=0),"",ROUND($J100*INDEX(研发人员工时分配表!$L$6:$L$245,$AA100)/$K100,2))</f>
        <v/>
      </c>
      <c r="S100" s="27" t="str">
        <f aca="false">IF(OR($A100="",$K100=0),"",ROUND($J100*INDEX(研发人员工时分配表!$M$6:$M$245,$AA100)/$K100,2))</f>
        <v/>
      </c>
      <c r="T100" s="27" t="str">
        <f aca="false">IF(OR($A100="",$K100=0),"",ROUND($J100*INDEX(研发人员工时分配表!$N$6:$N$245,$AA100)/$K100,2))</f>
        <v/>
      </c>
      <c r="U100" s="27" t="str">
        <f aca="false">IF(OR($A100="",$K100=0),"",ROUND($J100*INDEX(研发人员工时分配表!$O$6:$O$245,$AA100)/$K100,2))</f>
        <v/>
      </c>
      <c r="V100" s="27" t="str">
        <f aca="false">IF(OR($A100="",$K100=0),"",ROUND($J100*INDEX(研发人员工时分配表!$P$6:$P$245,$AA100)/$K100,2))</f>
        <v/>
      </c>
      <c r="W100" s="27" t="str">
        <f aca="false">IF(OR($A100="",$K100=0),"",ROUND($J100*INDEX(研发人员工时分配表!$Q$6:$Q$245,$AA100)/$K100,2))</f>
        <v/>
      </c>
      <c r="X100" s="27" t="str">
        <f aca="false">IF($A100="","",ROUND(SUM(N100:W100),2))</f>
        <v/>
      </c>
      <c r="Y100" s="27" t="str">
        <f aca="false">IF($A100="","",ROUND($J100-X100,2))</f>
        <v/>
      </c>
      <c r="Z100" s="43" t="str">
        <f aca="false">IF($A100="","",IF($AA100=0,"⚠ 工时分配表无此人当月记录",IF($AB100&gt;1,"⚠ 工时分配表存在重复行","√ 正常")))</f>
        <v/>
      </c>
      <c r="AA100" s="47" t="n">
        <f aca="false">IF($A100="",0,IFERROR(MATCH($A100&amp;"|"&amp;$B100,研发人员工时分配表!$W$6:$W$245,0),0))</f>
        <v>0</v>
      </c>
      <c r="AB100" s="47" t="n">
        <f aca="false">IF($A100="",0,COUNTIFS(研发人员工时分配表!$A$6:$A$245,$A100,研发人员工时分配表!$B$6:$B$245,$B100))</f>
        <v>0</v>
      </c>
    </row>
    <row r="101" customFormat="false" ht="18" hidden="false" customHeight="true" outlineLevel="0" collapsed="false">
      <c r="A101" s="36"/>
      <c r="B101" s="36"/>
      <c r="C101" s="43" t="str">
        <f aca="false">IF($B101="","",IFERROR(VLOOKUP($B101,人员名册!$B$4:$G$53,2,0)&amp;"","名册中未登记"))</f>
        <v/>
      </c>
      <c r="D101" s="43" t="str">
        <f aca="false">IF($B101="","",IFERROR(VLOOKUP($B101,人员名册!$B$4:$G$53,5,0)&amp;"",""))</f>
        <v/>
      </c>
      <c r="E101" s="25"/>
      <c r="F101" s="25"/>
      <c r="G101" s="25"/>
      <c r="H101" s="25"/>
      <c r="I101" s="25"/>
      <c r="J101" s="27" t="str">
        <f aca="false">IF($A101="","",ROUND(SUM(E101:I101),2))</f>
        <v/>
      </c>
      <c r="K101" s="45" t="n">
        <f aca="false">IF(OR($A101="",$AA101=0),0,INDEX(研发人员工时分配表!$F$6:$F$245,$AA101))</f>
        <v>0</v>
      </c>
      <c r="L101" s="45" t="n">
        <f aca="false">IF(OR($A101="",$AA101=0),0,INDEX(研发人员工时分配表!$R$6:$R$245,$AA101))</f>
        <v>0</v>
      </c>
      <c r="M101" s="28" t="str">
        <f aca="false">IF(OR($A101="",$K101=0),"",$L101/$K101)</f>
        <v/>
      </c>
      <c r="N101" s="27" t="str">
        <f aca="false">IF(OR($A101="",$K101=0),"",ROUND($J101*INDEX(研发人员工时分配表!$H$6:$H$245,$AA101)/$K101,2))</f>
        <v/>
      </c>
      <c r="O101" s="27" t="str">
        <f aca="false">IF(OR($A101="",$K101=0),"",ROUND($J101*INDEX(研发人员工时分配表!$I$6:$I$245,$AA101)/$K101,2))</f>
        <v/>
      </c>
      <c r="P101" s="27" t="str">
        <f aca="false">IF(OR($A101="",$K101=0),"",ROUND($J101*INDEX(研发人员工时分配表!$J$6:$J$245,$AA101)/$K101,2))</f>
        <v/>
      </c>
      <c r="Q101" s="27" t="str">
        <f aca="false">IF(OR($A101="",$K101=0),"",ROUND($J101*INDEX(研发人员工时分配表!$K$6:$K$245,$AA101)/$K101,2))</f>
        <v/>
      </c>
      <c r="R101" s="27" t="str">
        <f aca="false">IF(OR($A101="",$K101=0),"",ROUND($J101*INDEX(研发人员工时分配表!$L$6:$L$245,$AA101)/$K101,2))</f>
        <v/>
      </c>
      <c r="S101" s="27" t="str">
        <f aca="false">IF(OR($A101="",$K101=0),"",ROUND($J101*INDEX(研发人员工时分配表!$M$6:$M$245,$AA101)/$K101,2))</f>
        <v/>
      </c>
      <c r="T101" s="27" t="str">
        <f aca="false">IF(OR($A101="",$K101=0),"",ROUND($J101*INDEX(研发人员工时分配表!$N$6:$N$245,$AA101)/$K101,2))</f>
        <v/>
      </c>
      <c r="U101" s="27" t="str">
        <f aca="false">IF(OR($A101="",$K101=0),"",ROUND($J101*INDEX(研发人员工时分配表!$O$6:$O$245,$AA101)/$K101,2))</f>
        <v/>
      </c>
      <c r="V101" s="27" t="str">
        <f aca="false">IF(OR($A101="",$K101=0),"",ROUND($J101*INDEX(研发人员工时分配表!$P$6:$P$245,$AA101)/$K101,2))</f>
        <v/>
      </c>
      <c r="W101" s="27" t="str">
        <f aca="false">IF(OR($A101="",$K101=0),"",ROUND($J101*INDEX(研发人员工时分配表!$Q$6:$Q$245,$AA101)/$K101,2))</f>
        <v/>
      </c>
      <c r="X101" s="27" t="str">
        <f aca="false">IF($A101="","",ROUND(SUM(N101:W101),2))</f>
        <v/>
      </c>
      <c r="Y101" s="27" t="str">
        <f aca="false">IF($A101="","",ROUND($J101-X101,2))</f>
        <v/>
      </c>
      <c r="Z101" s="43" t="str">
        <f aca="false">IF($A101="","",IF($AA101=0,"⚠ 工时分配表无此人当月记录",IF($AB101&gt;1,"⚠ 工时分配表存在重复行","√ 正常")))</f>
        <v/>
      </c>
      <c r="AA101" s="47" t="n">
        <f aca="false">IF($A101="",0,IFERROR(MATCH($A101&amp;"|"&amp;$B101,研发人员工时分配表!$W$6:$W$245,0),0))</f>
        <v>0</v>
      </c>
      <c r="AB101" s="47" t="n">
        <f aca="false">IF($A101="",0,COUNTIFS(研发人员工时分配表!$A$6:$A$245,$A101,研发人员工时分配表!$B$6:$B$245,$B101))</f>
        <v>0</v>
      </c>
    </row>
    <row r="102" customFormat="false" ht="18" hidden="false" customHeight="true" outlineLevel="0" collapsed="false">
      <c r="A102" s="36"/>
      <c r="B102" s="36"/>
      <c r="C102" s="43" t="str">
        <f aca="false">IF($B102="","",IFERROR(VLOOKUP($B102,人员名册!$B$4:$G$53,2,0)&amp;"","名册中未登记"))</f>
        <v/>
      </c>
      <c r="D102" s="43" t="str">
        <f aca="false">IF($B102="","",IFERROR(VLOOKUP($B102,人员名册!$B$4:$G$53,5,0)&amp;"",""))</f>
        <v/>
      </c>
      <c r="E102" s="25"/>
      <c r="F102" s="25"/>
      <c r="G102" s="25"/>
      <c r="H102" s="25"/>
      <c r="I102" s="25"/>
      <c r="J102" s="27" t="str">
        <f aca="false">IF($A102="","",ROUND(SUM(E102:I102),2))</f>
        <v/>
      </c>
      <c r="K102" s="45" t="n">
        <f aca="false">IF(OR($A102="",$AA102=0),0,INDEX(研发人员工时分配表!$F$6:$F$245,$AA102))</f>
        <v>0</v>
      </c>
      <c r="L102" s="45" t="n">
        <f aca="false">IF(OR($A102="",$AA102=0),0,INDEX(研发人员工时分配表!$R$6:$R$245,$AA102))</f>
        <v>0</v>
      </c>
      <c r="M102" s="28" t="str">
        <f aca="false">IF(OR($A102="",$K102=0),"",$L102/$K102)</f>
        <v/>
      </c>
      <c r="N102" s="27" t="str">
        <f aca="false">IF(OR($A102="",$K102=0),"",ROUND($J102*INDEX(研发人员工时分配表!$H$6:$H$245,$AA102)/$K102,2))</f>
        <v/>
      </c>
      <c r="O102" s="27" t="str">
        <f aca="false">IF(OR($A102="",$K102=0),"",ROUND($J102*INDEX(研发人员工时分配表!$I$6:$I$245,$AA102)/$K102,2))</f>
        <v/>
      </c>
      <c r="P102" s="27" t="str">
        <f aca="false">IF(OR($A102="",$K102=0),"",ROUND($J102*INDEX(研发人员工时分配表!$J$6:$J$245,$AA102)/$K102,2))</f>
        <v/>
      </c>
      <c r="Q102" s="27" t="str">
        <f aca="false">IF(OR($A102="",$K102=0),"",ROUND($J102*INDEX(研发人员工时分配表!$K$6:$K$245,$AA102)/$K102,2))</f>
        <v/>
      </c>
      <c r="R102" s="27" t="str">
        <f aca="false">IF(OR($A102="",$K102=0),"",ROUND($J102*INDEX(研发人员工时分配表!$L$6:$L$245,$AA102)/$K102,2))</f>
        <v/>
      </c>
      <c r="S102" s="27" t="str">
        <f aca="false">IF(OR($A102="",$K102=0),"",ROUND($J102*INDEX(研发人员工时分配表!$M$6:$M$245,$AA102)/$K102,2))</f>
        <v/>
      </c>
      <c r="T102" s="27" t="str">
        <f aca="false">IF(OR($A102="",$K102=0),"",ROUND($J102*INDEX(研发人员工时分配表!$N$6:$N$245,$AA102)/$K102,2))</f>
        <v/>
      </c>
      <c r="U102" s="27" t="str">
        <f aca="false">IF(OR($A102="",$K102=0),"",ROUND($J102*INDEX(研发人员工时分配表!$O$6:$O$245,$AA102)/$K102,2))</f>
        <v/>
      </c>
      <c r="V102" s="27" t="str">
        <f aca="false">IF(OR($A102="",$K102=0),"",ROUND($J102*INDEX(研发人员工时分配表!$P$6:$P$245,$AA102)/$K102,2))</f>
        <v/>
      </c>
      <c r="W102" s="27" t="str">
        <f aca="false">IF(OR($A102="",$K102=0),"",ROUND($J102*INDEX(研发人员工时分配表!$Q$6:$Q$245,$AA102)/$K102,2))</f>
        <v/>
      </c>
      <c r="X102" s="27" t="str">
        <f aca="false">IF($A102="","",ROUND(SUM(N102:W102),2))</f>
        <v/>
      </c>
      <c r="Y102" s="27" t="str">
        <f aca="false">IF($A102="","",ROUND($J102-X102,2))</f>
        <v/>
      </c>
      <c r="Z102" s="43" t="str">
        <f aca="false">IF($A102="","",IF($AA102=0,"⚠ 工时分配表无此人当月记录",IF($AB102&gt;1,"⚠ 工时分配表存在重复行","√ 正常")))</f>
        <v/>
      </c>
      <c r="AA102" s="47" t="n">
        <f aca="false">IF($A102="",0,IFERROR(MATCH($A102&amp;"|"&amp;$B102,研发人员工时分配表!$W$6:$W$245,0),0))</f>
        <v>0</v>
      </c>
      <c r="AB102" s="47" t="n">
        <f aca="false">IF($A102="",0,COUNTIFS(研发人员工时分配表!$A$6:$A$245,$A102,研发人员工时分配表!$B$6:$B$245,$B102))</f>
        <v>0</v>
      </c>
    </row>
    <row r="103" customFormat="false" ht="18" hidden="false" customHeight="true" outlineLevel="0" collapsed="false">
      <c r="A103" s="36"/>
      <c r="B103" s="36"/>
      <c r="C103" s="43" t="str">
        <f aca="false">IF($B103="","",IFERROR(VLOOKUP($B103,人员名册!$B$4:$G$53,2,0)&amp;"","名册中未登记"))</f>
        <v/>
      </c>
      <c r="D103" s="43" t="str">
        <f aca="false">IF($B103="","",IFERROR(VLOOKUP($B103,人员名册!$B$4:$G$53,5,0)&amp;"",""))</f>
        <v/>
      </c>
      <c r="E103" s="25"/>
      <c r="F103" s="25"/>
      <c r="G103" s="25"/>
      <c r="H103" s="25"/>
      <c r="I103" s="25"/>
      <c r="J103" s="27" t="str">
        <f aca="false">IF($A103="","",ROUND(SUM(E103:I103),2))</f>
        <v/>
      </c>
      <c r="K103" s="45" t="n">
        <f aca="false">IF(OR($A103="",$AA103=0),0,INDEX(研发人员工时分配表!$F$6:$F$245,$AA103))</f>
        <v>0</v>
      </c>
      <c r="L103" s="45" t="n">
        <f aca="false">IF(OR($A103="",$AA103=0),0,INDEX(研发人员工时分配表!$R$6:$R$245,$AA103))</f>
        <v>0</v>
      </c>
      <c r="M103" s="28" t="str">
        <f aca="false">IF(OR($A103="",$K103=0),"",$L103/$K103)</f>
        <v/>
      </c>
      <c r="N103" s="27" t="str">
        <f aca="false">IF(OR($A103="",$K103=0),"",ROUND($J103*INDEX(研发人员工时分配表!$H$6:$H$245,$AA103)/$K103,2))</f>
        <v/>
      </c>
      <c r="O103" s="27" t="str">
        <f aca="false">IF(OR($A103="",$K103=0),"",ROUND($J103*INDEX(研发人员工时分配表!$I$6:$I$245,$AA103)/$K103,2))</f>
        <v/>
      </c>
      <c r="P103" s="27" t="str">
        <f aca="false">IF(OR($A103="",$K103=0),"",ROUND($J103*INDEX(研发人员工时分配表!$J$6:$J$245,$AA103)/$K103,2))</f>
        <v/>
      </c>
      <c r="Q103" s="27" t="str">
        <f aca="false">IF(OR($A103="",$K103=0),"",ROUND($J103*INDEX(研发人员工时分配表!$K$6:$K$245,$AA103)/$K103,2))</f>
        <v/>
      </c>
      <c r="R103" s="27" t="str">
        <f aca="false">IF(OR($A103="",$K103=0),"",ROUND($J103*INDEX(研发人员工时分配表!$L$6:$L$245,$AA103)/$K103,2))</f>
        <v/>
      </c>
      <c r="S103" s="27" t="str">
        <f aca="false">IF(OR($A103="",$K103=0),"",ROUND($J103*INDEX(研发人员工时分配表!$M$6:$M$245,$AA103)/$K103,2))</f>
        <v/>
      </c>
      <c r="T103" s="27" t="str">
        <f aca="false">IF(OR($A103="",$K103=0),"",ROUND($J103*INDEX(研发人员工时分配表!$N$6:$N$245,$AA103)/$K103,2))</f>
        <v/>
      </c>
      <c r="U103" s="27" t="str">
        <f aca="false">IF(OR($A103="",$K103=0),"",ROUND($J103*INDEX(研发人员工时分配表!$O$6:$O$245,$AA103)/$K103,2))</f>
        <v/>
      </c>
      <c r="V103" s="27" t="str">
        <f aca="false">IF(OR($A103="",$K103=0),"",ROUND($J103*INDEX(研发人员工时分配表!$P$6:$P$245,$AA103)/$K103,2))</f>
        <v/>
      </c>
      <c r="W103" s="27" t="str">
        <f aca="false">IF(OR($A103="",$K103=0),"",ROUND($J103*INDEX(研发人员工时分配表!$Q$6:$Q$245,$AA103)/$K103,2))</f>
        <v/>
      </c>
      <c r="X103" s="27" t="str">
        <f aca="false">IF($A103="","",ROUND(SUM(N103:W103),2))</f>
        <v/>
      </c>
      <c r="Y103" s="27" t="str">
        <f aca="false">IF($A103="","",ROUND($J103-X103,2))</f>
        <v/>
      </c>
      <c r="Z103" s="43" t="str">
        <f aca="false">IF($A103="","",IF($AA103=0,"⚠ 工时分配表无此人当月记录",IF($AB103&gt;1,"⚠ 工时分配表存在重复行","√ 正常")))</f>
        <v/>
      </c>
      <c r="AA103" s="47" t="n">
        <f aca="false">IF($A103="",0,IFERROR(MATCH($A103&amp;"|"&amp;$B103,研发人员工时分配表!$W$6:$W$245,0),0))</f>
        <v>0</v>
      </c>
      <c r="AB103" s="47" t="n">
        <f aca="false">IF($A103="",0,COUNTIFS(研发人员工时分配表!$A$6:$A$245,$A103,研发人员工时分配表!$B$6:$B$245,$B103))</f>
        <v>0</v>
      </c>
    </row>
    <row r="104" customFormat="false" ht="18" hidden="false" customHeight="true" outlineLevel="0" collapsed="false">
      <c r="A104" s="36"/>
      <c r="B104" s="36"/>
      <c r="C104" s="43" t="str">
        <f aca="false">IF($B104="","",IFERROR(VLOOKUP($B104,人员名册!$B$4:$G$53,2,0)&amp;"","名册中未登记"))</f>
        <v/>
      </c>
      <c r="D104" s="43" t="str">
        <f aca="false">IF($B104="","",IFERROR(VLOOKUP($B104,人员名册!$B$4:$G$53,5,0)&amp;"",""))</f>
        <v/>
      </c>
      <c r="E104" s="25"/>
      <c r="F104" s="25"/>
      <c r="G104" s="25"/>
      <c r="H104" s="25"/>
      <c r="I104" s="25"/>
      <c r="J104" s="27" t="str">
        <f aca="false">IF($A104="","",ROUND(SUM(E104:I104),2))</f>
        <v/>
      </c>
      <c r="K104" s="45" t="n">
        <f aca="false">IF(OR($A104="",$AA104=0),0,INDEX(研发人员工时分配表!$F$6:$F$245,$AA104))</f>
        <v>0</v>
      </c>
      <c r="L104" s="45" t="n">
        <f aca="false">IF(OR($A104="",$AA104=0),0,INDEX(研发人员工时分配表!$R$6:$R$245,$AA104))</f>
        <v>0</v>
      </c>
      <c r="M104" s="28" t="str">
        <f aca="false">IF(OR($A104="",$K104=0),"",$L104/$K104)</f>
        <v/>
      </c>
      <c r="N104" s="27" t="str">
        <f aca="false">IF(OR($A104="",$K104=0),"",ROUND($J104*INDEX(研发人员工时分配表!$H$6:$H$245,$AA104)/$K104,2))</f>
        <v/>
      </c>
      <c r="O104" s="27" t="str">
        <f aca="false">IF(OR($A104="",$K104=0),"",ROUND($J104*INDEX(研发人员工时分配表!$I$6:$I$245,$AA104)/$K104,2))</f>
        <v/>
      </c>
      <c r="P104" s="27" t="str">
        <f aca="false">IF(OR($A104="",$K104=0),"",ROUND($J104*INDEX(研发人员工时分配表!$J$6:$J$245,$AA104)/$K104,2))</f>
        <v/>
      </c>
      <c r="Q104" s="27" t="str">
        <f aca="false">IF(OR($A104="",$K104=0),"",ROUND($J104*INDEX(研发人员工时分配表!$K$6:$K$245,$AA104)/$K104,2))</f>
        <v/>
      </c>
      <c r="R104" s="27" t="str">
        <f aca="false">IF(OR($A104="",$K104=0),"",ROUND($J104*INDEX(研发人员工时分配表!$L$6:$L$245,$AA104)/$K104,2))</f>
        <v/>
      </c>
      <c r="S104" s="27" t="str">
        <f aca="false">IF(OR($A104="",$K104=0),"",ROUND($J104*INDEX(研发人员工时分配表!$M$6:$M$245,$AA104)/$K104,2))</f>
        <v/>
      </c>
      <c r="T104" s="27" t="str">
        <f aca="false">IF(OR($A104="",$K104=0),"",ROUND($J104*INDEX(研发人员工时分配表!$N$6:$N$245,$AA104)/$K104,2))</f>
        <v/>
      </c>
      <c r="U104" s="27" t="str">
        <f aca="false">IF(OR($A104="",$K104=0),"",ROUND($J104*INDEX(研发人员工时分配表!$O$6:$O$245,$AA104)/$K104,2))</f>
        <v/>
      </c>
      <c r="V104" s="27" t="str">
        <f aca="false">IF(OR($A104="",$K104=0),"",ROUND($J104*INDEX(研发人员工时分配表!$P$6:$P$245,$AA104)/$K104,2))</f>
        <v/>
      </c>
      <c r="W104" s="27" t="str">
        <f aca="false">IF(OR($A104="",$K104=0),"",ROUND($J104*INDEX(研发人员工时分配表!$Q$6:$Q$245,$AA104)/$K104,2))</f>
        <v/>
      </c>
      <c r="X104" s="27" t="str">
        <f aca="false">IF($A104="","",ROUND(SUM(N104:W104),2))</f>
        <v/>
      </c>
      <c r="Y104" s="27" t="str">
        <f aca="false">IF($A104="","",ROUND($J104-X104,2))</f>
        <v/>
      </c>
      <c r="Z104" s="43" t="str">
        <f aca="false">IF($A104="","",IF($AA104=0,"⚠ 工时分配表无此人当月记录",IF($AB104&gt;1,"⚠ 工时分配表存在重复行","√ 正常")))</f>
        <v/>
      </c>
      <c r="AA104" s="47" t="n">
        <f aca="false">IF($A104="",0,IFERROR(MATCH($A104&amp;"|"&amp;$B104,研发人员工时分配表!$W$6:$W$245,0),0))</f>
        <v>0</v>
      </c>
      <c r="AB104" s="47" t="n">
        <f aca="false">IF($A104="",0,COUNTIFS(研发人员工时分配表!$A$6:$A$245,$A104,研发人员工时分配表!$B$6:$B$245,$B104))</f>
        <v>0</v>
      </c>
    </row>
    <row r="105" customFormat="false" ht="18" hidden="false" customHeight="true" outlineLevel="0" collapsed="false">
      <c r="A105" s="36"/>
      <c r="B105" s="36"/>
      <c r="C105" s="43" t="str">
        <f aca="false">IF($B105="","",IFERROR(VLOOKUP($B105,人员名册!$B$4:$G$53,2,0)&amp;"","名册中未登记"))</f>
        <v/>
      </c>
      <c r="D105" s="43" t="str">
        <f aca="false">IF($B105="","",IFERROR(VLOOKUP($B105,人员名册!$B$4:$G$53,5,0)&amp;"",""))</f>
        <v/>
      </c>
      <c r="E105" s="25"/>
      <c r="F105" s="25"/>
      <c r="G105" s="25"/>
      <c r="H105" s="25"/>
      <c r="I105" s="25"/>
      <c r="J105" s="27" t="str">
        <f aca="false">IF($A105="","",ROUND(SUM(E105:I105),2))</f>
        <v/>
      </c>
      <c r="K105" s="45" t="n">
        <f aca="false">IF(OR($A105="",$AA105=0),0,INDEX(研发人员工时分配表!$F$6:$F$245,$AA105))</f>
        <v>0</v>
      </c>
      <c r="L105" s="45" t="n">
        <f aca="false">IF(OR($A105="",$AA105=0),0,INDEX(研发人员工时分配表!$R$6:$R$245,$AA105))</f>
        <v>0</v>
      </c>
      <c r="M105" s="28" t="str">
        <f aca="false">IF(OR($A105="",$K105=0),"",$L105/$K105)</f>
        <v/>
      </c>
      <c r="N105" s="27" t="str">
        <f aca="false">IF(OR($A105="",$K105=0),"",ROUND($J105*INDEX(研发人员工时分配表!$H$6:$H$245,$AA105)/$K105,2))</f>
        <v/>
      </c>
      <c r="O105" s="27" t="str">
        <f aca="false">IF(OR($A105="",$K105=0),"",ROUND($J105*INDEX(研发人员工时分配表!$I$6:$I$245,$AA105)/$K105,2))</f>
        <v/>
      </c>
      <c r="P105" s="27" t="str">
        <f aca="false">IF(OR($A105="",$K105=0),"",ROUND($J105*INDEX(研发人员工时分配表!$J$6:$J$245,$AA105)/$K105,2))</f>
        <v/>
      </c>
      <c r="Q105" s="27" t="str">
        <f aca="false">IF(OR($A105="",$K105=0),"",ROUND($J105*INDEX(研发人员工时分配表!$K$6:$K$245,$AA105)/$K105,2))</f>
        <v/>
      </c>
      <c r="R105" s="27" t="str">
        <f aca="false">IF(OR($A105="",$K105=0),"",ROUND($J105*INDEX(研发人员工时分配表!$L$6:$L$245,$AA105)/$K105,2))</f>
        <v/>
      </c>
      <c r="S105" s="27" t="str">
        <f aca="false">IF(OR($A105="",$K105=0),"",ROUND($J105*INDEX(研发人员工时分配表!$M$6:$M$245,$AA105)/$K105,2))</f>
        <v/>
      </c>
      <c r="T105" s="27" t="str">
        <f aca="false">IF(OR($A105="",$K105=0),"",ROUND($J105*INDEX(研发人员工时分配表!$N$6:$N$245,$AA105)/$K105,2))</f>
        <v/>
      </c>
      <c r="U105" s="27" t="str">
        <f aca="false">IF(OR($A105="",$K105=0),"",ROUND($J105*INDEX(研发人员工时分配表!$O$6:$O$245,$AA105)/$K105,2))</f>
        <v/>
      </c>
      <c r="V105" s="27" t="str">
        <f aca="false">IF(OR($A105="",$K105=0),"",ROUND($J105*INDEX(研发人员工时分配表!$P$6:$P$245,$AA105)/$K105,2))</f>
        <v/>
      </c>
      <c r="W105" s="27" t="str">
        <f aca="false">IF(OR($A105="",$K105=0),"",ROUND($J105*INDEX(研发人员工时分配表!$Q$6:$Q$245,$AA105)/$K105,2))</f>
        <v/>
      </c>
      <c r="X105" s="27" t="str">
        <f aca="false">IF($A105="","",ROUND(SUM(N105:W105),2))</f>
        <v/>
      </c>
      <c r="Y105" s="27" t="str">
        <f aca="false">IF($A105="","",ROUND($J105-X105,2))</f>
        <v/>
      </c>
      <c r="Z105" s="43" t="str">
        <f aca="false">IF($A105="","",IF($AA105=0,"⚠ 工时分配表无此人当月记录",IF($AB105&gt;1,"⚠ 工时分配表存在重复行","√ 正常")))</f>
        <v/>
      </c>
      <c r="AA105" s="47" t="n">
        <f aca="false">IF($A105="",0,IFERROR(MATCH($A105&amp;"|"&amp;$B105,研发人员工时分配表!$W$6:$W$245,0),0))</f>
        <v>0</v>
      </c>
      <c r="AB105" s="47" t="n">
        <f aca="false">IF($A105="",0,COUNTIFS(研发人员工时分配表!$A$6:$A$245,$A105,研发人员工时分配表!$B$6:$B$245,$B105))</f>
        <v>0</v>
      </c>
    </row>
    <row r="106" customFormat="false" ht="18" hidden="false" customHeight="true" outlineLevel="0" collapsed="false">
      <c r="A106" s="36"/>
      <c r="B106" s="36"/>
      <c r="C106" s="43" t="str">
        <f aca="false">IF($B106="","",IFERROR(VLOOKUP($B106,人员名册!$B$4:$G$53,2,0)&amp;"","名册中未登记"))</f>
        <v/>
      </c>
      <c r="D106" s="43" t="str">
        <f aca="false">IF($B106="","",IFERROR(VLOOKUP($B106,人员名册!$B$4:$G$53,5,0)&amp;"",""))</f>
        <v/>
      </c>
      <c r="E106" s="25"/>
      <c r="F106" s="25"/>
      <c r="G106" s="25"/>
      <c r="H106" s="25"/>
      <c r="I106" s="25"/>
      <c r="J106" s="27" t="str">
        <f aca="false">IF($A106="","",ROUND(SUM(E106:I106),2))</f>
        <v/>
      </c>
      <c r="K106" s="45" t="n">
        <f aca="false">IF(OR($A106="",$AA106=0),0,INDEX(研发人员工时分配表!$F$6:$F$245,$AA106))</f>
        <v>0</v>
      </c>
      <c r="L106" s="45" t="n">
        <f aca="false">IF(OR($A106="",$AA106=0),0,INDEX(研发人员工时分配表!$R$6:$R$245,$AA106))</f>
        <v>0</v>
      </c>
      <c r="M106" s="28" t="str">
        <f aca="false">IF(OR($A106="",$K106=0),"",$L106/$K106)</f>
        <v/>
      </c>
      <c r="N106" s="27" t="str">
        <f aca="false">IF(OR($A106="",$K106=0),"",ROUND($J106*INDEX(研发人员工时分配表!$H$6:$H$245,$AA106)/$K106,2))</f>
        <v/>
      </c>
      <c r="O106" s="27" t="str">
        <f aca="false">IF(OR($A106="",$K106=0),"",ROUND($J106*INDEX(研发人员工时分配表!$I$6:$I$245,$AA106)/$K106,2))</f>
        <v/>
      </c>
      <c r="P106" s="27" t="str">
        <f aca="false">IF(OR($A106="",$K106=0),"",ROUND($J106*INDEX(研发人员工时分配表!$J$6:$J$245,$AA106)/$K106,2))</f>
        <v/>
      </c>
      <c r="Q106" s="27" t="str">
        <f aca="false">IF(OR($A106="",$K106=0),"",ROUND($J106*INDEX(研发人员工时分配表!$K$6:$K$245,$AA106)/$K106,2))</f>
        <v/>
      </c>
      <c r="R106" s="27" t="str">
        <f aca="false">IF(OR($A106="",$K106=0),"",ROUND($J106*INDEX(研发人员工时分配表!$L$6:$L$245,$AA106)/$K106,2))</f>
        <v/>
      </c>
      <c r="S106" s="27" t="str">
        <f aca="false">IF(OR($A106="",$K106=0),"",ROUND($J106*INDEX(研发人员工时分配表!$M$6:$M$245,$AA106)/$K106,2))</f>
        <v/>
      </c>
      <c r="T106" s="27" t="str">
        <f aca="false">IF(OR($A106="",$K106=0),"",ROUND($J106*INDEX(研发人员工时分配表!$N$6:$N$245,$AA106)/$K106,2))</f>
        <v/>
      </c>
      <c r="U106" s="27" t="str">
        <f aca="false">IF(OR($A106="",$K106=0),"",ROUND($J106*INDEX(研发人员工时分配表!$O$6:$O$245,$AA106)/$K106,2))</f>
        <v/>
      </c>
      <c r="V106" s="27" t="str">
        <f aca="false">IF(OR($A106="",$K106=0),"",ROUND($J106*INDEX(研发人员工时分配表!$P$6:$P$245,$AA106)/$K106,2))</f>
        <v/>
      </c>
      <c r="W106" s="27" t="str">
        <f aca="false">IF(OR($A106="",$K106=0),"",ROUND($J106*INDEX(研发人员工时分配表!$Q$6:$Q$245,$AA106)/$K106,2))</f>
        <v/>
      </c>
      <c r="X106" s="27" t="str">
        <f aca="false">IF($A106="","",ROUND(SUM(N106:W106),2))</f>
        <v/>
      </c>
      <c r="Y106" s="27" t="str">
        <f aca="false">IF($A106="","",ROUND($J106-X106,2))</f>
        <v/>
      </c>
      <c r="Z106" s="43" t="str">
        <f aca="false">IF($A106="","",IF($AA106=0,"⚠ 工时分配表无此人当月记录",IF($AB106&gt;1,"⚠ 工时分配表存在重复行","√ 正常")))</f>
        <v/>
      </c>
      <c r="AA106" s="47" t="n">
        <f aca="false">IF($A106="",0,IFERROR(MATCH($A106&amp;"|"&amp;$B106,研发人员工时分配表!$W$6:$W$245,0),0))</f>
        <v>0</v>
      </c>
      <c r="AB106" s="47" t="n">
        <f aca="false">IF($A106="",0,COUNTIFS(研发人员工时分配表!$A$6:$A$245,$A106,研发人员工时分配表!$B$6:$B$245,$B106))</f>
        <v>0</v>
      </c>
    </row>
    <row r="107" customFormat="false" ht="18" hidden="false" customHeight="true" outlineLevel="0" collapsed="false">
      <c r="A107" s="36"/>
      <c r="B107" s="36"/>
      <c r="C107" s="43" t="str">
        <f aca="false">IF($B107="","",IFERROR(VLOOKUP($B107,人员名册!$B$4:$G$53,2,0)&amp;"","名册中未登记"))</f>
        <v/>
      </c>
      <c r="D107" s="43" t="str">
        <f aca="false">IF($B107="","",IFERROR(VLOOKUP($B107,人员名册!$B$4:$G$53,5,0)&amp;"",""))</f>
        <v/>
      </c>
      <c r="E107" s="25"/>
      <c r="F107" s="25"/>
      <c r="G107" s="25"/>
      <c r="H107" s="25"/>
      <c r="I107" s="25"/>
      <c r="J107" s="27" t="str">
        <f aca="false">IF($A107="","",ROUND(SUM(E107:I107),2))</f>
        <v/>
      </c>
      <c r="K107" s="45" t="n">
        <f aca="false">IF(OR($A107="",$AA107=0),0,INDEX(研发人员工时分配表!$F$6:$F$245,$AA107))</f>
        <v>0</v>
      </c>
      <c r="L107" s="45" t="n">
        <f aca="false">IF(OR($A107="",$AA107=0),0,INDEX(研发人员工时分配表!$R$6:$R$245,$AA107))</f>
        <v>0</v>
      </c>
      <c r="M107" s="28" t="str">
        <f aca="false">IF(OR($A107="",$K107=0),"",$L107/$K107)</f>
        <v/>
      </c>
      <c r="N107" s="27" t="str">
        <f aca="false">IF(OR($A107="",$K107=0),"",ROUND($J107*INDEX(研发人员工时分配表!$H$6:$H$245,$AA107)/$K107,2))</f>
        <v/>
      </c>
      <c r="O107" s="27" t="str">
        <f aca="false">IF(OR($A107="",$K107=0),"",ROUND($J107*INDEX(研发人员工时分配表!$I$6:$I$245,$AA107)/$K107,2))</f>
        <v/>
      </c>
      <c r="P107" s="27" t="str">
        <f aca="false">IF(OR($A107="",$K107=0),"",ROUND($J107*INDEX(研发人员工时分配表!$J$6:$J$245,$AA107)/$K107,2))</f>
        <v/>
      </c>
      <c r="Q107" s="27" t="str">
        <f aca="false">IF(OR($A107="",$K107=0),"",ROUND($J107*INDEX(研发人员工时分配表!$K$6:$K$245,$AA107)/$K107,2))</f>
        <v/>
      </c>
      <c r="R107" s="27" t="str">
        <f aca="false">IF(OR($A107="",$K107=0),"",ROUND($J107*INDEX(研发人员工时分配表!$L$6:$L$245,$AA107)/$K107,2))</f>
        <v/>
      </c>
      <c r="S107" s="27" t="str">
        <f aca="false">IF(OR($A107="",$K107=0),"",ROUND($J107*INDEX(研发人员工时分配表!$M$6:$M$245,$AA107)/$K107,2))</f>
        <v/>
      </c>
      <c r="T107" s="27" t="str">
        <f aca="false">IF(OR($A107="",$K107=0),"",ROUND($J107*INDEX(研发人员工时分配表!$N$6:$N$245,$AA107)/$K107,2))</f>
        <v/>
      </c>
      <c r="U107" s="27" t="str">
        <f aca="false">IF(OR($A107="",$K107=0),"",ROUND($J107*INDEX(研发人员工时分配表!$O$6:$O$245,$AA107)/$K107,2))</f>
        <v/>
      </c>
      <c r="V107" s="27" t="str">
        <f aca="false">IF(OR($A107="",$K107=0),"",ROUND($J107*INDEX(研发人员工时分配表!$P$6:$P$245,$AA107)/$K107,2))</f>
        <v/>
      </c>
      <c r="W107" s="27" t="str">
        <f aca="false">IF(OR($A107="",$K107=0),"",ROUND($J107*INDEX(研发人员工时分配表!$Q$6:$Q$245,$AA107)/$K107,2))</f>
        <v/>
      </c>
      <c r="X107" s="27" t="str">
        <f aca="false">IF($A107="","",ROUND(SUM(N107:W107),2))</f>
        <v/>
      </c>
      <c r="Y107" s="27" t="str">
        <f aca="false">IF($A107="","",ROUND($J107-X107,2))</f>
        <v/>
      </c>
      <c r="Z107" s="43" t="str">
        <f aca="false">IF($A107="","",IF($AA107=0,"⚠ 工时分配表无此人当月记录",IF($AB107&gt;1,"⚠ 工时分配表存在重复行","√ 正常")))</f>
        <v/>
      </c>
      <c r="AA107" s="47" t="n">
        <f aca="false">IF($A107="",0,IFERROR(MATCH($A107&amp;"|"&amp;$B107,研发人员工时分配表!$W$6:$W$245,0),0))</f>
        <v>0</v>
      </c>
      <c r="AB107" s="47" t="n">
        <f aca="false">IF($A107="",0,COUNTIFS(研发人员工时分配表!$A$6:$A$245,$A107,研发人员工时分配表!$B$6:$B$245,$B107))</f>
        <v>0</v>
      </c>
    </row>
    <row r="108" customFormat="false" ht="18" hidden="false" customHeight="true" outlineLevel="0" collapsed="false">
      <c r="A108" s="36"/>
      <c r="B108" s="36"/>
      <c r="C108" s="43" t="str">
        <f aca="false">IF($B108="","",IFERROR(VLOOKUP($B108,人员名册!$B$4:$G$53,2,0)&amp;"","名册中未登记"))</f>
        <v/>
      </c>
      <c r="D108" s="43" t="str">
        <f aca="false">IF($B108="","",IFERROR(VLOOKUP($B108,人员名册!$B$4:$G$53,5,0)&amp;"",""))</f>
        <v/>
      </c>
      <c r="E108" s="25"/>
      <c r="F108" s="25"/>
      <c r="G108" s="25"/>
      <c r="H108" s="25"/>
      <c r="I108" s="25"/>
      <c r="J108" s="27" t="str">
        <f aca="false">IF($A108="","",ROUND(SUM(E108:I108),2))</f>
        <v/>
      </c>
      <c r="K108" s="45" t="n">
        <f aca="false">IF(OR($A108="",$AA108=0),0,INDEX(研发人员工时分配表!$F$6:$F$245,$AA108))</f>
        <v>0</v>
      </c>
      <c r="L108" s="45" t="n">
        <f aca="false">IF(OR($A108="",$AA108=0),0,INDEX(研发人员工时分配表!$R$6:$R$245,$AA108))</f>
        <v>0</v>
      </c>
      <c r="M108" s="28" t="str">
        <f aca="false">IF(OR($A108="",$K108=0),"",$L108/$K108)</f>
        <v/>
      </c>
      <c r="N108" s="27" t="str">
        <f aca="false">IF(OR($A108="",$K108=0),"",ROUND($J108*INDEX(研发人员工时分配表!$H$6:$H$245,$AA108)/$K108,2))</f>
        <v/>
      </c>
      <c r="O108" s="27" t="str">
        <f aca="false">IF(OR($A108="",$K108=0),"",ROUND($J108*INDEX(研发人员工时分配表!$I$6:$I$245,$AA108)/$K108,2))</f>
        <v/>
      </c>
      <c r="P108" s="27" t="str">
        <f aca="false">IF(OR($A108="",$K108=0),"",ROUND($J108*INDEX(研发人员工时分配表!$J$6:$J$245,$AA108)/$K108,2))</f>
        <v/>
      </c>
      <c r="Q108" s="27" t="str">
        <f aca="false">IF(OR($A108="",$K108=0),"",ROUND($J108*INDEX(研发人员工时分配表!$K$6:$K$245,$AA108)/$K108,2))</f>
        <v/>
      </c>
      <c r="R108" s="27" t="str">
        <f aca="false">IF(OR($A108="",$K108=0),"",ROUND($J108*INDEX(研发人员工时分配表!$L$6:$L$245,$AA108)/$K108,2))</f>
        <v/>
      </c>
      <c r="S108" s="27" t="str">
        <f aca="false">IF(OR($A108="",$K108=0),"",ROUND($J108*INDEX(研发人员工时分配表!$M$6:$M$245,$AA108)/$K108,2))</f>
        <v/>
      </c>
      <c r="T108" s="27" t="str">
        <f aca="false">IF(OR($A108="",$K108=0),"",ROUND($J108*INDEX(研发人员工时分配表!$N$6:$N$245,$AA108)/$K108,2))</f>
        <v/>
      </c>
      <c r="U108" s="27" t="str">
        <f aca="false">IF(OR($A108="",$K108=0),"",ROUND($J108*INDEX(研发人员工时分配表!$O$6:$O$245,$AA108)/$K108,2))</f>
        <v/>
      </c>
      <c r="V108" s="27" t="str">
        <f aca="false">IF(OR($A108="",$K108=0),"",ROUND($J108*INDEX(研发人员工时分配表!$P$6:$P$245,$AA108)/$K108,2))</f>
        <v/>
      </c>
      <c r="W108" s="27" t="str">
        <f aca="false">IF(OR($A108="",$K108=0),"",ROUND($J108*INDEX(研发人员工时分配表!$Q$6:$Q$245,$AA108)/$K108,2))</f>
        <v/>
      </c>
      <c r="X108" s="27" t="str">
        <f aca="false">IF($A108="","",ROUND(SUM(N108:W108),2))</f>
        <v/>
      </c>
      <c r="Y108" s="27" t="str">
        <f aca="false">IF($A108="","",ROUND($J108-X108,2))</f>
        <v/>
      </c>
      <c r="Z108" s="43" t="str">
        <f aca="false">IF($A108="","",IF($AA108=0,"⚠ 工时分配表无此人当月记录",IF($AB108&gt;1,"⚠ 工时分配表存在重复行","√ 正常")))</f>
        <v/>
      </c>
      <c r="AA108" s="47" t="n">
        <f aca="false">IF($A108="",0,IFERROR(MATCH($A108&amp;"|"&amp;$B108,研发人员工时分配表!$W$6:$W$245,0),0))</f>
        <v>0</v>
      </c>
      <c r="AB108" s="47" t="n">
        <f aca="false">IF($A108="",0,COUNTIFS(研发人员工时分配表!$A$6:$A$245,$A108,研发人员工时分配表!$B$6:$B$245,$B108))</f>
        <v>0</v>
      </c>
    </row>
    <row r="109" customFormat="false" ht="18" hidden="false" customHeight="true" outlineLevel="0" collapsed="false">
      <c r="A109" s="36"/>
      <c r="B109" s="36"/>
      <c r="C109" s="43" t="str">
        <f aca="false">IF($B109="","",IFERROR(VLOOKUP($B109,人员名册!$B$4:$G$53,2,0)&amp;"","名册中未登记"))</f>
        <v/>
      </c>
      <c r="D109" s="43" t="str">
        <f aca="false">IF($B109="","",IFERROR(VLOOKUP($B109,人员名册!$B$4:$G$53,5,0)&amp;"",""))</f>
        <v/>
      </c>
      <c r="E109" s="25"/>
      <c r="F109" s="25"/>
      <c r="G109" s="25"/>
      <c r="H109" s="25"/>
      <c r="I109" s="25"/>
      <c r="J109" s="27" t="str">
        <f aca="false">IF($A109="","",ROUND(SUM(E109:I109),2))</f>
        <v/>
      </c>
      <c r="K109" s="45" t="n">
        <f aca="false">IF(OR($A109="",$AA109=0),0,INDEX(研发人员工时分配表!$F$6:$F$245,$AA109))</f>
        <v>0</v>
      </c>
      <c r="L109" s="45" t="n">
        <f aca="false">IF(OR($A109="",$AA109=0),0,INDEX(研发人员工时分配表!$R$6:$R$245,$AA109))</f>
        <v>0</v>
      </c>
      <c r="M109" s="28" t="str">
        <f aca="false">IF(OR($A109="",$K109=0),"",$L109/$K109)</f>
        <v/>
      </c>
      <c r="N109" s="27" t="str">
        <f aca="false">IF(OR($A109="",$K109=0),"",ROUND($J109*INDEX(研发人员工时分配表!$H$6:$H$245,$AA109)/$K109,2))</f>
        <v/>
      </c>
      <c r="O109" s="27" t="str">
        <f aca="false">IF(OR($A109="",$K109=0),"",ROUND($J109*INDEX(研发人员工时分配表!$I$6:$I$245,$AA109)/$K109,2))</f>
        <v/>
      </c>
      <c r="P109" s="27" t="str">
        <f aca="false">IF(OR($A109="",$K109=0),"",ROUND($J109*INDEX(研发人员工时分配表!$J$6:$J$245,$AA109)/$K109,2))</f>
        <v/>
      </c>
      <c r="Q109" s="27" t="str">
        <f aca="false">IF(OR($A109="",$K109=0),"",ROUND($J109*INDEX(研发人员工时分配表!$K$6:$K$245,$AA109)/$K109,2))</f>
        <v/>
      </c>
      <c r="R109" s="27" t="str">
        <f aca="false">IF(OR($A109="",$K109=0),"",ROUND($J109*INDEX(研发人员工时分配表!$L$6:$L$245,$AA109)/$K109,2))</f>
        <v/>
      </c>
      <c r="S109" s="27" t="str">
        <f aca="false">IF(OR($A109="",$K109=0),"",ROUND($J109*INDEX(研发人员工时分配表!$M$6:$M$245,$AA109)/$K109,2))</f>
        <v/>
      </c>
      <c r="T109" s="27" t="str">
        <f aca="false">IF(OR($A109="",$K109=0),"",ROUND($J109*INDEX(研发人员工时分配表!$N$6:$N$245,$AA109)/$K109,2))</f>
        <v/>
      </c>
      <c r="U109" s="27" t="str">
        <f aca="false">IF(OR($A109="",$K109=0),"",ROUND($J109*INDEX(研发人员工时分配表!$O$6:$O$245,$AA109)/$K109,2))</f>
        <v/>
      </c>
      <c r="V109" s="27" t="str">
        <f aca="false">IF(OR($A109="",$K109=0),"",ROUND($J109*INDEX(研发人员工时分配表!$P$6:$P$245,$AA109)/$K109,2))</f>
        <v/>
      </c>
      <c r="W109" s="27" t="str">
        <f aca="false">IF(OR($A109="",$K109=0),"",ROUND($J109*INDEX(研发人员工时分配表!$Q$6:$Q$245,$AA109)/$K109,2))</f>
        <v/>
      </c>
      <c r="X109" s="27" t="str">
        <f aca="false">IF($A109="","",ROUND(SUM(N109:W109),2))</f>
        <v/>
      </c>
      <c r="Y109" s="27" t="str">
        <f aca="false">IF($A109="","",ROUND($J109-X109,2))</f>
        <v/>
      </c>
      <c r="Z109" s="43" t="str">
        <f aca="false">IF($A109="","",IF($AA109=0,"⚠ 工时分配表无此人当月记录",IF($AB109&gt;1,"⚠ 工时分配表存在重复行","√ 正常")))</f>
        <v/>
      </c>
      <c r="AA109" s="47" t="n">
        <f aca="false">IF($A109="",0,IFERROR(MATCH($A109&amp;"|"&amp;$B109,研发人员工时分配表!$W$6:$W$245,0),0))</f>
        <v>0</v>
      </c>
      <c r="AB109" s="47" t="n">
        <f aca="false">IF($A109="",0,COUNTIFS(研发人员工时分配表!$A$6:$A$245,$A109,研发人员工时分配表!$B$6:$B$245,$B109))</f>
        <v>0</v>
      </c>
    </row>
    <row r="110" customFormat="false" ht="18" hidden="false" customHeight="true" outlineLevel="0" collapsed="false">
      <c r="A110" s="36"/>
      <c r="B110" s="36"/>
      <c r="C110" s="43" t="str">
        <f aca="false">IF($B110="","",IFERROR(VLOOKUP($B110,人员名册!$B$4:$G$53,2,0)&amp;"","名册中未登记"))</f>
        <v/>
      </c>
      <c r="D110" s="43" t="str">
        <f aca="false">IF($B110="","",IFERROR(VLOOKUP($B110,人员名册!$B$4:$G$53,5,0)&amp;"",""))</f>
        <v/>
      </c>
      <c r="E110" s="25"/>
      <c r="F110" s="25"/>
      <c r="G110" s="25"/>
      <c r="H110" s="25"/>
      <c r="I110" s="25"/>
      <c r="J110" s="27" t="str">
        <f aca="false">IF($A110="","",ROUND(SUM(E110:I110),2))</f>
        <v/>
      </c>
      <c r="K110" s="45" t="n">
        <f aca="false">IF(OR($A110="",$AA110=0),0,INDEX(研发人员工时分配表!$F$6:$F$245,$AA110))</f>
        <v>0</v>
      </c>
      <c r="L110" s="45" t="n">
        <f aca="false">IF(OR($A110="",$AA110=0),0,INDEX(研发人员工时分配表!$R$6:$R$245,$AA110))</f>
        <v>0</v>
      </c>
      <c r="M110" s="28" t="str">
        <f aca="false">IF(OR($A110="",$K110=0),"",$L110/$K110)</f>
        <v/>
      </c>
      <c r="N110" s="27" t="str">
        <f aca="false">IF(OR($A110="",$K110=0),"",ROUND($J110*INDEX(研发人员工时分配表!$H$6:$H$245,$AA110)/$K110,2))</f>
        <v/>
      </c>
      <c r="O110" s="27" t="str">
        <f aca="false">IF(OR($A110="",$K110=0),"",ROUND($J110*INDEX(研发人员工时分配表!$I$6:$I$245,$AA110)/$K110,2))</f>
        <v/>
      </c>
      <c r="P110" s="27" t="str">
        <f aca="false">IF(OR($A110="",$K110=0),"",ROUND($J110*INDEX(研发人员工时分配表!$J$6:$J$245,$AA110)/$K110,2))</f>
        <v/>
      </c>
      <c r="Q110" s="27" t="str">
        <f aca="false">IF(OR($A110="",$K110=0),"",ROUND($J110*INDEX(研发人员工时分配表!$K$6:$K$245,$AA110)/$K110,2))</f>
        <v/>
      </c>
      <c r="R110" s="27" t="str">
        <f aca="false">IF(OR($A110="",$K110=0),"",ROUND($J110*INDEX(研发人员工时分配表!$L$6:$L$245,$AA110)/$K110,2))</f>
        <v/>
      </c>
      <c r="S110" s="27" t="str">
        <f aca="false">IF(OR($A110="",$K110=0),"",ROUND($J110*INDEX(研发人员工时分配表!$M$6:$M$245,$AA110)/$K110,2))</f>
        <v/>
      </c>
      <c r="T110" s="27" t="str">
        <f aca="false">IF(OR($A110="",$K110=0),"",ROUND($J110*INDEX(研发人员工时分配表!$N$6:$N$245,$AA110)/$K110,2))</f>
        <v/>
      </c>
      <c r="U110" s="27" t="str">
        <f aca="false">IF(OR($A110="",$K110=0),"",ROUND($J110*INDEX(研发人员工时分配表!$O$6:$O$245,$AA110)/$K110,2))</f>
        <v/>
      </c>
      <c r="V110" s="27" t="str">
        <f aca="false">IF(OR($A110="",$K110=0),"",ROUND($J110*INDEX(研发人员工时分配表!$P$6:$P$245,$AA110)/$K110,2))</f>
        <v/>
      </c>
      <c r="W110" s="27" t="str">
        <f aca="false">IF(OR($A110="",$K110=0),"",ROUND($J110*INDEX(研发人员工时分配表!$Q$6:$Q$245,$AA110)/$K110,2))</f>
        <v/>
      </c>
      <c r="X110" s="27" t="str">
        <f aca="false">IF($A110="","",ROUND(SUM(N110:W110),2))</f>
        <v/>
      </c>
      <c r="Y110" s="27" t="str">
        <f aca="false">IF($A110="","",ROUND($J110-X110,2))</f>
        <v/>
      </c>
      <c r="Z110" s="43" t="str">
        <f aca="false">IF($A110="","",IF($AA110=0,"⚠ 工时分配表无此人当月记录",IF($AB110&gt;1,"⚠ 工时分配表存在重复行","√ 正常")))</f>
        <v/>
      </c>
      <c r="AA110" s="47" t="n">
        <f aca="false">IF($A110="",0,IFERROR(MATCH($A110&amp;"|"&amp;$B110,研发人员工时分配表!$W$6:$W$245,0),0))</f>
        <v>0</v>
      </c>
      <c r="AB110" s="47" t="n">
        <f aca="false">IF($A110="",0,COUNTIFS(研发人员工时分配表!$A$6:$A$245,$A110,研发人员工时分配表!$B$6:$B$245,$B110))</f>
        <v>0</v>
      </c>
    </row>
    <row r="111" customFormat="false" ht="18" hidden="false" customHeight="true" outlineLevel="0" collapsed="false">
      <c r="A111" s="36"/>
      <c r="B111" s="36"/>
      <c r="C111" s="43" t="str">
        <f aca="false">IF($B111="","",IFERROR(VLOOKUP($B111,人员名册!$B$4:$G$53,2,0)&amp;"","名册中未登记"))</f>
        <v/>
      </c>
      <c r="D111" s="43" t="str">
        <f aca="false">IF($B111="","",IFERROR(VLOOKUP($B111,人员名册!$B$4:$G$53,5,0)&amp;"",""))</f>
        <v/>
      </c>
      <c r="E111" s="25"/>
      <c r="F111" s="25"/>
      <c r="G111" s="25"/>
      <c r="H111" s="25"/>
      <c r="I111" s="25"/>
      <c r="J111" s="27" t="str">
        <f aca="false">IF($A111="","",ROUND(SUM(E111:I111),2))</f>
        <v/>
      </c>
      <c r="K111" s="45" t="n">
        <f aca="false">IF(OR($A111="",$AA111=0),0,INDEX(研发人员工时分配表!$F$6:$F$245,$AA111))</f>
        <v>0</v>
      </c>
      <c r="L111" s="45" t="n">
        <f aca="false">IF(OR($A111="",$AA111=0),0,INDEX(研发人员工时分配表!$R$6:$R$245,$AA111))</f>
        <v>0</v>
      </c>
      <c r="M111" s="28" t="str">
        <f aca="false">IF(OR($A111="",$K111=0),"",$L111/$K111)</f>
        <v/>
      </c>
      <c r="N111" s="27" t="str">
        <f aca="false">IF(OR($A111="",$K111=0),"",ROUND($J111*INDEX(研发人员工时分配表!$H$6:$H$245,$AA111)/$K111,2))</f>
        <v/>
      </c>
      <c r="O111" s="27" t="str">
        <f aca="false">IF(OR($A111="",$K111=0),"",ROUND($J111*INDEX(研发人员工时分配表!$I$6:$I$245,$AA111)/$K111,2))</f>
        <v/>
      </c>
      <c r="P111" s="27" t="str">
        <f aca="false">IF(OR($A111="",$K111=0),"",ROUND($J111*INDEX(研发人员工时分配表!$J$6:$J$245,$AA111)/$K111,2))</f>
        <v/>
      </c>
      <c r="Q111" s="27" t="str">
        <f aca="false">IF(OR($A111="",$K111=0),"",ROUND($J111*INDEX(研发人员工时分配表!$K$6:$K$245,$AA111)/$K111,2))</f>
        <v/>
      </c>
      <c r="R111" s="27" t="str">
        <f aca="false">IF(OR($A111="",$K111=0),"",ROUND($J111*INDEX(研发人员工时分配表!$L$6:$L$245,$AA111)/$K111,2))</f>
        <v/>
      </c>
      <c r="S111" s="27" t="str">
        <f aca="false">IF(OR($A111="",$K111=0),"",ROUND($J111*INDEX(研发人员工时分配表!$M$6:$M$245,$AA111)/$K111,2))</f>
        <v/>
      </c>
      <c r="T111" s="27" t="str">
        <f aca="false">IF(OR($A111="",$K111=0),"",ROUND($J111*INDEX(研发人员工时分配表!$N$6:$N$245,$AA111)/$K111,2))</f>
        <v/>
      </c>
      <c r="U111" s="27" t="str">
        <f aca="false">IF(OR($A111="",$K111=0),"",ROUND($J111*INDEX(研发人员工时分配表!$O$6:$O$245,$AA111)/$K111,2))</f>
        <v/>
      </c>
      <c r="V111" s="27" t="str">
        <f aca="false">IF(OR($A111="",$K111=0),"",ROUND($J111*INDEX(研发人员工时分配表!$P$6:$P$245,$AA111)/$K111,2))</f>
        <v/>
      </c>
      <c r="W111" s="27" t="str">
        <f aca="false">IF(OR($A111="",$K111=0),"",ROUND($J111*INDEX(研发人员工时分配表!$Q$6:$Q$245,$AA111)/$K111,2))</f>
        <v/>
      </c>
      <c r="X111" s="27" t="str">
        <f aca="false">IF($A111="","",ROUND(SUM(N111:W111),2))</f>
        <v/>
      </c>
      <c r="Y111" s="27" t="str">
        <f aca="false">IF($A111="","",ROUND($J111-X111,2))</f>
        <v/>
      </c>
      <c r="Z111" s="43" t="str">
        <f aca="false">IF($A111="","",IF($AA111=0,"⚠ 工时分配表无此人当月记录",IF($AB111&gt;1,"⚠ 工时分配表存在重复行","√ 正常")))</f>
        <v/>
      </c>
      <c r="AA111" s="47" t="n">
        <f aca="false">IF($A111="",0,IFERROR(MATCH($A111&amp;"|"&amp;$B111,研发人员工时分配表!$W$6:$W$245,0),0))</f>
        <v>0</v>
      </c>
      <c r="AB111" s="47" t="n">
        <f aca="false">IF($A111="",0,COUNTIFS(研发人员工时分配表!$A$6:$A$245,$A111,研发人员工时分配表!$B$6:$B$245,$B111))</f>
        <v>0</v>
      </c>
    </row>
    <row r="112" customFormat="false" ht="18" hidden="false" customHeight="true" outlineLevel="0" collapsed="false">
      <c r="A112" s="36"/>
      <c r="B112" s="36"/>
      <c r="C112" s="43" t="str">
        <f aca="false">IF($B112="","",IFERROR(VLOOKUP($B112,人员名册!$B$4:$G$53,2,0)&amp;"","名册中未登记"))</f>
        <v/>
      </c>
      <c r="D112" s="43" t="str">
        <f aca="false">IF($B112="","",IFERROR(VLOOKUP($B112,人员名册!$B$4:$G$53,5,0)&amp;"",""))</f>
        <v/>
      </c>
      <c r="E112" s="25"/>
      <c r="F112" s="25"/>
      <c r="G112" s="25"/>
      <c r="H112" s="25"/>
      <c r="I112" s="25"/>
      <c r="J112" s="27" t="str">
        <f aca="false">IF($A112="","",ROUND(SUM(E112:I112),2))</f>
        <v/>
      </c>
      <c r="K112" s="45" t="n">
        <f aca="false">IF(OR($A112="",$AA112=0),0,INDEX(研发人员工时分配表!$F$6:$F$245,$AA112))</f>
        <v>0</v>
      </c>
      <c r="L112" s="45" t="n">
        <f aca="false">IF(OR($A112="",$AA112=0),0,INDEX(研发人员工时分配表!$R$6:$R$245,$AA112))</f>
        <v>0</v>
      </c>
      <c r="M112" s="28" t="str">
        <f aca="false">IF(OR($A112="",$K112=0),"",$L112/$K112)</f>
        <v/>
      </c>
      <c r="N112" s="27" t="str">
        <f aca="false">IF(OR($A112="",$K112=0),"",ROUND($J112*INDEX(研发人员工时分配表!$H$6:$H$245,$AA112)/$K112,2))</f>
        <v/>
      </c>
      <c r="O112" s="27" t="str">
        <f aca="false">IF(OR($A112="",$K112=0),"",ROUND($J112*INDEX(研发人员工时分配表!$I$6:$I$245,$AA112)/$K112,2))</f>
        <v/>
      </c>
      <c r="P112" s="27" t="str">
        <f aca="false">IF(OR($A112="",$K112=0),"",ROUND($J112*INDEX(研发人员工时分配表!$J$6:$J$245,$AA112)/$K112,2))</f>
        <v/>
      </c>
      <c r="Q112" s="27" t="str">
        <f aca="false">IF(OR($A112="",$K112=0),"",ROUND($J112*INDEX(研发人员工时分配表!$K$6:$K$245,$AA112)/$K112,2))</f>
        <v/>
      </c>
      <c r="R112" s="27" t="str">
        <f aca="false">IF(OR($A112="",$K112=0),"",ROUND($J112*INDEX(研发人员工时分配表!$L$6:$L$245,$AA112)/$K112,2))</f>
        <v/>
      </c>
      <c r="S112" s="27" t="str">
        <f aca="false">IF(OR($A112="",$K112=0),"",ROUND($J112*INDEX(研发人员工时分配表!$M$6:$M$245,$AA112)/$K112,2))</f>
        <v/>
      </c>
      <c r="T112" s="27" t="str">
        <f aca="false">IF(OR($A112="",$K112=0),"",ROUND($J112*INDEX(研发人员工时分配表!$N$6:$N$245,$AA112)/$K112,2))</f>
        <v/>
      </c>
      <c r="U112" s="27" t="str">
        <f aca="false">IF(OR($A112="",$K112=0),"",ROUND($J112*INDEX(研发人员工时分配表!$O$6:$O$245,$AA112)/$K112,2))</f>
        <v/>
      </c>
      <c r="V112" s="27" t="str">
        <f aca="false">IF(OR($A112="",$K112=0),"",ROUND($J112*INDEX(研发人员工时分配表!$P$6:$P$245,$AA112)/$K112,2))</f>
        <v/>
      </c>
      <c r="W112" s="27" t="str">
        <f aca="false">IF(OR($A112="",$K112=0),"",ROUND($J112*INDEX(研发人员工时分配表!$Q$6:$Q$245,$AA112)/$K112,2))</f>
        <v/>
      </c>
      <c r="X112" s="27" t="str">
        <f aca="false">IF($A112="","",ROUND(SUM(N112:W112),2))</f>
        <v/>
      </c>
      <c r="Y112" s="27" t="str">
        <f aca="false">IF($A112="","",ROUND($J112-X112,2))</f>
        <v/>
      </c>
      <c r="Z112" s="43" t="str">
        <f aca="false">IF($A112="","",IF($AA112=0,"⚠ 工时分配表无此人当月记录",IF($AB112&gt;1,"⚠ 工时分配表存在重复行","√ 正常")))</f>
        <v/>
      </c>
      <c r="AA112" s="47" t="n">
        <f aca="false">IF($A112="",0,IFERROR(MATCH($A112&amp;"|"&amp;$B112,研发人员工时分配表!$W$6:$W$245,0),0))</f>
        <v>0</v>
      </c>
      <c r="AB112" s="47" t="n">
        <f aca="false">IF($A112="",0,COUNTIFS(研发人员工时分配表!$A$6:$A$245,$A112,研发人员工时分配表!$B$6:$B$245,$B112))</f>
        <v>0</v>
      </c>
    </row>
    <row r="113" customFormat="false" ht="18" hidden="false" customHeight="true" outlineLevel="0" collapsed="false">
      <c r="A113" s="36"/>
      <c r="B113" s="36"/>
      <c r="C113" s="43" t="str">
        <f aca="false">IF($B113="","",IFERROR(VLOOKUP($B113,人员名册!$B$4:$G$53,2,0)&amp;"","名册中未登记"))</f>
        <v/>
      </c>
      <c r="D113" s="43" t="str">
        <f aca="false">IF($B113="","",IFERROR(VLOOKUP($B113,人员名册!$B$4:$G$53,5,0)&amp;"",""))</f>
        <v/>
      </c>
      <c r="E113" s="25"/>
      <c r="F113" s="25"/>
      <c r="G113" s="25"/>
      <c r="H113" s="25"/>
      <c r="I113" s="25"/>
      <c r="J113" s="27" t="str">
        <f aca="false">IF($A113="","",ROUND(SUM(E113:I113),2))</f>
        <v/>
      </c>
      <c r="K113" s="45" t="n">
        <f aca="false">IF(OR($A113="",$AA113=0),0,INDEX(研发人员工时分配表!$F$6:$F$245,$AA113))</f>
        <v>0</v>
      </c>
      <c r="L113" s="45" t="n">
        <f aca="false">IF(OR($A113="",$AA113=0),0,INDEX(研发人员工时分配表!$R$6:$R$245,$AA113))</f>
        <v>0</v>
      </c>
      <c r="M113" s="28" t="str">
        <f aca="false">IF(OR($A113="",$K113=0),"",$L113/$K113)</f>
        <v/>
      </c>
      <c r="N113" s="27" t="str">
        <f aca="false">IF(OR($A113="",$K113=0),"",ROUND($J113*INDEX(研发人员工时分配表!$H$6:$H$245,$AA113)/$K113,2))</f>
        <v/>
      </c>
      <c r="O113" s="27" t="str">
        <f aca="false">IF(OR($A113="",$K113=0),"",ROUND($J113*INDEX(研发人员工时分配表!$I$6:$I$245,$AA113)/$K113,2))</f>
        <v/>
      </c>
      <c r="P113" s="27" t="str">
        <f aca="false">IF(OR($A113="",$K113=0),"",ROUND($J113*INDEX(研发人员工时分配表!$J$6:$J$245,$AA113)/$K113,2))</f>
        <v/>
      </c>
      <c r="Q113" s="27" t="str">
        <f aca="false">IF(OR($A113="",$K113=0),"",ROUND($J113*INDEX(研发人员工时分配表!$K$6:$K$245,$AA113)/$K113,2))</f>
        <v/>
      </c>
      <c r="R113" s="27" t="str">
        <f aca="false">IF(OR($A113="",$K113=0),"",ROUND($J113*INDEX(研发人员工时分配表!$L$6:$L$245,$AA113)/$K113,2))</f>
        <v/>
      </c>
      <c r="S113" s="27" t="str">
        <f aca="false">IF(OR($A113="",$K113=0),"",ROUND($J113*INDEX(研发人员工时分配表!$M$6:$M$245,$AA113)/$K113,2))</f>
        <v/>
      </c>
      <c r="T113" s="27" t="str">
        <f aca="false">IF(OR($A113="",$K113=0),"",ROUND($J113*INDEX(研发人员工时分配表!$N$6:$N$245,$AA113)/$K113,2))</f>
        <v/>
      </c>
      <c r="U113" s="27" t="str">
        <f aca="false">IF(OR($A113="",$K113=0),"",ROUND($J113*INDEX(研发人员工时分配表!$O$6:$O$245,$AA113)/$K113,2))</f>
        <v/>
      </c>
      <c r="V113" s="27" t="str">
        <f aca="false">IF(OR($A113="",$K113=0),"",ROUND($J113*INDEX(研发人员工时分配表!$P$6:$P$245,$AA113)/$K113,2))</f>
        <v/>
      </c>
      <c r="W113" s="27" t="str">
        <f aca="false">IF(OR($A113="",$K113=0),"",ROUND($J113*INDEX(研发人员工时分配表!$Q$6:$Q$245,$AA113)/$K113,2))</f>
        <v/>
      </c>
      <c r="X113" s="27" t="str">
        <f aca="false">IF($A113="","",ROUND(SUM(N113:W113),2))</f>
        <v/>
      </c>
      <c r="Y113" s="27" t="str">
        <f aca="false">IF($A113="","",ROUND($J113-X113,2))</f>
        <v/>
      </c>
      <c r="Z113" s="43" t="str">
        <f aca="false">IF($A113="","",IF($AA113=0,"⚠ 工时分配表无此人当月记录",IF($AB113&gt;1,"⚠ 工时分配表存在重复行","√ 正常")))</f>
        <v/>
      </c>
      <c r="AA113" s="47" t="n">
        <f aca="false">IF($A113="",0,IFERROR(MATCH($A113&amp;"|"&amp;$B113,研发人员工时分配表!$W$6:$W$245,0),0))</f>
        <v>0</v>
      </c>
      <c r="AB113" s="47" t="n">
        <f aca="false">IF($A113="",0,COUNTIFS(研发人员工时分配表!$A$6:$A$245,$A113,研发人员工时分配表!$B$6:$B$245,$B113))</f>
        <v>0</v>
      </c>
    </row>
    <row r="114" customFormat="false" ht="18" hidden="false" customHeight="true" outlineLevel="0" collapsed="false">
      <c r="A114" s="36"/>
      <c r="B114" s="36"/>
      <c r="C114" s="43" t="str">
        <f aca="false">IF($B114="","",IFERROR(VLOOKUP($B114,人员名册!$B$4:$G$53,2,0)&amp;"","名册中未登记"))</f>
        <v/>
      </c>
      <c r="D114" s="43" t="str">
        <f aca="false">IF($B114="","",IFERROR(VLOOKUP($B114,人员名册!$B$4:$G$53,5,0)&amp;"",""))</f>
        <v/>
      </c>
      <c r="E114" s="25"/>
      <c r="F114" s="25"/>
      <c r="G114" s="25"/>
      <c r="H114" s="25"/>
      <c r="I114" s="25"/>
      <c r="J114" s="27" t="str">
        <f aca="false">IF($A114="","",ROUND(SUM(E114:I114),2))</f>
        <v/>
      </c>
      <c r="K114" s="45" t="n">
        <f aca="false">IF(OR($A114="",$AA114=0),0,INDEX(研发人员工时分配表!$F$6:$F$245,$AA114))</f>
        <v>0</v>
      </c>
      <c r="L114" s="45" t="n">
        <f aca="false">IF(OR($A114="",$AA114=0),0,INDEX(研发人员工时分配表!$R$6:$R$245,$AA114))</f>
        <v>0</v>
      </c>
      <c r="M114" s="28" t="str">
        <f aca="false">IF(OR($A114="",$K114=0),"",$L114/$K114)</f>
        <v/>
      </c>
      <c r="N114" s="27" t="str">
        <f aca="false">IF(OR($A114="",$K114=0),"",ROUND($J114*INDEX(研发人员工时分配表!$H$6:$H$245,$AA114)/$K114,2))</f>
        <v/>
      </c>
      <c r="O114" s="27" t="str">
        <f aca="false">IF(OR($A114="",$K114=0),"",ROUND($J114*INDEX(研发人员工时分配表!$I$6:$I$245,$AA114)/$K114,2))</f>
        <v/>
      </c>
      <c r="P114" s="27" t="str">
        <f aca="false">IF(OR($A114="",$K114=0),"",ROUND($J114*INDEX(研发人员工时分配表!$J$6:$J$245,$AA114)/$K114,2))</f>
        <v/>
      </c>
      <c r="Q114" s="27" t="str">
        <f aca="false">IF(OR($A114="",$K114=0),"",ROUND($J114*INDEX(研发人员工时分配表!$K$6:$K$245,$AA114)/$K114,2))</f>
        <v/>
      </c>
      <c r="R114" s="27" t="str">
        <f aca="false">IF(OR($A114="",$K114=0),"",ROUND($J114*INDEX(研发人员工时分配表!$L$6:$L$245,$AA114)/$K114,2))</f>
        <v/>
      </c>
      <c r="S114" s="27" t="str">
        <f aca="false">IF(OR($A114="",$K114=0),"",ROUND($J114*INDEX(研发人员工时分配表!$M$6:$M$245,$AA114)/$K114,2))</f>
        <v/>
      </c>
      <c r="T114" s="27" t="str">
        <f aca="false">IF(OR($A114="",$K114=0),"",ROUND($J114*INDEX(研发人员工时分配表!$N$6:$N$245,$AA114)/$K114,2))</f>
        <v/>
      </c>
      <c r="U114" s="27" t="str">
        <f aca="false">IF(OR($A114="",$K114=0),"",ROUND($J114*INDEX(研发人员工时分配表!$O$6:$O$245,$AA114)/$K114,2))</f>
        <v/>
      </c>
      <c r="V114" s="27" t="str">
        <f aca="false">IF(OR($A114="",$K114=0),"",ROUND($J114*INDEX(研发人员工时分配表!$P$6:$P$245,$AA114)/$K114,2))</f>
        <v/>
      </c>
      <c r="W114" s="27" t="str">
        <f aca="false">IF(OR($A114="",$K114=0),"",ROUND($J114*INDEX(研发人员工时分配表!$Q$6:$Q$245,$AA114)/$K114,2))</f>
        <v/>
      </c>
      <c r="X114" s="27" t="str">
        <f aca="false">IF($A114="","",ROUND(SUM(N114:W114),2))</f>
        <v/>
      </c>
      <c r="Y114" s="27" t="str">
        <f aca="false">IF($A114="","",ROUND($J114-X114,2))</f>
        <v/>
      </c>
      <c r="Z114" s="43" t="str">
        <f aca="false">IF($A114="","",IF($AA114=0,"⚠ 工时分配表无此人当月记录",IF($AB114&gt;1,"⚠ 工时分配表存在重复行","√ 正常")))</f>
        <v/>
      </c>
      <c r="AA114" s="47" t="n">
        <f aca="false">IF($A114="",0,IFERROR(MATCH($A114&amp;"|"&amp;$B114,研发人员工时分配表!$W$6:$W$245,0),0))</f>
        <v>0</v>
      </c>
      <c r="AB114" s="47" t="n">
        <f aca="false">IF($A114="",0,COUNTIFS(研发人员工时分配表!$A$6:$A$245,$A114,研发人员工时分配表!$B$6:$B$245,$B114))</f>
        <v>0</v>
      </c>
    </row>
    <row r="115" customFormat="false" ht="18" hidden="false" customHeight="true" outlineLevel="0" collapsed="false">
      <c r="A115" s="36"/>
      <c r="B115" s="36"/>
      <c r="C115" s="43" t="str">
        <f aca="false">IF($B115="","",IFERROR(VLOOKUP($B115,人员名册!$B$4:$G$53,2,0)&amp;"","名册中未登记"))</f>
        <v/>
      </c>
      <c r="D115" s="43" t="str">
        <f aca="false">IF($B115="","",IFERROR(VLOOKUP($B115,人员名册!$B$4:$G$53,5,0)&amp;"",""))</f>
        <v/>
      </c>
      <c r="E115" s="25"/>
      <c r="F115" s="25"/>
      <c r="G115" s="25"/>
      <c r="H115" s="25"/>
      <c r="I115" s="25"/>
      <c r="J115" s="27" t="str">
        <f aca="false">IF($A115="","",ROUND(SUM(E115:I115),2))</f>
        <v/>
      </c>
      <c r="K115" s="45" t="n">
        <f aca="false">IF(OR($A115="",$AA115=0),0,INDEX(研发人员工时分配表!$F$6:$F$245,$AA115))</f>
        <v>0</v>
      </c>
      <c r="L115" s="45" t="n">
        <f aca="false">IF(OR($A115="",$AA115=0),0,INDEX(研发人员工时分配表!$R$6:$R$245,$AA115))</f>
        <v>0</v>
      </c>
      <c r="M115" s="28" t="str">
        <f aca="false">IF(OR($A115="",$K115=0),"",$L115/$K115)</f>
        <v/>
      </c>
      <c r="N115" s="27" t="str">
        <f aca="false">IF(OR($A115="",$K115=0),"",ROUND($J115*INDEX(研发人员工时分配表!$H$6:$H$245,$AA115)/$K115,2))</f>
        <v/>
      </c>
      <c r="O115" s="27" t="str">
        <f aca="false">IF(OR($A115="",$K115=0),"",ROUND($J115*INDEX(研发人员工时分配表!$I$6:$I$245,$AA115)/$K115,2))</f>
        <v/>
      </c>
      <c r="P115" s="27" t="str">
        <f aca="false">IF(OR($A115="",$K115=0),"",ROUND($J115*INDEX(研发人员工时分配表!$J$6:$J$245,$AA115)/$K115,2))</f>
        <v/>
      </c>
      <c r="Q115" s="27" t="str">
        <f aca="false">IF(OR($A115="",$K115=0),"",ROUND($J115*INDEX(研发人员工时分配表!$K$6:$K$245,$AA115)/$K115,2))</f>
        <v/>
      </c>
      <c r="R115" s="27" t="str">
        <f aca="false">IF(OR($A115="",$K115=0),"",ROUND($J115*INDEX(研发人员工时分配表!$L$6:$L$245,$AA115)/$K115,2))</f>
        <v/>
      </c>
      <c r="S115" s="27" t="str">
        <f aca="false">IF(OR($A115="",$K115=0),"",ROUND($J115*INDEX(研发人员工时分配表!$M$6:$M$245,$AA115)/$K115,2))</f>
        <v/>
      </c>
      <c r="T115" s="27" t="str">
        <f aca="false">IF(OR($A115="",$K115=0),"",ROUND($J115*INDEX(研发人员工时分配表!$N$6:$N$245,$AA115)/$K115,2))</f>
        <v/>
      </c>
      <c r="U115" s="27" t="str">
        <f aca="false">IF(OR($A115="",$K115=0),"",ROUND($J115*INDEX(研发人员工时分配表!$O$6:$O$245,$AA115)/$K115,2))</f>
        <v/>
      </c>
      <c r="V115" s="27" t="str">
        <f aca="false">IF(OR($A115="",$K115=0),"",ROUND($J115*INDEX(研发人员工时分配表!$P$6:$P$245,$AA115)/$K115,2))</f>
        <v/>
      </c>
      <c r="W115" s="27" t="str">
        <f aca="false">IF(OR($A115="",$K115=0),"",ROUND($J115*INDEX(研发人员工时分配表!$Q$6:$Q$245,$AA115)/$K115,2))</f>
        <v/>
      </c>
      <c r="X115" s="27" t="str">
        <f aca="false">IF($A115="","",ROUND(SUM(N115:W115),2))</f>
        <v/>
      </c>
      <c r="Y115" s="27" t="str">
        <f aca="false">IF($A115="","",ROUND($J115-X115,2))</f>
        <v/>
      </c>
      <c r="Z115" s="43" t="str">
        <f aca="false">IF($A115="","",IF($AA115=0,"⚠ 工时分配表无此人当月记录",IF($AB115&gt;1,"⚠ 工时分配表存在重复行","√ 正常")))</f>
        <v/>
      </c>
      <c r="AA115" s="47" t="n">
        <f aca="false">IF($A115="",0,IFERROR(MATCH($A115&amp;"|"&amp;$B115,研发人员工时分配表!$W$6:$W$245,0),0))</f>
        <v>0</v>
      </c>
      <c r="AB115" s="47" t="n">
        <f aca="false">IF($A115="",0,COUNTIFS(研发人员工时分配表!$A$6:$A$245,$A115,研发人员工时分配表!$B$6:$B$245,$B115))</f>
        <v>0</v>
      </c>
    </row>
    <row r="116" customFormat="false" ht="18" hidden="false" customHeight="true" outlineLevel="0" collapsed="false">
      <c r="A116" s="36"/>
      <c r="B116" s="36"/>
      <c r="C116" s="43" t="str">
        <f aca="false">IF($B116="","",IFERROR(VLOOKUP($B116,人员名册!$B$4:$G$53,2,0)&amp;"","名册中未登记"))</f>
        <v/>
      </c>
      <c r="D116" s="43" t="str">
        <f aca="false">IF($B116="","",IFERROR(VLOOKUP($B116,人员名册!$B$4:$G$53,5,0)&amp;"",""))</f>
        <v/>
      </c>
      <c r="E116" s="25"/>
      <c r="F116" s="25"/>
      <c r="G116" s="25"/>
      <c r="H116" s="25"/>
      <c r="I116" s="25"/>
      <c r="J116" s="27" t="str">
        <f aca="false">IF($A116="","",ROUND(SUM(E116:I116),2))</f>
        <v/>
      </c>
      <c r="K116" s="45" t="n">
        <f aca="false">IF(OR($A116="",$AA116=0),0,INDEX(研发人员工时分配表!$F$6:$F$245,$AA116))</f>
        <v>0</v>
      </c>
      <c r="L116" s="45" t="n">
        <f aca="false">IF(OR($A116="",$AA116=0),0,INDEX(研发人员工时分配表!$R$6:$R$245,$AA116))</f>
        <v>0</v>
      </c>
      <c r="M116" s="28" t="str">
        <f aca="false">IF(OR($A116="",$K116=0),"",$L116/$K116)</f>
        <v/>
      </c>
      <c r="N116" s="27" t="str">
        <f aca="false">IF(OR($A116="",$K116=0),"",ROUND($J116*INDEX(研发人员工时分配表!$H$6:$H$245,$AA116)/$K116,2))</f>
        <v/>
      </c>
      <c r="O116" s="27" t="str">
        <f aca="false">IF(OR($A116="",$K116=0),"",ROUND($J116*INDEX(研发人员工时分配表!$I$6:$I$245,$AA116)/$K116,2))</f>
        <v/>
      </c>
      <c r="P116" s="27" t="str">
        <f aca="false">IF(OR($A116="",$K116=0),"",ROUND($J116*INDEX(研发人员工时分配表!$J$6:$J$245,$AA116)/$K116,2))</f>
        <v/>
      </c>
      <c r="Q116" s="27" t="str">
        <f aca="false">IF(OR($A116="",$K116=0),"",ROUND($J116*INDEX(研发人员工时分配表!$K$6:$K$245,$AA116)/$K116,2))</f>
        <v/>
      </c>
      <c r="R116" s="27" t="str">
        <f aca="false">IF(OR($A116="",$K116=0),"",ROUND($J116*INDEX(研发人员工时分配表!$L$6:$L$245,$AA116)/$K116,2))</f>
        <v/>
      </c>
      <c r="S116" s="27" t="str">
        <f aca="false">IF(OR($A116="",$K116=0),"",ROUND($J116*INDEX(研发人员工时分配表!$M$6:$M$245,$AA116)/$K116,2))</f>
        <v/>
      </c>
      <c r="T116" s="27" t="str">
        <f aca="false">IF(OR($A116="",$K116=0),"",ROUND($J116*INDEX(研发人员工时分配表!$N$6:$N$245,$AA116)/$K116,2))</f>
        <v/>
      </c>
      <c r="U116" s="27" t="str">
        <f aca="false">IF(OR($A116="",$K116=0),"",ROUND($J116*INDEX(研发人员工时分配表!$O$6:$O$245,$AA116)/$K116,2))</f>
        <v/>
      </c>
      <c r="V116" s="27" t="str">
        <f aca="false">IF(OR($A116="",$K116=0),"",ROUND($J116*INDEX(研发人员工时分配表!$P$6:$P$245,$AA116)/$K116,2))</f>
        <v/>
      </c>
      <c r="W116" s="27" t="str">
        <f aca="false">IF(OR($A116="",$K116=0),"",ROUND($J116*INDEX(研发人员工时分配表!$Q$6:$Q$245,$AA116)/$K116,2))</f>
        <v/>
      </c>
      <c r="X116" s="27" t="str">
        <f aca="false">IF($A116="","",ROUND(SUM(N116:W116),2))</f>
        <v/>
      </c>
      <c r="Y116" s="27" t="str">
        <f aca="false">IF($A116="","",ROUND($J116-X116,2))</f>
        <v/>
      </c>
      <c r="Z116" s="43" t="str">
        <f aca="false">IF($A116="","",IF($AA116=0,"⚠ 工时分配表无此人当月记录",IF($AB116&gt;1,"⚠ 工时分配表存在重复行","√ 正常")))</f>
        <v/>
      </c>
      <c r="AA116" s="47" t="n">
        <f aca="false">IF($A116="",0,IFERROR(MATCH($A116&amp;"|"&amp;$B116,研发人员工时分配表!$W$6:$W$245,0),0))</f>
        <v>0</v>
      </c>
      <c r="AB116" s="47" t="n">
        <f aca="false">IF($A116="",0,COUNTIFS(研发人员工时分配表!$A$6:$A$245,$A116,研发人员工时分配表!$B$6:$B$245,$B116))</f>
        <v>0</v>
      </c>
    </row>
    <row r="117" customFormat="false" ht="18" hidden="false" customHeight="true" outlineLevel="0" collapsed="false">
      <c r="A117" s="36"/>
      <c r="B117" s="36"/>
      <c r="C117" s="43" t="str">
        <f aca="false">IF($B117="","",IFERROR(VLOOKUP($B117,人员名册!$B$4:$G$53,2,0)&amp;"","名册中未登记"))</f>
        <v/>
      </c>
      <c r="D117" s="43" t="str">
        <f aca="false">IF($B117="","",IFERROR(VLOOKUP($B117,人员名册!$B$4:$G$53,5,0)&amp;"",""))</f>
        <v/>
      </c>
      <c r="E117" s="25"/>
      <c r="F117" s="25"/>
      <c r="G117" s="25"/>
      <c r="H117" s="25"/>
      <c r="I117" s="25"/>
      <c r="J117" s="27" t="str">
        <f aca="false">IF($A117="","",ROUND(SUM(E117:I117),2))</f>
        <v/>
      </c>
      <c r="K117" s="45" t="n">
        <f aca="false">IF(OR($A117="",$AA117=0),0,INDEX(研发人员工时分配表!$F$6:$F$245,$AA117))</f>
        <v>0</v>
      </c>
      <c r="L117" s="45" t="n">
        <f aca="false">IF(OR($A117="",$AA117=0),0,INDEX(研发人员工时分配表!$R$6:$R$245,$AA117))</f>
        <v>0</v>
      </c>
      <c r="M117" s="28" t="str">
        <f aca="false">IF(OR($A117="",$K117=0),"",$L117/$K117)</f>
        <v/>
      </c>
      <c r="N117" s="27" t="str">
        <f aca="false">IF(OR($A117="",$K117=0),"",ROUND($J117*INDEX(研发人员工时分配表!$H$6:$H$245,$AA117)/$K117,2))</f>
        <v/>
      </c>
      <c r="O117" s="27" t="str">
        <f aca="false">IF(OR($A117="",$K117=0),"",ROUND($J117*INDEX(研发人员工时分配表!$I$6:$I$245,$AA117)/$K117,2))</f>
        <v/>
      </c>
      <c r="P117" s="27" t="str">
        <f aca="false">IF(OR($A117="",$K117=0),"",ROUND($J117*INDEX(研发人员工时分配表!$J$6:$J$245,$AA117)/$K117,2))</f>
        <v/>
      </c>
      <c r="Q117" s="27" t="str">
        <f aca="false">IF(OR($A117="",$K117=0),"",ROUND($J117*INDEX(研发人员工时分配表!$K$6:$K$245,$AA117)/$K117,2))</f>
        <v/>
      </c>
      <c r="R117" s="27" t="str">
        <f aca="false">IF(OR($A117="",$K117=0),"",ROUND($J117*INDEX(研发人员工时分配表!$L$6:$L$245,$AA117)/$K117,2))</f>
        <v/>
      </c>
      <c r="S117" s="27" t="str">
        <f aca="false">IF(OR($A117="",$K117=0),"",ROUND($J117*INDEX(研发人员工时分配表!$M$6:$M$245,$AA117)/$K117,2))</f>
        <v/>
      </c>
      <c r="T117" s="27" t="str">
        <f aca="false">IF(OR($A117="",$K117=0),"",ROUND($J117*INDEX(研发人员工时分配表!$N$6:$N$245,$AA117)/$K117,2))</f>
        <v/>
      </c>
      <c r="U117" s="27" t="str">
        <f aca="false">IF(OR($A117="",$K117=0),"",ROUND($J117*INDEX(研发人员工时分配表!$O$6:$O$245,$AA117)/$K117,2))</f>
        <v/>
      </c>
      <c r="V117" s="27" t="str">
        <f aca="false">IF(OR($A117="",$K117=0),"",ROUND($J117*INDEX(研发人员工时分配表!$P$6:$P$245,$AA117)/$K117,2))</f>
        <v/>
      </c>
      <c r="W117" s="27" t="str">
        <f aca="false">IF(OR($A117="",$K117=0),"",ROUND($J117*INDEX(研发人员工时分配表!$Q$6:$Q$245,$AA117)/$K117,2))</f>
        <v/>
      </c>
      <c r="X117" s="27" t="str">
        <f aca="false">IF($A117="","",ROUND(SUM(N117:W117),2))</f>
        <v/>
      </c>
      <c r="Y117" s="27" t="str">
        <f aca="false">IF($A117="","",ROUND($J117-X117,2))</f>
        <v/>
      </c>
      <c r="Z117" s="43" t="str">
        <f aca="false">IF($A117="","",IF($AA117=0,"⚠ 工时分配表无此人当月记录",IF($AB117&gt;1,"⚠ 工时分配表存在重复行","√ 正常")))</f>
        <v/>
      </c>
      <c r="AA117" s="47" t="n">
        <f aca="false">IF($A117="",0,IFERROR(MATCH($A117&amp;"|"&amp;$B117,研发人员工时分配表!$W$6:$W$245,0),0))</f>
        <v>0</v>
      </c>
      <c r="AB117" s="47" t="n">
        <f aca="false">IF($A117="",0,COUNTIFS(研发人员工时分配表!$A$6:$A$245,$A117,研发人员工时分配表!$B$6:$B$245,$B117))</f>
        <v>0</v>
      </c>
    </row>
    <row r="118" customFormat="false" ht="18" hidden="false" customHeight="true" outlineLevel="0" collapsed="false">
      <c r="A118" s="36"/>
      <c r="B118" s="36"/>
      <c r="C118" s="43" t="str">
        <f aca="false">IF($B118="","",IFERROR(VLOOKUP($B118,人员名册!$B$4:$G$53,2,0)&amp;"","名册中未登记"))</f>
        <v/>
      </c>
      <c r="D118" s="43" t="str">
        <f aca="false">IF($B118="","",IFERROR(VLOOKUP($B118,人员名册!$B$4:$G$53,5,0)&amp;"",""))</f>
        <v/>
      </c>
      <c r="E118" s="25"/>
      <c r="F118" s="25"/>
      <c r="G118" s="25"/>
      <c r="H118" s="25"/>
      <c r="I118" s="25"/>
      <c r="J118" s="27" t="str">
        <f aca="false">IF($A118="","",ROUND(SUM(E118:I118),2))</f>
        <v/>
      </c>
      <c r="K118" s="45" t="n">
        <f aca="false">IF(OR($A118="",$AA118=0),0,INDEX(研发人员工时分配表!$F$6:$F$245,$AA118))</f>
        <v>0</v>
      </c>
      <c r="L118" s="45" t="n">
        <f aca="false">IF(OR($A118="",$AA118=0),0,INDEX(研发人员工时分配表!$R$6:$R$245,$AA118))</f>
        <v>0</v>
      </c>
      <c r="M118" s="28" t="str">
        <f aca="false">IF(OR($A118="",$K118=0),"",$L118/$K118)</f>
        <v/>
      </c>
      <c r="N118" s="27" t="str">
        <f aca="false">IF(OR($A118="",$K118=0),"",ROUND($J118*INDEX(研发人员工时分配表!$H$6:$H$245,$AA118)/$K118,2))</f>
        <v/>
      </c>
      <c r="O118" s="27" t="str">
        <f aca="false">IF(OR($A118="",$K118=0),"",ROUND($J118*INDEX(研发人员工时分配表!$I$6:$I$245,$AA118)/$K118,2))</f>
        <v/>
      </c>
      <c r="P118" s="27" t="str">
        <f aca="false">IF(OR($A118="",$K118=0),"",ROUND($J118*INDEX(研发人员工时分配表!$J$6:$J$245,$AA118)/$K118,2))</f>
        <v/>
      </c>
      <c r="Q118" s="27" t="str">
        <f aca="false">IF(OR($A118="",$K118=0),"",ROUND($J118*INDEX(研发人员工时分配表!$K$6:$K$245,$AA118)/$K118,2))</f>
        <v/>
      </c>
      <c r="R118" s="27" t="str">
        <f aca="false">IF(OR($A118="",$K118=0),"",ROUND($J118*INDEX(研发人员工时分配表!$L$6:$L$245,$AA118)/$K118,2))</f>
        <v/>
      </c>
      <c r="S118" s="27" t="str">
        <f aca="false">IF(OR($A118="",$K118=0),"",ROUND($J118*INDEX(研发人员工时分配表!$M$6:$M$245,$AA118)/$K118,2))</f>
        <v/>
      </c>
      <c r="T118" s="27" t="str">
        <f aca="false">IF(OR($A118="",$K118=0),"",ROUND($J118*INDEX(研发人员工时分配表!$N$6:$N$245,$AA118)/$K118,2))</f>
        <v/>
      </c>
      <c r="U118" s="27" t="str">
        <f aca="false">IF(OR($A118="",$K118=0),"",ROUND($J118*INDEX(研发人员工时分配表!$O$6:$O$245,$AA118)/$K118,2))</f>
        <v/>
      </c>
      <c r="V118" s="27" t="str">
        <f aca="false">IF(OR($A118="",$K118=0),"",ROUND($J118*INDEX(研发人员工时分配表!$P$6:$P$245,$AA118)/$K118,2))</f>
        <v/>
      </c>
      <c r="W118" s="27" t="str">
        <f aca="false">IF(OR($A118="",$K118=0),"",ROUND($J118*INDEX(研发人员工时分配表!$Q$6:$Q$245,$AA118)/$K118,2))</f>
        <v/>
      </c>
      <c r="X118" s="27" t="str">
        <f aca="false">IF($A118="","",ROUND(SUM(N118:W118),2))</f>
        <v/>
      </c>
      <c r="Y118" s="27" t="str">
        <f aca="false">IF($A118="","",ROUND($J118-X118,2))</f>
        <v/>
      </c>
      <c r="Z118" s="43" t="str">
        <f aca="false">IF($A118="","",IF($AA118=0,"⚠ 工时分配表无此人当月记录",IF($AB118&gt;1,"⚠ 工时分配表存在重复行","√ 正常")))</f>
        <v/>
      </c>
      <c r="AA118" s="47" t="n">
        <f aca="false">IF($A118="",0,IFERROR(MATCH($A118&amp;"|"&amp;$B118,研发人员工时分配表!$W$6:$W$245,0),0))</f>
        <v>0</v>
      </c>
      <c r="AB118" s="47" t="n">
        <f aca="false">IF($A118="",0,COUNTIFS(研发人员工时分配表!$A$6:$A$245,$A118,研发人员工时分配表!$B$6:$B$245,$B118))</f>
        <v>0</v>
      </c>
    </row>
    <row r="119" customFormat="false" ht="18" hidden="false" customHeight="true" outlineLevel="0" collapsed="false">
      <c r="A119" s="36"/>
      <c r="B119" s="36"/>
      <c r="C119" s="43" t="str">
        <f aca="false">IF($B119="","",IFERROR(VLOOKUP($B119,人员名册!$B$4:$G$53,2,0)&amp;"","名册中未登记"))</f>
        <v/>
      </c>
      <c r="D119" s="43" t="str">
        <f aca="false">IF($B119="","",IFERROR(VLOOKUP($B119,人员名册!$B$4:$G$53,5,0)&amp;"",""))</f>
        <v/>
      </c>
      <c r="E119" s="25"/>
      <c r="F119" s="25"/>
      <c r="G119" s="25"/>
      <c r="H119" s="25"/>
      <c r="I119" s="25"/>
      <c r="J119" s="27" t="str">
        <f aca="false">IF($A119="","",ROUND(SUM(E119:I119),2))</f>
        <v/>
      </c>
      <c r="K119" s="45" t="n">
        <f aca="false">IF(OR($A119="",$AA119=0),0,INDEX(研发人员工时分配表!$F$6:$F$245,$AA119))</f>
        <v>0</v>
      </c>
      <c r="L119" s="45" t="n">
        <f aca="false">IF(OR($A119="",$AA119=0),0,INDEX(研发人员工时分配表!$R$6:$R$245,$AA119))</f>
        <v>0</v>
      </c>
      <c r="M119" s="28" t="str">
        <f aca="false">IF(OR($A119="",$K119=0),"",$L119/$K119)</f>
        <v/>
      </c>
      <c r="N119" s="27" t="str">
        <f aca="false">IF(OR($A119="",$K119=0),"",ROUND($J119*INDEX(研发人员工时分配表!$H$6:$H$245,$AA119)/$K119,2))</f>
        <v/>
      </c>
      <c r="O119" s="27" t="str">
        <f aca="false">IF(OR($A119="",$K119=0),"",ROUND($J119*INDEX(研发人员工时分配表!$I$6:$I$245,$AA119)/$K119,2))</f>
        <v/>
      </c>
      <c r="P119" s="27" t="str">
        <f aca="false">IF(OR($A119="",$K119=0),"",ROUND($J119*INDEX(研发人员工时分配表!$J$6:$J$245,$AA119)/$K119,2))</f>
        <v/>
      </c>
      <c r="Q119" s="27" t="str">
        <f aca="false">IF(OR($A119="",$K119=0),"",ROUND($J119*INDEX(研发人员工时分配表!$K$6:$K$245,$AA119)/$K119,2))</f>
        <v/>
      </c>
      <c r="R119" s="27" t="str">
        <f aca="false">IF(OR($A119="",$K119=0),"",ROUND($J119*INDEX(研发人员工时分配表!$L$6:$L$245,$AA119)/$K119,2))</f>
        <v/>
      </c>
      <c r="S119" s="27" t="str">
        <f aca="false">IF(OR($A119="",$K119=0),"",ROUND($J119*INDEX(研发人员工时分配表!$M$6:$M$245,$AA119)/$K119,2))</f>
        <v/>
      </c>
      <c r="T119" s="27" t="str">
        <f aca="false">IF(OR($A119="",$K119=0),"",ROUND($J119*INDEX(研发人员工时分配表!$N$6:$N$245,$AA119)/$K119,2))</f>
        <v/>
      </c>
      <c r="U119" s="27" t="str">
        <f aca="false">IF(OR($A119="",$K119=0),"",ROUND($J119*INDEX(研发人员工时分配表!$O$6:$O$245,$AA119)/$K119,2))</f>
        <v/>
      </c>
      <c r="V119" s="27" t="str">
        <f aca="false">IF(OR($A119="",$K119=0),"",ROUND($J119*INDEX(研发人员工时分配表!$P$6:$P$245,$AA119)/$K119,2))</f>
        <v/>
      </c>
      <c r="W119" s="27" t="str">
        <f aca="false">IF(OR($A119="",$K119=0),"",ROUND($J119*INDEX(研发人员工时分配表!$Q$6:$Q$245,$AA119)/$K119,2))</f>
        <v/>
      </c>
      <c r="X119" s="27" t="str">
        <f aca="false">IF($A119="","",ROUND(SUM(N119:W119),2))</f>
        <v/>
      </c>
      <c r="Y119" s="27" t="str">
        <f aca="false">IF($A119="","",ROUND($J119-X119,2))</f>
        <v/>
      </c>
      <c r="Z119" s="43" t="str">
        <f aca="false">IF($A119="","",IF($AA119=0,"⚠ 工时分配表无此人当月记录",IF($AB119&gt;1,"⚠ 工时分配表存在重复行","√ 正常")))</f>
        <v/>
      </c>
      <c r="AA119" s="47" t="n">
        <f aca="false">IF($A119="",0,IFERROR(MATCH($A119&amp;"|"&amp;$B119,研发人员工时分配表!$W$6:$W$245,0),0))</f>
        <v>0</v>
      </c>
      <c r="AB119" s="47" t="n">
        <f aca="false">IF($A119="",0,COUNTIFS(研发人员工时分配表!$A$6:$A$245,$A119,研发人员工时分配表!$B$6:$B$245,$B119))</f>
        <v>0</v>
      </c>
    </row>
    <row r="120" customFormat="false" ht="18" hidden="false" customHeight="true" outlineLevel="0" collapsed="false">
      <c r="A120" s="36"/>
      <c r="B120" s="36"/>
      <c r="C120" s="43" t="str">
        <f aca="false">IF($B120="","",IFERROR(VLOOKUP($B120,人员名册!$B$4:$G$53,2,0)&amp;"","名册中未登记"))</f>
        <v/>
      </c>
      <c r="D120" s="43" t="str">
        <f aca="false">IF($B120="","",IFERROR(VLOOKUP($B120,人员名册!$B$4:$G$53,5,0)&amp;"",""))</f>
        <v/>
      </c>
      <c r="E120" s="25"/>
      <c r="F120" s="25"/>
      <c r="G120" s="25"/>
      <c r="H120" s="25"/>
      <c r="I120" s="25"/>
      <c r="J120" s="27" t="str">
        <f aca="false">IF($A120="","",ROUND(SUM(E120:I120),2))</f>
        <v/>
      </c>
      <c r="K120" s="45" t="n">
        <f aca="false">IF(OR($A120="",$AA120=0),0,INDEX(研发人员工时分配表!$F$6:$F$245,$AA120))</f>
        <v>0</v>
      </c>
      <c r="L120" s="45" t="n">
        <f aca="false">IF(OR($A120="",$AA120=0),0,INDEX(研发人员工时分配表!$R$6:$R$245,$AA120))</f>
        <v>0</v>
      </c>
      <c r="M120" s="28" t="str">
        <f aca="false">IF(OR($A120="",$K120=0),"",$L120/$K120)</f>
        <v/>
      </c>
      <c r="N120" s="27" t="str">
        <f aca="false">IF(OR($A120="",$K120=0),"",ROUND($J120*INDEX(研发人员工时分配表!$H$6:$H$245,$AA120)/$K120,2))</f>
        <v/>
      </c>
      <c r="O120" s="27" t="str">
        <f aca="false">IF(OR($A120="",$K120=0),"",ROUND($J120*INDEX(研发人员工时分配表!$I$6:$I$245,$AA120)/$K120,2))</f>
        <v/>
      </c>
      <c r="P120" s="27" t="str">
        <f aca="false">IF(OR($A120="",$K120=0),"",ROUND($J120*INDEX(研发人员工时分配表!$J$6:$J$245,$AA120)/$K120,2))</f>
        <v/>
      </c>
      <c r="Q120" s="27" t="str">
        <f aca="false">IF(OR($A120="",$K120=0),"",ROUND($J120*INDEX(研发人员工时分配表!$K$6:$K$245,$AA120)/$K120,2))</f>
        <v/>
      </c>
      <c r="R120" s="27" t="str">
        <f aca="false">IF(OR($A120="",$K120=0),"",ROUND($J120*INDEX(研发人员工时分配表!$L$6:$L$245,$AA120)/$K120,2))</f>
        <v/>
      </c>
      <c r="S120" s="27" t="str">
        <f aca="false">IF(OR($A120="",$K120=0),"",ROUND($J120*INDEX(研发人员工时分配表!$M$6:$M$245,$AA120)/$K120,2))</f>
        <v/>
      </c>
      <c r="T120" s="27" t="str">
        <f aca="false">IF(OR($A120="",$K120=0),"",ROUND($J120*INDEX(研发人员工时分配表!$N$6:$N$245,$AA120)/$K120,2))</f>
        <v/>
      </c>
      <c r="U120" s="27" t="str">
        <f aca="false">IF(OR($A120="",$K120=0),"",ROUND($J120*INDEX(研发人员工时分配表!$O$6:$O$245,$AA120)/$K120,2))</f>
        <v/>
      </c>
      <c r="V120" s="27" t="str">
        <f aca="false">IF(OR($A120="",$K120=0),"",ROUND($J120*INDEX(研发人员工时分配表!$P$6:$P$245,$AA120)/$K120,2))</f>
        <v/>
      </c>
      <c r="W120" s="27" t="str">
        <f aca="false">IF(OR($A120="",$K120=0),"",ROUND($J120*INDEX(研发人员工时分配表!$Q$6:$Q$245,$AA120)/$K120,2))</f>
        <v/>
      </c>
      <c r="X120" s="27" t="str">
        <f aca="false">IF($A120="","",ROUND(SUM(N120:W120),2))</f>
        <v/>
      </c>
      <c r="Y120" s="27" t="str">
        <f aca="false">IF($A120="","",ROUND($J120-X120,2))</f>
        <v/>
      </c>
      <c r="Z120" s="43" t="str">
        <f aca="false">IF($A120="","",IF($AA120=0,"⚠ 工时分配表无此人当月记录",IF($AB120&gt;1,"⚠ 工时分配表存在重复行","√ 正常")))</f>
        <v/>
      </c>
      <c r="AA120" s="47" t="n">
        <f aca="false">IF($A120="",0,IFERROR(MATCH($A120&amp;"|"&amp;$B120,研发人员工时分配表!$W$6:$W$245,0),0))</f>
        <v>0</v>
      </c>
      <c r="AB120" s="47" t="n">
        <f aca="false">IF($A120="",0,COUNTIFS(研发人员工时分配表!$A$6:$A$245,$A120,研发人员工时分配表!$B$6:$B$245,$B120))</f>
        <v>0</v>
      </c>
    </row>
    <row r="121" customFormat="false" ht="18" hidden="false" customHeight="true" outlineLevel="0" collapsed="false">
      <c r="A121" s="36"/>
      <c r="B121" s="36"/>
      <c r="C121" s="43" t="str">
        <f aca="false">IF($B121="","",IFERROR(VLOOKUP($B121,人员名册!$B$4:$G$53,2,0)&amp;"","名册中未登记"))</f>
        <v/>
      </c>
      <c r="D121" s="43" t="str">
        <f aca="false">IF($B121="","",IFERROR(VLOOKUP($B121,人员名册!$B$4:$G$53,5,0)&amp;"",""))</f>
        <v/>
      </c>
      <c r="E121" s="25"/>
      <c r="F121" s="25"/>
      <c r="G121" s="25"/>
      <c r="H121" s="25"/>
      <c r="I121" s="25"/>
      <c r="J121" s="27" t="str">
        <f aca="false">IF($A121="","",ROUND(SUM(E121:I121),2))</f>
        <v/>
      </c>
      <c r="K121" s="45" t="n">
        <f aca="false">IF(OR($A121="",$AA121=0),0,INDEX(研发人员工时分配表!$F$6:$F$245,$AA121))</f>
        <v>0</v>
      </c>
      <c r="L121" s="45" t="n">
        <f aca="false">IF(OR($A121="",$AA121=0),0,INDEX(研发人员工时分配表!$R$6:$R$245,$AA121))</f>
        <v>0</v>
      </c>
      <c r="M121" s="28" t="str">
        <f aca="false">IF(OR($A121="",$K121=0),"",$L121/$K121)</f>
        <v/>
      </c>
      <c r="N121" s="27" t="str">
        <f aca="false">IF(OR($A121="",$K121=0),"",ROUND($J121*INDEX(研发人员工时分配表!$H$6:$H$245,$AA121)/$K121,2))</f>
        <v/>
      </c>
      <c r="O121" s="27" t="str">
        <f aca="false">IF(OR($A121="",$K121=0),"",ROUND($J121*INDEX(研发人员工时分配表!$I$6:$I$245,$AA121)/$K121,2))</f>
        <v/>
      </c>
      <c r="P121" s="27" t="str">
        <f aca="false">IF(OR($A121="",$K121=0),"",ROUND($J121*INDEX(研发人员工时分配表!$J$6:$J$245,$AA121)/$K121,2))</f>
        <v/>
      </c>
      <c r="Q121" s="27" t="str">
        <f aca="false">IF(OR($A121="",$K121=0),"",ROUND($J121*INDEX(研发人员工时分配表!$K$6:$K$245,$AA121)/$K121,2))</f>
        <v/>
      </c>
      <c r="R121" s="27" t="str">
        <f aca="false">IF(OR($A121="",$K121=0),"",ROUND($J121*INDEX(研发人员工时分配表!$L$6:$L$245,$AA121)/$K121,2))</f>
        <v/>
      </c>
      <c r="S121" s="27" t="str">
        <f aca="false">IF(OR($A121="",$K121=0),"",ROUND($J121*INDEX(研发人员工时分配表!$M$6:$M$245,$AA121)/$K121,2))</f>
        <v/>
      </c>
      <c r="T121" s="27" t="str">
        <f aca="false">IF(OR($A121="",$K121=0),"",ROUND($J121*INDEX(研发人员工时分配表!$N$6:$N$245,$AA121)/$K121,2))</f>
        <v/>
      </c>
      <c r="U121" s="27" t="str">
        <f aca="false">IF(OR($A121="",$K121=0),"",ROUND($J121*INDEX(研发人员工时分配表!$O$6:$O$245,$AA121)/$K121,2))</f>
        <v/>
      </c>
      <c r="V121" s="27" t="str">
        <f aca="false">IF(OR($A121="",$K121=0),"",ROUND($J121*INDEX(研发人员工时分配表!$P$6:$P$245,$AA121)/$K121,2))</f>
        <v/>
      </c>
      <c r="W121" s="27" t="str">
        <f aca="false">IF(OR($A121="",$K121=0),"",ROUND($J121*INDEX(研发人员工时分配表!$Q$6:$Q$245,$AA121)/$K121,2))</f>
        <v/>
      </c>
      <c r="X121" s="27" t="str">
        <f aca="false">IF($A121="","",ROUND(SUM(N121:W121),2))</f>
        <v/>
      </c>
      <c r="Y121" s="27" t="str">
        <f aca="false">IF($A121="","",ROUND($J121-X121,2))</f>
        <v/>
      </c>
      <c r="Z121" s="43" t="str">
        <f aca="false">IF($A121="","",IF($AA121=0,"⚠ 工时分配表无此人当月记录",IF($AB121&gt;1,"⚠ 工时分配表存在重复行","√ 正常")))</f>
        <v/>
      </c>
      <c r="AA121" s="47" t="n">
        <f aca="false">IF($A121="",0,IFERROR(MATCH($A121&amp;"|"&amp;$B121,研发人员工时分配表!$W$6:$W$245,0),0))</f>
        <v>0</v>
      </c>
      <c r="AB121" s="47" t="n">
        <f aca="false">IF($A121="",0,COUNTIFS(研发人员工时分配表!$A$6:$A$245,$A121,研发人员工时分配表!$B$6:$B$245,$B121))</f>
        <v>0</v>
      </c>
    </row>
    <row r="122" customFormat="false" ht="18" hidden="false" customHeight="true" outlineLevel="0" collapsed="false">
      <c r="A122" s="36"/>
      <c r="B122" s="36"/>
      <c r="C122" s="43" t="str">
        <f aca="false">IF($B122="","",IFERROR(VLOOKUP($B122,人员名册!$B$4:$G$53,2,0)&amp;"","名册中未登记"))</f>
        <v/>
      </c>
      <c r="D122" s="43" t="str">
        <f aca="false">IF($B122="","",IFERROR(VLOOKUP($B122,人员名册!$B$4:$G$53,5,0)&amp;"",""))</f>
        <v/>
      </c>
      <c r="E122" s="25"/>
      <c r="F122" s="25"/>
      <c r="G122" s="25"/>
      <c r="H122" s="25"/>
      <c r="I122" s="25"/>
      <c r="J122" s="27" t="str">
        <f aca="false">IF($A122="","",ROUND(SUM(E122:I122),2))</f>
        <v/>
      </c>
      <c r="K122" s="45" t="n">
        <f aca="false">IF(OR($A122="",$AA122=0),0,INDEX(研发人员工时分配表!$F$6:$F$245,$AA122))</f>
        <v>0</v>
      </c>
      <c r="L122" s="45" t="n">
        <f aca="false">IF(OR($A122="",$AA122=0),0,INDEX(研发人员工时分配表!$R$6:$R$245,$AA122))</f>
        <v>0</v>
      </c>
      <c r="M122" s="28" t="str">
        <f aca="false">IF(OR($A122="",$K122=0),"",$L122/$K122)</f>
        <v/>
      </c>
      <c r="N122" s="27" t="str">
        <f aca="false">IF(OR($A122="",$K122=0),"",ROUND($J122*INDEX(研发人员工时分配表!$H$6:$H$245,$AA122)/$K122,2))</f>
        <v/>
      </c>
      <c r="O122" s="27" t="str">
        <f aca="false">IF(OR($A122="",$K122=0),"",ROUND($J122*INDEX(研发人员工时分配表!$I$6:$I$245,$AA122)/$K122,2))</f>
        <v/>
      </c>
      <c r="P122" s="27" t="str">
        <f aca="false">IF(OR($A122="",$K122=0),"",ROUND($J122*INDEX(研发人员工时分配表!$J$6:$J$245,$AA122)/$K122,2))</f>
        <v/>
      </c>
      <c r="Q122" s="27" t="str">
        <f aca="false">IF(OR($A122="",$K122=0),"",ROUND($J122*INDEX(研发人员工时分配表!$K$6:$K$245,$AA122)/$K122,2))</f>
        <v/>
      </c>
      <c r="R122" s="27" t="str">
        <f aca="false">IF(OR($A122="",$K122=0),"",ROUND($J122*INDEX(研发人员工时分配表!$L$6:$L$245,$AA122)/$K122,2))</f>
        <v/>
      </c>
      <c r="S122" s="27" t="str">
        <f aca="false">IF(OR($A122="",$K122=0),"",ROUND($J122*INDEX(研发人员工时分配表!$M$6:$M$245,$AA122)/$K122,2))</f>
        <v/>
      </c>
      <c r="T122" s="27" t="str">
        <f aca="false">IF(OR($A122="",$K122=0),"",ROUND($J122*INDEX(研发人员工时分配表!$N$6:$N$245,$AA122)/$K122,2))</f>
        <v/>
      </c>
      <c r="U122" s="27" t="str">
        <f aca="false">IF(OR($A122="",$K122=0),"",ROUND($J122*INDEX(研发人员工时分配表!$O$6:$O$245,$AA122)/$K122,2))</f>
        <v/>
      </c>
      <c r="V122" s="27" t="str">
        <f aca="false">IF(OR($A122="",$K122=0),"",ROUND($J122*INDEX(研发人员工时分配表!$P$6:$P$245,$AA122)/$K122,2))</f>
        <v/>
      </c>
      <c r="W122" s="27" t="str">
        <f aca="false">IF(OR($A122="",$K122=0),"",ROUND($J122*INDEX(研发人员工时分配表!$Q$6:$Q$245,$AA122)/$K122,2))</f>
        <v/>
      </c>
      <c r="X122" s="27" t="str">
        <f aca="false">IF($A122="","",ROUND(SUM(N122:W122),2))</f>
        <v/>
      </c>
      <c r="Y122" s="27" t="str">
        <f aca="false">IF($A122="","",ROUND($J122-X122,2))</f>
        <v/>
      </c>
      <c r="Z122" s="43" t="str">
        <f aca="false">IF($A122="","",IF($AA122=0,"⚠ 工时分配表无此人当月记录",IF($AB122&gt;1,"⚠ 工时分配表存在重复行","√ 正常")))</f>
        <v/>
      </c>
      <c r="AA122" s="47" t="n">
        <f aca="false">IF($A122="",0,IFERROR(MATCH($A122&amp;"|"&amp;$B122,研发人员工时分配表!$W$6:$W$245,0),0))</f>
        <v>0</v>
      </c>
      <c r="AB122" s="47" t="n">
        <f aca="false">IF($A122="",0,COUNTIFS(研发人员工时分配表!$A$6:$A$245,$A122,研发人员工时分配表!$B$6:$B$245,$B122))</f>
        <v>0</v>
      </c>
    </row>
    <row r="123" customFormat="false" ht="18" hidden="false" customHeight="true" outlineLevel="0" collapsed="false">
      <c r="A123" s="36"/>
      <c r="B123" s="36"/>
      <c r="C123" s="43" t="str">
        <f aca="false">IF($B123="","",IFERROR(VLOOKUP($B123,人员名册!$B$4:$G$53,2,0)&amp;"","名册中未登记"))</f>
        <v/>
      </c>
      <c r="D123" s="43" t="str">
        <f aca="false">IF($B123="","",IFERROR(VLOOKUP($B123,人员名册!$B$4:$G$53,5,0)&amp;"",""))</f>
        <v/>
      </c>
      <c r="E123" s="25"/>
      <c r="F123" s="25"/>
      <c r="G123" s="25"/>
      <c r="H123" s="25"/>
      <c r="I123" s="25"/>
      <c r="J123" s="27" t="str">
        <f aca="false">IF($A123="","",ROUND(SUM(E123:I123),2))</f>
        <v/>
      </c>
      <c r="K123" s="45" t="n">
        <f aca="false">IF(OR($A123="",$AA123=0),0,INDEX(研发人员工时分配表!$F$6:$F$245,$AA123))</f>
        <v>0</v>
      </c>
      <c r="L123" s="45" t="n">
        <f aca="false">IF(OR($A123="",$AA123=0),0,INDEX(研发人员工时分配表!$R$6:$R$245,$AA123))</f>
        <v>0</v>
      </c>
      <c r="M123" s="28" t="str">
        <f aca="false">IF(OR($A123="",$K123=0),"",$L123/$K123)</f>
        <v/>
      </c>
      <c r="N123" s="27" t="str">
        <f aca="false">IF(OR($A123="",$K123=0),"",ROUND($J123*INDEX(研发人员工时分配表!$H$6:$H$245,$AA123)/$K123,2))</f>
        <v/>
      </c>
      <c r="O123" s="27" t="str">
        <f aca="false">IF(OR($A123="",$K123=0),"",ROUND($J123*INDEX(研发人员工时分配表!$I$6:$I$245,$AA123)/$K123,2))</f>
        <v/>
      </c>
      <c r="P123" s="27" t="str">
        <f aca="false">IF(OR($A123="",$K123=0),"",ROUND($J123*INDEX(研发人员工时分配表!$J$6:$J$245,$AA123)/$K123,2))</f>
        <v/>
      </c>
      <c r="Q123" s="27" t="str">
        <f aca="false">IF(OR($A123="",$K123=0),"",ROUND($J123*INDEX(研发人员工时分配表!$K$6:$K$245,$AA123)/$K123,2))</f>
        <v/>
      </c>
      <c r="R123" s="27" t="str">
        <f aca="false">IF(OR($A123="",$K123=0),"",ROUND($J123*INDEX(研发人员工时分配表!$L$6:$L$245,$AA123)/$K123,2))</f>
        <v/>
      </c>
      <c r="S123" s="27" t="str">
        <f aca="false">IF(OR($A123="",$K123=0),"",ROUND($J123*INDEX(研发人员工时分配表!$M$6:$M$245,$AA123)/$K123,2))</f>
        <v/>
      </c>
      <c r="T123" s="27" t="str">
        <f aca="false">IF(OR($A123="",$K123=0),"",ROUND($J123*INDEX(研发人员工时分配表!$N$6:$N$245,$AA123)/$K123,2))</f>
        <v/>
      </c>
      <c r="U123" s="27" t="str">
        <f aca="false">IF(OR($A123="",$K123=0),"",ROUND($J123*INDEX(研发人员工时分配表!$O$6:$O$245,$AA123)/$K123,2))</f>
        <v/>
      </c>
      <c r="V123" s="27" t="str">
        <f aca="false">IF(OR($A123="",$K123=0),"",ROUND($J123*INDEX(研发人员工时分配表!$P$6:$P$245,$AA123)/$K123,2))</f>
        <v/>
      </c>
      <c r="W123" s="27" t="str">
        <f aca="false">IF(OR($A123="",$K123=0),"",ROUND($J123*INDEX(研发人员工时分配表!$Q$6:$Q$245,$AA123)/$K123,2))</f>
        <v/>
      </c>
      <c r="X123" s="27" t="str">
        <f aca="false">IF($A123="","",ROUND(SUM(N123:W123),2))</f>
        <v/>
      </c>
      <c r="Y123" s="27" t="str">
        <f aca="false">IF($A123="","",ROUND($J123-X123,2))</f>
        <v/>
      </c>
      <c r="Z123" s="43" t="str">
        <f aca="false">IF($A123="","",IF($AA123=0,"⚠ 工时分配表无此人当月记录",IF($AB123&gt;1,"⚠ 工时分配表存在重复行","√ 正常")))</f>
        <v/>
      </c>
      <c r="AA123" s="47" t="n">
        <f aca="false">IF($A123="",0,IFERROR(MATCH($A123&amp;"|"&amp;$B123,研发人员工时分配表!$W$6:$W$245,0),0))</f>
        <v>0</v>
      </c>
      <c r="AB123" s="47" t="n">
        <f aca="false">IF($A123="",0,COUNTIFS(研发人员工时分配表!$A$6:$A$245,$A123,研发人员工时分配表!$B$6:$B$245,$B123))</f>
        <v>0</v>
      </c>
    </row>
    <row r="124" customFormat="false" ht="18" hidden="false" customHeight="true" outlineLevel="0" collapsed="false">
      <c r="A124" s="36"/>
      <c r="B124" s="36"/>
      <c r="C124" s="43" t="str">
        <f aca="false">IF($B124="","",IFERROR(VLOOKUP($B124,人员名册!$B$4:$G$53,2,0)&amp;"","名册中未登记"))</f>
        <v/>
      </c>
      <c r="D124" s="43" t="str">
        <f aca="false">IF($B124="","",IFERROR(VLOOKUP($B124,人员名册!$B$4:$G$53,5,0)&amp;"",""))</f>
        <v/>
      </c>
      <c r="E124" s="25"/>
      <c r="F124" s="25"/>
      <c r="G124" s="25"/>
      <c r="H124" s="25"/>
      <c r="I124" s="25"/>
      <c r="J124" s="27" t="str">
        <f aca="false">IF($A124="","",ROUND(SUM(E124:I124),2))</f>
        <v/>
      </c>
      <c r="K124" s="45" t="n">
        <f aca="false">IF(OR($A124="",$AA124=0),0,INDEX(研发人员工时分配表!$F$6:$F$245,$AA124))</f>
        <v>0</v>
      </c>
      <c r="L124" s="45" t="n">
        <f aca="false">IF(OR($A124="",$AA124=0),0,INDEX(研发人员工时分配表!$R$6:$R$245,$AA124))</f>
        <v>0</v>
      </c>
      <c r="M124" s="28" t="str">
        <f aca="false">IF(OR($A124="",$K124=0),"",$L124/$K124)</f>
        <v/>
      </c>
      <c r="N124" s="27" t="str">
        <f aca="false">IF(OR($A124="",$K124=0),"",ROUND($J124*INDEX(研发人员工时分配表!$H$6:$H$245,$AA124)/$K124,2))</f>
        <v/>
      </c>
      <c r="O124" s="27" t="str">
        <f aca="false">IF(OR($A124="",$K124=0),"",ROUND($J124*INDEX(研发人员工时分配表!$I$6:$I$245,$AA124)/$K124,2))</f>
        <v/>
      </c>
      <c r="P124" s="27" t="str">
        <f aca="false">IF(OR($A124="",$K124=0),"",ROUND($J124*INDEX(研发人员工时分配表!$J$6:$J$245,$AA124)/$K124,2))</f>
        <v/>
      </c>
      <c r="Q124" s="27" t="str">
        <f aca="false">IF(OR($A124="",$K124=0),"",ROUND($J124*INDEX(研发人员工时分配表!$K$6:$K$245,$AA124)/$K124,2))</f>
        <v/>
      </c>
      <c r="R124" s="27" t="str">
        <f aca="false">IF(OR($A124="",$K124=0),"",ROUND($J124*INDEX(研发人员工时分配表!$L$6:$L$245,$AA124)/$K124,2))</f>
        <v/>
      </c>
      <c r="S124" s="27" t="str">
        <f aca="false">IF(OR($A124="",$K124=0),"",ROUND($J124*INDEX(研发人员工时分配表!$M$6:$M$245,$AA124)/$K124,2))</f>
        <v/>
      </c>
      <c r="T124" s="27" t="str">
        <f aca="false">IF(OR($A124="",$K124=0),"",ROUND($J124*INDEX(研发人员工时分配表!$N$6:$N$245,$AA124)/$K124,2))</f>
        <v/>
      </c>
      <c r="U124" s="27" t="str">
        <f aca="false">IF(OR($A124="",$K124=0),"",ROUND($J124*INDEX(研发人员工时分配表!$O$6:$O$245,$AA124)/$K124,2))</f>
        <v/>
      </c>
      <c r="V124" s="27" t="str">
        <f aca="false">IF(OR($A124="",$K124=0),"",ROUND($J124*INDEX(研发人员工时分配表!$P$6:$P$245,$AA124)/$K124,2))</f>
        <v/>
      </c>
      <c r="W124" s="27" t="str">
        <f aca="false">IF(OR($A124="",$K124=0),"",ROUND($J124*INDEX(研发人员工时分配表!$Q$6:$Q$245,$AA124)/$K124,2))</f>
        <v/>
      </c>
      <c r="X124" s="27" t="str">
        <f aca="false">IF($A124="","",ROUND(SUM(N124:W124),2))</f>
        <v/>
      </c>
      <c r="Y124" s="27" t="str">
        <f aca="false">IF($A124="","",ROUND($J124-X124,2))</f>
        <v/>
      </c>
      <c r="Z124" s="43" t="str">
        <f aca="false">IF($A124="","",IF($AA124=0,"⚠ 工时分配表无此人当月记录",IF($AB124&gt;1,"⚠ 工时分配表存在重复行","√ 正常")))</f>
        <v/>
      </c>
      <c r="AA124" s="47" t="n">
        <f aca="false">IF($A124="",0,IFERROR(MATCH($A124&amp;"|"&amp;$B124,研发人员工时分配表!$W$6:$W$245,0),0))</f>
        <v>0</v>
      </c>
      <c r="AB124" s="47" t="n">
        <f aca="false">IF($A124="",0,COUNTIFS(研发人员工时分配表!$A$6:$A$245,$A124,研发人员工时分配表!$B$6:$B$245,$B124))</f>
        <v>0</v>
      </c>
    </row>
    <row r="125" customFormat="false" ht="18" hidden="false" customHeight="true" outlineLevel="0" collapsed="false">
      <c r="A125" s="36"/>
      <c r="B125" s="36"/>
      <c r="C125" s="43" t="str">
        <f aca="false">IF($B125="","",IFERROR(VLOOKUP($B125,人员名册!$B$4:$G$53,2,0)&amp;"","名册中未登记"))</f>
        <v/>
      </c>
      <c r="D125" s="43" t="str">
        <f aca="false">IF($B125="","",IFERROR(VLOOKUP($B125,人员名册!$B$4:$G$53,5,0)&amp;"",""))</f>
        <v/>
      </c>
      <c r="E125" s="25"/>
      <c r="F125" s="25"/>
      <c r="G125" s="25"/>
      <c r="H125" s="25"/>
      <c r="I125" s="25"/>
      <c r="J125" s="27" t="str">
        <f aca="false">IF($A125="","",ROUND(SUM(E125:I125),2))</f>
        <v/>
      </c>
      <c r="K125" s="45" t="n">
        <f aca="false">IF(OR($A125="",$AA125=0),0,INDEX(研发人员工时分配表!$F$6:$F$245,$AA125))</f>
        <v>0</v>
      </c>
      <c r="L125" s="45" t="n">
        <f aca="false">IF(OR($A125="",$AA125=0),0,INDEX(研发人员工时分配表!$R$6:$R$245,$AA125))</f>
        <v>0</v>
      </c>
      <c r="M125" s="28" t="str">
        <f aca="false">IF(OR($A125="",$K125=0),"",$L125/$K125)</f>
        <v/>
      </c>
      <c r="N125" s="27" t="str">
        <f aca="false">IF(OR($A125="",$K125=0),"",ROUND($J125*INDEX(研发人员工时分配表!$H$6:$H$245,$AA125)/$K125,2))</f>
        <v/>
      </c>
      <c r="O125" s="27" t="str">
        <f aca="false">IF(OR($A125="",$K125=0),"",ROUND($J125*INDEX(研发人员工时分配表!$I$6:$I$245,$AA125)/$K125,2))</f>
        <v/>
      </c>
      <c r="P125" s="27" t="str">
        <f aca="false">IF(OR($A125="",$K125=0),"",ROUND($J125*INDEX(研发人员工时分配表!$J$6:$J$245,$AA125)/$K125,2))</f>
        <v/>
      </c>
      <c r="Q125" s="27" t="str">
        <f aca="false">IF(OR($A125="",$K125=0),"",ROUND($J125*INDEX(研发人员工时分配表!$K$6:$K$245,$AA125)/$K125,2))</f>
        <v/>
      </c>
      <c r="R125" s="27" t="str">
        <f aca="false">IF(OR($A125="",$K125=0),"",ROUND($J125*INDEX(研发人员工时分配表!$L$6:$L$245,$AA125)/$K125,2))</f>
        <v/>
      </c>
      <c r="S125" s="27" t="str">
        <f aca="false">IF(OR($A125="",$K125=0),"",ROUND($J125*INDEX(研发人员工时分配表!$M$6:$M$245,$AA125)/$K125,2))</f>
        <v/>
      </c>
      <c r="T125" s="27" t="str">
        <f aca="false">IF(OR($A125="",$K125=0),"",ROUND($J125*INDEX(研发人员工时分配表!$N$6:$N$245,$AA125)/$K125,2))</f>
        <v/>
      </c>
      <c r="U125" s="27" t="str">
        <f aca="false">IF(OR($A125="",$K125=0),"",ROUND($J125*INDEX(研发人员工时分配表!$O$6:$O$245,$AA125)/$K125,2))</f>
        <v/>
      </c>
      <c r="V125" s="27" t="str">
        <f aca="false">IF(OR($A125="",$K125=0),"",ROUND($J125*INDEX(研发人员工时分配表!$P$6:$P$245,$AA125)/$K125,2))</f>
        <v/>
      </c>
      <c r="W125" s="27" t="str">
        <f aca="false">IF(OR($A125="",$K125=0),"",ROUND($J125*INDEX(研发人员工时分配表!$Q$6:$Q$245,$AA125)/$K125,2))</f>
        <v/>
      </c>
      <c r="X125" s="27" t="str">
        <f aca="false">IF($A125="","",ROUND(SUM(N125:W125),2))</f>
        <v/>
      </c>
      <c r="Y125" s="27" t="str">
        <f aca="false">IF($A125="","",ROUND($J125-X125,2))</f>
        <v/>
      </c>
      <c r="Z125" s="43" t="str">
        <f aca="false">IF($A125="","",IF($AA125=0,"⚠ 工时分配表无此人当月记录",IF($AB125&gt;1,"⚠ 工时分配表存在重复行","√ 正常")))</f>
        <v/>
      </c>
      <c r="AA125" s="47" t="n">
        <f aca="false">IF($A125="",0,IFERROR(MATCH($A125&amp;"|"&amp;$B125,研发人员工时分配表!$W$6:$W$245,0),0))</f>
        <v>0</v>
      </c>
      <c r="AB125" s="47" t="n">
        <f aca="false">IF($A125="",0,COUNTIFS(研发人员工时分配表!$A$6:$A$245,$A125,研发人员工时分配表!$B$6:$B$245,$B125))</f>
        <v>0</v>
      </c>
    </row>
    <row r="126" customFormat="false" ht="18" hidden="false" customHeight="true" outlineLevel="0" collapsed="false">
      <c r="A126" s="36"/>
      <c r="B126" s="36"/>
      <c r="C126" s="43" t="str">
        <f aca="false">IF($B126="","",IFERROR(VLOOKUP($B126,人员名册!$B$4:$G$53,2,0)&amp;"","名册中未登记"))</f>
        <v/>
      </c>
      <c r="D126" s="43" t="str">
        <f aca="false">IF($B126="","",IFERROR(VLOOKUP($B126,人员名册!$B$4:$G$53,5,0)&amp;"",""))</f>
        <v/>
      </c>
      <c r="E126" s="25"/>
      <c r="F126" s="25"/>
      <c r="G126" s="25"/>
      <c r="H126" s="25"/>
      <c r="I126" s="25"/>
      <c r="J126" s="27" t="str">
        <f aca="false">IF($A126="","",ROUND(SUM(E126:I126),2))</f>
        <v/>
      </c>
      <c r="K126" s="45" t="n">
        <f aca="false">IF(OR($A126="",$AA126=0),0,INDEX(研发人员工时分配表!$F$6:$F$245,$AA126))</f>
        <v>0</v>
      </c>
      <c r="L126" s="45" t="n">
        <f aca="false">IF(OR($A126="",$AA126=0),0,INDEX(研发人员工时分配表!$R$6:$R$245,$AA126))</f>
        <v>0</v>
      </c>
      <c r="M126" s="28" t="str">
        <f aca="false">IF(OR($A126="",$K126=0),"",$L126/$K126)</f>
        <v/>
      </c>
      <c r="N126" s="27" t="str">
        <f aca="false">IF(OR($A126="",$K126=0),"",ROUND($J126*INDEX(研发人员工时分配表!$H$6:$H$245,$AA126)/$K126,2))</f>
        <v/>
      </c>
      <c r="O126" s="27" t="str">
        <f aca="false">IF(OR($A126="",$K126=0),"",ROUND($J126*INDEX(研发人员工时分配表!$I$6:$I$245,$AA126)/$K126,2))</f>
        <v/>
      </c>
      <c r="P126" s="27" t="str">
        <f aca="false">IF(OR($A126="",$K126=0),"",ROUND($J126*INDEX(研发人员工时分配表!$J$6:$J$245,$AA126)/$K126,2))</f>
        <v/>
      </c>
      <c r="Q126" s="27" t="str">
        <f aca="false">IF(OR($A126="",$K126=0),"",ROUND($J126*INDEX(研发人员工时分配表!$K$6:$K$245,$AA126)/$K126,2))</f>
        <v/>
      </c>
      <c r="R126" s="27" t="str">
        <f aca="false">IF(OR($A126="",$K126=0),"",ROUND($J126*INDEX(研发人员工时分配表!$L$6:$L$245,$AA126)/$K126,2))</f>
        <v/>
      </c>
      <c r="S126" s="27" t="str">
        <f aca="false">IF(OR($A126="",$K126=0),"",ROUND($J126*INDEX(研发人员工时分配表!$M$6:$M$245,$AA126)/$K126,2))</f>
        <v/>
      </c>
      <c r="T126" s="27" t="str">
        <f aca="false">IF(OR($A126="",$K126=0),"",ROUND($J126*INDEX(研发人员工时分配表!$N$6:$N$245,$AA126)/$K126,2))</f>
        <v/>
      </c>
      <c r="U126" s="27" t="str">
        <f aca="false">IF(OR($A126="",$K126=0),"",ROUND($J126*INDEX(研发人员工时分配表!$O$6:$O$245,$AA126)/$K126,2))</f>
        <v/>
      </c>
      <c r="V126" s="27" t="str">
        <f aca="false">IF(OR($A126="",$K126=0),"",ROUND($J126*INDEX(研发人员工时分配表!$P$6:$P$245,$AA126)/$K126,2))</f>
        <v/>
      </c>
      <c r="W126" s="27" t="str">
        <f aca="false">IF(OR($A126="",$K126=0),"",ROUND($J126*INDEX(研发人员工时分配表!$Q$6:$Q$245,$AA126)/$K126,2))</f>
        <v/>
      </c>
      <c r="X126" s="27" t="str">
        <f aca="false">IF($A126="","",ROUND(SUM(N126:W126),2))</f>
        <v/>
      </c>
      <c r="Y126" s="27" t="str">
        <f aca="false">IF($A126="","",ROUND($J126-X126,2))</f>
        <v/>
      </c>
      <c r="Z126" s="43" t="str">
        <f aca="false">IF($A126="","",IF($AA126=0,"⚠ 工时分配表无此人当月记录",IF($AB126&gt;1,"⚠ 工时分配表存在重复行","√ 正常")))</f>
        <v/>
      </c>
      <c r="AA126" s="47" t="n">
        <f aca="false">IF($A126="",0,IFERROR(MATCH($A126&amp;"|"&amp;$B126,研发人员工时分配表!$W$6:$W$245,0),0))</f>
        <v>0</v>
      </c>
      <c r="AB126" s="47" t="n">
        <f aca="false">IF($A126="",0,COUNTIFS(研发人员工时分配表!$A$6:$A$245,$A126,研发人员工时分配表!$B$6:$B$245,$B126))</f>
        <v>0</v>
      </c>
    </row>
    <row r="127" customFormat="false" ht="18" hidden="false" customHeight="true" outlineLevel="0" collapsed="false">
      <c r="A127" s="36"/>
      <c r="B127" s="36"/>
      <c r="C127" s="43" t="str">
        <f aca="false">IF($B127="","",IFERROR(VLOOKUP($B127,人员名册!$B$4:$G$53,2,0)&amp;"","名册中未登记"))</f>
        <v/>
      </c>
      <c r="D127" s="43" t="str">
        <f aca="false">IF($B127="","",IFERROR(VLOOKUP($B127,人员名册!$B$4:$G$53,5,0)&amp;"",""))</f>
        <v/>
      </c>
      <c r="E127" s="25"/>
      <c r="F127" s="25"/>
      <c r="G127" s="25"/>
      <c r="H127" s="25"/>
      <c r="I127" s="25"/>
      <c r="J127" s="27" t="str">
        <f aca="false">IF($A127="","",ROUND(SUM(E127:I127),2))</f>
        <v/>
      </c>
      <c r="K127" s="45" t="n">
        <f aca="false">IF(OR($A127="",$AA127=0),0,INDEX(研发人员工时分配表!$F$6:$F$245,$AA127))</f>
        <v>0</v>
      </c>
      <c r="L127" s="45" t="n">
        <f aca="false">IF(OR($A127="",$AA127=0),0,INDEX(研发人员工时分配表!$R$6:$R$245,$AA127))</f>
        <v>0</v>
      </c>
      <c r="M127" s="28" t="str">
        <f aca="false">IF(OR($A127="",$K127=0),"",$L127/$K127)</f>
        <v/>
      </c>
      <c r="N127" s="27" t="str">
        <f aca="false">IF(OR($A127="",$K127=0),"",ROUND($J127*INDEX(研发人员工时分配表!$H$6:$H$245,$AA127)/$K127,2))</f>
        <v/>
      </c>
      <c r="O127" s="27" t="str">
        <f aca="false">IF(OR($A127="",$K127=0),"",ROUND($J127*INDEX(研发人员工时分配表!$I$6:$I$245,$AA127)/$K127,2))</f>
        <v/>
      </c>
      <c r="P127" s="27" t="str">
        <f aca="false">IF(OR($A127="",$K127=0),"",ROUND($J127*INDEX(研发人员工时分配表!$J$6:$J$245,$AA127)/$K127,2))</f>
        <v/>
      </c>
      <c r="Q127" s="27" t="str">
        <f aca="false">IF(OR($A127="",$K127=0),"",ROUND($J127*INDEX(研发人员工时分配表!$K$6:$K$245,$AA127)/$K127,2))</f>
        <v/>
      </c>
      <c r="R127" s="27" t="str">
        <f aca="false">IF(OR($A127="",$K127=0),"",ROUND($J127*INDEX(研发人员工时分配表!$L$6:$L$245,$AA127)/$K127,2))</f>
        <v/>
      </c>
      <c r="S127" s="27" t="str">
        <f aca="false">IF(OR($A127="",$K127=0),"",ROUND($J127*INDEX(研发人员工时分配表!$M$6:$M$245,$AA127)/$K127,2))</f>
        <v/>
      </c>
      <c r="T127" s="27" t="str">
        <f aca="false">IF(OR($A127="",$K127=0),"",ROUND($J127*INDEX(研发人员工时分配表!$N$6:$N$245,$AA127)/$K127,2))</f>
        <v/>
      </c>
      <c r="U127" s="27" t="str">
        <f aca="false">IF(OR($A127="",$K127=0),"",ROUND($J127*INDEX(研发人员工时分配表!$O$6:$O$245,$AA127)/$K127,2))</f>
        <v/>
      </c>
      <c r="V127" s="27" t="str">
        <f aca="false">IF(OR($A127="",$K127=0),"",ROUND($J127*INDEX(研发人员工时分配表!$P$6:$P$245,$AA127)/$K127,2))</f>
        <v/>
      </c>
      <c r="W127" s="27" t="str">
        <f aca="false">IF(OR($A127="",$K127=0),"",ROUND($J127*INDEX(研发人员工时分配表!$Q$6:$Q$245,$AA127)/$K127,2))</f>
        <v/>
      </c>
      <c r="X127" s="27" t="str">
        <f aca="false">IF($A127="","",ROUND(SUM(N127:W127),2))</f>
        <v/>
      </c>
      <c r="Y127" s="27" t="str">
        <f aca="false">IF($A127="","",ROUND($J127-X127,2))</f>
        <v/>
      </c>
      <c r="Z127" s="43" t="str">
        <f aca="false">IF($A127="","",IF($AA127=0,"⚠ 工时分配表无此人当月记录",IF($AB127&gt;1,"⚠ 工时分配表存在重复行","√ 正常")))</f>
        <v/>
      </c>
      <c r="AA127" s="47" t="n">
        <f aca="false">IF($A127="",0,IFERROR(MATCH($A127&amp;"|"&amp;$B127,研发人员工时分配表!$W$6:$W$245,0),0))</f>
        <v>0</v>
      </c>
      <c r="AB127" s="47" t="n">
        <f aca="false">IF($A127="",0,COUNTIFS(研发人员工时分配表!$A$6:$A$245,$A127,研发人员工时分配表!$B$6:$B$245,$B127))</f>
        <v>0</v>
      </c>
    </row>
    <row r="128" customFormat="false" ht="18" hidden="false" customHeight="true" outlineLevel="0" collapsed="false">
      <c r="A128" s="36"/>
      <c r="B128" s="36"/>
      <c r="C128" s="43" t="str">
        <f aca="false">IF($B128="","",IFERROR(VLOOKUP($B128,人员名册!$B$4:$G$53,2,0)&amp;"","名册中未登记"))</f>
        <v/>
      </c>
      <c r="D128" s="43" t="str">
        <f aca="false">IF($B128="","",IFERROR(VLOOKUP($B128,人员名册!$B$4:$G$53,5,0)&amp;"",""))</f>
        <v/>
      </c>
      <c r="E128" s="25"/>
      <c r="F128" s="25"/>
      <c r="G128" s="25"/>
      <c r="H128" s="25"/>
      <c r="I128" s="25"/>
      <c r="J128" s="27" t="str">
        <f aca="false">IF($A128="","",ROUND(SUM(E128:I128),2))</f>
        <v/>
      </c>
      <c r="K128" s="45" t="n">
        <f aca="false">IF(OR($A128="",$AA128=0),0,INDEX(研发人员工时分配表!$F$6:$F$245,$AA128))</f>
        <v>0</v>
      </c>
      <c r="L128" s="45" t="n">
        <f aca="false">IF(OR($A128="",$AA128=0),0,INDEX(研发人员工时分配表!$R$6:$R$245,$AA128))</f>
        <v>0</v>
      </c>
      <c r="M128" s="28" t="str">
        <f aca="false">IF(OR($A128="",$K128=0),"",$L128/$K128)</f>
        <v/>
      </c>
      <c r="N128" s="27" t="str">
        <f aca="false">IF(OR($A128="",$K128=0),"",ROUND($J128*INDEX(研发人员工时分配表!$H$6:$H$245,$AA128)/$K128,2))</f>
        <v/>
      </c>
      <c r="O128" s="27" t="str">
        <f aca="false">IF(OR($A128="",$K128=0),"",ROUND($J128*INDEX(研发人员工时分配表!$I$6:$I$245,$AA128)/$K128,2))</f>
        <v/>
      </c>
      <c r="P128" s="27" t="str">
        <f aca="false">IF(OR($A128="",$K128=0),"",ROUND($J128*INDEX(研发人员工时分配表!$J$6:$J$245,$AA128)/$K128,2))</f>
        <v/>
      </c>
      <c r="Q128" s="27" t="str">
        <f aca="false">IF(OR($A128="",$K128=0),"",ROUND($J128*INDEX(研发人员工时分配表!$K$6:$K$245,$AA128)/$K128,2))</f>
        <v/>
      </c>
      <c r="R128" s="27" t="str">
        <f aca="false">IF(OR($A128="",$K128=0),"",ROUND($J128*INDEX(研发人员工时分配表!$L$6:$L$245,$AA128)/$K128,2))</f>
        <v/>
      </c>
      <c r="S128" s="27" t="str">
        <f aca="false">IF(OR($A128="",$K128=0),"",ROUND($J128*INDEX(研发人员工时分配表!$M$6:$M$245,$AA128)/$K128,2))</f>
        <v/>
      </c>
      <c r="T128" s="27" t="str">
        <f aca="false">IF(OR($A128="",$K128=0),"",ROUND($J128*INDEX(研发人员工时分配表!$N$6:$N$245,$AA128)/$K128,2))</f>
        <v/>
      </c>
      <c r="U128" s="27" t="str">
        <f aca="false">IF(OR($A128="",$K128=0),"",ROUND($J128*INDEX(研发人员工时分配表!$O$6:$O$245,$AA128)/$K128,2))</f>
        <v/>
      </c>
      <c r="V128" s="27" t="str">
        <f aca="false">IF(OR($A128="",$K128=0),"",ROUND($J128*INDEX(研发人员工时分配表!$P$6:$P$245,$AA128)/$K128,2))</f>
        <v/>
      </c>
      <c r="W128" s="27" t="str">
        <f aca="false">IF(OR($A128="",$K128=0),"",ROUND($J128*INDEX(研发人员工时分配表!$Q$6:$Q$245,$AA128)/$K128,2))</f>
        <v/>
      </c>
      <c r="X128" s="27" t="str">
        <f aca="false">IF($A128="","",ROUND(SUM(N128:W128),2))</f>
        <v/>
      </c>
      <c r="Y128" s="27" t="str">
        <f aca="false">IF($A128="","",ROUND($J128-X128,2))</f>
        <v/>
      </c>
      <c r="Z128" s="43" t="str">
        <f aca="false">IF($A128="","",IF($AA128=0,"⚠ 工时分配表无此人当月记录",IF($AB128&gt;1,"⚠ 工时分配表存在重复行","√ 正常")))</f>
        <v/>
      </c>
      <c r="AA128" s="47" t="n">
        <f aca="false">IF($A128="",0,IFERROR(MATCH($A128&amp;"|"&amp;$B128,研发人员工时分配表!$W$6:$W$245,0),0))</f>
        <v>0</v>
      </c>
      <c r="AB128" s="47" t="n">
        <f aca="false">IF($A128="",0,COUNTIFS(研发人员工时分配表!$A$6:$A$245,$A128,研发人员工时分配表!$B$6:$B$245,$B128))</f>
        <v>0</v>
      </c>
    </row>
    <row r="129" customFormat="false" ht="18" hidden="false" customHeight="true" outlineLevel="0" collapsed="false">
      <c r="A129" s="36"/>
      <c r="B129" s="36"/>
      <c r="C129" s="43" t="str">
        <f aca="false">IF($B129="","",IFERROR(VLOOKUP($B129,人员名册!$B$4:$G$53,2,0)&amp;"","名册中未登记"))</f>
        <v/>
      </c>
      <c r="D129" s="43" t="str">
        <f aca="false">IF($B129="","",IFERROR(VLOOKUP($B129,人员名册!$B$4:$G$53,5,0)&amp;"",""))</f>
        <v/>
      </c>
      <c r="E129" s="25"/>
      <c r="F129" s="25"/>
      <c r="G129" s="25"/>
      <c r="H129" s="25"/>
      <c r="I129" s="25"/>
      <c r="J129" s="27" t="str">
        <f aca="false">IF($A129="","",ROUND(SUM(E129:I129),2))</f>
        <v/>
      </c>
      <c r="K129" s="45" t="n">
        <f aca="false">IF(OR($A129="",$AA129=0),0,INDEX(研发人员工时分配表!$F$6:$F$245,$AA129))</f>
        <v>0</v>
      </c>
      <c r="L129" s="45" t="n">
        <f aca="false">IF(OR($A129="",$AA129=0),0,INDEX(研发人员工时分配表!$R$6:$R$245,$AA129))</f>
        <v>0</v>
      </c>
      <c r="M129" s="28" t="str">
        <f aca="false">IF(OR($A129="",$K129=0),"",$L129/$K129)</f>
        <v/>
      </c>
      <c r="N129" s="27" t="str">
        <f aca="false">IF(OR($A129="",$K129=0),"",ROUND($J129*INDEX(研发人员工时分配表!$H$6:$H$245,$AA129)/$K129,2))</f>
        <v/>
      </c>
      <c r="O129" s="27" t="str">
        <f aca="false">IF(OR($A129="",$K129=0),"",ROUND($J129*INDEX(研发人员工时分配表!$I$6:$I$245,$AA129)/$K129,2))</f>
        <v/>
      </c>
      <c r="P129" s="27" t="str">
        <f aca="false">IF(OR($A129="",$K129=0),"",ROUND($J129*INDEX(研发人员工时分配表!$J$6:$J$245,$AA129)/$K129,2))</f>
        <v/>
      </c>
      <c r="Q129" s="27" t="str">
        <f aca="false">IF(OR($A129="",$K129=0),"",ROUND($J129*INDEX(研发人员工时分配表!$K$6:$K$245,$AA129)/$K129,2))</f>
        <v/>
      </c>
      <c r="R129" s="27" t="str">
        <f aca="false">IF(OR($A129="",$K129=0),"",ROUND($J129*INDEX(研发人员工时分配表!$L$6:$L$245,$AA129)/$K129,2))</f>
        <v/>
      </c>
      <c r="S129" s="27" t="str">
        <f aca="false">IF(OR($A129="",$K129=0),"",ROUND($J129*INDEX(研发人员工时分配表!$M$6:$M$245,$AA129)/$K129,2))</f>
        <v/>
      </c>
      <c r="T129" s="27" t="str">
        <f aca="false">IF(OR($A129="",$K129=0),"",ROUND($J129*INDEX(研发人员工时分配表!$N$6:$N$245,$AA129)/$K129,2))</f>
        <v/>
      </c>
      <c r="U129" s="27" t="str">
        <f aca="false">IF(OR($A129="",$K129=0),"",ROUND($J129*INDEX(研发人员工时分配表!$O$6:$O$245,$AA129)/$K129,2))</f>
        <v/>
      </c>
      <c r="V129" s="27" t="str">
        <f aca="false">IF(OR($A129="",$K129=0),"",ROUND($J129*INDEX(研发人员工时分配表!$P$6:$P$245,$AA129)/$K129,2))</f>
        <v/>
      </c>
      <c r="W129" s="27" t="str">
        <f aca="false">IF(OR($A129="",$K129=0),"",ROUND($J129*INDEX(研发人员工时分配表!$Q$6:$Q$245,$AA129)/$K129,2))</f>
        <v/>
      </c>
      <c r="X129" s="27" t="str">
        <f aca="false">IF($A129="","",ROUND(SUM(N129:W129),2))</f>
        <v/>
      </c>
      <c r="Y129" s="27" t="str">
        <f aca="false">IF($A129="","",ROUND($J129-X129,2))</f>
        <v/>
      </c>
      <c r="Z129" s="43" t="str">
        <f aca="false">IF($A129="","",IF($AA129=0,"⚠ 工时分配表无此人当月记录",IF($AB129&gt;1,"⚠ 工时分配表存在重复行","√ 正常")))</f>
        <v/>
      </c>
      <c r="AA129" s="47" t="n">
        <f aca="false">IF($A129="",0,IFERROR(MATCH($A129&amp;"|"&amp;$B129,研发人员工时分配表!$W$6:$W$245,0),0))</f>
        <v>0</v>
      </c>
      <c r="AB129" s="47" t="n">
        <f aca="false">IF($A129="",0,COUNTIFS(研发人员工时分配表!$A$6:$A$245,$A129,研发人员工时分配表!$B$6:$B$245,$B129))</f>
        <v>0</v>
      </c>
    </row>
    <row r="130" customFormat="false" ht="18" hidden="false" customHeight="true" outlineLevel="0" collapsed="false">
      <c r="A130" s="36"/>
      <c r="B130" s="36"/>
      <c r="C130" s="43" t="str">
        <f aca="false">IF($B130="","",IFERROR(VLOOKUP($B130,人员名册!$B$4:$G$53,2,0)&amp;"","名册中未登记"))</f>
        <v/>
      </c>
      <c r="D130" s="43" t="str">
        <f aca="false">IF($B130="","",IFERROR(VLOOKUP($B130,人员名册!$B$4:$G$53,5,0)&amp;"",""))</f>
        <v/>
      </c>
      <c r="E130" s="25"/>
      <c r="F130" s="25"/>
      <c r="G130" s="25"/>
      <c r="H130" s="25"/>
      <c r="I130" s="25"/>
      <c r="J130" s="27" t="str">
        <f aca="false">IF($A130="","",ROUND(SUM(E130:I130),2))</f>
        <v/>
      </c>
      <c r="K130" s="45" t="n">
        <f aca="false">IF(OR($A130="",$AA130=0),0,INDEX(研发人员工时分配表!$F$6:$F$245,$AA130))</f>
        <v>0</v>
      </c>
      <c r="L130" s="45" t="n">
        <f aca="false">IF(OR($A130="",$AA130=0),0,INDEX(研发人员工时分配表!$R$6:$R$245,$AA130))</f>
        <v>0</v>
      </c>
      <c r="M130" s="28" t="str">
        <f aca="false">IF(OR($A130="",$K130=0),"",$L130/$K130)</f>
        <v/>
      </c>
      <c r="N130" s="27" t="str">
        <f aca="false">IF(OR($A130="",$K130=0),"",ROUND($J130*INDEX(研发人员工时分配表!$H$6:$H$245,$AA130)/$K130,2))</f>
        <v/>
      </c>
      <c r="O130" s="27" t="str">
        <f aca="false">IF(OR($A130="",$K130=0),"",ROUND($J130*INDEX(研发人员工时分配表!$I$6:$I$245,$AA130)/$K130,2))</f>
        <v/>
      </c>
      <c r="P130" s="27" t="str">
        <f aca="false">IF(OR($A130="",$K130=0),"",ROUND($J130*INDEX(研发人员工时分配表!$J$6:$J$245,$AA130)/$K130,2))</f>
        <v/>
      </c>
      <c r="Q130" s="27" t="str">
        <f aca="false">IF(OR($A130="",$K130=0),"",ROUND($J130*INDEX(研发人员工时分配表!$K$6:$K$245,$AA130)/$K130,2))</f>
        <v/>
      </c>
      <c r="R130" s="27" t="str">
        <f aca="false">IF(OR($A130="",$K130=0),"",ROUND($J130*INDEX(研发人员工时分配表!$L$6:$L$245,$AA130)/$K130,2))</f>
        <v/>
      </c>
      <c r="S130" s="27" t="str">
        <f aca="false">IF(OR($A130="",$K130=0),"",ROUND($J130*INDEX(研发人员工时分配表!$M$6:$M$245,$AA130)/$K130,2))</f>
        <v/>
      </c>
      <c r="T130" s="27" t="str">
        <f aca="false">IF(OR($A130="",$K130=0),"",ROUND($J130*INDEX(研发人员工时分配表!$N$6:$N$245,$AA130)/$K130,2))</f>
        <v/>
      </c>
      <c r="U130" s="27" t="str">
        <f aca="false">IF(OR($A130="",$K130=0),"",ROUND($J130*INDEX(研发人员工时分配表!$O$6:$O$245,$AA130)/$K130,2))</f>
        <v/>
      </c>
      <c r="V130" s="27" t="str">
        <f aca="false">IF(OR($A130="",$K130=0),"",ROUND($J130*INDEX(研发人员工时分配表!$P$6:$P$245,$AA130)/$K130,2))</f>
        <v/>
      </c>
      <c r="W130" s="27" t="str">
        <f aca="false">IF(OR($A130="",$K130=0),"",ROUND($J130*INDEX(研发人员工时分配表!$Q$6:$Q$245,$AA130)/$K130,2))</f>
        <v/>
      </c>
      <c r="X130" s="27" t="str">
        <f aca="false">IF($A130="","",ROUND(SUM(N130:W130),2))</f>
        <v/>
      </c>
      <c r="Y130" s="27" t="str">
        <f aca="false">IF($A130="","",ROUND($J130-X130,2))</f>
        <v/>
      </c>
      <c r="Z130" s="43" t="str">
        <f aca="false">IF($A130="","",IF($AA130=0,"⚠ 工时分配表无此人当月记录",IF($AB130&gt;1,"⚠ 工时分配表存在重复行","√ 正常")))</f>
        <v/>
      </c>
      <c r="AA130" s="47" t="n">
        <f aca="false">IF($A130="",0,IFERROR(MATCH($A130&amp;"|"&amp;$B130,研发人员工时分配表!$W$6:$W$245,0),0))</f>
        <v>0</v>
      </c>
      <c r="AB130" s="47" t="n">
        <f aca="false">IF($A130="",0,COUNTIFS(研发人员工时分配表!$A$6:$A$245,$A130,研发人员工时分配表!$B$6:$B$245,$B130))</f>
        <v>0</v>
      </c>
    </row>
    <row r="131" customFormat="false" ht="18" hidden="false" customHeight="true" outlineLevel="0" collapsed="false">
      <c r="A131" s="36"/>
      <c r="B131" s="36"/>
      <c r="C131" s="43" t="str">
        <f aca="false">IF($B131="","",IFERROR(VLOOKUP($B131,人员名册!$B$4:$G$53,2,0)&amp;"","名册中未登记"))</f>
        <v/>
      </c>
      <c r="D131" s="43" t="str">
        <f aca="false">IF($B131="","",IFERROR(VLOOKUP($B131,人员名册!$B$4:$G$53,5,0)&amp;"",""))</f>
        <v/>
      </c>
      <c r="E131" s="25"/>
      <c r="F131" s="25"/>
      <c r="G131" s="25"/>
      <c r="H131" s="25"/>
      <c r="I131" s="25"/>
      <c r="J131" s="27" t="str">
        <f aca="false">IF($A131="","",ROUND(SUM(E131:I131),2))</f>
        <v/>
      </c>
      <c r="K131" s="45" t="n">
        <f aca="false">IF(OR($A131="",$AA131=0),0,INDEX(研发人员工时分配表!$F$6:$F$245,$AA131))</f>
        <v>0</v>
      </c>
      <c r="L131" s="45" t="n">
        <f aca="false">IF(OR($A131="",$AA131=0),0,INDEX(研发人员工时分配表!$R$6:$R$245,$AA131))</f>
        <v>0</v>
      </c>
      <c r="M131" s="28" t="str">
        <f aca="false">IF(OR($A131="",$K131=0),"",$L131/$K131)</f>
        <v/>
      </c>
      <c r="N131" s="27" t="str">
        <f aca="false">IF(OR($A131="",$K131=0),"",ROUND($J131*INDEX(研发人员工时分配表!$H$6:$H$245,$AA131)/$K131,2))</f>
        <v/>
      </c>
      <c r="O131" s="27" t="str">
        <f aca="false">IF(OR($A131="",$K131=0),"",ROUND($J131*INDEX(研发人员工时分配表!$I$6:$I$245,$AA131)/$K131,2))</f>
        <v/>
      </c>
      <c r="P131" s="27" t="str">
        <f aca="false">IF(OR($A131="",$K131=0),"",ROUND($J131*INDEX(研发人员工时分配表!$J$6:$J$245,$AA131)/$K131,2))</f>
        <v/>
      </c>
      <c r="Q131" s="27" t="str">
        <f aca="false">IF(OR($A131="",$K131=0),"",ROUND($J131*INDEX(研发人员工时分配表!$K$6:$K$245,$AA131)/$K131,2))</f>
        <v/>
      </c>
      <c r="R131" s="27" t="str">
        <f aca="false">IF(OR($A131="",$K131=0),"",ROUND($J131*INDEX(研发人员工时分配表!$L$6:$L$245,$AA131)/$K131,2))</f>
        <v/>
      </c>
      <c r="S131" s="27" t="str">
        <f aca="false">IF(OR($A131="",$K131=0),"",ROUND($J131*INDEX(研发人员工时分配表!$M$6:$M$245,$AA131)/$K131,2))</f>
        <v/>
      </c>
      <c r="T131" s="27" t="str">
        <f aca="false">IF(OR($A131="",$K131=0),"",ROUND($J131*INDEX(研发人员工时分配表!$N$6:$N$245,$AA131)/$K131,2))</f>
        <v/>
      </c>
      <c r="U131" s="27" t="str">
        <f aca="false">IF(OR($A131="",$K131=0),"",ROUND($J131*INDEX(研发人员工时分配表!$O$6:$O$245,$AA131)/$K131,2))</f>
        <v/>
      </c>
      <c r="V131" s="27" t="str">
        <f aca="false">IF(OR($A131="",$K131=0),"",ROUND($J131*INDEX(研发人员工时分配表!$P$6:$P$245,$AA131)/$K131,2))</f>
        <v/>
      </c>
      <c r="W131" s="27" t="str">
        <f aca="false">IF(OR($A131="",$K131=0),"",ROUND($J131*INDEX(研发人员工时分配表!$Q$6:$Q$245,$AA131)/$K131,2))</f>
        <v/>
      </c>
      <c r="X131" s="27" t="str">
        <f aca="false">IF($A131="","",ROUND(SUM(N131:W131),2))</f>
        <v/>
      </c>
      <c r="Y131" s="27" t="str">
        <f aca="false">IF($A131="","",ROUND($J131-X131,2))</f>
        <v/>
      </c>
      <c r="Z131" s="43" t="str">
        <f aca="false">IF($A131="","",IF($AA131=0,"⚠ 工时分配表无此人当月记录",IF($AB131&gt;1,"⚠ 工时分配表存在重复行","√ 正常")))</f>
        <v/>
      </c>
      <c r="AA131" s="47" t="n">
        <f aca="false">IF($A131="",0,IFERROR(MATCH($A131&amp;"|"&amp;$B131,研发人员工时分配表!$W$6:$W$245,0),0))</f>
        <v>0</v>
      </c>
      <c r="AB131" s="47" t="n">
        <f aca="false">IF($A131="",0,COUNTIFS(研发人员工时分配表!$A$6:$A$245,$A131,研发人员工时分配表!$B$6:$B$245,$B131))</f>
        <v>0</v>
      </c>
    </row>
    <row r="132" customFormat="false" ht="18" hidden="false" customHeight="true" outlineLevel="0" collapsed="false">
      <c r="A132" s="36"/>
      <c r="B132" s="36"/>
      <c r="C132" s="43" t="str">
        <f aca="false">IF($B132="","",IFERROR(VLOOKUP($B132,人员名册!$B$4:$G$53,2,0)&amp;"","名册中未登记"))</f>
        <v/>
      </c>
      <c r="D132" s="43" t="str">
        <f aca="false">IF($B132="","",IFERROR(VLOOKUP($B132,人员名册!$B$4:$G$53,5,0)&amp;"",""))</f>
        <v/>
      </c>
      <c r="E132" s="25"/>
      <c r="F132" s="25"/>
      <c r="G132" s="25"/>
      <c r="H132" s="25"/>
      <c r="I132" s="25"/>
      <c r="J132" s="27" t="str">
        <f aca="false">IF($A132="","",ROUND(SUM(E132:I132),2))</f>
        <v/>
      </c>
      <c r="K132" s="45" t="n">
        <f aca="false">IF(OR($A132="",$AA132=0),0,INDEX(研发人员工时分配表!$F$6:$F$245,$AA132))</f>
        <v>0</v>
      </c>
      <c r="L132" s="45" t="n">
        <f aca="false">IF(OR($A132="",$AA132=0),0,INDEX(研发人员工时分配表!$R$6:$R$245,$AA132))</f>
        <v>0</v>
      </c>
      <c r="M132" s="28" t="str">
        <f aca="false">IF(OR($A132="",$K132=0),"",$L132/$K132)</f>
        <v/>
      </c>
      <c r="N132" s="27" t="str">
        <f aca="false">IF(OR($A132="",$K132=0),"",ROUND($J132*INDEX(研发人员工时分配表!$H$6:$H$245,$AA132)/$K132,2))</f>
        <v/>
      </c>
      <c r="O132" s="27" t="str">
        <f aca="false">IF(OR($A132="",$K132=0),"",ROUND($J132*INDEX(研发人员工时分配表!$I$6:$I$245,$AA132)/$K132,2))</f>
        <v/>
      </c>
      <c r="P132" s="27" t="str">
        <f aca="false">IF(OR($A132="",$K132=0),"",ROUND($J132*INDEX(研发人员工时分配表!$J$6:$J$245,$AA132)/$K132,2))</f>
        <v/>
      </c>
      <c r="Q132" s="27" t="str">
        <f aca="false">IF(OR($A132="",$K132=0),"",ROUND($J132*INDEX(研发人员工时分配表!$K$6:$K$245,$AA132)/$K132,2))</f>
        <v/>
      </c>
      <c r="R132" s="27" t="str">
        <f aca="false">IF(OR($A132="",$K132=0),"",ROUND($J132*INDEX(研发人员工时分配表!$L$6:$L$245,$AA132)/$K132,2))</f>
        <v/>
      </c>
      <c r="S132" s="27" t="str">
        <f aca="false">IF(OR($A132="",$K132=0),"",ROUND($J132*INDEX(研发人员工时分配表!$M$6:$M$245,$AA132)/$K132,2))</f>
        <v/>
      </c>
      <c r="T132" s="27" t="str">
        <f aca="false">IF(OR($A132="",$K132=0),"",ROUND($J132*INDEX(研发人员工时分配表!$N$6:$N$245,$AA132)/$K132,2))</f>
        <v/>
      </c>
      <c r="U132" s="27" t="str">
        <f aca="false">IF(OR($A132="",$K132=0),"",ROUND($J132*INDEX(研发人员工时分配表!$O$6:$O$245,$AA132)/$K132,2))</f>
        <v/>
      </c>
      <c r="V132" s="27" t="str">
        <f aca="false">IF(OR($A132="",$K132=0),"",ROUND($J132*INDEX(研发人员工时分配表!$P$6:$P$245,$AA132)/$K132,2))</f>
        <v/>
      </c>
      <c r="W132" s="27" t="str">
        <f aca="false">IF(OR($A132="",$K132=0),"",ROUND($J132*INDEX(研发人员工时分配表!$Q$6:$Q$245,$AA132)/$K132,2))</f>
        <v/>
      </c>
      <c r="X132" s="27" t="str">
        <f aca="false">IF($A132="","",ROUND(SUM(N132:W132),2))</f>
        <v/>
      </c>
      <c r="Y132" s="27" t="str">
        <f aca="false">IF($A132="","",ROUND($J132-X132,2))</f>
        <v/>
      </c>
      <c r="Z132" s="43" t="str">
        <f aca="false">IF($A132="","",IF($AA132=0,"⚠ 工时分配表无此人当月记录",IF($AB132&gt;1,"⚠ 工时分配表存在重复行","√ 正常")))</f>
        <v/>
      </c>
      <c r="AA132" s="47" t="n">
        <f aca="false">IF($A132="",0,IFERROR(MATCH($A132&amp;"|"&amp;$B132,研发人员工时分配表!$W$6:$W$245,0),0))</f>
        <v>0</v>
      </c>
      <c r="AB132" s="47" t="n">
        <f aca="false">IF($A132="",0,COUNTIFS(研发人员工时分配表!$A$6:$A$245,$A132,研发人员工时分配表!$B$6:$B$245,$B132))</f>
        <v>0</v>
      </c>
    </row>
    <row r="133" customFormat="false" ht="18" hidden="false" customHeight="true" outlineLevel="0" collapsed="false">
      <c r="A133" s="36"/>
      <c r="B133" s="36"/>
      <c r="C133" s="43" t="str">
        <f aca="false">IF($B133="","",IFERROR(VLOOKUP($B133,人员名册!$B$4:$G$53,2,0)&amp;"","名册中未登记"))</f>
        <v/>
      </c>
      <c r="D133" s="43" t="str">
        <f aca="false">IF($B133="","",IFERROR(VLOOKUP($B133,人员名册!$B$4:$G$53,5,0)&amp;"",""))</f>
        <v/>
      </c>
      <c r="E133" s="25"/>
      <c r="F133" s="25"/>
      <c r="G133" s="25"/>
      <c r="H133" s="25"/>
      <c r="I133" s="25"/>
      <c r="J133" s="27" t="str">
        <f aca="false">IF($A133="","",ROUND(SUM(E133:I133),2))</f>
        <v/>
      </c>
      <c r="K133" s="45" t="n">
        <f aca="false">IF(OR($A133="",$AA133=0),0,INDEX(研发人员工时分配表!$F$6:$F$245,$AA133))</f>
        <v>0</v>
      </c>
      <c r="L133" s="45" t="n">
        <f aca="false">IF(OR($A133="",$AA133=0),0,INDEX(研发人员工时分配表!$R$6:$R$245,$AA133))</f>
        <v>0</v>
      </c>
      <c r="M133" s="28" t="str">
        <f aca="false">IF(OR($A133="",$K133=0),"",$L133/$K133)</f>
        <v/>
      </c>
      <c r="N133" s="27" t="str">
        <f aca="false">IF(OR($A133="",$K133=0),"",ROUND($J133*INDEX(研发人员工时分配表!$H$6:$H$245,$AA133)/$K133,2))</f>
        <v/>
      </c>
      <c r="O133" s="27" t="str">
        <f aca="false">IF(OR($A133="",$K133=0),"",ROUND($J133*INDEX(研发人员工时分配表!$I$6:$I$245,$AA133)/$K133,2))</f>
        <v/>
      </c>
      <c r="P133" s="27" t="str">
        <f aca="false">IF(OR($A133="",$K133=0),"",ROUND($J133*INDEX(研发人员工时分配表!$J$6:$J$245,$AA133)/$K133,2))</f>
        <v/>
      </c>
      <c r="Q133" s="27" t="str">
        <f aca="false">IF(OR($A133="",$K133=0),"",ROUND($J133*INDEX(研发人员工时分配表!$K$6:$K$245,$AA133)/$K133,2))</f>
        <v/>
      </c>
      <c r="R133" s="27" t="str">
        <f aca="false">IF(OR($A133="",$K133=0),"",ROUND($J133*INDEX(研发人员工时分配表!$L$6:$L$245,$AA133)/$K133,2))</f>
        <v/>
      </c>
      <c r="S133" s="27" t="str">
        <f aca="false">IF(OR($A133="",$K133=0),"",ROUND($J133*INDEX(研发人员工时分配表!$M$6:$M$245,$AA133)/$K133,2))</f>
        <v/>
      </c>
      <c r="T133" s="27" t="str">
        <f aca="false">IF(OR($A133="",$K133=0),"",ROUND($J133*INDEX(研发人员工时分配表!$N$6:$N$245,$AA133)/$K133,2))</f>
        <v/>
      </c>
      <c r="U133" s="27" t="str">
        <f aca="false">IF(OR($A133="",$K133=0),"",ROUND($J133*INDEX(研发人员工时分配表!$O$6:$O$245,$AA133)/$K133,2))</f>
        <v/>
      </c>
      <c r="V133" s="27" t="str">
        <f aca="false">IF(OR($A133="",$K133=0),"",ROUND($J133*INDEX(研发人员工时分配表!$P$6:$P$245,$AA133)/$K133,2))</f>
        <v/>
      </c>
      <c r="W133" s="27" t="str">
        <f aca="false">IF(OR($A133="",$K133=0),"",ROUND($J133*INDEX(研发人员工时分配表!$Q$6:$Q$245,$AA133)/$K133,2))</f>
        <v/>
      </c>
      <c r="X133" s="27" t="str">
        <f aca="false">IF($A133="","",ROUND(SUM(N133:W133),2))</f>
        <v/>
      </c>
      <c r="Y133" s="27" t="str">
        <f aca="false">IF($A133="","",ROUND($J133-X133,2))</f>
        <v/>
      </c>
      <c r="Z133" s="43" t="str">
        <f aca="false">IF($A133="","",IF($AA133=0,"⚠ 工时分配表无此人当月记录",IF($AB133&gt;1,"⚠ 工时分配表存在重复行","√ 正常")))</f>
        <v/>
      </c>
      <c r="AA133" s="47" t="n">
        <f aca="false">IF($A133="",0,IFERROR(MATCH($A133&amp;"|"&amp;$B133,研发人员工时分配表!$W$6:$W$245,0),0))</f>
        <v>0</v>
      </c>
      <c r="AB133" s="47" t="n">
        <f aca="false">IF($A133="",0,COUNTIFS(研发人员工时分配表!$A$6:$A$245,$A133,研发人员工时分配表!$B$6:$B$245,$B133))</f>
        <v>0</v>
      </c>
    </row>
    <row r="134" customFormat="false" ht="18" hidden="false" customHeight="true" outlineLevel="0" collapsed="false">
      <c r="A134" s="36"/>
      <c r="B134" s="36"/>
      <c r="C134" s="43" t="str">
        <f aca="false">IF($B134="","",IFERROR(VLOOKUP($B134,人员名册!$B$4:$G$53,2,0)&amp;"","名册中未登记"))</f>
        <v/>
      </c>
      <c r="D134" s="43" t="str">
        <f aca="false">IF($B134="","",IFERROR(VLOOKUP($B134,人员名册!$B$4:$G$53,5,0)&amp;"",""))</f>
        <v/>
      </c>
      <c r="E134" s="25"/>
      <c r="F134" s="25"/>
      <c r="G134" s="25"/>
      <c r="H134" s="25"/>
      <c r="I134" s="25"/>
      <c r="J134" s="27" t="str">
        <f aca="false">IF($A134="","",ROUND(SUM(E134:I134),2))</f>
        <v/>
      </c>
      <c r="K134" s="45" t="n">
        <f aca="false">IF(OR($A134="",$AA134=0),0,INDEX(研发人员工时分配表!$F$6:$F$245,$AA134))</f>
        <v>0</v>
      </c>
      <c r="L134" s="45" t="n">
        <f aca="false">IF(OR($A134="",$AA134=0),0,INDEX(研发人员工时分配表!$R$6:$R$245,$AA134))</f>
        <v>0</v>
      </c>
      <c r="M134" s="28" t="str">
        <f aca="false">IF(OR($A134="",$K134=0),"",$L134/$K134)</f>
        <v/>
      </c>
      <c r="N134" s="27" t="str">
        <f aca="false">IF(OR($A134="",$K134=0),"",ROUND($J134*INDEX(研发人员工时分配表!$H$6:$H$245,$AA134)/$K134,2))</f>
        <v/>
      </c>
      <c r="O134" s="27" t="str">
        <f aca="false">IF(OR($A134="",$K134=0),"",ROUND($J134*INDEX(研发人员工时分配表!$I$6:$I$245,$AA134)/$K134,2))</f>
        <v/>
      </c>
      <c r="P134" s="27" t="str">
        <f aca="false">IF(OR($A134="",$K134=0),"",ROUND($J134*INDEX(研发人员工时分配表!$J$6:$J$245,$AA134)/$K134,2))</f>
        <v/>
      </c>
      <c r="Q134" s="27" t="str">
        <f aca="false">IF(OR($A134="",$K134=0),"",ROUND($J134*INDEX(研发人员工时分配表!$K$6:$K$245,$AA134)/$K134,2))</f>
        <v/>
      </c>
      <c r="R134" s="27" t="str">
        <f aca="false">IF(OR($A134="",$K134=0),"",ROUND($J134*INDEX(研发人员工时分配表!$L$6:$L$245,$AA134)/$K134,2))</f>
        <v/>
      </c>
      <c r="S134" s="27" t="str">
        <f aca="false">IF(OR($A134="",$K134=0),"",ROUND($J134*INDEX(研发人员工时分配表!$M$6:$M$245,$AA134)/$K134,2))</f>
        <v/>
      </c>
      <c r="T134" s="27" t="str">
        <f aca="false">IF(OR($A134="",$K134=0),"",ROUND($J134*INDEX(研发人员工时分配表!$N$6:$N$245,$AA134)/$K134,2))</f>
        <v/>
      </c>
      <c r="U134" s="27" t="str">
        <f aca="false">IF(OR($A134="",$K134=0),"",ROUND($J134*INDEX(研发人员工时分配表!$O$6:$O$245,$AA134)/$K134,2))</f>
        <v/>
      </c>
      <c r="V134" s="27" t="str">
        <f aca="false">IF(OR($A134="",$K134=0),"",ROUND($J134*INDEX(研发人员工时分配表!$P$6:$P$245,$AA134)/$K134,2))</f>
        <v/>
      </c>
      <c r="W134" s="27" t="str">
        <f aca="false">IF(OR($A134="",$K134=0),"",ROUND($J134*INDEX(研发人员工时分配表!$Q$6:$Q$245,$AA134)/$K134,2))</f>
        <v/>
      </c>
      <c r="X134" s="27" t="str">
        <f aca="false">IF($A134="","",ROUND(SUM(N134:W134),2))</f>
        <v/>
      </c>
      <c r="Y134" s="27" t="str">
        <f aca="false">IF($A134="","",ROUND($J134-X134,2))</f>
        <v/>
      </c>
      <c r="Z134" s="43" t="str">
        <f aca="false">IF($A134="","",IF($AA134=0,"⚠ 工时分配表无此人当月记录",IF($AB134&gt;1,"⚠ 工时分配表存在重复行","√ 正常")))</f>
        <v/>
      </c>
      <c r="AA134" s="47" t="n">
        <f aca="false">IF($A134="",0,IFERROR(MATCH($A134&amp;"|"&amp;$B134,研发人员工时分配表!$W$6:$W$245,0),0))</f>
        <v>0</v>
      </c>
      <c r="AB134" s="47" t="n">
        <f aca="false">IF($A134="",0,COUNTIFS(研发人员工时分配表!$A$6:$A$245,$A134,研发人员工时分配表!$B$6:$B$245,$B134))</f>
        <v>0</v>
      </c>
    </row>
    <row r="135" customFormat="false" ht="18" hidden="false" customHeight="true" outlineLevel="0" collapsed="false">
      <c r="A135" s="36"/>
      <c r="B135" s="36"/>
      <c r="C135" s="43" t="str">
        <f aca="false">IF($B135="","",IFERROR(VLOOKUP($B135,人员名册!$B$4:$G$53,2,0)&amp;"","名册中未登记"))</f>
        <v/>
      </c>
      <c r="D135" s="43" t="str">
        <f aca="false">IF($B135="","",IFERROR(VLOOKUP($B135,人员名册!$B$4:$G$53,5,0)&amp;"",""))</f>
        <v/>
      </c>
      <c r="E135" s="25"/>
      <c r="F135" s="25"/>
      <c r="G135" s="25"/>
      <c r="H135" s="25"/>
      <c r="I135" s="25"/>
      <c r="J135" s="27" t="str">
        <f aca="false">IF($A135="","",ROUND(SUM(E135:I135),2))</f>
        <v/>
      </c>
      <c r="K135" s="45" t="n">
        <f aca="false">IF(OR($A135="",$AA135=0),0,INDEX(研发人员工时分配表!$F$6:$F$245,$AA135))</f>
        <v>0</v>
      </c>
      <c r="L135" s="45" t="n">
        <f aca="false">IF(OR($A135="",$AA135=0),0,INDEX(研发人员工时分配表!$R$6:$R$245,$AA135))</f>
        <v>0</v>
      </c>
      <c r="M135" s="28" t="str">
        <f aca="false">IF(OR($A135="",$K135=0),"",$L135/$K135)</f>
        <v/>
      </c>
      <c r="N135" s="27" t="str">
        <f aca="false">IF(OR($A135="",$K135=0),"",ROUND($J135*INDEX(研发人员工时分配表!$H$6:$H$245,$AA135)/$K135,2))</f>
        <v/>
      </c>
      <c r="O135" s="27" t="str">
        <f aca="false">IF(OR($A135="",$K135=0),"",ROUND($J135*INDEX(研发人员工时分配表!$I$6:$I$245,$AA135)/$K135,2))</f>
        <v/>
      </c>
      <c r="P135" s="27" t="str">
        <f aca="false">IF(OR($A135="",$K135=0),"",ROUND($J135*INDEX(研发人员工时分配表!$J$6:$J$245,$AA135)/$K135,2))</f>
        <v/>
      </c>
      <c r="Q135" s="27" t="str">
        <f aca="false">IF(OR($A135="",$K135=0),"",ROUND($J135*INDEX(研发人员工时分配表!$K$6:$K$245,$AA135)/$K135,2))</f>
        <v/>
      </c>
      <c r="R135" s="27" t="str">
        <f aca="false">IF(OR($A135="",$K135=0),"",ROUND($J135*INDEX(研发人员工时分配表!$L$6:$L$245,$AA135)/$K135,2))</f>
        <v/>
      </c>
      <c r="S135" s="27" t="str">
        <f aca="false">IF(OR($A135="",$K135=0),"",ROUND($J135*INDEX(研发人员工时分配表!$M$6:$M$245,$AA135)/$K135,2))</f>
        <v/>
      </c>
      <c r="T135" s="27" t="str">
        <f aca="false">IF(OR($A135="",$K135=0),"",ROUND($J135*INDEX(研发人员工时分配表!$N$6:$N$245,$AA135)/$K135,2))</f>
        <v/>
      </c>
      <c r="U135" s="27" t="str">
        <f aca="false">IF(OR($A135="",$K135=0),"",ROUND($J135*INDEX(研发人员工时分配表!$O$6:$O$245,$AA135)/$K135,2))</f>
        <v/>
      </c>
      <c r="V135" s="27" t="str">
        <f aca="false">IF(OR($A135="",$K135=0),"",ROUND($J135*INDEX(研发人员工时分配表!$P$6:$P$245,$AA135)/$K135,2))</f>
        <v/>
      </c>
      <c r="W135" s="27" t="str">
        <f aca="false">IF(OR($A135="",$K135=0),"",ROUND($J135*INDEX(研发人员工时分配表!$Q$6:$Q$245,$AA135)/$K135,2))</f>
        <v/>
      </c>
      <c r="X135" s="27" t="str">
        <f aca="false">IF($A135="","",ROUND(SUM(N135:W135),2))</f>
        <v/>
      </c>
      <c r="Y135" s="27" t="str">
        <f aca="false">IF($A135="","",ROUND($J135-X135,2))</f>
        <v/>
      </c>
      <c r="Z135" s="43" t="str">
        <f aca="false">IF($A135="","",IF($AA135=0,"⚠ 工时分配表无此人当月记录",IF($AB135&gt;1,"⚠ 工时分配表存在重复行","√ 正常")))</f>
        <v/>
      </c>
      <c r="AA135" s="47" t="n">
        <f aca="false">IF($A135="",0,IFERROR(MATCH($A135&amp;"|"&amp;$B135,研发人员工时分配表!$W$6:$W$245,0),0))</f>
        <v>0</v>
      </c>
      <c r="AB135" s="47" t="n">
        <f aca="false">IF($A135="",0,COUNTIFS(研发人员工时分配表!$A$6:$A$245,$A135,研发人员工时分配表!$B$6:$B$245,$B135))</f>
        <v>0</v>
      </c>
    </row>
    <row r="136" customFormat="false" ht="18" hidden="false" customHeight="true" outlineLevel="0" collapsed="false">
      <c r="A136" s="36"/>
      <c r="B136" s="36"/>
      <c r="C136" s="43" t="str">
        <f aca="false">IF($B136="","",IFERROR(VLOOKUP($B136,人员名册!$B$4:$G$53,2,0)&amp;"","名册中未登记"))</f>
        <v/>
      </c>
      <c r="D136" s="43" t="str">
        <f aca="false">IF($B136="","",IFERROR(VLOOKUP($B136,人员名册!$B$4:$G$53,5,0)&amp;"",""))</f>
        <v/>
      </c>
      <c r="E136" s="25"/>
      <c r="F136" s="25"/>
      <c r="G136" s="25"/>
      <c r="H136" s="25"/>
      <c r="I136" s="25"/>
      <c r="J136" s="27" t="str">
        <f aca="false">IF($A136="","",ROUND(SUM(E136:I136),2))</f>
        <v/>
      </c>
      <c r="K136" s="45" t="n">
        <f aca="false">IF(OR($A136="",$AA136=0),0,INDEX(研发人员工时分配表!$F$6:$F$245,$AA136))</f>
        <v>0</v>
      </c>
      <c r="L136" s="45" t="n">
        <f aca="false">IF(OR($A136="",$AA136=0),0,INDEX(研发人员工时分配表!$R$6:$R$245,$AA136))</f>
        <v>0</v>
      </c>
      <c r="M136" s="28" t="str">
        <f aca="false">IF(OR($A136="",$K136=0),"",$L136/$K136)</f>
        <v/>
      </c>
      <c r="N136" s="27" t="str">
        <f aca="false">IF(OR($A136="",$K136=0),"",ROUND($J136*INDEX(研发人员工时分配表!$H$6:$H$245,$AA136)/$K136,2))</f>
        <v/>
      </c>
      <c r="O136" s="27" t="str">
        <f aca="false">IF(OR($A136="",$K136=0),"",ROUND($J136*INDEX(研发人员工时分配表!$I$6:$I$245,$AA136)/$K136,2))</f>
        <v/>
      </c>
      <c r="P136" s="27" t="str">
        <f aca="false">IF(OR($A136="",$K136=0),"",ROUND($J136*INDEX(研发人员工时分配表!$J$6:$J$245,$AA136)/$K136,2))</f>
        <v/>
      </c>
      <c r="Q136" s="27" t="str">
        <f aca="false">IF(OR($A136="",$K136=0),"",ROUND($J136*INDEX(研发人员工时分配表!$K$6:$K$245,$AA136)/$K136,2))</f>
        <v/>
      </c>
      <c r="R136" s="27" t="str">
        <f aca="false">IF(OR($A136="",$K136=0),"",ROUND($J136*INDEX(研发人员工时分配表!$L$6:$L$245,$AA136)/$K136,2))</f>
        <v/>
      </c>
      <c r="S136" s="27" t="str">
        <f aca="false">IF(OR($A136="",$K136=0),"",ROUND($J136*INDEX(研发人员工时分配表!$M$6:$M$245,$AA136)/$K136,2))</f>
        <v/>
      </c>
      <c r="T136" s="27" t="str">
        <f aca="false">IF(OR($A136="",$K136=0),"",ROUND($J136*INDEX(研发人员工时分配表!$N$6:$N$245,$AA136)/$K136,2))</f>
        <v/>
      </c>
      <c r="U136" s="27" t="str">
        <f aca="false">IF(OR($A136="",$K136=0),"",ROUND($J136*INDEX(研发人员工时分配表!$O$6:$O$245,$AA136)/$K136,2))</f>
        <v/>
      </c>
      <c r="V136" s="27" t="str">
        <f aca="false">IF(OR($A136="",$K136=0),"",ROUND($J136*INDEX(研发人员工时分配表!$P$6:$P$245,$AA136)/$K136,2))</f>
        <v/>
      </c>
      <c r="W136" s="27" t="str">
        <f aca="false">IF(OR($A136="",$K136=0),"",ROUND($J136*INDEX(研发人员工时分配表!$Q$6:$Q$245,$AA136)/$K136,2))</f>
        <v/>
      </c>
      <c r="X136" s="27" t="str">
        <f aca="false">IF($A136="","",ROUND(SUM(N136:W136),2))</f>
        <v/>
      </c>
      <c r="Y136" s="27" t="str">
        <f aca="false">IF($A136="","",ROUND($J136-X136,2))</f>
        <v/>
      </c>
      <c r="Z136" s="43" t="str">
        <f aca="false">IF($A136="","",IF($AA136=0,"⚠ 工时分配表无此人当月记录",IF($AB136&gt;1,"⚠ 工时分配表存在重复行","√ 正常")))</f>
        <v/>
      </c>
      <c r="AA136" s="47" t="n">
        <f aca="false">IF($A136="",0,IFERROR(MATCH($A136&amp;"|"&amp;$B136,研发人员工时分配表!$W$6:$W$245,0),0))</f>
        <v>0</v>
      </c>
      <c r="AB136" s="47" t="n">
        <f aca="false">IF($A136="",0,COUNTIFS(研发人员工时分配表!$A$6:$A$245,$A136,研发人员工时分配表!$B$6:$B$245,$B136))</f>
        <v>0</v>
      </c>
    </row>
    <row r="137" customFormat="false" ht="18" hidden="false" customHeight="true" outlineLevel="0" collapsed="false">
      <c r="A137" s="36"/>
      <c r="B137" s="36"/>
      <c r="C137" s="43" t="str">
        <f aca="false">IF($B137="","",IFERROR(VLOOKUP($B137,人员名册!$B$4:$G$53,2,0)&amp;"","名册中未登记"))</f>
        <v/>
      </c>
      <c r="D137" s="43" t="str">
        <f aca="false">IF($B137="","",IFERROR(VLOOKUP($B137,人员名册!$B$4:$G$53,5,0)&amp;"",""))</f>
        <v/>
      </c>
      <c r="E137" s="25"/>
      <c r="F137" s="25"/>
      <c r="G137" s="25"/>
      <c r="H137" s="25"/>
      <c r="I137" s="25"/>
      <c r="J137" s="27" t="str">
        <f aca="false">IF($A137="","",ROUND(SUM(E137:I137),2))</f>
        <v/>
      </c>
      <c r="K137" s="45" t="n">
        <f aca="false">IF(OR($A137="",$AA137=0),0,INDEX(研发人员工时分配表!$F$6:$F$245,$AA137))</f>
        <v>0</v>
      </c>
      <c r="L137" s="45" t="n">
        <f aca="false">IF(OR($A137="",$AA137=0),0,INDEX(研发人员工时分配表!$R$6:$R$245,$AA137))</f>
        <v>0</v>
      </c>
      <c r="M137" s="28" t="str">
        <f aca="false">IF(OR($A137="",$K137=0),"",$L137/$K137)</f>
        <v/>
      </c>
      <c r="N137" s="27" t="str">
        <f aca="false">IF(OR($A137="",$K137=0),"",ROUND($J137*INDEX(研发人员工时分配表!$H$6:$H$245,$AA137)/$K137,2))</f>
        <v/>
      </c>
      <c r="O137" s="27" t="str">
        <f aca="false">IF(OR($A137="",$K137=0),"",ROUND($J137*INDEX(研发人员工时分配表!$I$6:$I$245,$AA137)/$K137,2))</f>
        <v/>
      </c>
      <c r="P137" s="27" t="str">
        <f aca="false">IF(OR($A137="",$K137=0),"",ROUND($J137*INDEX(研发人员工时分配表!$J$6:$J$245,$AA137)/$K137,2))</f>
        <v/>
      </c>
      <c r="Q137" s="27" t="str">
        <f aca="false">IF(OR($A137="",$K137=0),"",ROUND($J137*INDEX(研发人员工时分配表!$K$6:$K$245,$AA137)/$K137,2))</f>
        <v/>
      </c>
      <c r="R137" s="27" t="str">
        <f aca="false">IF(OR($A137="",$K137=0),"",ROUND($J137*INDEX(研发人员工时分配表!$L$6:$L$245,$AA137)/$K137,2))</f>
        <v/>
      </c>
      <c r="S137" s="27" t="str">
        <f aca="false">IF(OR($A137="",$K137=0),"",ROUND($J137*INDEX(研发人员工时分配表!$M$6:$M$245,$AA137)/$K137,2))</f>
        <v/>
      </c>
      <c r="T137" s="27" t="str">
        <f aca="false">IF(OR($A137="",$K137=0),"",ROUND($J137*INDEX(研发人员工时分配表!$N$6:$N$245,$AA137)/$K137,2))</f>
        <v/>
      </c>
      <c r="U137" s="27" t="str">
        <f aca="false">IF(OR($A137="",$K137=0),"",ROUND($J137*INDEX(研发人员工时分配表!$O$6:$O$245,$AA137)/$K137,2))</f>
        <v/>
      </c>
      <c r="V137" s="27" t="str">
        <f aca="false">IF(OR($A137="",$K137=0),"",ROUND($J137*INDEX(研发人员工时分配表!$P$6:$P$245,$AA137)/$K137,2))</f>
        <v/>
      </c>
      <c r="W137" s="27" t="str">
        <f aca="false">IF(OR($A137="",$K137=0),"",ROUND($J137*INDEX(研发人员工时分配表!$Q$6:$Q$245,$AA137)/$K137,2))</f>
        <v/>
      </c>
      <c r="X137" s="27" t="str">
        <f aca="false">IF($A137="","",ROUND(SUM(N137:W137),2))</f>
        <v/>
      </c>
      <c r="Y137" s="27" t="str">
        <f aca="false">IF($A137="","",ROUND($J137-X137,2))</f>
        <v/>
      </c>
      <c r="Z137" s="43" t="str">
        <f aca="false">IF($A137="","",IF($AA137=0,"⚠ 工时分配表无此人当月记录",IF($AB137&gt;1,"⚠ 工时分配表存在重复行","√ 正常")))</f>
        <v/>
      </c>
      <c r="AA137" s="47" t="n">
        <f aca="false">IF($A137="",0,IFERROR(MATCH($A137&amp;"|"&amp;$B137,研发人员工时分配表!$W$6:$W$245,0),0))</f>
        <v>0</v>
      </c>
      <c r="AB137" s="47" t="n">
        <f aca="false">IF($A137="",0,COUNTIFS(研发人员工时分配表!$A$6:$A$245,$A137,研发人员工时分配表!$B$6:$B$245,$B137))</f>
        <v>0</v>
      </c>
    </row>
    <row r="138" customFormat="false" ht="18" hidden="false" customHeight="true" outlineLevel="0" collapsed="false">
      <c r="A138" s="36"/>
      <c r="B138" s="36"/>
      <c r="C138" s="43" t="str">
        <f aca="false">IF($B138="","",IFERROR(VLOOKUP($B138,人员名册!$B$4:$G$53,2,0)&amp;"","名册中未登记"))</f>
        <v/>
      </c>
      <c r="D138" s="43" t="str">
        <f aca="false">IF($B138="","",IFERROR(VLOOKUP($B138,人员名册!$B$4:$G$53,5,0)&amp;"",""))</f>
        <v/>
      </c>
      <c r="E138" s="25"/>
      <c r="F138" s="25"/>
      <c r="G138" s="25"/>
      <c r="H138" s="25"/>
      <c r="I138" s="25"/>
      <c r="J138" s="27" t="str">
        <f aca="false">IF($A138="","",ROUND(SUM(E138:I138),2))</f>
        <v/>
      </c>
      <c r="K138" s="45" t="n">
        <f aca="false">IF(OR($A138="",$AA138=0),0,INDEX(研发人员工时分配表!$F$6:$F$245,$AA138))</f>
        <v>0</v>
      </c>
      <c r="L138" s="45" t="n">
        <f aca="false">IF(OR($A138="",$AA138=0),0,INDEX(研发人员工时分配表!$R$6:$R$245,$AA138))</f>
        <v>0</v>
      </c>
      <c r="M138" s="28" t="str">
        <f aca="false">IF(OR($A138="",$K138=0),"",$L138/$K138)</f>
        <v/>
      </c>
      <c r="N138" s="27" t="str">
        <f aca="false">IF(OR($A138="",$K138=0),"",ROUND($J138*INDEX(研发人员工时分配表!$H$6:$H$245,$AA138)/$K138,2))</f>
        <v/>
      </c>
      <c r="O138" s="27" t="str">
        <f aca="false">IF(OR($A138="",$K138=0),"",ROUND($J138*INDEX(研发人员工时分配表!$I$6:$I$245,$AA138)/$K138,2))</f>
        <v/>
      </c>
      <c r="P138" s="27" t="str">
        <f aca="false">IF(OR($A138="",$K138=0),"",ROUND($J138*INDEX(研发人员工时分配表!$J$6:$J$245,$AA138)/$K138,2))</f>
        <v/>
      </c>
      <c r="Q138" s="27" t="str">
        <f aca="false">IF(OR($A138="",$K138=0),"",ROUND($J138*INDEX(研发人员工时分配表!$K$6:$K$245,$AA138)/$K138,2))</f>
        <v/>
      </c>
      <c r="R138" s="27" t="str">
        <f aca="false">IF(OR($A138="",$K138=0),"",ROUND($J138*INDEX(研发人员工时分配表!$L$6:$L$245,$AA138)/$K138,2))</f>
        <v/>
      </c>
      <c r="S138" s="27" t="str">
        <f aca="false">IF(OR($A138="",$K138=0),"",ROUND($J138*INDEX(研发人员工时分配表!$M$6:$M$245,$AA138)/$K138,2))</f>
        <v/>
      </c>
      <c r="T138" s="27" t="str">
        <f aca="false">IF(OR($A138="",$K138=0),"",ROUND($J138*INDEX(研发人员工时分配表!$N$6:$N$245,$AA138)/$K138,2))</f>
        <v/>
      </c>
      <c r="U138" s="27" t="str">
        <f aca="false">IF(OR($A138="",$K138=0),"",ROUND($J138*INDEX(研发人员工时分配表!$O$6:$O$245,$AA138)/$K138,2))</f>
        <v/>
      </c>
      <c r="V138" s="27" t="str">
        <f aca="false">IF(OR($A138="",$K138=0),"",ROUND($J138*INDEX(研发人员工时分配表!$P$6:$P$245,$AA138)/$K138,2))</f>
        <v/>
      </c>
      <c r="W138" s="27" t="str">
        <f aca="false">IF(OR($A138="",$K138=0),"",ROUND($J138*INDEX(研发人员工时分配表!$Q$6:$Q$245,$AA138)/$K138,2))</f>
        <v/>
      </c>
      <c r="X138" s="27" t="str">
        <f aca="false">IF($A138="","",ROUND(SUM(N138:W138),2))</f>
        <v/>
      </c>
      <c r="Y138" s="27" t="str">
        <f aca="false">IF($A138="","",ROUND($J138-X138,2))</f>
        <v/>
      </c>
      <c r="Z138" s="43" t="str">
        <f aca="false">IF($A138="","",IF($AA138=0,"⚠ 工时分配表无此人当月记录",IF($AB138&gt;1,"⚠ 工时分配表存在重复行","√ 正常")))</f>
        <v/>
      </c>
      <c r="AA138" s="47" t="n">
        <f aca="false">IF($A138="",0,IFERROR(MATCH($A138&amp;"|"&amp;$B138,研发人员工时分配表!$W$6:$W$245,0),0))</f>
        <v>0</v>
      </c>
      <c r="AB138" s="47" t="n">
        <f aca="false">IF($A138="",0,COUNTIFS(研发人员工时分配表!$A$6:$A$245,$A138,研发人员工时分配表!$B$6:$B$245,$B138))</f>
        <v>0</v>
      </c>
    </row>
    <row r="139" customFormat="false" ht="18" hidden="false" customHeight="true" outlineLevel="0" collapsed="false">
      <c r="A139" s="36"/>
      <c r="B139" s="36"/>
      <c r="C139" s="43" t="str">
        <f aca="false">IF($B139="","",IFERROR(VLOOKUP($B139,人员名册!$B$4:$G$53,2,0)&amp;"","名册中未登记"))</f>
        <v/>
      </c>
      <c r="D139" s="43" t="str">
        <f aca="false">IF($B139="","",IFERROR(VLOOKUP($B139,人员名册!$B$4:$G$53,5,0)&amp;"",""))</f>
        <v/>
      </c>
      <c r="E139" s="25"/>
      <c r="F139" s="25"/>
      <c r="G139" s="25"/>
      <c r="H139" s="25"/>
      <c r="I139" s="25"/>
      <c r="J139" s="27" t="str">
        <f aca="false">IF($A139="","",ROUND(SUM(E139:I139),2))</f>
        <v/>
      </c>
      <c r="K139" s="45" t="n">
        <f aca="false">IF(OR($A139="",$AA139=0),0,INDEX(研发人员工时分配表!$F$6:$F$245,$AA139))</f>
        <v>0</v>
      </c>
      <c r="L139" s="45" t="n">
        <f aca="false">IF(OR($A139="",$AA139=0),0,INDEX(研发人员工时分配表!$R$6:$R$245,$AA139))</f>
        <v>0</v>
      </c>
      <c r="M139" s="28" t="str">
        <f aca="false">IF(OR($A139="",$K139=0),"",$L139/$K139)</f>
        <v/>
      </c>
      <c r="N139" s="27" t="str">
        <f aca="false">IF(OR($A139="",$K139=0),"",ROUND($J139*INDEX(研发人员工时分配表!$H$6:$H$245,$AA139)/$K139,2))</f>
        <v/>
      </c>
      <c r="O139" s="27" t="str">
        <f aca="false">IF(OR($A139="",$K139=0),"",ROUND($J139*INDEX(研发人员工时分配表!$I$6:$I$245,$AA139)/$K139,2))</f>
        <v/>
      </c>
      <c r="P139" s="27" t="str">
        <f aca="false">IF(OR($A139="",$K139=0),"",ROUND($J139*INDEX(研发人员工时分配表!$J$6:$J$245,$AA139)/$K139,2))</f>
        <v/>
      </c>
      <c r="Q139" s="27" t="str">
        <f aca="false">IF(OR($A139="",$K139=0),"",ROUND($J139*INDEX(研发人员工时分配表!$K$6:$K$245,$AA139)/$K139,2))</f>
        <v/>
      </c>
      <c r="R139" s="27" t="str">
        <f aca="false">IF(OR($A139="",$K139=0),"",ROUND($J139*INDEX(研发人员工时分配表!$L$6:$L$245,$AA139)/$K139,2))</f>
        <v/>
      </c>
      <c r="S139" s="27" t="str">
        <f aca="false">IF(OR($A139="",$K139=0),"",ROUND($J139*INDEX(研发人员工时分配表!$M$6:$M$245,$AA139)/$K139,2))</f>
        <v/>
      </c>
      <c r="T139" s="27" t="str">
        <f aca="false">IF(OR($A139="",$K139=0),"",ROUND($J139*INDEX(研发人员工时分配表!$N$6:$N$245,$AA139)/$K139,2))</f>
        <v/>
      </c>
      <c r="U139" s="27" t="str">
        <f aca="false">IF(OR($A139="",$K139=0),"",ROUND($J139*INDEX(研发人员工时分配表!$O$6:$O$245,$AA139)/$K139,2))</f>
        <v/>
      </c>
      <c r="V139" s="27" t="str">
        <f aca="false">IF(OR($A139="",$K139=0),"",ROUND($J139*INDEX(研发人员工时分配表!$P$6:$P$245,$AA139)/$K139,2))</f>
        <v/>
      </c>
      <c r="W139" s="27" t="str">
        <f aca="false">IF(OR($A139="",$K139=0),"",ROUND($J139*INDEX(研发人员工时分配表!$Q$6:$Q$245,$AA139)/$K139,2))</f>
        <v/>
      </c>
      <c r="X139" s="27" t="str">
        <f aca="false">IF($A139="","",ROUND(SUM(N139:W139),2))</f>
        <v/>
      </c>
      <c r="Y139" s="27" t="str">
        <f aca="false">IF($A139="","",ROUND($J139-X139,2))</f>
        <v/>
      </c>
      <c r="Z139" s="43" t="str">
        <f aca="false">IF($A139="","",IF($AA139=0,"⚠ 工时分配表无此人当月记录",IF($AB139&gt;1,"⚠ 工时分配表存在重复行","√ 正常")))</f>
        <v/>
      </c>
      <c r="AA139" s="47" t="n">
        <f aca="false">IF($A139="",0,IFERROR(MATCH($A139&amp;"|"&amp;$B139,研发人员工时分配表!$W$6:$W$245,0),0))</f>
        <v>0</v>
      </c>
      <c r="AB139" s="47" t="n">
        <f aca="false">IF($A139="",0,COUNTIFS(研发人员工时分配表!$A$6:$A$245,$A139,研发人员工时分配表!$B$6:$B$245,$B139))</f>
        <v>0</v>
      </c>
    </row>
    <row r="140" customFormat="false" ht="18" hidden="false" customHeight="true" outlineLevel="0" collapsed="false">
      <c r="A140" s="36"/>
      <c r="B140" s="36"/>
      <c r="C140" s="43" t="str">
        <f aca="false">IF($B140="","",IFERROR(VLOOKUP($B140,人员名册!$B$4:$G$53,2,0)&amp;"","名册中未登记"))</f>
        <v/>
      </c>
      <c r="D140" s="43" t="str">
        <f aca="false">IF($B140="","",IFERROR(VLOOKUP($B140,人员名册!$B$4:$G$53,5,0)&amp;"",""))</f>
        <v/>
      </c>
      <c r="E140" s="25"/>
      <c r="F140" s="25"/>
      <c r="G140" s="25"/>
      <c r="H140" s="25"/>
      <c r="I140" s="25"/>
      <c r="J140" s="27" t="str">
        <f aca="false">IF($A140="","",ROUND(SUM(E140:I140),2))</f>
        <v/>
      </c>
      <c r="K140" s="45" t="n">
        <f aca="false">IF(OR($A140="",$AA140=0),0,INDEX(研发人员工时分配表!$F$6:$F$245,$AA140))</f>
        <v>0</v>
      </c>
      <c r="L140" s="45" t="n">
        <f aca="false">IF(OR($A140="",$AA140=0),0,INDEX(研发人员工时分配表!$R$6:$R$245,$AA140))</f>
        <v>0</v>
      </c>
      <c r="M140" s="28" t="str">
        <f aca="false">IF(OR($A140="",$K140=0),"",$L140/$K140)</f>
        <v/>
      </c>
      <c r="N140" s="27" t="str">
        <f aca="false">IF(OR($A140="",$K140=0),"",ROUND($J140*INDEX(研发人员工时分配表!$H$6:$H$245,$AA140)/$K140,2))</f>
        <v/>
      </c>
      <c r="O140" s="27" t="str">
        <f aca="false">IF(OR($A140="",$K140=0),"",ROUND($J140*INDEX(研发人员工时分配表!$I$6:$I$245,$AA140)/$K140,2))</f>
        <v/>
      </c>
      <c r="P140" s="27" t="str">
        <f aca="false">IF(OR($A140="",$K140=0),"",ROUND($J140*INDEX(研发人员工时分配表!$J$6:$J$245,$AA140)/$K140,2))</f>
        <v/>
      </c>
      <c r="Q140" s="27" t="str">
        <f aca="false">IF(OR($A140="",$K140=0),"",ROUND($J140*INDEX(研发人员工时分配表!$K$6:$K$245,$AA140)/$K140,2))</f>
        <v/>
      </c>
      <c r="R140" s="27" t="str">
        <f aca="false">IF(OR($A140="",$K140=0),"",ROUND($J140*INDEX(研发人员工时分配表!$L$6:$L$245,$AA140)/$K140,2))</f>
        <v/>
      </c>
      <c r="S140" s="27" t="str">
        <f aca="false">IF(OR($A140="",$K140=0),"",ROUND($J140*INDEX(研发人员工时分配表!$M$6:$M$245,$AA140)/$K140,2))</f>
        <v/>
      </c>
      <c r="T140" s="27" t="str">
        <f aca="false">IF(OR($A140="",$K140=0),"",ROUND($J140*INDEX(研发人员工时分配表!$N$6:$N$245,$AA140)/$K140,2))</f>
        <v/>
      </c>
      <c r="U140" s="27" t="str">
        <f aca="false">IF(OR($A140="",$K140=0),"",ROUND($J140*INDEX(研发人员工时分配表!$O$6:$O$245,$AA140)/$K140,2))</f>
        <v/>
      </c>
      <c r="V140" s="27" t="str">
        <f aca="false">IF(OR($A140="",$K140=0),"",ROUND($J140*INDEX(研发人员工时分配表!$P$6:$P$245,$AA140)/$K140,2))</f>
        <v/>
      </c>
      <c r="W140" s="27" t="str">
        <f aca="false">IF(OR($A140="",$K140=0),"",ROUND($J140*INDEX(研发人员工时分配表!$Q$6:$Q$245,$AA140)/$K140,2))</f>
        <v/>
      </c>
      <c r="X140" s="27" t="str">
        <f aca="false">IF($A140="","",ROUND(SUM(N140:W140),2))</f>
        <v/>
      </c>
      <c r="Y140" s="27" t="str">
        <f aca="false">IF($A140="","",ROUND($J140-X140,2))</f>
        <v/>
      </c>
      <c r="Z140" s="43" t="str">
        <f aca="false">IF($A140="","",IF($AA140=0,"⚠ 工时分配表无此人当月记录",IF($AB140&gt;1,"⚠ 工时分配表存在重复行","√ 正常")))</f>
        <v/>
      </c>
      <c r="AA140" s="47" t="n">
        <f aca="false">IF($A140="",0,IFERROR(MATCH($A140&amp;"|"&amp;$B140,研发人员工时分配表!$W$6:$W$245,0),0))</f>
        <v>0</v>
      </c>
      <c r="AB140" s="47" t="n">
        <f aca="false">IF($A140="",0,COUNTIFS(研发人员工时分配表!$A$6:$A$245,$A140,研发人员工时分配表!$B$6:$B$245,$B140))</f>
        <v>0</v>
      </c>
    </row>
    <row r="141" customFormat="false" ht="18" hidden="false" customHeight="true" outlineLevel="0" collapsed="false">
      <c r="A141" s="36"/>
      <c r="B141" s="36"/>
      <c r="C141" s="43" t="str">
        <f aca="false">IF($B141="","",IFERROR(VLOOKUP($B141,人员名册!$B$4:$G$53,2,0)&amp;"","名册中未登记"))</f>
        <v/>
      </c>
      <c r="D141" s="43" t="str">
        <f aca="false">IF($B141="","",IFERROR(VLOOKUP($B141,人员名册!$B$4:$G$53,5,0)&amp;"",""))</f>
        <v/>
      </c>
      <c r="E141" s="25"/>
      <c r="F141" s="25"/>
      <c r="G141" s="25"/>
      <c r="H141" s="25"/>
      <c r="I141" s="25"/>
      <c r="J141" s="27" t="str">
        <f aca="false">IF($A141="","",ROUND(SUM(E141:I141),2))</f>
        <v/>
      </c>
      <c r="K141" s="45" t="n">
        <f aca="false">IF(OR($A141="",$AA141=0),0,INDEX(研发人员工时分配表!$F$6:$F$245,$AA141))</f>
        <v>0</v>
      </c>
      <c r="L141" s="45" t="n">
        <f aca="false">IF(OR($A141="",$AA141=0),0,INDEX(研发人员工时分配表!$R$6:$R$245,$AA141))</f>
        <v>0</v>
      </c>
      <c r="M141" s="28" t="str">
        <f aca="false">IF(OR($A141="",$K141=0),"",$L141/$K141)</f>
        <v/>
      </c>
      <c r="N141" s="27" t="str">
        <f aca="false">IF(OR($A141="",$K141=0),"",ROUND($J141*INDEX(研发人员工时分配表!$H$6:$H$245,$AA141)/$K141,2))</f>
        <v/>
      </c>
      <c r="O141" s="27" t="str">
        <f aca="false">IF(OR($A141="",$K141=0),"",ROUND($J141*INDEX(研发人员工时分配表!$I$6:$I$245,$AA141)/$K141,2))</f>
        <v/>
      </c>
      <c r="P141" s="27" t="str">
        <f aca="false">IF(OR($A141="",$K141=0),"",ROUND($J141*INDEX(研发人员工时分配表!$J$6:$J$245,$AA141)/$K141,2))</f>
        <v/>
      </c>
      <c r="Q141" s="27" t="str">
        <f aca="false">IF(OR($A141="",$K141=0),"",ROUND($J141*INDEX(研发人员工时分配表!$K$6:$K$245,$AA141)/$K141,2))</f>
        <v/>
      </c>
      <c r="R141" s="27" t="str">
        <f aca="false">IF(OR($A141="",$K141=0),"",ROUND($J141*INDEX(研发人员工时分配表!$L$6:$L$245,$AA141)/$K141,2))</f>
        <v/>
      </c>
      <c r="S141" s="27" t="str">
        <f aca="false">IF(OR($A141="",$K141=0),"",ROUND($J141*INDEX(研发人员工时分配表!$M$6:$M$245,$AA141)/$K141,2))</f>
        <v/>
      </c>
      <c r="T141" s="27" t="str">
        <f aca="false">IF(OR($A141="",$K141=0),"",ROUND($J141*INDEX(研发人员工时分配表!$N$6:$N$245,$AA141)/$K141,2))</f>
        <v/>
      </c>
      <c r="U141" s="27" t="str">
        <f aca="false">IF(OR($A141="",$K141=0),"",ROUND($J141*INDEX(研发人员工时分配表!$O$6:$O$245,$AA141)/$K141,2))</f>
        <v/>
      </c>
      <c r="V141" s="27" t="str">
        <f aca="false">IF(OR($A141="",$K141=0),"",ROUND($J141*INDEX(研发人员工时分配表!$P$6:$P$245,$AA141)/$K141,2))</f>
        <v/>
      </c>
      <c r="W141" s="27" t="str">
        <f aca="false">IF(OR($A141="",$K141=0),"",ROUND($J141*INDEX(研发人员工时分配表!$Q$6:$Q$245,$AA141)/$K141,2))</f>
        <v/>
      </c>
      <c r="X141" s="27" t="str">
        <f aca="false">IF($A141="","",ROUND(SUM(N141:W141),2))</f>
        <v/>
      </c>
      <c r="Y141" s="27" t="str">
        <f aca="false">IF($A141="","",ROUND($J141-X141,2))</f>
        <v/>
      </c>
      <c r="Z141" s="43" t="str">
        <f aca="false">IF($A141="","",IF($AA141=0,"⚠ 工时分配表无此人当月记录",IF($AB141&gt;1,"⚠ 工时分配表存在重复行","√ 正常")))</f>
        <v/>
      </c>
      <c r="AA141" s="47" t="n">
        <f aca="false">IF($A141="",0,IFERROR(MATCH($A141&amp;"|"&amp;$B141,研发人员工时分配表!$W$6:$W$245,0),0))</f>
        <v>0</v>
      </c>
      <c r="AB141" s="47" t="n">
        <f aca="false">IF($A141="",0,COUNTIFS(研发人员工时分配表!$A$6:$A$245,$A141,研发人员工时分配表!$B$6:$B$245,$B141))</f>
        <v>0</v>
      </c>
    </row>
    <row r="142" customFormat="false" ht="18" hidden="false" customHeight="true" outlineLevel="0" collapsed="false">
      <c r="A142" s="36"/>
      <c r="B142" s="36"/>
      <c r="C142" s="43" t="str">
        <f aca="false">IF($B142="","",IFERROR(VLOOKUP($B142,人员名册!$B$4:$G$53,2,0)&amp;"","名册中未登记"))</f>
        <v/>
      </c>
      <c r="D142" s="43" t="str">
        <f aca="false">IF($B142="","",IFERROR(VLOOKUP($B142,人员名册!$B$4:$G$53,5,0)&amp;"",""))</f>
        <v/>
      </c>
      <c r="E142" s="25"/>
      <c r="F142" s="25"/>
      <c r="G142" s="25"/>
      <c r="H142" s="25"/>
      <c r="I142" s="25"/>
      <c r="J142" s="27" t="str">
        <f aca="false">IF($A142="","",ROUND(SUM(E142:I142),2))</f>
        <v/>
      </c>
      <c r="K142" s="45" t="n">
        <f aca="false">IF(OR($A142="",$AA142=0),0,INDEX(研发人员工时分配表!$F$6:$F$245,$AA142))</f>
        <v>0</v>
      </c>
      <c r="L142" s="45" t="n">
        <f aca="false">IF(OR($A142="",$AA142=0),0,INDEX(研发人员工时分配表!$R$6:$R$245,$AA142))</f>
        <v>0</v>
      </c>
      <c r="M142" s="28" t="str">
        <f aca="false">IF(OR($A142="",$K142=0),"",$L142/$K142)</f>
        <v/>
      </c>
      <c r="N142" s="27" t="str">
        <f aca="false">IF(OR($A142="",$K142=0),"",ROUND($J142*INDEX(研发人员工时分配表!$H$6:$H$245,$AA142)/$K142,2))</f>
        <v/>
      </c>
      <c r="O142" s="27" t="str">
        <f aca="false">IF(OR($A142="",$K142=0),"",ROUND($J142*INDEX(研发人员工时分配表!$I$6:$I$245,$AA142)/$K142,2))</f>
        <v/>
      </c>
      <c r="P142" s="27" t="str">
        <f aca="false">IF(OR($A142="",$K142=0),"",ROUND($J142*INDEX(研发人员工时分配表!$J$6:$J$245,$AA142)/$K142,2))</f>
        <v/>
      </c>
      <c r="Q142" s="27" t="str">
        <f aca="false">IF(OR($A142="",$K142=0),"",ROUND($J142*INDEX(研发人员工时分配表!$K$6:$K$245,$AA142)/$K142,2))</f>
        <v/>
      </c>
      <c r="R142" s="27" t="str">
        <f aca="false">IF(OR($A142="",$K142=0),"",ROUND($J142*INDEX(研发人员工时分配表!$L$6:$L$245,$AA142)/$K142,2))</f>
        <v/>
      </c>
      <c r="S142" s="27" t="str">
        <f aca="false">IF(OR($A142="",$K142=0),"",ROUND($J142*INDEX(研发人员工时分配表!$M$6:$M$245,$AA142)/$K142,2))</f>
        <v/>
      </c>
      <c r="T142" s="27" t="str">
        <f aca="false">IF(OR($A142="",$K142=0),"",ROUND($J142*INDEX(研发人员工时分配表!$N$6:$N$245,$AA142)/$K142,2))</f>
        <v/>
      </c>
      <c r="U142" s="27" t="str">
        <f aca="false">IF(OR($A142="",$K142=0),"",ROUND($J142*INDEX(研发人员工时分配表!$O$6:$O$245,$AA142)/$K142,2))</f>
        <v/>
      </c>
      <c r="V142" s="27" t="str">
        <f aca="false">IF(OR($A142="",$K142=0),"",ROUND($J142*INDEX(研发人员工时分配表!$P$6:$P$245,$AA142)/$K142,2))</f>
        <v/>
      </c>
      <c r="W142" s="27" t="str">
        <f aca="false">IF(OR($A142="",$K142=0),"",ROUND($J142*INDEX(研发人员工时分配表!$Q$6:$Q$245,$AA142)/$K142,2))</f>
        <v/>
      </c>
      <c r="X142" s="27" t="str">
        <f aca="false">IF($A142="","",ROUND(SUM(N142:W142),2))</f>
        <v/>
      </c>
      <c r="Y142" s="27" t="str">
        <f aca="false">IF($A142="","",ROUND($J142-X142,2))</f>
        <v/>
      </c>
      <c r="Z142" s="43" t="str">
        <f aca="false">IF($A142="","",IF($AA142=0,"⚠ 工时分配表无此人当月记录",IF($AB142&gt;1,"⚠ 工时分配表存在重复行","√ 正常")))</f>
        <v/>
      </c>
      <c r="AA142" s="47" t="n">
        <f aca="false">IF($A142="",0,IFERROR(MATCH($A142&amp;"|"&amp;$B142,研发人员工时分配表!$W$6:$W$245,0),0))</f>
        <v>0</v>
      </c>
      <c r="AB142" s="47" t="n">
        <f aca="false">IF($A142="",0,COUNTIFS(研发人员工时分配表!$A$6:$A$245,$A142,研发人员工时分配表!$B$6:$B$245,$B142))</f>
        <v>0</v>
      </c>
    </row>
    <row r="143" customFormat="false" ht="18" hidden="false" customHeight="true" outlineLevel="0" collapsed="false">
      <c r="A143" s="36"/>
      <c r="B143" s="36"/>
      <c r="C143" s="43" t="str">
        <f aca="false">IF($B143="","",IFERROR(VLOOKUP($B143,人员名册!$B$4:$G$53,2,0)&amp;"","名册中未登记"))</f>
        <v/>
      </c>
      <c r="D143" s="43" t="str">
        <f aca="false">IF($B143="","",IFERROR(VLOOKUP($B143,人员名册!$B$4:$G$53,5,0)&amp;"",""))</f>
        <v/>
      </c>
      <c r="E143" s="25"/>
      <c r="F143" s="25"/>
      <c r="G143" s="25"/>
      <c r="H143" s="25"/>
      <c r="I143" s="25"/>
      <c r="J143" s="27" t="str">
        <f aca="false">IF($A143="","",ROUND(SUM(E143:I143),2))</f>
        <v/>
      </c>
      <c r="K143" s="45" t="n">
        <f aca="false">IF(OR($A143="",$AA143=0),0,INDEX(研发人员工时分配表!$F$6:$F$245,$AA143))</f>
        <v>0</v>
      </c>
      <c r="L143" s="45" t="n">
        <f aca="false">IF(OR($A143="",$AA143=0),0,INDEX(研发人员工时分配表!$R$6:$R$245,$AA143))</f>
        <v>0</v>
      </c>
      <c r="M143" s="28" t="str">
        <f aca="false">IF(OR($A143="",$K143=0),"",$L143/$K143)</f>
        <v/>
      </c>
      <c r="N143" s="27" t="str">
        <f aca="false">IF(OR($A143="",$K143=0),"",ROUND($J143*INDEX(研发人员工时分配表!$H$6:$H$245,$AA143)/$K143,2))</f>
        <v/>
      </c>
      <c r="O143" s="27" t="str">
        <f aca="false">IF(OR($A143="",$K143=0),"",ROUND($J143*INDEX(研发人员工时分配表!$I$6:$I$245,$AA143)/$K143,2))</f>
        <v/>
      </c>
      <c r="P143" s="27" t="str">
        <f aca="false">IF(OR($A143="",$K143=0),"",ROUND($J143*INDEX(研发人员工时分配表!$J$6:$J$245,$AA143)/$K143,2))</f>
        <v/>
      </c>
      <c r="Q143" s="27" t="str">
        <f aca="false">IF(OR($A143="",$K143=0),"",ROUND($J143*INDEX(研发人员工时分配表!$K$6:$K$245,$AA143)/$K143,2))</f>
        <v/>
      </c>
      <c r="R143" s="27" t="str">
        <f aca="false">IF(OR($A143="",$K143=0),"",ROUND($J143*INDEX(研发人员工时分配表!$L$6:$L$245,$AA143)/$K143,2))</f>
        <v/>
      </c>
      <c r="S143" s="27" t="str">
        <f aca="false">IF(OR($A143="",$K143=0),"",ROUND($J143*INDEX(研发人员工时分配表!$M$6:$M$245,$AA143)/$K143,2))</f>
        <v/>
      </c>
      <c r="T143" s="27" t="str">
        <f aca="false">IF(OR($A143="",$K143=0),"",ROUND($J143*INDEX(研发人员工时分配表!$N$6:$N$245,$AA143)/$K143,2))</f>
        <v/>
      </c>
      <c r="U143" s="27" t="str">
        <f aca="false">IF(OR($A143="",$K143=0),"",ROUND($J143*INDEX(研发人员工时分配表!$O$6:$O$245,$AA143)/$K143,2))</f>
        <v/>
      </c>
      <c r="V143" s="27" t="str">
        <f aca="false">IF(OR($A143="",$K143=0),"",ROUND($J143*INDEX(研发人员工时分配表!$P$6:$P$245,$AA143)/$K143,2))</f>
        <v/>
      </c>
      <c r="W143" s="27" t="str">
        <f aca="false">IF(OR($A143="",$K143=0),"",ROUND($J143*INDEX(研发人员工时分配表!$Q$6:$Q$245,$AA143)/$K143,2))</f>
        <v/>
      </c>
      <c r="X143" s="27" t="str">
        <f aca="false">IF($A143="","",ROUND(SUM(N143:W143),2))</f>
        <v/>
      </c>
      <c r="Y143" s="27" t="str">
        <f aca="false">IF($A143="","",ROUND($J143-X143,2))</f>
        <v/>
      </c>
      <c r="Z143" s="43" t="str">
        <f aca="false">IF($A143="","",IF($AA143=0,"⚠ 工时分配表无此人当月记录",IF($AB143&gt;1,"⚠ 工时分配表存在重复行","√ 正常")))</f>
        <v/>
      </c>
      <c r="AA143" s="47" t="n">
        <f aca="false">IF($A143="",0,IFERROR(MATCH($A143&amp;"|"&amp;$B143,研发人员工时分配表!$W$6:$W$245,0),0))</f>
        <v>0</v>
      </c>
      <c r="AB143" s="47" t="n">
        <f aca="false">IF($A143="",0,COUNTIFS(研发人员工时分配表!$A$6:$A$245,$A143,研发人员工时分配表!$B$6:$B$245,$B143))</f>
        <v>0</v>
      </c>
    </row>
    <row r="144" customFormat="false" ht="18" hidden="false" customHeight="true" outlineLevel="0" collapsed="false">
      <c r="A144" s="36"/>
      <c r="B144" s="36"/>
      <c r="C144" s="43" t="str">
        <f aca="false">IF($B144="","",IFERROR(VLOOKUP($B144,人员名册!$B$4:$G$53,2,0)&amp;"","名册中未登记"))</f>
        <v/>
      </c>
      <c r="D144" s="43" t="str">
        <f aca="false">IF($B144="","",IFERROR(VLOOKUP($B144,人员名册!$B$4:$G$53,5,0)&amp;"",""))</f>
        <v/>
      </c>
      <c r="E144" s="25"/>
      <c r="F144" s="25"/>
      <c r="G144" s="25"/>
      <c r="H144" s="25"/>
      <c r="I144" s="25"/>
      <c r="J144" s="27" t="str">
        <f aca="false">IF($A144="","",ROUND(SUM(E144:I144),2))</f>
        <v/>
      </c>
      <c r="K144" s="45" t="n">
        <f aca="false">IF(OR($A144="",$AA144=0),0,INDEX(研发人员工时分配表!$F$6:$F$245,$AA144))</f>
        <v>0</v>
      </c>
      <c r="L144" s="45" t="n">
        <f aca="false">IF(OR($A144="",$AA144=0),0,INDEX(研发人员工时分配表!$R$6:$R$245,$AA144))</f>
        <v>0</v>
      </c>
      <c r="M144" s="28" t="str">
        <f aca="false">IF(OR($A144="",$K144=0),"",$L144/$K144)</f>
        <v/>
      </c>
      <c r="N144" s="27" t="str">
        <f aca="false">IF(OR($A144="",$K144=0),"",ROUND($J144*INDEX(研发人员工时分配表!$H$6:$H$245,$AA144)/$K144,2))</f>
        <v/>
      </c>
      <c r="O144" s="27" t="str">
        <f aca="false">IF(OR($A144="",$K144=0),"",ROUND($J144*INDEX(研发人员工时分配表!$I$6:$I$245,$AA144)/$K144,2))</f>
        <v/>
      </c>
      <c r="P144" s="27" t="str">
        <f aca="false">IF(OR($A144="",$K144=0),"",ROUND($J144*INDEX(研发人员工时分配表!$J$6:$J$245,$AA144)/$K144,2))</f>
        <v/>
      </c>
      <c r="Q144" s="27" t="str">
        <f aca="false">IF(OR($A144="",$K144=0),"",ROUND($J144*INDEX(研发人员工时分配表!$K$6:$K$245,$AA144)/$K144,2))</f>
        <v/>
      </c>
      <c r="R144" s="27" t="str">
        <f aca="false">IF(OR($A144="",$K144=0),"",ROUND($J144*INDEX(研发人员工时分配表!$L$6:$L$245,$AA144)/$K144,2))</f>
        <v/>
      </c>
      <c r="S144" s="27" t="str">
        <f aca="false">IF(OR($A144="",$K144=0),"",ROUND($J144*INDEX(研发人员工时分配表!$M$6:$M$245,$AA144)/$K144,2))</f>
        <v/>
      </c>
      <c r="T144" s="27" t="str">
        <f aca="false">IF(OR($A144="",$K144=0),"",ROUND($J144*INDEX(研发人员工时分配表!$N$6:$N$245,$AA144)/$K144,2))</f>
        <v/>
      </c>
      <c r="U144" s="27" t="str">
        <f aca="false">IF(OR($A144="",$K144=0),"",ROUND($J144*INDEX(研发人员工时分配表!$O$6:$O$245,$AA144)/$K144,2))</f>
        <v/>
      </c>
      <c r="V144" s="27" t="str">
        <f aca="false">IF(OR($A144="",$K144=0),"",ROUND($J144*INDEX(研发人员工时分配表!$P$6:$P$245,$AA144)/$K144,2))</f>
        <v/>
      </c>
      <c r="W144" s="27" t="str">
        <f aca="false">IF(OR($A144="",$K144=0),"",ROUND($J144*INDEX(研发人员工时分配表!$Q$6:$Q$245,$AA144)/$K144,2))</f>
        <v/>
      </c>
      <c r="X144" s="27" t="str">
        <f aca="false">IF($A144="","",ROUND(SUM(N144:W144),2))</f>
        <v/>
      </c>
      <c r="Y144" s="27" t="str">
        <f aca="false">IF($A144="","",ROUND($J144-X144,2))</f>
        <v/>
      </c>
      <c r="Z144" s="43" t="str">
        <f aca="false">IF($A144="","",IF($AA144=0,"⚠ 工时分配表无此人当月记录",IF($AB144&gt;1,"⚠ 工时分配表存在重复行","√ 正常")))</f>
        <v/>
      </c>
      <c r="AA144" s="47" t="n">
        <f aca="false">IF($A144="",0,IFERROR(MATCH($A144&amp;"|"&amp;$B144,研发人员工时分配表!$W$6:$W$245,0),0))</f>
        <v>0</v>
      </c>
      <c r="AB144" s="47" t="n">
        <f aca="false">IF($A144="",0,COUNTIFS(研发人员工时分配表!$A$6:$A$245,$A144,研发人员工时分配表!$B$6:$B$245,$B144))</f>
        <v>0</v>
      </c>
    </row>
    <row r="145" customFormat="false" ht="18" hidden="false" customHeight="true" outlineLevel="0" collapsed="false">
      <c r="A145" s="36"/>
      <c r="B145" s="36"/>
      <c r="C145" s="43" t="str">
        <f aca="false">IF($B145="","",IFERROR(VLOOKUP($B145,人员名册!$B$4:$G$53,2,0)&amp;"","名册中未登记"))</f>
        <v/>
      </c>
      <c r="D145" s="43" t="str">
        <f aca="false">IF($B145="","",IFERROR(VLOOKUP($B145,人员名册!$B$4:$G$53,5,0)&amp;"",""))</f>
        <v/>
      </c>
      <c r="E145" s="25"/>
      <c r="F145" s="25"/>
      <c r="G145" s="25"/>
      <c r="H145" s="25"/>
      <c r="I145" s="25"/>
      <c r="J145" s="27" t="str">
        <f aca="false">IF($A145="","",ROUND(SUM(E145:I145),2))</f>
        <v/>
      </c>
      <c r="K145" s="45" t="n">
        <f aca="false">IF(OR($A145="",$AA145=0),0,INDEX(研发人员工时分配表!$F$6:$F$245,$AA145))</f>
        <v>0</v>
      </c>
      <c r="L145" s="45" t="n">
        <f aca="false">IF(OR($A145="",$AA145=0),0,INDEX(研发人员工时分配表!$R$6:$R$245,$AA145))</f>
        <v>0</v>
      </c>
      <c r="M145" s="28" t="str">
        <f aca="false">IF(OR($A145="",$K145=0),"",$L145/$K145)</f>
        <v/>
      </c>
      <c r="N145" s="27" t="str">
        <f aca="false">IF(OR($A145="",$K145=0),"",ROUND($J145*INDEX(研发人员工时分配表!$H$6:$H$245,$AA145)/$K145,2))</f>
        <v/>
      </c>
      <c r="O145" s="27" t="str">
        <f aca="false">IF(OR($A145="",$K145=0),"",ROUND($J145*INDEX(研发人员工时分配表!$I$6:$I$245,$AA145)/$K145,2))</f>
        <v/>
      </c>
      <c r="P145" s="27" t="str">
        <f aca="false">IF(OR($A145="",$K145=0),"",ROUND($J145*INDEX(研发人员工时分配表!$J$6:$J$245,$AA145)/$K145,2))</f>
        <v/>
      </c>
      <c r="Q145" s="27" t="str">
        <f aca="false">IF(OR($A145="",$K145=0),"",ROUND($J145*INDEX(研发人员工时分配表!$K$6:$K$245,$AA145)/$K145,2))</f>
        <v/>
      </c>
      <c r="R145" s="27" t="str">
        <f aca="false">IF(OR($A145="",$K145=0),"",ROUND($J145*INDEX(研发人员工时分配表!$L$6:$L$245,$AA145)/$K145,2))</f>
        <v/>
      </c>
      <c r="S145" s="27" t="str">
        <f aca="false">IF(OR($A145="",$K145=0),"",ROUND($J145*INDEX(研发人员工时分配表!$M$6:$M$245,$AA145)/$K145,2))</f>
        <v/>
      </c>
      <c r="T145" s="27" t="str">
        <f aca="false">IF(OR($A145="",$K145=0),"",ROUND($J145*INDEX(研发人员工时分配表!$N$6:$N$245,$AA145)/$K145,2))</f>
        <v/>
      </c>
      <c r="U145" s="27" t="str">
        <f aca="false">IF(OR($A145="",$K145=0),"",ROUND($J145*INDEX(研发人员工时分配表!$O$6:$O$245,$AA145)/$K145,2))</f>
        <v/>
      </c>
      <c r="V145" s="27" t="str">
        <f aca="false">IF(OR($A145="",$K145=0),"",ROUND($J145*INDEX(研发人员工时分配表!$P$6:$P$245,$AA145)/$K145,2))</f>
        <v/>
      </c>
      <c r="W145" s="27" t="str">
        <f aca="false">IF(OR($A145="",$K145=0),"",ROUND($J145*INDEX(研发人员工时分配表!$Q$6:$Q$245,$AA145)/$K145,2))</f>
        <v/>
      </c>
      <c r="X145" s="27" t="str">
        <f aca="false">IF($A145="","",ROUND(SUM(N145:W145),2))</f>
        <v/>
      </c>
      <c r="Y145" s="27" t="str">
        <f aca="false">IF($A145="","",ROUND($J145-X145,2))</f>
        <v/>
      </c>
      <c r="Z145" s="43" t="str">
        <f aca="false">IF($A145="","",IF($AA145=0,"⚠ 工时分配表无此人当月记录",IF($AB145&gt;1,"⚠ 工时分配表存在重复行","√ 正常")))</f>
        <v/>
      </c>
      <c r="AA145" s="47" t="n">
        <f aca="false">IF($A145="",0,IFERROR(MATCH($A145&amp;"|"&amp;$B145,研发人员工时分配表!$W$6:$W$245,0),0))</f>
        <v>0</v>
      </c>
      <c r="AB145" s="47" t="n">
        <f aca="false">IF($A145="",0,COUNTIFS(研发人员工时分配表!$A$6:$A$245,$A145,研发人员工时分配表!$B$6:$B$245,$B145))</f>
        <v>0</v>
      </c>
    </row>
    <row r="146" customFormat="false" ht="18" hidden="false" customHeight="true" outlineLevel="0" collapsed="false">
      <c r="A146" s="36"/>
      <c r="B146" s="36"/>
      <c r="C146" s="43" t="str">
        <f aca="false">IF($B146="","",IFERROR(VLOOKUP($B146,人员名册!$B$4:$G$53,2,0)&amp;"","名册中未登记"))</f>
        <v/>
      </c>
      <c r="D146" s="43" t="str">
        <f aca="false">IF($B146="","",IFERROR(VLOOKUP($B146,人员名册!$B$4:$G$53,5,0)&amp;"",""))</f>
        <v/>
      </c>
      <c r="E146" s="25"/>
      <c r="F146" s="25"/>
      <c r="G146" s="25"/>
      <c r="H146" s="25"/>
      <c r="I146" s="25"/>
      <c r="J146" s="27" t="str">
        <f aca="false">IF($A146="","",ROUND(SUM(E146:I146),2))</f>
        <v/>
      </c>
      <c r="K146" s="45" t="n">
        <f aca="false">IF(OR($A146="",$AA146=0),0,INDEX(研发人员工时分配表!$F$6:$F$245,$AA146))</f>
        <v>0</v>
      </c>
      <c r="L146" s="45" t="n">
        <f aca="false">IF(OR($A146="",$AA146=0),0,INDEX(研发人员工时分配表!$R$6:$R$245,$AA146))</f>
        <v>0</v>
      </c>
      <c r="M146" s="28" t="str">
        <f aca="false">IF(OR($A146="",$K146=0),"",$L146/$K146)</f>
        <v/>
      </c>
      <c r="N146" s="27" t="str">
        <f aca="false">IF(OR($A146="",$K146=0),"",ROUND($J146*INDEX(研发人员工时分配表!$H$6:$H$245,$AA146)/$K146,2))</f>
        <v/>
      </c>
      <c r="O146" s="27" t="str">
        <f aca="false">IF(OR($A146="",$K146=0),"",ROUND($J146*INDEX(研发人员工时分配表!$I$6:$I$245,$AA146)/$K146,2))</f>
        <v/>
      </c>
      <c r="P146" s="27" t="str">
        <f aca="false">IF(OR($A146="",$K146=0),"",ROUND($J146*INDEX(研发人员工时分配表!$J$6:$J$245,$AA146)/$K146,2))</f>
        <v/>
      </c>
      <c r="Q146" s="27" t="str">
        <f aca="false">IF(OR($A146="",$K146=0),"",ROUND($J146*INDEX(研发人员工时分配表!$K$6:$K$245,$AA146)/$K146,2))</f>
        <v/>
      </c>
      <c r="R146" s="27" t="str">
        <f aca="false">IF(OR($A146="",$K146=0),"",ROUND($J146*INDEX(研发人员工时分配表!$L$6:$L$245,$AA146)/$K146,2))</f>
        <v/>
      </c>
      <c r="S146" s="27" t="str">
        <f aca="false">IF(OR($A146="",$K146=0),"",ROUND($J146*INDEX(研发人员工时分配表!$M$6:$M$245,$AA146)/$K146,2))</f>
        <v/>
      </c>
      <c r="T146" s="27" t="str">
        <f aca="false">IF(OR($A146="",$K146=0),"",ROUND($J146*INDEX(研发人员工时分配表!$N$6:$N$245,$AA146)/$K146,2))</f>
        <v/>
      </c>
      <c r="U146" s="27" t="str">
        <f aca="false">IF(OR($A146="",$K146=0),"",ROUND($J146*INDEX(研发人员工时分配表!$O$6:$O$245,$AA146)/$K146,2))</f>
        <v/>
      </c>
      <c r="V146" s="27" t="str">
        <f aca="false">IF(OR($A146="",$K146=0),"",ROUND($J146*INDEX(研发人员工时分配表!$P$6:$P$245,$AA146)/$K146,2))</f>
        <v/>
      </c>
      <c r="W146" s="27" t="str">
        <f aca="false">IF(OR($A146="",$K146=0),"",ROUND($J146*INDEX(研发人员工时分配表!$Q$6:$Q$245,$AA146)/$K146,2))</f>
        <v/>
      </c>
      <c r="X146" s="27" t="str">
        <f aca="false">IF($A146="","",ROUND(SUM(N146:W146),2))</f>
        <v/>
      </c>
      <c r="Y146" s="27" t="str">
        <f aca="false">IF($A146="","",ROUND($J146-X146,2))</f>
        <v/>
      </c>
      <c r="Z146" s="43" t="str">
        <f aca="false">IF($A146="","",IF($AA146=0,"⚠ 工时分配表无此人当月记录",IF($AB146&gt;1,"⚠ 工时分配表存在重复行","√ 正常")))</f>
        <v/>
      </c>
      <c r="AA146" s="47" t="n">
        <f aca="false">IF($A146="",0,IFERROR(MATCH($A146&amp;"|"&amp;$B146,研发人员工时分配表!$W$6:$W$245,0),0))</f>
        <v>0</v>
      </c>
      <c r="AB146" s="47" t="n">
        <f aca="false">IF($A146="",0,COUNTIFS(研发人员工时分配表!$A$6:$A$245,$A146,研发人员工时分配表!$B$6:$B$245,$B146))</f>
        <v>0</v>
      </c>
    </row>
    <row r="147" customFormat="false" ht="18" hidden="false" customHeight="true" outlineLevel="0" collapsed="false">
      <c r="A147" s="36"/>
      <c r="B147" s="36"/>
      <c r="C147" s="43" t="str">
        <f aca="false">IF($B147="","",IFERROR(VLOOKUP($B147,人员名册!$B$4:$G$53,2,0)&amp;"","名册中未登记"))</f>
        <v/>
      </c>
      <c r="D147" s="43" t="str">
        <f aca="false">IF($B147="","",IFERROR(VLOOKUP($B147,人员名册!$B$4:$G$53,5,0)&amp;"",""))</f>
        <v/>
      </c>
      <c r="E147" s="25"/>
      <c r="F147" s="25"/>
      <c r="G147" s="25"/>
      <c r="H147" s="25"/>
      <c r="I147" s="25"/>
      <c r="J147" s="27" t="str">
        <f aca="false">IF($A147="","",ROUND(SUM(E147:I147),2))</f>
        <v/>
      </c>
      <c r="K147" s="45" t="n">
        <f aca="false">IF(OR($A147="",$AA147=0),0,INDEX(研发人员工时分配表!$F$6:$F$245,$AA147))</f>
        <v>0</v>
      </c>
      <c r="L147" s="45" t="n">
        <f aca="false">IF(OR($A147="",$AA147=0),0,INDEX(研发人员工时分配表!$R$6:$R$245,$AA147))</f>
        <v>0</v>
      </c>
      <c r="M147" s="28" t="str">
        <f aca="false">IF(OR($A147="",$K147=0),"",$L147/$K147)</f>
        <v/>
      </c>
      <c r="N147" s="27" t="str">
        <f aca="false">IF(OR($A147="",$K147=0),"",ROUND($J147*INDEX(研发人员工时分配表!$H$6:$H$245,$AA147)/$K147,2))</f>
        <v/>
      </c>
      <c r="O147" s="27" t="str">
        <f aca="false">IF(OR($A147="",$K147=0),"",ROUND($J147*INDEX(研发人员工时分配表!$I$6:$I$245,$AA147)/$K147,2))</f>
        <v/>
      </c>
      <c r="P147" s="27" t="str">
        <f aca="false">IF(OR($A147="",$K147=0),"",ROUND($J147*INDEX(研发人员工时分配表!$J$6:$J$245,$AA147)/$K147,2))</f>
        <v/>
      </c>
      <c r="Q147" s="27" t="str">
        <f aca="false">IF(OR($A147="",$K147=0),"",ROUND($J147*INDEX(研发人员工时分配表!$K$6:$K$245,$AA147)/$K147,2))</f>
        <v/>
      </c>
      <c r="R147" s="27" t="str">
        <f aca="false">IF(OR($A147="",$K147=0),"",ROUND($J147*INDEX(研发人员工时分配表!$L$6:$L$245,$AA147)/$K147,2))</f>
        <v/>
      </c>
      <c r="S147" s="27" t="str">
        <f aca="false">IF(OR($A147="",$K147=0),"",ROUND($J147*INDEX(研发人员工时分配表!$M$6:$M$245,$AA147)/$K147,2))</f>
        <v/>
      </c>
      <c r="T147" s="27" t="str">
        <f aca="false">IF(OR($A147="",$K147=0),"",ROUND($J147*INDEX(研发人员工时分配表!$N$6:$N$245,$AA147)/$K147,2))</f>
        <v/>
      </c>
      <c r="U147" s="27" t="str">
        <f aca="false">IF(OR($A147="",$K147=0),"",ROUND($J147*INDEX(研发人员工时分配表!$O$6:$O$245,$AA147)/$K147,2))</f>
        <v/>
      </c>
      <c r="V147" s="27" t="str">
        <f aca="false">IF(OR($A147="",$K147=0),"",ROUND($J147*INDEX(研发人员工时分配表!$P$6:$P$245,$AA147)/$K147,2))</f>
        <v/>
      </c>
      <c r="W147" s="27" t="str">
        <f aca="false">IF(OR($A147="",$K147=0),"",ROUND($J147*INDEX(研发人员工时分配表!$Q$6:$Q$245,$AA147)/$K147,2))</f>
        <v/>
      </c>
      <c r="X147" s="27" t="str">
        <f aca="false">IF($A147="","",ROUND(SUM(N147:W147),2))</f>
        <v/>
      </c>
      <c r="Y147" s="27" t="str">
        <f aca="false">IF($A147="","",ROUND($J147-X147,2))</f>
        <v/>
      </c>
      <c r="Z147" s="43" t="str">
        <f aca="false">IF($A147="","",IF($AA147=0,"⚠ 工时分配表无此人当月记录",IF($AB147&gt;1,"⚠ 工时分配表存在重复行","√ 正常")))</f>
        <v/>
      </c>
      <c r="AA147" s="47" t="n">
        <f aca="false">IF($A147="",0,IFERROR(MATCH($A147&amp;"|"&amp;$B147,研发人员工时分配表!$W$6:$W$245,0),0))</f>
        <v>0</v>
      </c>
      <c r="AB147" s="47" t="n">
        <f aca="false">IF($A147="",0,COUNTIFS(研发人员工时分配表!$A$6:$A$245,$A147,研发人员工时分配表!$B$6:$B$245,$B147))</f>
        <v>0</v>
      </c>
    </row>
    <row r="148" customFormat="false" ht="18" hidden="false" customHeight="true" outlineLevel="0" collapsed="false">
      <c r="A148" s="36"/>
      <c r="B148" s="36"/>
      <c r="C148" s="43" t="str">
        <f aca="false">IF($B148="","",IFERROR(VLOOKUP($B148,人员名册!$B$4:$G$53,2,0)&amp;"","名册中未登记"))</f>
        <v/>
      </c>
      <c r="D148" s="43" t="str">
        <f aca="false">IF($B148="","",IFERROR(VLOOKUP($B148,人员名册!$B$4:$G$53,5,0)&amp;"",""))</f>
        <v/>
      </c>
      <c r="E148" s="25"/>
      <c r="F148" s="25"/>
      <c r="G148" s="25"/>
      <c r="H148" s="25"/>
      <c r="I148" s="25"/>
      <c r="J148" s="27" t="str">
        <f aca="false">IF($A148="","",ROUND(SUM(E148:I148),2))</f>
        <v/>
      </c>
      <c r="K148" s="45" t="n">
        <f aca="false">IF(OR($A148="",$AA148=0),0,INDEX(研发人员工时分配表!$F$6:$F$245,$AA148))</f>
        <v>0</v>
      </c>
      <c r="L148" s="45" t="n">
        <f aca="false">IF(OR($A148="",$AA148=0),0,INDEX(研发人员工时分配表!$R$6:$R$245,$AA148))</f>
        <v>0</v>
      </c>
      <c r="M148" s="28" t="str">
        <f aca="false">IF(OR($A148="",$K148=0),"",$L148/$K148)</f>
        <v/>
      </c>
      <c r="N148" s="27" t="str">
        <f aca="false">IF(OR($A148="",$K148=0),"",ROUND($J148*INDEX(研发人员工时分配表!$H$6:$H$245,$AA148)/$K148,2))</f>
        <v/>
      </c>
      <c r="O148" s="27" t="str">
        <f aca="false">IF(OR($A148="",$K148=0),"",ROUND($J148*INDEX(研发人员工时分配表!$I$6:$I$245,$AA148)/$K148,2))</f>
        <v/>
      </c>
      <c r="P148" s="27" t="str">
        <f aca="false">IF(OR($A148="",$K148=0),"",ROUND($J148*INDEX(研发人员工时分配表!$J$6:$J$245,$AA148)/$K148,2))</f>
        <v/>
      </c>
      <c r="Q148" s="27" t="str">
        <f aca="false">IF(OR($A148="",$K148=0),"",ROUND($J148*INDEX(研发人员工时分配表!$K$6:$K$245,$AA148)/$K148,2))</f>
        <v/>
      </c>
      <c r="R148" s="27" t="str">
        <f aca="false">IF(OR($A148="",$K148=0),"",ROUND($J148*INDEX(研发人员工时分配表!$L$6:$L$245,$AA148)/$K148,2))</f>
        <v/>
      </c>
      <c r="S148" s="27" t="str">
        <f aca="false">IF(OR($A148="",$K148=0),"",ROUND($J148*INDEX(研发人员工时分配表!$M$6:$M$245,$AA148)/$K148,2))</f>
        <v/>
      </c>
      <c r="T148" s="27" t="str">
        <f aca="false">IF(OR($A148="",$K148=0),"",ROUND($J148*INDEX(研发人员工时分配表!$N$6:$N$245,$AA148)/$K148,2))</f>
        <v/>
      </c>
      <c r="U148" s="27" t="str">
        <f aca="false">IF(OR($A148="",$K148=0),"",ROUND($J148*INDEX(研发人员工时分配表!$O$6:$O$245,$AA148)/$K148,2))</f>
        <v/>
      </c>
      <c r="V148" s="27" t="str">
        <f aca="false">IF(OR($A148="",$K148=0),"",ROUND($J148*INDEX(研发人员工时分配表!$P$6:$P$245,$AA148)/$K148,2))</f>
        <v/>
      </c>
      <c r="W148" s="27" t="str">
        <f aca="false">IF(OR($A148="",$K148=0),"",ROUND($J148*INDEX(研发人员工时分配表!$Q$6:$Q$245,$AA148)/$K148,2))</f>
        <v/>
      </c>
      <c r="X148" s="27" t="str">
        <f aca="false">IF($A148="","",ROUND(SUM(N148:W148),2))</f>
        <v/>
      </c>
      <c r="Y148" s="27" t="str">
        <f aca="false">IF($A148="","",ROUND($J148-X148,2))</f>
        <v/>
      </c>
      <c r="Z148" s="43" t="str">
        <f aca="false">IF($A148="","",IF($AA148=0,"⚠ 工时分配表无此人当月记录",IF($AB148&gt;1,"⚠ 工时分配表存在重复行","√ 正常")))</f>
        <v/>
      </c>
      <c r="AA148" s="47" t="n">
        <f aca="false">IF($A148="",0,IFERROR(MATCH($A148&amp;"|"&amp;$B148,研发人员工时分配表!$W$6:$W$245,0),0))</f>
        <v>0</v>
      </c>
      <c r="AB148" s="47" t="n">
        <f aca="false">IF($A148="",0,COUNTIFS(研发人员工时分配表!$A$6:$A$245,$A148,研发人员工时分配表!$B$6:$B$245,$B148))</f>
        <v>0</v>
      </c>
    </row>
    <row r="149" customFormat="false" ht="18" hidden="false" customHeight="true" outlineLevel="0" collapsed="false">
      <c r="A149" s="36"/>
      <c r="B149" s="36"/>
      <c r="C149" s="43" t="str">
        <f aca="false">IF($B149="","",IFERROR(VLOOKUP($B149,人员名册!$B$4:$G$53,2,0)&amp;"","名册中未登记"))</f>
        <v/>
      </c>
      <c r="D149" s="43" t="str">
        <f aca="false">IF($B149="","",IFERROR(VLOOKUP($B149,人员名册!$B$4:$G$53,5,0)&amp;"",""))</f>
        <v/>
      </c>
      <c r="E149" s="25"/>
      <c r="F149" s="25"/>
      <c r="G149" s="25"/>
      <c r="H149" s="25"/>
      <c r="I149" s="25"/>
      <c r="J149" s="27" t="str">
        <f aca="false">IF($A149="","",ROUND(SUM(E149:I149),2))</f>
        <v/>
      </c>
      <c r="K149" s="45" t="n">
        <f aca="false">IF(OR($A149="",$AA149=0),0,INDEX(研发人员工时分配表!$F$6:$F$245,$AA149))</f>
        <v>0</v>
      </c>
      <c r="L149" s="45" t="n">
        <f aca="false">IF(OR($A149="",$AA149=0),0,INDEX(研发人员工时分配表!$R$6:$R$245,$AA149))</f>
        <v>0</v>
      </c>
      <c r="M149" s="28" t="str">
        <f aca="false">IF(OR($A149="",$K149=0),"",$L149/$K149)</f>
        <v/>
      </c>
      <c r="N149" s="27" t="str">
        <f aca="false">IF(OR($A149="",$K149=0),"",ROUND($J149*INDEX(研发人员工时分配表!$H$6:$H$245,$AA149)/$K149,2))</f>
        <v/>
      </c>
      <c r="O149" s="27" t="str">
        <f aca="false">IF(OR($A149="",$K149=0),"",ROUND($J149*INDEX(研发人员工时分配表!$I$6:$I$245,$AA149)/$K149,2))</f>
        <v/>
      </c>
      <c r="P149" s="27" t="str">
        <f aca="false">IF(OR($A149="",$K149=0),"",ROUND($J149*INDEX(研发人员工时分配表!$J$6:$J$245,$AA149)/$K149,2))</f>
        <v/>
      </c>
      <c r="Q149" s="27" t="str">
        <f aca="false">IF(OR($A149="",$K149=0),"",ROUND($J149*INDEX(研发人员工时分配表!$K$6:$K$245,$AA149)/$K149,2))</f>
        <v/>
      </c>
      <c r="R149" s="27" t="str">
        <f aca="false">IF(OR($A149="",$K149=0),"",ROUND($J149*INDEX(研发人员工时分配表!$L$6:$L$245,$AA149)/$K149,2))</f>
        <v/>
      </c>
      <c r="S149" s="27" t="str">
        <f aca="false">IF(OR($A149="",$K149=0),"",ROUND($J149*INDEX(研发人员工时分配表!$M$6:$M$245,$AA149)/$K149,2))</f>
        <v/>
      </c>
      <c r="T149" s="27" t="str">
        <f aca="false">IF(OR($A149="",$K149=0),"",ROUND($J149*INDEX(研发人员工时分配表!$N$6:$N$245,$AA149)/$K149,2))</f>
        <v/>
      </c>
      <c r="U149" s="27" t="str">
        <f aca="false">IF(OR($A149="",$K149=0),"",ROUND($J149*INDEX(研发人员工时分配表!$O$6:$O$245,$AA149)/$K149,2))</f>
        <v/>
      </c>
      <c r="V149" s="27" t="str">
        <f aca="false">IF(OR($A149="",$K149=0),"",ROUND($J149*INDEX(研发人员工时分配表!$P$6:$P$245,$AA149)/$K149,2))</f>
        <v/>
      </c>
      <c r="W149" s="27" t="str">
        <f aca="false">IF(OR($A149="",$K149=0),"",ROUND($J149*INDEX(研发人员工时分配表!$Q$6:$Q$245,$AA149)/$K149,2))</f>
        <v/>
      </c>
      <c r="X149" s="27" t="str">
        <f aca="false">IF($A149="","",ROUND(SUM(N149:W149),2))</f>
        <v/>
      </c>
      <c r="Y149" s="27" t="str">
        <f aca="false">IF($A149="","",ROUND($J149-X149,2))</f>
        <v/>
      </c>
      <c r="Z149" s="43" t="str">
        <f aca="false">IF($A149="","",IF($AA149=0,"⚠ 工时分配表无此人当月记录",IF($AB149&gt;1,"⚠ 工时分配表存在重复行","√ 正常")))</f>
        <v/>
      </c>
      <c r="AA149" s="47" t="n">
        <f aca="false">IF($A149="",0,IFERROR(MATCH($A149&amp;"|"&amp;$B149,研发人员工时分配表!$W$6:$W$245,0),0))</f>
        <v>0</v>
      </c>
      <c r="AB149" s="47" t="n">
        <f aca="false">IF($A149="",0,COUNTIFS(研发人员工时分配表!$A$6:$A$245,$A149,研发人员工时分配表!$B$6:$B$245,$B149))</f>
        <v>0</v>
      </c>
    </row>
    <row r="150" customFormat="false" ht="18" hidden="false" customHeight="true" outlineLevel="0" collapsed="false">
      <c r="A150" s="36"/>
      <c r="B150" s="36"/>
      <c r="C150" s="43" t="str">
        <f aca="false">IF($B150="","",IFERROR(VLOOKUP($B150,人员名册!$B$4:$G$53,2,0)&amp;"","名册中未登记"))</f>
        <v/>
      </c>
      <c r="D150" s="43" t="str">
        <f aca="false">IF($B150="","",IFERROR(VLOOKUP($B150,人员名册!$B$4:$G$53,5,0)&amp;"",""))</f>
        <v/>
      </c>
      <c r="E150" s="25"/>
      <c r="F150" s="25"/>
      <c r="G150" s="25"/>
      <c r="H150" s="25"/>
      <c r="I150" s="25"/>
      <c r="J150" s="27" t="str">
        <f aca="false">IF($A150="","",ROUND(SUM(E150:I150),2))</f>
        <v/>
      </c>
      <c r="K150" s="45" t="n">
        <f aca="false">IF(OR($A150="",$AA150=0),0,INDEX(研发人员工时分配表!$F$6:$F$245,$AA150))</f>
        <v>0</v>
      </c>
      <c r="L150" s="45" t="n">
        <f aca="false">IF(OR($A150="",$AA150=0),0,INDEX(研发人员工时分配表!$R$6:$R$245,$AA150))</f>
        <v>0</v>
      </c>
      <c r="M150" s="28" t="str">
        <f aca="false">IF(OR($A150="",$K150=0),"",$L150/$K150)</f>
        <v/>
      </c>
      <c r="N150" s="27" t="str">
        <f aca="false">IF(OR($A150="",$K150=0),"",ROUND($J150*INDEX(研发人员工时分配表!$H$6:$H$245,$AA150)/$K150,2))</f>
        <v/>
      </c>
      <c r="O150" s="27" t="str">
        <f aca="false">IF(OR($A150="",$K150=0),"",ROUND($J150*INDEX(研发人员工时分配表!$I$6:$I$245,$AA150)/$K150,2))</f>
        <v/>
      </c>
      <c r="P150" s="27" t="str">
        <f aca="false">IF(OR($A150="",$K150=0),"",ROUND($J150*INDEX(研发人员工时分配表!$J$6:$J$245,$AA150)/$K150,2))</f>
        <v/>
      </c>
      <c r="Q150" s="27" t="str">
        <f aca="false">IF(OR($A150="",$K150=0),"",ROUND($J150*INDEX(研发人员工时分配表!$K$6:$K$245,$AA150)/$K150,2))</f>
        <v/>
      </c>
      <c r="R150" s="27" t="str">
        <f aca="false">IF(OR($A150="",$K150=0),"",ROUND($J150*INDEX(研发人员工时分配表!$L$6:$L$245,$AA150)/$K150,2))</f>
        <v/>
      </c>
      <c r="S150" s="27" t="str">
        <f aca="false">IF(OR($A150="",$K150=0),"",ROUND($J150*INDEX(研发人员工时分配表!$M$6:$M$245,$AA150)/$K150,2))</f>
        <v/>
      </c>
      <c r="T150" s="27" t="str">
        <f aca="false">IF(OR($A150="",$K150=0),"",ROUND($J150*INDEX(研发人员工时分配表!$N$6:$N$245,$AA150)/$K150,2))</f>
        <v/>
      </c>
      <c r="U150" s="27" t="str">
        <f aca="false">IF(OR($A150="",$K150=0),"",ROUND($J150*INDEX(研发人员工时分配表!$O$6:$O$245,$AA150)/$K150,2))</f>
        <v/>
      </c>
      <c r="V150" s="27" t="str">
        <f aca="false">IF(OR($A150="",$K150=0),"",ROUND($J150*INDEX(研发人员工时分配表!$P$6:$P$245,$AA150)/$K150,2))</f>
        <v/>
      </c>
      <c r="W150" s="27" t="str">
        <f aca="false">IF(OR($A150="",$K150=0),"",ROUND($J150*INDEX(研发人员工时分配表!$Q$6:$Q$245,$AA150)/$K150,2))</f>
        <v/>
      </c>
      <c r="X150" s="27" t="str">
        <f aca="false">IF($A150="","",ROUND(SUM(N150:W150),2))</f>
        <v/>
      </c>
      <c r="Y150" s="27" t="str">
        <f aca="false">IF($A150="","",ROUND($J150-X150,2))</f>
        <v/>
      </c>
      <c r="Z150" s="43" t="str">
        <f aca="false">IF($A150="","",IF($AA150=0,"⚠ 工时分配表无此人当月记录",IF($AB150&gt;1,"⚠ 工时分配表存在重复行","√ 正常")))</f>
        <v/>
      </c>
      <c r="AA150" s="47" t="n">
        <f aca="false">IF($A150="",0,IFERROR(MATCH($A150&amp;"|"&amp;$B150,研发人员工时分配表!$W$6:$W$245,0),0))</f>
        <v>0</v>
      </c>
      <c r="AB150" s="47" t="n">
        <f aca="false">IF($A150="",0,COUNTIFS(研发人员工时分配表!$A$6:$A$245,$A150,研发人员工时分配表!$B$6:$B$245,$B150))</f>
        <v>0</v>
      </c>
    </row>
    <row r="151" customFormat="false" ht="18" hidden="false" customHeight="true" outlineLevel="0" collapsed="false">
      <c r="A151" s="36"/>
      <c r="B151" s="36"/>
      <c r="C151" s="43" t="str">
        <f aca="false">IF($B151="","",IFERROR(VLOOKUP($B151,人员名册!$B$4:$G$53,2,0)&amp;"","名册中未登记"))</f>
        <v/>
      </c>
      <c r="D151" s="43" t="str">
        <f aca="false">IF($B151="","",IFERROR(VLOOKUP($B151,人员名册!$B$4:$G$53,5,0)&amp;"",""))</f>
        <v/>
      </c>
      <c r="E151" s="25"/>
      <c r="F151" s="25"/>
      <c r="G151" s="25"/>
      <c r="H151" s="25"/>
      <c r="I151" s="25"/>
      <c r="J151" s="27" t="str">
        <f aca="false">IF($A151="","",ROUND(SUM(E151:I151),2))</f>
        <v/>
      </c>
      <c r="K151" s="45" t="n">
        <f aca="false">IF(OR($A151="",$AA151=0),0,INDEX(研发人员工时分配表!$F$6:$F$245,$AA151))</f>
        <v>0</v>
      </c>
      <c r="L151" s="45" t="n">
        <f aca="false">IF(OR($A151="",$AA151=0),0,INDEX(研发人员工时分配表!$R$6:$R$245,$AA151))</f>
        <v>0</v>
      </c>
      <c r="M151" s="28" t="str">
        <f aca="false">IF(OR($A151="",$K151=0),"",$L151/$K151)</f>
        <v/>
      </c>
      <c r="N151" s="27" t="str">
        <f aca="false">IF(OR($A151="",$K151=0),"",ROUND($J151*INDEX(研发人员工时分配表!$H$6:$H$245,$AA151)/$K151,2))</f>
        <v/>
      </c>
      <c r="O151" s="27" t="str">
        <f aca="false">IF(OR($A151="",$K151=0),"",ROUND($J151*INDEX(研发人员工时分配表!$I$6:$I$245,$AA151)/$K151,2))</f>
        <v/>
      </c>
      <c r="P151" s="27" t="str">
        <f aca="false">IF(OR($A151="",$K151=0),"",ROUND($J151*INDEX(研发人员工时分配表!$J$6:$J$245,$AA151)/$K151,2))</f>
        <v/>
      </c>
      <c r="Q151" s="27" t="str">
        <f aca="false">IF(OR($A151="",$K151=0),"",ROUND($J151*INDEX(研发人员工时分配表!$K$6:$K$245,$AA151)/$K151,2))</f>
        <v/>
      </c>
      <c r="R151" s="27" t="str">
        <f aca="false">IF(OR($A151="",$K151=0),"",ROUND($J151*INDEX(研发人员工时分配表!$L$6:$L$245,$AA151)/$K151,2))</f>
        <v/>
      </c>
      <c r="S151" s="27" t="str">
        <f aca="false">IF(OR($A151="",$K151=0),"",ROUND($J151*INDEX(研发人员工时分配表!$M$6:$M$245,$AA151)/$K151,2))</f>
        <v/>
      </c>
      <c r="T151" s="27" t="str">
        <f aca="false">IF(OR($A151="",$K151=0),"",ROUND($J151*INDEX(研发人员工时分配表!$N$6:$N$245,$AA151)/$K151,2))</f>
        <v/>
      </c>
      <c r="U151" s="27" t="str">
        <f aca="false">IF(OR($A151="",$K151=0),"",ROUND($J151*INDEX(研发人员工时分配表!$O$6:$O$245,$AA151)/$K151,2))</f>
        <v/>
      </c>
      <c r="V151" s="27" t="str">
        <f aca="false">IF(OR($A151="",$K151=0),"",ROUND($J151*INDEX(研发人员工时分配表!$P$6:$P$245,$AA151)/$K151,2))</f>
        <v/>
      </c>
      <c r="W151" s="27" t="str">
        <f aca="false">IF(OR($A151="",$K151=0),"",ROUND($J151*INDEX(研发人员工时分配表!$Q$6:$Q$245,$AA151)/$K151,2))</f>
        <v/>
      </c>
      <c r="X151" s="27" t="str">
        <f aca="false">IF($A151="","",ROUND(SUM(N151:W151),2))</f>
        <v/>
      </c>
      <c r="Y151" s="27" t="str">
        <f aca="false">IF($A151="","",ROUND($J151-X151,2))</f>
        <v/>
      </c>
      <c r="Z151" s="43" t="str">
        <f aca="false">IF($A151="","",IF($AA151=0,"⚠ 工时分配表无此人当月记录",IF($AB151&gt;1,"⚠ 工时分配表存在重复行","√ 正常")))</f>
        <v/>
      </c>
      <c r="AA151" s="47" t="n">
        <f aca="false">IF($A151="",0,IFERROR(MATCH($A151&amp;"|"&amp;$B151,研发人员工时分配表!$W$6:$W$245,0),0))</f>
        <v>0</v>
      </c>
      <c r="AB151" s="47" t="n">
        <f aca="false">IF($A151="",0,COUNTIFS(研发人员工时分配表!$A$6:$A$245,$A151,研发人员工时分配表!$B$6:$B$245,$B151))</f>
        <v>0</v>
      </c>
    </row>
    <row r="152" customFormat="false" ht="18" hidden="false" customHeight="true" outlineLevel="0" collapsed="false">
      <c r="A152" s="36"/>
      <c r="B152" s="36"/>
      <c r="C152" s="43" t="str">
        <f aca="false">IF($B152="","",IFERROR(VLOOKUP($B152,人员名册!$B$4:$G$53,2,0)&amp;"","名册中未登记"))</f>
        <v/>
      </c>
      <c r="D152" s="43" t="str">
        <f aca="false">IF($B152="","",IFERROR(VLOOKUP($B152,人员名册!$B$4:$G$53,5,0)&amp;"",""))</f>
        <v/>
      </c>
      <c r="E152" s="25"/>
      <c r="F152" s="25"/>
      <c r="G152" s="25"/>
      <c r="H152" s="25"/>
      <c r="I152" s="25"/>
      <c r="J152" s="27" t="str">
        <f aca="false">IF($A152="","",ROUND(SUM(E152:I152),2))</f>
        <v/>
      </c>
      <c r="K152" s="45" t="n">
        <f aca="false">IF(OR($A152="",$AA152=0),0,INDEX(研发人员工时分配表!$F$6:$F$245,$AA152))</f>
        <v>0</v>
      </c>
      <c r="L152" s="45" t="n">
        <f aca="false">IF(OR($A152="",$AA152=0),0,INDEX(研发人员工时分配表!$R$6:$R$245,$AA152))</f>
        <v>0</v>
      </c>
      <c r="M152" s="28" t="str">
        <f aca="false">IF(OR($A152="",$K152=0),"",$L152/$K152)</f>
        <v/>
      </c>
      <c r="N152" s="27" t="str">
        <f aca="false">IF(OR($A152="",$K152=0),"",ROUND($J152*INDEX(研发人员工时分配表!$H$6:$H$245,$AA152)/$K152,2))</f>
        <v/>
      </c>
      <c r="O152" s="27" t="str">
        <f aca="false">IF(OR($A152="",$K152=0),"",ROUND($J152*INDEX(研发人员工时分配表!$I$6:$I$245,$AA152)/$K152,2))</f>
        <v/>
      </c>
      <c r="P152" s="27" t="str">
        <f aca="false">IF(OR($A152="",$K152=0),"",ROUND($J152*INDEX(研发人员工时分配表!$J$6:$J$245,$AA152)/$K152,2))</f>
        <v/>
      </c>
      <c r="Q152" s="27" t="str">
        <f aca="false">IF(OR($A152="",$K152=0),"",ROUND($J152*INDEX(研发人员工时分配表!$K$6:$K$245,$AA152)/$K152,2))</f>
        <v/>
      </c>
      <c r="R152" s="27" t="str">
        <f aca="false">IF(OR($A152="",$K152=0),"",ROUND($J152*INDEX(研发人员工时分配表!$L$6:$L$245,$AA152)/$K152,2))</f>
        <v/>
      </c>
      <c r="S152" s="27" t="str">
        <f aca="false">IF(OR($A152="",$K152=0),"",ROUND($J152*INDEX(研发人员工时分配表!$M$6:$M$245,$AA152)/$K152,2))</f>
        <v/>
      </c>
      <c r="T152" s="27" t="str">
        <f aca="false">IF(OR($A152="",$K152=0),"",ROUND($J152*INDEX(研发人员工时分配表!$N$6:$N$245,$AA152)/$K152,2))</f>
        <v/>
      </c>
      <c r="U152" s="27" t="str">
        <f aca="false">IF(OR($A152="",$K152=0),"",ROUND($J152*INDEX(研发人员工时分配表!$O$6:$O$245,$AA152)/$K152,2))</f>
        <v/>
      </c>
      <c r="V152" s="27" t="str">
        <f aca="false">IF(OR($A152="",$K152=0),"",ROUND($J152*INDEX(研发人员工时分配表!$P$6:$P$245,$AA152)/$K152,2))</f>
        <v/>
      </c>
      <c r="W152" s="27" t="str">
        <f aca="false">IF(OR($A152="",$K152=0),"",ROUND($J152*INDEX(研发人员工时分配表!$Q$6:$Q$245,$AA152)/$K152,2))</f>
        <v/>
      </c>
      <c r="X152" s="27" t="str">
        <f aca="false">IF($A152="","",ROUND(SUM(N152:W152),2))</f>
        <v/>
      </c>
      <c r="Y152" s="27" t="str">
        <f aca="false">IF($A152="","",ROUND($J152-X152,2))</f>
        <v/>
      </c>
      <c r="Z152" s="43" t="str">
        <f aca="false">IF($A152="","",IF($AA152=0,"⚠ 工时分配表无此人当月记录",IF($AB152&gt;1,"⚠ 工时分配表存在重复行","√ 正常")))</f>
        <v/>
      </c>
      <c r="AA152" s="47" t="n">
        <f aca="false">IF($A152="",0,IFERROR(MATCH($A152&amp;"|"&amp;$B152,研发人员工时分配表!$W$6:$W$245,0),0))</f>
        <v>0</v>
      </c>
      <c r="AB152" s="47" t="n">
        <f aca="false">IF($A152="",0,COUNTIFS(研发人员工时分配表!$A$6:$A$245,$A152,研发人员工时分配表!$B$6:$B$245,$B152))</f>
        <v>0</v>
      </c>
    </row>
    <row r="153" customFormat="false" ht="18" hidden="false" customHeight="true" outlineLevel="0" collapsed="false">
      <c r="A153" s="36"/>
      <c r="B153" s="36"/>
      <c r="C153" s="43" t="str">
        <f aca="false">IF($B153="","",IFERROR(VLOOKUP($B153,人员名册!$B$4:$G$53,2,0)&amp;"","名册中未登记"))</f>
        <v/>
      </c>
      <c r="D153" s="43" t="str">
        <f aca="false">IF($B153="","",IFERROR(VLOOKUP($B153,人员名册!$B$4:$G$53,5,0)&amp;"",""))</f>
        <v/>
      </c>
      <c r="E153" s="25"/>
      <c r="F153" s="25"/>
      <c r="G153" s="25"/>
      <c r="H153" s="25"/>
      <c r="I153" s="25"/>
      <c r="J153" s="27" t="str">
        <f aca="false">IF($A153="","",ROUND(SUM(E153:I153),2))</f>
        <v/>
      </c>
      <c r="K153" s="45" t="n">
        <f aca="false">IF(OR($A153="",$AA153=0),0,INDEX(研发人员工时分配表!$F$6:$F$245,$AA153))</f>
        <v>0</v>
      </c>
      <c r="L153" s="45" t="n">
        <f aca="false">IF(OR($A153="",$AA153=0),0,INDEX(研发人员工时分配表!$R$6:$R$245,$AA153))</f>
        <v>0</v>
      </c>
      <c r="M153" s="28" t="str">
        <f aca="false">IF(OR($A153="",$K153=0),"",$L153/$K153)</f>
        <v/>
      </c>
      <c r="N153" s="27" t="str">
        <f aca="false">IF(OR($A153="",$K153=0),"",ROUND($J153*INDEX(研发人员工时分配表!$H$6:$H$245,$AA153)/$K153,2))</f>
        <v/>
      </c>
      <c r="O153" s="27" t="str">
        <f aca="false">IF(OR($A153="",$K153=0),"",ROUND($J153*INDEX(研发人员工时分配表!$I$6:$I$245,$AA153)/$K153,2))</f>
        <v/>
      </c>
      <c r="P153" s="27" t="str">
        <f aca="false">IF(OR($A153="",$K153=0),"",ROUND($J153*INDEX(研发人员工时分配表!$J$6:$J$245,$AA153)/$K153,2))</f>
        <v/>
      </c>
      <c r="Q153" s="27" t="str">
        <f aca="false">IF(OR($A153="",$K153=0),"",ROUND($J153*INDEX(研发人员工时分配表!$K$6:$K$245,$AA153)/$K153,2))</f>
        <v/>
      </c>
      <c r="R153" s="27" t="str">
        <f aca="false">IF(OR($A153="",$K153=0),"",ROUND($J153*INDEX(研发人员工时分配表!$L$6:$L$245,$AA153)/$K153,2))</f>
        <v/>
      </c>
      <c r="S153" s="27" t="str">
        <f aca="false">IF(OR($A153="",$K153=0),"",ROUND($J153*INDEX(研发人员工时分配表!$M$6:$M$245,$AA153)/$K153,2))</f>
        <v/>
      </c>
      <c r="T153" s="27" t="str">
        <f aca="false">IF(OR($A153="",$K153=0),"",ROUND($J153*INDEX(研发人员工时分配表!$N$6:$N$245,$AA153)/$K153,2))</f>
        <v/>
      </c>
      <c r="U153" s="27" t="str">
        <f aca="false">IF(OR($A153="",$K153=0),"",ROUND($J153*INDEX(研发人员工时分配表!$O$6:$O$245,$AA153)/$K153,2))</f>
        <v/>
      </c>
      <c r="V153" s="27" t="str">
        <f aca="false">IF(OR($A153="",$K153=0),"",ROUND($J153*INDEX(研发人员工时分配表!$P$6:$P$245,$AA153)/$K153,2))</f>
        <v/>
      </c>
      <c r="W153" s="27" t="str">
        <f aca="false">IF(OR($A153="",$K153=0),"",ROUND($J153*INDEX(研发人员工时分配表!$Q$6:$Q$245,$AA153)/$K153,2))</f>
        <v/>
      </c>
      <c r="X153" s="27" t="str">
        <f aca="false">IF($A153="","",ROUND(SUM(N153:W153),2))</f>
        <v/>
      </c>
      <c r="Y153" s="27" t="str">
        <f aca="false">IF($A153="","",ROUND($J153-X153,2))</f>
        <v/>
      </c>
      <c r="Z153" s="43" t="str">
        <f aca="false">IF($A153="","",IF($AA153=0,"⚠ 工时分配表无此人当月记录",IF($AB153&gt;1,"⚠ 工时分配表存在重复行","√ 正常")))</f>
        <v/>
      </c>
      <c r="AA153" s="47" t="n">
        <f aca="false">IF($A153="",0,IFERROR(MATCH($A153&amp;"|"&amp;$B153,研发人员工时分配表!$W$6:$W$245,0),0))</f>
        <v>0</v>
      </c>
      <c r="AB153" s="47" t="n">
        <f aca="false">IF($A153="",0,COUNTIFS(研发人员工时分配表!$A$6:$A$245,$A153,研发人员工时分配表!$B$6:$B$245,$B153))</f>
        <v>0</v>
      </c>
    </row>
    <row r="154" customFormat="false" ht="18" hidden="false" customHeight="true" outlineLevel="0" collapsed="false">
      <c r="A154" s="36"/>
      <c r="B154" s="36"/>
      <c r="C154" s="43" t="str">
        <f aca="false">IF($B154="","",IFERROR(VLOOKUP($B154,人员名册!$B$4:$G$53,2,0)&amp;"","名册中未登记"))</f>
        <v/>
      </c>
      <c r="D154" s="43" t="str">
        <f aca="false">IF($B154="","",IFERROR(VLOOKUP($B154,人员名册!$B$4:$G$53,5,0)&amp;"",""))</f>
        <v/>
      </c>
      <c r="E154" s="25"/>
      <c r="F154" s="25"/>
      <c r="G154" s="25"/>
      <c r="H154" s="25"/>
      <c r="I154" s="25"/>
      <c r="J154" s="27" t="str">
        <f aca="false">IF($A154="","",ROUND(SUM(E154:I154),2))</f>
        <v/>
      </c>
      <c r="K154" s="45" t="n">
        <f aca="false">IF(OR($A154="",$AA154=0),0,INDEX(研发人员工时分配表!$F$6:$F$245,$AA154))</f>
        <v>0</v>
      </c>
      <c r="L154" s="45" t="n">
        <f aca="false">IF(OR($A154="",$AA154=0),0,INDEX(研发人员工时分配表!$R$6:$R$245,$AA154))</f>
        <v>0</v>
      </c>
      <c r="M154" s="28" t="str">
        <f aca="false">IF(OR($A154="",$K154=0),"",$L154/$K154)</f>
        <v/>
      </c>
      <c r="N154" s="27" t="str">
        <f aca="false">IF(OR($A154="",$K154=0),"",ROUND($J154*INDEX(研发人员工时分配表!$H$6:$H$245,$AA154)/$K154,2))</f>
        <v/>
      </c>
      <c r="O154" s="27" t="str">
        <f aca="false">IF(OR($A154="",$K154=0),"",ROUND($J154*INDEX(研发人员工时分配表!$I$6:$I$245,$AA154)/$K154,2))</f>
        <v/>
      </c>
      <c r="P154" s="27" t="str">
        <f aca="false">IF(OR($A154="",$K154=0),"",ROUND($J154*INDEX(研发人员工时分配表!$J$6:$J$245,$AA154)/$K154,2))</f>
        <v/>
      </c>
      <c r="Q154" s="27" t="str">
        <f aca="false">IF(OR($A154="",$K154=0),"",ROUND($J154*INDEX(研发人员工时分配表!$K$6:$K$245,$AA154)/$K154,2))</f>
        <v/>
      </c>
      <c r="R154" s="27" t="str">
        <f aca="false">IF(OR($A154="",$K154=0),"",ROUND($J154*INDEX(研发人员工时分配表!$L$6:$L$245,$AA154)/$K154,2))</f>
        <v/>
      </c>
      <c r="S154" s="27" t="str">
        <f aca="false">IF(OR($A154="",$K154=0),"",ROUND($J154*INDEX(研发人员工时分配表!$M$6:$M$245,$AA154)/$K154,2))</f>
        <v/>
      </c>
      <c r="T154" s="27" t="str">
        <f aca="false">IF(OR($A154="",$K154=0),"",ROUND($J154*INDEX(研发人员工时分配表!$N$6:$N$245,$AA154)/$K154,2))</f>
        <v/>
      </c>
      <c r="U154" s="27" t="str">
        <f aca="false">IF(OR($A154="",$K154=0),"",ROUND($J154*INDEX(研发人员工时分配表!$O$6:$O$245,$AA154)/$K154,2))</f>
        <v/>
      </c>
      <c r="V154" s="27" t="str">
        <f aca="false">IF(OR($A154="",$K154=0),"",ROUND($J154*INDEX(研发人员工时分配表!$P$6:$P$245,$AA154)/$K154,2))</f>
        <v/>
      </c>
      <c r="W154" s="27" t="str">
        <f aca="false">IF(OR($A154="",$K154=0),"",ROUND($J154*INDEX(研发人员工时分配表!$Q$6:$Q$245,$AA154)/$K154,2))</f>
        <v/>
      </c>
      <c r="X154" s="27" t="str">
        <f aca="false">IF($A154="","",ROUND(SUM(N154:W154),2))</f>
        <v/>
      </c>
      <c r="Y154" s="27" t="str">
        <f aca="false">IF($A154="","",ROUND($J154-X154,2))</f>
        <v/>
      </c>
      <c r="Z154" s="43" t="str">
        <f aca="false">IF($A154="","",IF($AA154=0,"⚠ 工时分配表无此人当月记录",IF($AB154&gt;1,"⚠ 工时分配表存在重复行","√ 正常")))</f>
        <v/>
      </c>
      <c r="AA154" s="47" t="n">
        <f aca="false">IF($A154="",0,IFERROR(MATCH($A154&amp;"|"&amp;$B154,研发人员工时分配表!$W$6:$W$245,0),0))</f>
        <v>0</v>
      </c>
      <c r="AB154" s="47" t="n">
        <f aca="false">IF($A154="",0,COUNTIFS(研发人员工时分配表!$A$6:$A$245,$A154,研发人员工时分配表!$B$6:$B$245,$B154))</f>
        <v>0</v>
      </c>
    </row>
    <row r="155" customFormat="false" ht="18" hidden="false" customHeight="true" outlineLevel="0" collapsed="false">
      <c r="A155" s="36"/>
      <c r="B155" s="36"/>
      <c r="C155" s="43" t="str">
        <f aca="false">IF($B155="","",IFERROR(VLOOKUP($B155,人员名册!$B$4:$G$53,2,0)&amp;"","名册中未登记"))</f>
        <v/>
      </c>
      <c r="D155" s="43" t="str">
        <f aca="false">IF($B155="","",IFERROR(VLOOKUP($B155,人员名册!$B$4:$G$53,5,0)&amp;"",""))</f>
        <v/>
      </c>
      <c r="E155" s="25"/>
      <c r="F155" s="25"/>
      <c r="G155" s="25"/>
      <c r="H155" s="25"/>
      <c r="I155" s="25"/>
      <c r="J155" s="27" t="str">
        <f aca="false">IF($A155="","",ROUND(SUM(E155:I155),2))</f>
        <v/>
      </c>
      <c r="K155" s="45" t="n">
        <f aca="false">IF(OR($A155="",$AA155=0),0,INDEX(研发人员工时分配表!$F$6:$F$245,$AA155))</f>
        <v>0</v>
      </c>
      <c r="L155" s="45" t="n">
        <f aca="false">IF(OR($A155="",$AA155=0),0,INDEX(研发人员工时分配表!$R$6:$R$245,$AA155))</f>
        <v>0</v>
      </c>
      <c r="M155" s="28" t="str">
        <f aca="false">IF(OR($A155="",$K155=0),"",$L155/$K155)</f>
        <v/>
      </c>
      <c r="N155" s="27" t="str">
        <f aca="false">IF(OR($A155="",$K155=0),"",ROUND($J155*INDEX(研发人员工时分配表!$H$6:$H$245,$AA155)/$K155,2))</f>
        <v/>
      </c>
      <c r="O155" s="27" t="str">
        <f aca="false">IF(OR($A155="",$K155=0),"",ROUND($J155*INDEX(研发人员工时分配表!$I$6:$I$245,$AA155)/$K155,2))</f>
        <v/>
      </c>
      <c r="P155" s="27" t="str">
        <f aca="false">IF(OR($A155="",$K155=0),"",ROUND($J155*INDEX(研发人员工时分配表!$J$6:$J$245,$AA155)/$K155,2))</f>
        <v/>
      </c>
      <c r="Q155" s="27" t="str">
        <f aca="false">IF(OR($A155="",$K155=0),"",ROUND($J155*INDEX(研发人员工时分配表!$K$6:$K$245,$AA155)/$K155,2))</f>
        <v/>
      </c>
      <c r="R155" s="27" t="str">
        <f aca="false">IF(OR($A155="",$K155=0),"",ROUND($J155*INDEX(研发人员工时分配表!$L$6:$L$245,$AA155)/$K155,2))</f>
        <v/>
      </c>
      <c r="S155" s="27" t="str">
        <f aca="false">IF(OR($A155="",$K155=0),"",ROUND($J155*INDEX(研发人员工时分配表!$M$6:$M$245,$AA155)/$K155,2))</f>
        <v/>
      </c>
      <c r="T155" s="27" t="str">
        <f aca="false">IF(OR($A155="",$K155=0),"",ROUND($J155*INDEX(研发人员工时分配表!$N$6:$N$245,$AA155)/$K155,2))</f>
        <v/>
      </c>
      <c r="U155" s="27" t="str">
        <f aca="false">IF(OR($A155="",$K155=0),"",ROUND($J155*INDEX(研发人员工时分配表!$O$6:$O$245,$AA155)/$K155,2))</f>
        <v/>
      </c>
      <c r="V155" s="27" t="str">
        <f aca="false">IF(OR($A155="",$K155=0),"",ROUND($J155*INDEX(研发人员工时分配表!$P$6:$P$245,$AA155)/$K155,2))</f>
        <v/>
      </c>
      <c r="W155" s="27" t="str">
        <f aca="false">IF(OR($A155="",$K155=0),"",ROUND($J155*INDEX(研发人员工时分配表!$Q$6:$Q$245,$AA155)/$K155,2))</f>
        <v/>
      </c>
      <c r="X155" s="27" t="str">
        <f aca="false">IF($A155="","",ROUND(SUM(N155:W155),2))</f>
        <v/>
      </c>
      <c r="Y155" s="27" t="str">
        <f aca="false">IF($A155="","",ROUND($J155-X155,2))</f>
        <v/>
      </c>
      <c r="Z155" s="43" t="str">
        <f aca="false">IF($A155="","",IF($AA155=0,"⚠ 工时分配表无此人当月记录",IF($AB155&gt;1,"⚠ 工时分配表存在重复行","√ 正常")))</f>
        <v/>
      </c>
      <c r="AA155" s="47" t="n">
        <f aca="false">IF($A155="",0,IFERROR(MATCH($A155&amp;"|"&amp;$B155,研发人员工时分配表!$W$6:$W$245,0),0))</f>
        <v>0</v>
      </c>
      <c r="AB155" s="47" t="n">
        <f aca="false">IF($A155="",0,COUNTIFS(研发人员工时分配表!$A$6:$A$245,$A155,研发人员工时分配表!$B$6:$B$245,$B155))</f>
        <v>0</v>
      </c>
    </row>
    <row r="156" customFormat="false" ht="18" hidden="false" customHeight="true" outlineLevel="0" collapsed="false">
      <c r="A156" s="36"/>
      <c r="B156" s="36"/>
      <c r="C156" s="43" t="str">
        <f aca="false">IF($B156="","",IFERROR(VLOOKUP($B156,人员名册!$B$4:$G$53,2,0)&amp;"","名册中未登记"))</f>
        <v/>
      </c>
      <c r="D156" s="43" t="str">
        <f aca="false">IF($B156="","",IFERROR(VLOOKUP($B156,人员名册!$B$4:$G$53,5,0)&amp;"",""))</f>
        <v/>
      </c>
      <c r="E156" s="25"/>
      <c r="F156" s="25"/>
      <c r="G156" s="25"/>
      <c r="H156" s="25"/>
      <c r="I156" s="25"/>
      <c r="J156" s="27" t="str">
        <f aca="false">IF($A156="","",ROUND(SUM(E156:I156),2))</f>
        <v/>
      </c>
      <c r="K156" s="45" t="n">
        <f aca="false">IF(OR($A156="",$AA156=0),0,INDEX(研发人员工时分配表!$F$6:$F$245,$AA156))</f>
        <v>0</v>
      </c>
      <c r="L156" s="45" t="n">
        <f aca="false">IF(OR($A156="",$AA156=0),0,INDEX(研发人员工时分配表!$R$6:$R$245,$AA156))</f>
        <v>0</v>
      </c>
      <c r="M156" s="28" t="str">
        <f aca="false">IF(OR($A156="",$K156=0),"",$L156/$K156)</f>
        <v/>
      </c>
      <c r="N156" s="27" t="str">
        <f aca="false">IF(OR($A156="",$K156=0),"",ROUND($J156*INDEX(研发人员工时分配表!$H$6:$H$245,$AA156)/$K156,2))</f>
        <v/>
      </c>
      <c r="O156" s="27" t="str">
        <f aca="false">IF(OR($A156="",$K156=0),"",ROUND($J156*INDEX(研发人员工时分配表!$I$6:$I$245,$AA156)/$K156,2))</f>
        <v/>
      </c>
      <c r="P156" s="27" t="str">
        <f aca="false">IF(OR($A156="",$K156=0),"",ROUND($J156*INDEX(研发人员工时分配表!$J$6:$J$245,$AA156)/$K156,2))</f>
        <v/>
      </c>
      <c r="Q156" s="27" t="str">
        <f aca="false">IF(OR($A156="",$K156=0),"",ROUND($J156*INDEX(研发人员工时分配表!$K$6:$K$245,$AA156)/$K156,2))</f>
        <v/>
      </c>
      <c r="R156" s="27" t="str">
        <f aca="false">IF(OR($A156="",$K156=0),"",ROUND($J156*INDEX(研发人员工时分配表!$L$6:$L$245,$AA156)/$K156,2))</f>
        <v/>
      </c>
      <c r="S156" s="27" t="str">
        <f aca="false">IF(OR($A156="",$K156=0),"",ROUND($J156*INDEX(研发人员工时分配表!$M$6:$M$245,$AA156)/$K156,2))</f>
        <v/>
      </c>
      <c r="T156" s="27" t="str">
        <f aca="false">IF(OR($A156="",$K156=0),"",ROUND($J156*INDEX(研发人员工时分配表!$N$6:$N$245,$AA156)/$K156,2))</f>
        <v/>
      </c>
      <c r="U156" s="27" t="str">
        <f aca="false">IF(OR($A156="",$K156=0),"",ROUND($J156*INDEX(研发人员工时分配表!$O$6:$O$245,$AA156)/$K156,2))</f>
        <v/>
      </c>
      <c r="V156" s="27" t="str">
        <f aca="false">IF(OR($A156="",$K156=0),"",ROUND($J156*INDEX(研发人员工时分配表!$P$6:$P$245,$AA156)/$K156,2))</f>
        <v/>
      </c>
      <c r="W156" s="27" t="str">
        <f aca="false">IF(OR($A156="",$K156=0),"",ROUND($J156*INDEX(研发人员工时分配表!$Q$6:$Q$245,$AA156)/$K156,2))</f>
        <v/>
      </c>
      <c r="X156" s="27" t="str">
        <f aca="false">IF($A156="","",ROUND(SUM(N156:W156),2))</f>
        <v/>
      </c>
      <c r="Y156" s="27" t="str">
        <f aca="false">IF($A156="","",ROUND($J156-X156,2))</f>
        <v/>
      </c>
      <c r="Z156" s="43" t="str">
        <f aca="false">IF($A156="","",IF($AA156=0,"⚠ 工时分配表无此人当月记录",IF($AB156&gt;1,"⚠ 工时分配表存在重复行","√ 正常")))</f>
        <v/>
      </c>
      <c r="AA156" s="47" t="n">
        <f aca="false">IF($A156="",0,IFERROR(MATCH($A156&amp;"|"&amp;$B156,研发人员工时分配表!$W$6:$W$245,0),0))</f>
        <v>0</v>
      </c>
      <c r="AB156" s="47" t="n">
        <f aca="false">IF($A156="",0,COUNTIFS(研发人员工时分配表!$A$6:$A$245,$A156,研发人员工时分配表!$B$6:$B$245,$B156))</f>
        <v>0</v>
      </c>
    </row>
    <row r="157" customFormat="false" ht="18" hidden="false" customHeight="true" outlineLevel="0" collapsed="false">
      <c r="A157" s="36"/>
      <c r="B157" s="36"/>
      <c r="C157" s="43" t="str">
        <f aca="false">IF($B157="","",IFERROR(VLOOKUP($B157,人员名册!$B$4:$G$53,2,0)&amp;"","名册中未登记"))</f>
        <v/>
      </c>
      <c r="D157" s="43" t="str">
        <f aca="false">IF($B157="","",IFERROR(VLOOKUP($B157,人员名册!$B$4:$G$53,5,0)&amp;"",""))</f>
        <v/>
      </c>
      <c r="E157" s="25"/>
      <c r="F157" s="25"/>
      <c r="G157" s="25"/>
      <c r="H157" s="25"/>
      <c r="I157" s="25"/>
      <c r="J157" s="27" t="str">
        <f aca="false">IF($A157="","",ROUND(SUM(E157:I157),2))</f>
        <v/>
      </c>
      <c r="K157" s="45" t="n">
        <f aca="false">IF(OR($A157="",$AA157=0),0,INDEX(研发人员工时分配表!$F$6:$F$245,$AA157))</f>
        <v>0</v>
      </c>
      <c r="L157" s="45" t="n">
        <f aca="false">IF(OR($A157="",$AA157=0),0,INDEX(研发人员工时分配表!$R$6:$R$245,$AA157))</f>
        <v>0</v>
      </c>
      <c r="M157" s="28" t="str">
        <f aca="false">IF(OR($A157="",$K157=0),"",$L157/$K157)</f>
        <v/>
      </c>
      <c r="N157" s="27" t="str">
        <f aca="false">IF(OR($A157="",$K157=0),"",ROUND($J157*INDEX(研发人员工时分配表!$H$6:$H$245,$AA157)/$K157,2))</f>
        <v/>
      </c>
      <c r="O157" s="27" t="str">
        <f aca="false">IF(OR($A157="",$K157=0),"",ROUND($J157*INDEX(研发人员工时分配表!$I$6:$I$245,$AA157)/$K157,2))</f>
        <v/>
      </c>
      <c r="P157" s="27" t="str">
        <f aca="false">IF(OR($A157="",$K157=0),"",ROUND($J157*INDEX(研发人员工时分配表!$J$6:$J$245,$AA157)/$K157,2))</f>
        <v/>
      </c>
      <c r="Q157" s="27" t="str">
        <f aca="false">IF(OR($A157="",$K157=0),"",ROUND($J157*INDEX(研发人员工时分配表!$K$6:$K$245,$AA157)/$K157,2))</f>
        <v/>
      </c>
      <c r="R157" s="27" t="str">
        <f aca="false">IF(OR($A157="",$K157=0),"",ROUND($J157*INDEX(研发人员工时分配表!$L$6:$L$245,$AA157)/$K157,2))</f>
        <v/>
      </c>
      <c r="S157" s="27" t="str">
        <f aca="false">IF(OR($A157="",$K157=0),"",ROUND($J157*INDEX(研发人员工时分配表!$M$6:$M$245,$AA157)/$K157,2))</f>
        <v/>
      </c>
      <c r="T157" s="27" t="str">
        <f aca="false">IF(OR($A157="",$K157=0),"",ROUND($J157*INDEX(研发人员工时分配表!$N$6:$N$245,$AA157)/$K157,2))</f>
        <v/>
      </c>
      <c r="U157" s="27" t="str">
        <f aca="false">IF(OR($A157="",$K157=0),"",ROUND($J157*INDEX(研发人员工时分配表!$O$6:$O$245,$AA157)/$K157,2))</f>
        <v/>
      </c>
      <c r="V157" s="27" t="str">
        <f aca="false">IF(OR($A157="",$K157=0),"",ROUND($J157*INDEX(研发人员工时分配表!$P$6:$P$245,$AA157)/$K157,2))</f>
        <v/>
      </c>
      <c r="W157" s="27" t="str">
        <f aca="false">IF(OR($A157="",$K157=0),"",ROUND($J157*INDEX(研发人员工时分配表!$Q$6:$Q$245,$AA157)/$K157,2))</f>
        <v/>
      </c>
      <c r="X157" s="27" t="str">
        <f aca="false">IF($A157="","",ROUND(SUM(N157:W157),2))</f>
        <v/>
      </c>
      <c r="Y157" s="27" t="str">
        <f aca="false">IF($A157="","",ROUND($J157-X157,2))</f>
        <v/>
      </c>
      <c r="Z157" s="43" t="str">
        <f aca="false">IF($A157="","",IF($AA157=0,"⚠ 工时分配表无此人当月记录",IF($AB157&gt;1,"⚠ 工时分配表存在重复行","√ 正常")))</f>
        <v/>
      </c>
      <c r="AA157" s="47" t="n">
        <f aca="false">IF($A157="",0,IFERROR(MATCH($A157&amp;"|"&amp;$B157,研发人员工时分配表!$W$6:$W$245,0),0))</f>
        <v>0</v>
      </c>
      <c r="AB157" s="47" t="n">
        <f aca="false">IF($A157="",0,COUNTIFS(研发人员工时分配表!$A$6:$A$245,$A157,研发人员工时分配表!$B$6:$B$245,$B157))</f>
        <v>0</v>
      </c>
    </row>
    <row r="158" customFormat="false" ht="18" hidden="false" customHeight="true" outlineLevel="0" collapsed="false">
      <c r="A158" s="36"/>
      <c r="B158" s="36"/>
      <c r="C158" s="43" t="str">
        <f aca="false">IF($B158="","",IFERROR(VLOOKUP($B158,人员名册!$B$4:$G$53,2,0)&amp;"","名册中未登记"))</f>
        <v/>
      </c>
      <c r="D158" s="43" t="str">
        <f aca="false">IF($B158="","",IFERROR(VLOOKUP($B158,人员名册!$B$4:$G$53,5,0)&amp;"",""))</f>
        <v/>
      </c>
      <c r="E158" s="25"/>
      <c r="F158" s="25"/>
      <c r="G158" s="25"/>
      <c r="H158" s="25"/>
      <c r="I158" s="25"/>
      <c r="J158" s="27" t="str">
        <f aca="false">IF($A158="","",ROUND(SUM(E158:I158),2))</f>
        <v/>
      </c>
      <c r="K158" s="45" t="n">
        <f aca="false">IF(OR($A158="",$AA158=0),0,INDEX(研发人员工时分配表!$F$6:$F$245,$AA158))</f>
        <v>0</v>
      </c>
      <c r="L158" s="45" t="n">
        <f aca="false">IF(OR($A158="",$AA158=0),0,INDEX(研发人员工时分配表!$R$6:$R$245,$AA158))</f>
        <v>0</v>
      </c>
      <c r="M158" s="28" t="str">
        <f aca="false">IF(OR($A158="",$K158=0),"",$L158/$K158)</f>
        <v/>
      </c>
      <c r="N158" s="27" t="str">
        <f aca="false">IF(OR($A158="",$K158=0),"",ROUND($J158*INDEX(研发人员工时分配表!$H$6:$H$245,$AA158)/$K158,2))</f>
        <v/>
      </c>
      <c r="O158" s="27" t="str">
        <f aca="false">IF(OR($A158="",$K158=0),"",ROUND($J158*INDEX(研发人员工时分配表!$I$6:$I$245,$AA158)/$K158,2))</f>
        <v/>
      </c>
      <c r="P158" s="27" t="str">
        <f aca="false">IF(OR($A158="",$K158=0),"",ROUND($J158*INDEX(研发人员工时分配表!$J$6:$J$245,$AA158)/$K158,2))</f>
        <v/>
      </c>
      <c r="Q158" s="27" t="str">
        <f aca="false">IF(OR($A158="",$K158=0),"",ROUND($J158*INDEX(研发人员工时分配表!$K$6:$K$245,$AA158)/$K158,2))</f>
        <v/>
      </c>
      <c r="R158" s="27" t="str">
        <f aca="false">IF(OR($A158="",$K158=0),"",ROUND($J158*INDEX(研发人员工时分配表!$L$6:$L$245,$AA158)/$K158,2))</f>
        <v/>
      </c>
      <c r="S158" s="27" t="str">
        <f aca="false">IF(OR($A158="",$K158=0),"",ROUND($J158*INDEX(研发人员工时分配表!$M$6:$M$245,$AA158)/$K158,2))</f>
        <v/>
      </c>
      <c r="T158" s="27" t="str">
        <f aca="false">IF(OR($A158="",$K158=0),"",ROUND($J158*INDEX(研发人员工时分配表!$N$6:$N$245,$AA158)/$K158,2))</f>
        <v/>
      </c>
      <c r="U158" s="27" t="str">
        <f aca="false">IF(OR($A158="",$K158=0),"",ROUND($J158*INDEX(研发人员工时分配表!$O$6:$O$245,$AA158)/$K158,2))</f>
        <v/>
      </c>
      <c r="V158" s="27" t="str">
        <f aca="false">IF(OR($A158="",$K158=0),"",ROUND($J158*INDEX(研发人员工时分配表!$P$6:$P$245,$AA158)/$K158,2))</f>
        <v/>
      </c>
      <c r="W158" s="27" t="str">
        <f aca="false">IF(OR($A158="",$K158=0),"",ROUND($J158*INDEX(研发人员工时分配表!$Q$6:$Q$245,$AA158)/$K158,2))</f>
        <v/>
      </c>
      <c r="X158" s="27" t="str">
        <f aca="false">IF($A158="","",ROUND(SUM(N158:W158),2))</f>
        <v/>
      </c>
      <c r="Y158" s="27" t="str">
        <f aca="false">IF($A158="","",ROUND($J158-X158,2))</f>
        <v/>
      </c>
      <c r="Z158" s="43" t="str">
        <f aca="false">IF($A158="","",IF($AA158=0,"⚠ 工时分配表无此人当月记录",IF($AB158&gt;1,"⚠ 工时分配表存在重复行","√ 正常")))</f>
        <v/>
      </c>
      <c r="AA158" s="47" t="n">
        <f aca="false">IF($A158="",0,IFERROR(MATCH($A158&amp;"|"&amp;$B158,研发人员工时分配表!$W$6:$W$245,0),0))</f>
        <v>0</v>
      </c>
      <c r="AB158" s="47" t="n">
        <f aca="false">IF($A158="",0,COUNTIFS(研发人员工时分配表!$A$6:$A$245,$A158,研发人员工时分配表!$B$6:$B$245,$B158))</f>
        <v>0</v>
      </c>
    </row>
    <row r="159" customFormat="false" ht="18" hidden="false" customHeight="true" outlineLevel="0" collapsed="false">
      <c r="A159" s="36"/>
      <c r="B159" s="36"/>
      <c r="C159" s="43" t="str">
        <f aca="false">IF($B159="","",IFERROR(VLOOKUP($B159,人员名册!$B$4:$G$53,2,0)&amp;"","名册中未登记"))</f>
        <v/>
      </c>
      <c r="D159" s="43" t="str">
        <f aca="false">IF($B159="","",IFERROR(VLOOKUP($B159,人员名册!$B$4:$G$53,5,0)&amp;"",""))</f>
        <v/>
      </c>
      <c r="E159" s="25"/>
      <c r="F159" s="25"/>
      <c r="G159" s="25"/>
      <c r="H159" s="25"/>
      <c r="I159" s="25"/>
      <c r="J159" s="27" t="str">
        <f aca="false">IF($A159="","",ROUND(SUM(E159:I159),2))</f>
        <v/>
      </c>
      <c r="K159" s="45" t="n">
        <f aca="false">IF(OR($A159="",$AA159=0),0,INDEX(研发人员工时分配表!$F$6:$F$245,$AA159))</f>
        <v>0</v>
      </c>
      <c r="L159" s="45" t="n">
        <f aca="false">IF(OR($A159="",$AA159=0),0,INDEX(研发人员工时分配表!$R$6:$R$245,$AA159))</f>
        <v>0</v>
      </c>
      <c r="M159" s="28" t="str">
        <f aca="false">IF(OR($A159="",$K159=0),"",$L159/$K159)</f>
        <v/>
      </c>
      <c r="N159" s="27" t="str">
        <f aca="false">IF(OR($A159="",$K159=0),"",ROUND($J159*INDEX(研发人员工时分配表!$H$6:$H$245,$AA159)/$K159,2))</f>
        <v/>
      </c>
      <c r="O159" s="27" t="str">
        <f aca="false">IF(OR($A159="",$K159=0),"",ROUND($J159*INDEX(研发人员工时分配表!$I$6:$I$245,$AA159)/$K159,2))</f>
        <v/>
      </c>
      <c r="P159" s="27" t="str">
        <f aca="false">IF(OR($A159="",$K159=0),"",ROUND($J159*INDEX(研发人员工时分配表!$J$6:$J$245,$AA159)/$K159,2))</f>
        <v/>
      </c>
      <c r="Q159" s="27" t="str">
        <f aca="false">IF(OR($A159="",$K159=0),"",ROUND($J159*INDEX(研发人员工时分配表!$K$6:$K$245,$AA159)/$K159,2))</f>
        <v/>
      </c>
      <c r="R159" s="27" t="str">
        <f aca="false">IF(OR($A159="",$K159=0),"",ROUND($J159*INDEX(研发人员工时分配表!$L$6:$L$245,$AA159)/$K159,2))</f>
        <v/>
      </c>
      <c r="S159" s="27" t="str">
        <f aca="false">IF(OR($A159="",$K159=0),"",ROUND($J159*INDEX(研发人员工时分配表!$M$6:$M$245,$AA159)/$K159,2))</f>
        <v/>
      </c>
      <c r="T159" s="27" t="str">
        <f aca="false">IF(OR($A159="",$K159=0),"",ROUND($J159*INDEX(研发人员工时分配表!$N$6:$N$245,$AA159)/$K159,2))</f>
        <v/>
      </c>
      <c r="U159" s="27" t="str">
        <f aca="false">IF(OR($A159="",$K159=0),"",ROUND($J159*INDEX(研发人员工时分配表!$O$6:$O$245,$AA159)/$K159,2))</f>
        <v/>
      </c>
      <c r="V159" s="27" t="str">
        <f aca="false">IF(OR($A159="",$K159=0),"",ROUND($J159*INDEX(研发人员工时分配表!$P$6:$P$245,$AA159)/$K159,2))</f>
        <v/>
      </c>
      <c r="W159" s="27" t="str">
        <f aca="false">IF(OR($A159="",$K159=0),"",ROUND($J159*INDEX(研发人员工时分配表!$Q$6:$Q$245,$AA159)/$K159,2))</f>
        <v/>
      </c>
      <c r="X159" s="27" t="str">
        <f aca="false">IF($A159="","",ROUND(SUM(N159:W159),2))</f>
        <v/>
      </c>
      <c r="Y159" s="27" t="str">
        <f aca="false">IF($A159="","",ROUND($J159-X159,2))</f>
        <v/>
      </c>
      <c r="Z159" s="43" t="str">
        <f aca="false">IF($A159="","",IF($AA159=0,"⚠ 工时分配表无此人当月记录",IF($AB159&gt;1,"⚠ 工时分配表存在重复行","√ 正常")))</f>
        <v/>
      </c>
      <c r="AA159" s="47" t="n">
        <f aca="false">IF($A159="",0,IFERROR(MATCH($A159&amp;"|"&amp;$B159,研发人员工时分配表!$W$6:$W$245,0),0))</f>
        <v>0</v>
      </c>
      <c r="AB159" s="47" t="n">
        <f aca="false">IF($A159="",0,COUNTIFS(研发人员工时分配表!$A$6:$A$245,$A159,研发人员工时分配表!$B$6:$B$245,$B159))</f>
        <v>0</v>
      </c>
    </row>
    <row r="160" customFormat="false" ht="18" hidden="false" customHeight="true" outlineLevel="0" collapsed="false">
      <c r="A160" s="36"/>
      <c r="B160" s="36"/>
      <c r="C160" s="43" t="str">
        <f aca="false">IF($B160="","",IFERROR(VLOOKUP($B160,人员名册!$B$4:$G$53,2,0)&amp;"","名册中未登记"))</f>
        <v/>
      </c>
      <c r="D160" s="43" t="str">
        <f aca="false">IF($B160="","",IFERROR(VLOOKUP($B160,人员名册!$B$4:$G$53,5,0)&amp;"",""))</f>
        <v/>
      </c>
      <c r="E160" s="25"/>
      <c r="F160" s="25"/>
      <c r="G160" s="25"/>
      <c r="H160" s="25"/>
      <c r="I160" s="25"/>
      <c r="J160" s="27" t="str">
        <f aca="false">IF($A160="","",ROUND(SUM(E160:I160),2))</f>
        <v/>
      </c>
      <c r="K160" s="45" t="n">
        <f aca="false">IF(OR($A160="",$AA160=0),0,INDEX(研发人员工时分配表!$F$6:$F$245,$AA160))</f>
        <v>0</v>
      </c>
      <c r="L160" s="45" t="n">
        <f aca="false">IF(OR($A160="",$AA160=0),0,INDEX(研发人员工时分配表!$R$6:$R$245,$AA160))</f>
        <v>0</v>
      </c>
      <c r="M160" s="28" t="str">
        <f aca="false">IF(OR($A160="",$K160=0),"",$L160/$K160)</f>
        <v/>
      </c>
      <c r="N160" s="27" t="str">
        <f aca="false">IF(OR($A160="",$K160=0),"",ROUND($J160*INDEX(研发人员工时分配表!$H$6:$H$245,$AA160)/$K160,2))</f>
        <v/>
      </c>
      <c r="O160" s="27" t="str">
        <f aca="false">IF(OR($A160="",$K160=0),"",ROUND($J160*INDEX(研发人员工时分配表!$I$6:$I$245,$AA160)/$K160,2))</f>
        <v/>
      </c>
      <c r="P160" s="27" t="str">
        <f aca="false">IF(OR($A160="",$K160=0),"",ROUND($J160*INDEX(研发人员工时分配表!$J$6:$J$245,$AA160)/$K160,2))</f>
        <v/>
      </c>
      <c r="Q160" s="27" t="str">
        <f aca="false">IF(OR($A160="",$K160=0),"",ROUND($J160*INDEX(研发人员工时分配表!$K$6:$K$245,$AA160)/$K160,2))</f>
        <v/>
      </c>
      <c r="R160" s="27" t="str">
        <f aca="false">IF(OR($A160="",$K160=0),"",ROUND($J160*INDEX(研发人员工时分配表!$L$6:$L$245,$AA160)/$K160,2))</f>
        <v/>
      </c>
      <c r="S160" s="27" t="str">
        <f aca="false">IF(OR($A160="",$K160=0),"",ROUND($J160*INDEX(研发人员工时分配表!$M$6:$M$245,$AA160)/$K160,2))</f>
        <v/>
      </c>
      <c r="T160" s="27" t="str">
        <f aca="false">IF(OR($A160="",$K160=0),"",ROUND($J160*INDEX(研发人员工时分配表!$N$6:$N$245,$AA160)/$K160,2))</f>
        <v/>
      </c>
      <c r="U160" s="27" t="str">
        <f aca="false">IF(OR($A160="",$K160=0),"",ROUND($J160*INDEX(研发人员工时分配表!$O$6:$O$245,$AA160)/$K160,2))</f>
        <v/>
      </c>
      <c r="V160" s="27" t="str">
        <f aca="false">IF(OR($A160="",$K160=0),"",ROUND($J160*INDEX(研发人员工时分配表!$P$6:$P$245,$AA160)/$K160,2))</f>
        <v/>
      </c>
      <c r="W160" s="27" t="str">
        <f aca="false">IF(OR($A160="",$K160=0),"",ROUND($J160*INDEX(研发人员工时分配表!$Q$6:$Q$245,$AA160)/$K160,2))</f>
        <v/>
      </c>
      <c r="X160" s="27" t="str">
        <f aca="false">IF($A160="","",ROUND(SUM(N160:W160),2))</f>
        <v/>
      </c>
      <c r="Y160" s="27" t="str">
        <f aca="false">IF($A160="","",ROUND($J160-X160,2))</f>
        <v/>
      </c>
      <c r="Z160" s="43" t="str">
        <f aca="false">IF($A160="","",IF($AA160=0,"⚠ 工时分配表无此人当月记录",IF($AB160&gt;1,"⚠ 工时分配表存在重复行","√ 正常")))</f>
        <v/>
      </c>
      <c r="AA160" s="47" t="n">
        <f aca="false">IF($A160="",0,IFERROR(MATCH($A160&amp;"|"&amp;$B160,研发人员工时分配表!$W$6:$W$245,0),0))</f>
        <v>0</v>
      </c>
      <c r="AB160" s="47" t="n">
        <f aca="false">IF($A160="",0,COUNTIFS(研发人员工时分配表!$A$6:$A$245,$A160,研发人员工时分配表!$B$6:$B$245,$B160))</f>
        <v>0</v>
      </c>
    </row>
    <row r="161" customFormat="false" ht="18" hidden="false" customHeight="true" outlineLevel="0" collapsed="false">
      <c r="A161" s="36"/>
      <c r="B161" s="36"/>
      <c r="C161" s="43" t="str">
        <f aca="false">IF($B161="","",IFERROR(VLOOKUP($B161,人员名册!$B$4:$G$53,2,0)&amp;"","名册中未登记"))</f>
        <v/>
      </c>
      <c r="D161" s="43" t="str">
        <f aca="false">IF($B161="","",IFERROR(VLOOKUP($B161,人员名册!$B$4:$G$53,5,0)&amp;"",""))</f>
        <v/>
      </c>
      <c r="E161" s="25"/>
      <c r="F161" s="25"/>
      <c r="G161" s="25"/>
      <c r="H161" s="25"/>
      <c r="I161" s="25"/>
      <c r="J161" s="27" t="str">
        <f aca="false">IF($A161="","",ROUND(SUM(E161:I161),2))</f>
        <v/>
      </c>
      <c r="K161" s="45" t="n">
        <f aca="false">IF(OR($A161="",$AA161=0),0,INDEX(研发人员工时分配表!$F$6:$F$245,$AA161))</f>
        <v>0</v>
      </c>
      <c r="L161" s="45" t="n">
        <f aca="false">IF(OR($A161="",$AA161=0),0,INDEX(研发人员工时分配表!$R$6:$R$245,$AA161))</f>
        <v>0</v>
      </c>
      <c r="M161" s="28" t="str">
        <f aca="false">IF(OR($A161="",$K161=0),"",$L161/$K161)</f>
        <v/>
      </c>
      <c r="N161" s="27" t="str">
        <f aca="false">IF(OR($A161="",$K161=0),"",ROUND($J161*INDEX(研发人员工时分配表!$H$6:$H$245,$AA161)/$K161,2))</f>
        <v/>
      </c>
      <c r="O161" s="27" t="str">
        <f aca="false">IF(OR($A161="",$K161=0),"",ROUND($J161*INDEX(研发人员工时分配表!$I$6:$I$245,$AA161)/$K161,2))</f>
        <v/>
      </c>
      <c r="P161" s="27" t="str">
        <f aca="false">IF(OR($A161="",$K161=0),"",ROUND($J161*INDEX(研发人员工时分配表!$J$6:$J$245,$AA161)/$K161,2))</f>
        <v/>
      </c>
      <c r="Q161" s="27" t="str">
        <f aca="false">IF(OR($A161="",$K161=0),"",ROUND($J161*INDEX(研发人员工时分配表!$K$6:$K$245,$AA161)/$K161,2))</f>
        <v/>
      </c>
      <c r="R161" s="27" t="str">
        <f aca="false">IF(OR($A161="",$K161=0),"",ROUND($J161*INDEX(研发人员工时分配表!$L$6:$L$245,$AA161)/$K161,2))</f>
        <v/>
      </c>
      <c r="S161" s="27" t="str">
        <f aca="false">IF(OR($A161="",$K161=0),"",ROUND($J161*INDEX(研发人员工时分配表!$M$6:$M$245,$AA161)/$K161,2))</f>
        <v/>
      </c>
      <c r="T161" s="27" t="str">
        <f aca="false">IF(OR($A161="",$K161=0),"",ROUND($J161*INDEX(研发人员工时分配表!$N$6:$N$245,$AA161)/$K161,2))</f>
        <v/>
      </c>
      <c r="U161" s="27" t="str">
        <f aca="false">IF(OR($A161="",$K161=0),"",ROUND($J161*INDEX(研发人员工时分配表!$O$6:$O$245,$AA161)/$K161,2))</f>
        <v/>
      </c>
      <c r="V161" s="27" t="str">
        <f aca="false">IF(OR($A161="",$K161=0),"",ROUND($J161*INDEX(研发人员工时分配表!$P$6:$P$245,$AA161)/$K161,2))</f>
        <v/>
      </c>
      <c r="W161" s="27" t="str">
        <f aca="false">IF(OR($A161="",$K161=0),"",ROUND($J161*INDEX(研发人员工时分配表!$Q$6:$Q$245,$AA161)/$K161,2))</f>
        <v/>
      </c>
      <c r="X161" s="27" t="str">
        <f aca="false">IF($A161="","",ROUND(SUM(N161:W161),2))</f>
        <v/>
      </c>
      <c r="Y161" s="27" t="str">
        <f aca="false">IF($A161="","",ROUND($J161-X161,2))</f>
        <v/>
      </c>
      <c r="Z161" s="43" t="str">
        <f aca="false">IF($A161="","",IF($AA161=0,"⚠ 工时分配表无此人当月记录",IF($AB161&gt;1,"⚠ 工时分配表存在重复行","√ 正常")))</f>
        <v/>
      </c>
      <c r="AA161" s="47" t="n">
        <f aca="false">IF($A161="",0,IFERROR(MATCH($A161&amp;"|"&amp;$B161,研发人员工时分配表!$W$6:$W$245,0),0))</f>
        <v>0</v>
      </c>
      <c r="AB161" s="47" t="n">
        <f aca="false">IF($A161="",0,COUNTIFS(研发人员工时分配表!$A$6:$A$245,$A161,研发人员工时分配表!$B$6:$B$245,$B161))</f>
        <v>0</v>
      </c>
    </row>
    <row r="162" customFormat="false" ht="18" hidden="false" customHeight="true" outlineLevel="0" collapsed="false">
      <c r="A162" s="36"/>
      <c r="B162" s="36"/>
      <c r="C162" s="43" t="str">
        <f aca="false">IF($B162="","",IFERROR(VLOOKUP($B162,人员名册!$B$4:$G$53,2,0)&amp;"","名册中未登记"))</f>
        <v/>
      </c>
      <c r="D162" s="43" t="str">
        <f aca="false">IF($B162="","",IFERROR(VLOOKUP($B162,人员名册!$B$4:$G$53,5,0)&amp;"",""))</f>
        <v/>
      </c>
      <c r="E162" s="25"/>
      <c r="F162" s="25"/>
      <c r="G162" s="25"/>
      <c r="H162" s="25"/>
      <c r="I162" s="25"/>
      <c r="J162" s="27" t="str">
        <f aca="false">IF($A162="","",ROUND(SUM(E162:I162),2))</f>
        <v/>
      </c>
      <c r="K162" s="45" t="n">
        <f aca="false">IF(OR($A162="",$AA162=0),0,INDEX(研发人员工时分配表!$F$6:$F$245,$AA162))</f>
        <v>0</v>
      </c>
      <c r="L162" s="45" t="n">
        <f aca="false">IF(OR($A162="",$AA162=0),0,INDEX(研发人员工时分配表!$R$6:$R$245,$AA162))</f>
        <v>0</v>
      </c>
      <c r="M162" s="28" t="str">
        <f aca="false">IF(OR($A162="",$K162=0),"",$L162/$K162)</f>
        <v/>
      </c>
      <c r="N162" s="27" t="str">
        <f aca="false">IF(OR($A162="",$K162=0),"",ROUND($J162*INDEX(研发人员工时分配表!$H$6:$H$245,$AA162)/$K162,2))</f>
        <v/>
      </c>
      <c r="O162" s="27" t="str">
        <f aca="false">IF(OR($A162="",$K162=0),"",ROUND($J162*INDEX(研发人员工时分配表!$I$6:$I$245,$AA162)/$K162,2))</f>
        <v/>
      </c>
      <c r="P162" s="27" t="str">
        <f aca="false">IF(OR($A162="",$K162=0),"",ROUND($J162*INDEX(研发人员工时分配表!$J$6:$J$245,$AA162)/$K162,2))</f>
        <v/>
      </c>
      <c r="Q162" s="27" t="str">
        <f aca="false">IF(OR($A162="",$K162=0),"",ROUND($J162*INDEX(研发人员工时分配表!$K$6:$K$245,$AA162)/$K162,2))</f>
        <v/>
      </c>
      <c r="R162" s="27" t="str">
        <f aca="false">IF(OR($A162="",$K162=0),"",ROUND($J162*INDEX(研发人员工时分配表!$L$6:$L$245,$AA162)/$K162,2))</f>
        <v/>
      </c>
      <c r="S162" s="27" t="str">
        <f aca="false">IF(OR($A162="",$K162=0),"",ROUND($J162*INDEX(研发人员工时分配表!$M$6:$M$245,$AA162)/$K162,2))</f>
        <v/>
      </c>
      <c r="T162" s="27" t="str">
        <f aca="false">IF(OR($A162="",$K162=0),"",ROUND($J162*INDEX(研发人员工时分配表!$N$6:$N$245,$AA162)/$K162,2))</f>
        <v/>
      </c>
      <c r="U162" s="27" t="str">
        <f aca="false">IF(OR($A162="",$K162=0),"",ROUND($J162*INDEX(研发人员工时分配表!$O$6:$O$245,$AA162)/$K162,2))</f>
        <v/>
      </c>
      <c r="V162" s="27" t="str">
        <f aca="false">IF(OR($A162="",$K162=0),"",ROUND($J162*INDEX(研发人员工时分配表!$P$6:$P$245,$AA162)/$K162,2))</f>
        <v/>
      </c>
      <c r="W162" s="27" t="str">
        <f aca="false">IF(OR($A162="",$K162=0),"",ROUND($J162*INDEX(研发人员工时分配表!$Q$6:$Q$245,$AA162)/$K162,2))</f>
        <v/>
      </c>
      <c r="X162" s="27" t="str">
        <f aca="false">IF($A162="","",ROUND(SUM(N162:W162),2))</f>
        <v/>
      </c>
      <c r="Y162" s="27" t="str">
        <f aca="false">IF($A162="","",ROUND($J162-X162,2))</f>
        <v/>
      </c>
      <c r="Z162" s="43" t="str">
        <f aca="false">IF($A162="","",IF($AA162=0,"⚠ 工时分配表无此人当月记录",IF($AB162&gt;1,"⚠ 工时分配表存在重复行","√ 正常")))</f>
        <v/>
      </c>
      <c r="AA162" s="47" t="n">
        <f aca="false">IF($A162="",0,IFERROR(MATCH($A162&amp;"|"&amp;$B162,研发人员工时分配表!$W$6:$W$245,0),0))</f>
        <v>0</v>
      </c>
      <c r="AB162" s="47" t="n">
        <f aca="false">IF($A162="",0,COUNTIFS(研发人员工时分配表!$A$6:$A$245,$A162,研发人员工时分配表!$B$6:$B$245,$B162))</f>
        <v>0</v>
      </c>
    </row>
    <row r="163" customFormat="false" ht="18" hidden="false" customHeight="true" outlineLevel="0" collapsed="false">
      <c r="A163" s="36"/>
      <c r="B163" s="36"/>
      <c r="C163" s="43" t="str">
        <f aca="false">IF($B163="","",IFERROR(VLOOKUP($B163,人员名册!$B$4:$G$53,2,0)&amp;"","名册中未登记"))</f>
        <v/>
      </c>
      <c r="D163" s="43" t="str">
        <f aca="false">IF($B163="","",IFERROR(VLOOKUP($B163,人员名册!$B$4:$G$53,5,0)&amp;"",""))</f>
        <v/>
      </c>
      <c r="E163" s="25"/>
      <c r="F163" s="25"/>
      <c r="G163" s="25"/>
      <c r="H163" s="25"/>
      <c r="I163" s="25"/>
      <c r="J163" s="27" t="str">
        <f aca="false">IF($A163="","",ROUND(SUM(E163:I163),2))</f>
        <v/>
      </c>
      <c r="K163" s="45" t="n">
        <f aca="false">IF(OR($A163="",$AA163=0),0,INDEX(研发人员工时分配表!$F$6:$F$245,$AA163))</f>
        <v>0</v>
      </c>
      <c r="L163" s="45" t="n">
        <f aca="false">IF(OR($A163="",$AA163=0),0,INDEX(研发人员工时分配表!$R$6:$R$245,$AA163))</f>
        <v>0</v>
      </c>
      <c r="M163" s="28" t="str">
        <f aca="false">IF(OR($A163="",$K163=0),"",$L163/$K163)</f>
        <v/>
      </c>
      <c r="N163" s="27" t="str">
        <f aca="false">IF(OR($A163="",$K163=0),"",ROUND($J163*INDEX(研发人员工时分配表!$H$6:$H$245,$AA163)/$K163,2))</f>
        <v/>
      </c>
      <c r="O163" s="27" t="str">
        <f aca="false">IF(OR($A163="",$K163=0),"",ROUND($J163*INDEX(研发人员工时分配表!$I$6:$I$245,$AA163)/$K163,2))</f>
        <v/>
      </c>
      <c r="P163" s="27" t="str">
        <f aca="false">IF(OR($A163="",$K163=0),"",ROUND($J163*INDEX(研发人员工时分配表!$J$6:$J$245,$AA163)/$K163,2))</f>
        <v/>
      </c>
      <c r="Q163" s="27" t="str">
        <f aca="false">IF(OR($A163="",$K163=0),"",ROUND($J163*INDEX(研发人员工时分配表!$K$6:$K$245,$AA163)/$K163,2))</f>
        <v/>
      </c>
      <c r="R163" s="27" t="str">
        <f aca="false">IF(OR($A163="",$K163=0),"",ROUND($J163*INDEX(研发人员工时分配表!$L$6:$L$245,$AA163)/$K163,2))</f>
        <v/>
      </c>
      <c r="S163" s="27" t="str">
        <f aca="false">IF(OR($A163="",$K163=0),"",ROUND($J163*INDEX(研发人员工时分配表!$M$6:$M$245,$AA163)/$K163,2))</f>
        <v/>
      </c>
      <c r="T163" s="27" t="str">
        <f aca="false">IF(OR($A163="",$K163=0),"",ROUND($J163*INDEX(研发人员工时分配表!$N$6:$N$245,$AA163)/$K163,2))</f>
        <v/>
      </c>
      <c r="U163" s="27" t="str">
        <f aca="false">IF(OR($A163="",$K163=0),"",ROUND($J163*INDEX(研发人员工时分配表!$O$6:$O$245,$AA163)/$K163,2))</f>
        <v/>
      </c>
      <c r="V163" s="27" t="str">
        <f aca="false">IF(OR($A163="",$K163=0),"",ROUND($J163*INDEX(研发人员工时分配表!$P$6:$P$245,$AA163)/$K163,2))</f>
        <v/>
      </c>
      <c r="W163" s="27" t="str">
        <f aca="false">IF(OR($A163="",$K163=0),"",ROUND($J163*INDEX(研发人员工时分配表!$Q$6:$Q$245,$AA163)/$K163,2))</f>
        <v/>
      </c>
      <c r="X163" s="27" t="str">
        <f aca="false">IF($A163="","",ROUND(SUM(N163:W163),2))</f>
        <v/>
      </c>
      <c r="Y163" s="27" t="str">
        <f aca="false">IF($A163="","",ROUND($J163-X163,2))</f>
        <v/>
      </c>
      <c r="Z163" s="43" t="str">
        <f aca="false">IF($A163="","",IF($AA163=0,"⚠ 工时分配表无此人当月记录",IF($AB163&gt;1,"⚠ 工时分配表存在重复行","√ 正常")))</f>
        <v/>
      </c>
      <c r="AA163" s="47" t="n">
        <f aca="false">IF($A163="",0,IFERROR(MATCH($A163&amp;"|"&amp;$B163,研发人员工时分配表!$W$6:$W$245,0),0))</f>
        <v>0</v>
      </c>
      <c r="AB163" s="47" t="n">
        <f aca="false">IF($A163="",0,COUNTIFS(研发人员工时分配表!$A$6:$A$245,$A163,研发人员工时分配表!$B$6:$B$245,$B163))</f>
        <v>0</v>
      </c>
    </row>
    <row r="164" customFormat="false" ht="18" hidden="false" customHeight="true" outlineLevel="0" collapsed="false">
      <c r="A164" s="36"/>
      <c r="B164" s="36"/>
      <c r="C164" s="43" t="str">
        <f aca="false">IF($B164="","",IFERROR(VLOOKUP($B164,人员名册!$B$4:$G$53,2,0)&amp;"","名册中未登记"))</f>
        <v/>
      </c>
      <c r="D164" s="43" t="str">
        <f aca="false">IF($B164="","",IFERROR(VLOOKUP($B164,人员名册!$B$4:$G$53,5,0)&amp;"",""))</f>
        <v/>
      </c>
      <c r="E164" s="25"/>
      <c r="F164" s="25"/>
      <c r="G164" s="25"/>
      <c r="H164" s="25"/>
      <c r="I164" s="25"/>
      <c r="J164" s="27" t="str">
        <f aca="false">IF($A164="","",ROUND(SUM(E164:I164),2))</f>
        <v/>
      </c>
      <c r="K164" s="45" t="n">
        <f aca="false">IF(OR($A164="",$AA164=0),0,INDEX(研发人员工时分配表!$F$6:$F$245,$AA164))</f>
        <v>0</v>
      </c>
      <c r="L164" s="45" t="n">
        <f aca="false">IF(OR($A164="",$AA164=0),0,INDEX(研发人员工时分配表!$R$6:$R$245,$AA164))</f>
        <v>0</v>
      </c>
      <c r="M164" s="28" t="str">
        <f aca="false">IF(OR($A164="",$K164=0),"",$L164/$K164)</f>
        <v/>
      </c>
      <c r="N164" s="27" t="str">
        <f aca="false">IF(OR($A164="",$K164=0),"",ROUND($J164*INDEX(研发人员工时分配表!$H$6:$H$245,$AA164)/$K164,2))</f>
        <v/>
      </c>
      <c r="O164" s="27" t="str">
        <f aca="false">IF(OR($A164="",$K164=0),"",ROUND($J164*INDEX(研发人员工时分配表!$I$6:$I$245,$AA164)/$K164,2))</f>
        <v/>
      </c>
      <c r="P164" s="27" t="str">
        <f aca="false">IF(OR($A164="",$K164=0),"",ROUND($J164*INDEX(研发人员工时分配表!$J$6:$J$245,$AA164)/$K164,2))</f>
        <v/>
      </c>
      <c r="Q164" s="27" t="str">
        <f aca="false">IF(OR($A164="",$K164=0),"",ROUND($J164*INDEX(研发人员工时分配表!$K$6:$K$245,$AA164)/$K164,2))</f>
        <v/>
      </c>
      <c r="R164" s="27" t="str">
        <f aca="false">IF(OR($A164="",$K164=0),"",ROUND($J164*INDEX(研发人员工时分配表!$L$6:$L$245,$AA164)/$K164,2))</f>
        <v/>
      </c>
      <c r="S164" s="27" t="str">
        <f aca="false">IF(OR($A164="",$K164=0),"",ROUND($J164*INDEX(研发人员工时分配表!$M$6:$M$245,$AA164)/$K164,2))</f>
        <v/>
      </c>
      <c r="T164" s="27" t="str">
        <f aca="false">IF(OR($A164="",$K164=0),"",ROUND($J164*INDEX(研发人员工时分配表!$N$6:$N$245,$AA164)/$K164,2))</f>
        <v/>
      </c>
      <c r="U164" s="27" t="str">
        <f aca="false">IF(OR($A164="",$K164=0),"",ROUND($J164*INDEX(研发人员工时分配表!$O$6:$O$245,$AA164)/$K164,2))</f>
        <v/>
      </c>
      <c r="V164" s="27" t="str">
        <f aca="false">IF(OR($A164="",$K164=0),"",ROUND($J164*INDEX(研发人员工时分配表!$P$6:$P$245,$AA164)/$K164,2))</f>
        <v/>
      </c>
      <c r="W164" s="27" t="str">
        <f aca="false">IF(OR($A164="",$K164=0),"",ROUND($J164*INDEX(研发人员工时分配表!$Q$6:$Q$245,$AA164)/$K164,2))</f>
        <v/>
      </c>
      <c r="X164" s="27" t="str">
        <f aca="false">IF($A164="","",ROUND(SUM(N164:W164),2))</f>
        <v/>
      </c>
      <c r="Y164" s="27" t="str">
        <f aca="false">IF($A164="","",ROUND($J164-X164,2))</f>
        <v/>
      </c>
      <c r="Z164" s="43" t="str">
        <f aca="false">IF($A164="","",IF($AA164=0,"⚠ 工时分配表无此人当月记录",IF($AB164&gt;1,"⚠ 工时分配表存在重复行","√ 正常")))</f>
        <v/>
      </c>
      <c r="AA164" s="47" t="n">
        <f aca="false">IF($A164="",0,IFERROR(MATCH($A164&amp;"|"&amp;$B164,研发人员工时分配表!$W$6:$W$245,0),0))</f>
        <v>0</v>
      </c>
      <c r="AB164" s="47" t="n">
        <f aca="false">IF($A164="",0,COUNTIFS(研发人员工时分配表!$A$6:$A$245,$A164,研发人员工时分配表!$B$6:$B$245,$B164))</f>
        <v>0</v>
      </c>
    </row>
    <row r="165" customFormat="false" ht="18" hidden="false" customHeight="true" outlineLevel="0" collapsed="false">
      <c r="A165" s="36"/>
      <c r="B165" s="36"/>
      <c r="C165" s="43" t="str">
        <f aca="false">IF($B165="","",IFERROR(VLOOKUP($B165,人员名册!$B$4:$G$53,2,0)&amp;"","名册中未登记"))</f>
        <v/>
      </c>
      <c r="D165" s="43" t="str">
        <f aca="false">IF($B165="","",IFERROR(VLOOKUP($B165,人员名册!$B$4:$G$53,5,0)&amp;"",""))</f>
        <v/>
      </c>
      <c r="E165" s="25"/>
      <c r="F165" s="25"/>
      <c r="G165" s="25"/>
      <c r="H165" s="25"/>
      <c r="I165" s="25"/>
      <c r="J165" s="27" t="str">
        <f aca="false">IF($A165="","",ROUND(SUM(E165:I165),2))</f>
        <v/>
      </c>
      <c r="K165" s="45" t="n">
        <f aca="false">IF(OR($A165="",$AA165=0),0,INDEX(研发人员工时分配表!$F$6:$F$245,$AA165))</f>
        <v>0</v>
      </c>
      <c r="L165" s="45" t="n">
        <f aca="false">IF(OR($A165="",$AA165=0),0,INDEX(研发人员工时分配表!$R$6:$R$245,$AA165))</f>
        <v>0</v>
      </c>
      <c r="M165" s="28" t="str">
        <f aca="false">IF(OR($A165="",$K165=0),"",$L165/$K165)</f>
        <v/>
      </c>
      <c r="N165" s="27" t="str">
        <f aca="false">IF(OR($A165="",$K165=0),"",ROUND($J165*INDEX(研发人员工时分配表!$H$6:$H$245,$AA165)/$K165,2))</f>
        <v/>
      </c>
      <c r="O165" s="27" t="str">
        <f aca="false">IF(OR($A165="",$K165=0),"",ROUND($J165*INDEX(研发人员工时分配表!$I$6:$I$245,$AA165)/$K165,2))</f>
        <v/>
      </c>
      <c r="P165" s="27" t="str">
        <f aca="false">IF(OR($A165="",$K165=0),"",ROUND($J165*INDEX(研发人员工时分配表!$J$6:$J$245,$AA165)/$K165,2))</f>
        <v/>
      </c>
      <c r="Q165" s="27" t="str">
        <f aca="false">IF(OR($A165="",$K165=0),"",ROUND($J165*INDEX(研发人员工时分配表!$K$6:$K$245,$AA165)/$K165,2))</f>
        <v/>
      </c>
      <c r="R165" s="27" t="str">
        <f aca="false">IF(OR($A165="",$K165=0),"",ROUND($J165*INDEX(研发人员工时分配表!$L$6:$L$245,$AA165)/$K165,2))</f>
        <v/>
      </c>
      <c r="S165" s="27" t="str">
        <f aca="false">IF(OR($A165="",$K165=0),"",ROUND($J165*INDEX(研发人员工时分配表!$M$6:$M$245,$AA165)/$K165,2))</f>
        <v/>
      </c>
      <c r="T165" s="27" t="str">
        <f aca="false">IF(OR($A165="",$K165=0),"",ROUND($J165*INDEX(研发人员工时分配表!$N$6:$N$245,$AA165)/$K165,2))</f>
        <v/>
      </c>
      <c r="U165" s="27" t="str">
        <f aca="false">IF(OR($A165="",$K165=0),"",ROUND($J165*INDEX(研发人员工时分配表!$O$6:$O$245,$AA165)/$K165,2))</f>
        <v/>
      </c>
      <c r="V165" s="27" t="str">
        <f aca="false">IF(OR($A165="",$K165=0),"",ROUND($J165*INDEX(研发人员工时分配表!$P$6:$P$245,$AA165)/$K165,2))</f>
        <v/>
      </c>
      <c r="W165" s="27" t="str">
        <f aca="false">IF(OR($A165="",$K165=0),"",ROUND($J165*INDEX(研发人员工时分配表!$Q$6:$Q$245,$AA165)/$K165,2))</f>
        <v/>
      </c>
      <c r="X165" s="27" t="str">
        <f aca="false">IF($A165="","",ROUND(SUM(N165:W165),2))</f>
        <v/>
      </c>
      <c r="Y165" s="27" t="str">
        <f aca="false">IF($A165="","",ROUND($J165-X165,2))</f>
        <v/>
      </c>
      <c r="Z165" s="43" t="str">
        <f aca="false">IF($A165="","",IF($AA165=0,"⚠ 工时分配表无此人当月记录",IF($AB165&gt;1,"⚠ 工时分配表存在重复行","√ 正常")))</f>
        <v/>
      </c>
      <c r="AA165" s="47" t="n">
        <f aca="false">IF($A165="",0,IFERROR(MATCH($A165&amp;"|"&amp;$B165,研发人员工时分配表!$W$6:$W$245,0),0))</f>
        <v>0</v>
      </c>
      <c r="AB165" s="47" t="n">
        <f aca="false">IF($A165="",0,COUNTIFS(研发人员工时分配表!$A$6:$A$245,$A165,研发人员工时分配表!$B$6:$B$245,$B165))</f>
        <v>0</v>
      </c>
    </row>
    <row r="166" customFormat="false" ht="18" hidden="false" customHeight="true" outlineLevel="0" collapsed="false">
      <c r="A166" s="36"/>
      <c r="B166" s="36"/>
      <c r="C166" s="43" t="str">
        <f aca="false">IF($B166="","",IFERROR(VLOOKUP($B166,人员名册!$B$4:$G$53,2,0)&amp;"","名册中未登记"))</f>
        <v/>
      </c>
      <c r="D166" s="43" t="str">
        <f aca="false">IF($B166="","",IFERROR(VLOOKUP($B166,人员名册!$B$4:$G$53,5,0)&amp;"",""))</f>
        <v/>
      </c>
      <c r="E166" s="25"/>
      <c r="F166" s="25"/>
      <c r="G166" s="25"/>
      <c r="H166" s="25"/>
      <c r="I166" s="25"/>
      <c r="J166" s="27" t="str">
        <f aca="false">IF($A166="","",ROUND(SUM(E166:I166),2))</f>
        <v/>
      </c>
      <c r="K166" s="45" t="n">
        <f aca="false">IF(OR($A166="",$AA166=0),0,INDEX(研发人员工时分配表!$F$6:$F$245,$AA166))</f>
        <v>0</v>
      </c>
      <c r="L166" s="45" t="n">
        <f aca="false">IF(OR($A166="",$AA166=0),0,INDEX(研发人员工时分配表!$R$6:$R$245,$AA166))</f>
        <v>0</v>
      </c>
      <c r="M166" s="28" t="str">
        <f aca="false">IF(OR($A166="",$K166=0),"",$L166/$K166)</f>
        <v/>
      </c>
      <c r="N166" s="27" t="str">
        <f aca="false">IF(OR($A166="",$K166=0),"",ROUND($J166*INDEX(研发人员工时分配表!$H$6:$H$245,$AA166)/$K166,2))</f>
        <v/>
      </c>
      <c r="O166" s="27" t="str">
        <f aca="false">IF(OR($A166="",$K166=0),"",ROUND($J166*INDEX(研发人员工时分配表!$I$6:$I$245,$AA166)/$K166,2))</f>
        <v/>
      </c>
      <c r="P166" s="27" t="str">
        <f aca="false">IF(OR($A166="",$K166=0),"",ROUND($J166*INDEX(研发人员工时分配表!$J$6:$J$245,$AA166)/$K166,2))</f>
        <v/>
      </c>
      <c r="Q166" s="27" t="str">
        <f aca="false">IF(OR($A166="",$K166=0),"",ROUND($J166*INDEX(研发人员工时分配表!$K$6:$K$245,$AA166)/$K166,2))</f>
        <v/>
      </c>
      <c r="R166" s="27" t="str">
        <f aca="false">IF(OR($A166="",$K166=0),"",ROUND($J166*INDEX(研发人员工时分配表!$L$6:$L$245,$AA166)/$K166,2))</f>
        <v/>
      </c>
      <c r="S166" s="27" t="str">
        <f aca="false">IF(OR($A166="",$K166=0),"",ROUND($J166*INDEX(研发人员工时分配表!$M$6:$M$245,$AA166)/$K166,2))</f>
        <v/>
      </c>
      <c r="T166" s="27" t="str">
        <f aca="false">IF(OR($A166="",$K166=0),"",ROUND($J166*INDEX(研发人员工时分配表!$N$6:$N$245,$AA166)/$K166,2))</f>
        <v/>
      </c>
      <c r="U166" s="27" t="str">
        <f aca="false">IF(OR($A166="",$K166=0),"",ROUND($J166*INDEX(研发人员工时分配表!$O$6:$O$245,$AA166)/$K166,2))</f>
        <v/>
      </c>
      <c r="V166" s="27" t="str">
        <f aca="false">IF(OR($A166="",$K166=0),"",ROUND($J166*INDEX(研发人员工时分配表!$P$6:$P$245,$AA166)/$K166,2))</f>
        <v/>
      </c>
      <c r="W166" s="27" t="str">
        <f aca="false">IF(OR($A166="",$K166=0),"",ROUND($J166*INDEX(研发人员工时分配表!$Q$6:$Q$245,$AA166)/$K166,2))</f>
        <v/>
      </c>
      <c r="X166" s="27" t="str">
        <f aca="false">IF($A166="","",ROUND(SUM(N166:W166),2))</f>
        <v/>
      </c>
      <c r="Y166" s="27" t="str">
        <f aca="false">IF($A166="","",ROUND($J166-X166,2))</f>
        <v/>
      </c>
      <c r="Z166" s="43" t="str">
        <f aca="false">IF($A166="","",IF($AA166=0,"⚠ 工时分配表无此人当月记录",IF($AB166&gt;1,"⚠ 工时分配表存在重复行","√ 正常")))</f>
        <v/>
      </c>
      <c r="AA166" s="47" t="n">
        <f aca="false">IF($A166="",0,IFERROR(MATCH($A166&amp;"|"&amp;$B166,研发人员工时分配表!$W$6:$W$245,0),0))</f>
        <v>0</v>
      </c>
      <c r="AB166" s="47" t="n">
        <f aca="false">IF($A166="",0,COUNTIFS(研发人员工时分配表!$A$6:$A$245,$A166,研发人员工时分配表!$B$6:$B$245,$B166))</f>
        <v>0</v>
      </c>
    </row>
    <row r="167" customFormat="false" ht="18" hidden="false" customHeight="true" outlineLevel="0" collapsed="false">
      <c r="A167" s="36"/>
      <c r="B167" s="36"/>
      <c r="C167" s="43" t="str">
        <f aca="false">IF($B167="","",IFERROR(VLOOKUP($B167,人员名册!$B$4:$G$53,2,0)&amp;"","名册中未登记"))</f>
        <v/>
      </c>
      <c r="D167" s="43" t="str">
        <f aca="false">IF($B167="","",IFERROR(VLOOKUP($B167,人员名册!$B$4:$G$53,5,0)&amp;"",""))</f>
        <v/>
      </c>
      <c r="E167" s="25"/>
      <c r="F167" s="25"/>
      <c r="G167" s="25"/>
      <c r="H167" s="25"/>
      <c r="I167" s="25"/>
      <c r="J167" s="27" t="str">
        <f aca="false">IF($A167="","",ROUND(SUM(E167:I167),2))</f>
        <v/>
      </c>
      <c r="K167" s="45" t="n">
        <f aca="false">IF(OR($A167="",$AA167=0),0,INDEX(研发人员工时分配表!$F$6:$F$245,$AA167))</f>
        <v>0</v>
      </c>
      <c r="L167" s="45" t="n">
        <f aca="false">IF(OR($A167="",$AA167=0),0,INDEX(研发人员工时分配表!$R$6:$R$245,$AA167))</f>
        <v>0</v>
      </c>
      <c r="M167" s="28" t="str">
        <f aca="false">IF(OR($A167="",$K167=0),"",$L167/$K167)</f>
        <v/>
      </c>
      <c r="N167" s="27" t="str">
        <f aca="false">IF(OR($A167="",$K167=0),"",ROUND($J167*INDEX(研发人员工时分配表!$H$6:$H$245,$AA167)/$K167,2))</f>
        <v/>
      </c>
      <c r="O167" s="27" t="str">
        <f aca="false">IF(OR($A167="",$K167=0),"",ROUND($J167*INDEX(研发人员工时分配表!$I$6:$I$245,$AA167)/$K167,2))</f>
        <v/>
      </c>
      <c r="P167" s="27" t="str">
        <f aca="false">IF(OR($A167="",$K167=0),"",ROUND($J167*INDEX(研发人员工时分配表!$J$6:$J$245,$AA167)/$K167,2))</f>
        <v/>
      </c>
      <c r="Q167" s="27" t="str">
        <f aca="false">IF(OR($A167="",$K167=0),"",ROUND($J167*INDEX(研发人员工时分配表!$K$6:$K$245,$AA167)/$K167,2))</f>
        <v/>
      </c>
      <c r="R167" s="27" t="str">
        <f aca="false">IF(OR($A167="",$K167=0),"",ROUND($J167*INDEX(研发人员工时分配表!$L$6:$L$245,$AA167)/$K167,2))</f>
        <v/>
      </c>
      <c r="S167" s="27" t="str">
        <f aca="false">IF(OR($A167="",$K167=0),"",ROUND($J167*INDEX(研发人员工时分配表!$M$6:$M$245,$AA167)/$K167,2))</f>
        <v/>
      </c>
      <c r="T167" s="27" t="str">
        <f aca="false">IF(OR($A167="",$K167=0),"",ROUND($J167*INDEX(研发人员工时分配表!$N$6:$N$245,$AA167)/$K167,2))</f>
        <v/>
      </c>
      <c r="U167" s="27" t="str">
        <f aca="false">IF(OR($A167="",$K167=0),"",ROUND($J167*INDEX(研发人员工时分配表!$O$6:$O$245,$AA167)/$K167,2))</f>
        <v/>
      </c>
      <c r="V167" s="27" t="str">
        <f aca="false">IF(OR($A167="",$K167=0),"",ROUND($J167*INDEX(研发人员工时分配表!$P$6:$P$245,$AA167)/$K167,2))</f>
        <v/>
      </c>
      <c r="W167" s="27" t="str">
        <f aca="false">IF(OR($A167="",$K167=0),"",ROUND($J167*INDEX(研发人员工时分配表!$Q$6:$Q$245,$AA167)/$K167,2))</f>
        <v/>
      </c>
      <c r="X167" s="27" t="str">
        <f aca="false">IF($A167="","",ROUND(SUM(N167:W167),2))</f>
        <v/>
      </c>
      <c r="Y167" s="27" t="str">
        <f aca="false">IF($A167="","",ROUND($J167-X167,2))</f>
        <v/>
      </c>
      <c r="Z167" s="43" t="str">
        <f aca="false">IF($A167="","",IF($AA167=0,"⚠ 工时分配表无此人当月记录",IF($AB167&gt;1,"⚠ 工时分配表存在重复行","√ 正常")))</f>
        <v/>
      </c>
      <c r="AA167" s="47" t="n">
        <f aca="false">IF($A167="",0,IFERROR(MATCH($A167&amp;"|"&amp;$B167,研发人员工时分配表!$W$6:$W$245,0),0))</f>
        <v>0</v>
      </c>
      <c r="AB167" s="47" t="n">
        <f aca="false">IF($A167="",0,COUNTIFS(研发人员工时分配表!$A$6:$A$245,$A167,研发人员工时分配表!$B$6:$B$245,$B167))</f>
        <v>0</v>
      </c>
    </row>
    <row r="168" customFormat="false" ht="18" hidden="false" customHeight="true" outlineLevel="0" collapsed="false">
      <c r="A168" s="36"/>
      <c r="B168" s="36"/>
      <c r="C168" s="43" t="str">
        <f aca="false">IF($B168="","",IFERROR(VLOOKUP($B168,人员名册!$B$4:$G$53,2,0)&amp;"","名册中未登记"))</f>
        <v/>
      </c>
      <c r="D168" s="43" t="str">
        <f aca="false">IF($B168="","",IFERROR(VLOOKUP($B168,人员名册!$B$4:$G$53,5,0)&amp;"",""))</f>
        <v/>
      </c>
      <c r="E168" s="25"/>
      <c r="F168" s="25"/>
      <c r="G168" s="25"/>
      <c r="H168" s="25"/>
      <c r="I168" s="25"/>
      <c r="J168" s="27" t="str">
        <f aca="false">IF($A168="","",ROUND(SUM(E168:I168),2))</f>
        <v/>
      </c>
      <c r="K168" s="45" t="n">
        <f aca="false">IF(OR($A168="",$AA168=0),0,INDEX(研发人员工时分配表!$F$6:$F$245,$AA168))</f>
        <v>0</v>
      </c>
      <c r="L168" s="45" t="n">
        <f aca="false">IF(OR($A168="",$AA168=0),0,INDEX(研发人员工时分配表!$R$6:$R$245,$AA168))</f>
        <v>0</v>
      </c>
      <c r="M168" s="28" t="str">
        <f aca="false">IF(OR($A168="",$K168=0),"",$L168/$K168)</f>
        <v/>
      </c>
      <c r="N168" s="27" t="str">
        <f aca="false">IF(OR($A168="",$K168=0),"",ROUND($J168*INDEX(研发人员工时分配表!$H$6:$H$245,$AA168)/$K168,2))</f>
        <v/>
      </c>
      <c r="O168" s="27" t="str">
        <f aca="false">IF(OR($A168="",$K168=0),"",ROUND($J168*INDEX(研发人员工时分配表!$I$6:$I$245,$AA168)/$K168,2))</f>
        <v/>
      </c>
      <c r="P168" s="27" t="str">
        <f aca="false">IF(OR($A168="",$K168=0),"",ROUND($J168*INDEX(研发人员工时分配表!$J$6:$J$245,$AA168)/$K168,2))</f>
        <v/>
      </c>
      <c r="Q168" s="27" t="str">
        <f aca="false">IF(OR($A168="",$K168=0),"",ROUND($J168*INDEX(研发人员工时分配表!$K$6:$K$245,$AA168)/$K168,2))</f>
        <v/>
      </c>
      <c r="R168" s="27" t="str">
        <f aca="false">IF(OR($A168="",$K168=0),"",ROUND($J168*INDEX(研发人员工时分配表!$L$6:$L$245,$AA168)/$K168,2))</f>
        <v/>
      </c>
      <c r="S168" s="27" t="str">
        <f aca="false">IF(OR($A168="",$K168=0),"",ROUND($J168*INDEX(研发人员工时分配表!$M$6:$M$245,$AA168)/$K168,2))</f>
        <v/>
      </c>
      <c r="T168" s="27" t="str">
        <f aca="false">IF(OR($A168="",$K168=0),"",ROUND($J168*INDEX(研发人员工时分配表!$N$6:$N$245,$AA168)/$K168,2))</f>
        <v/>
      </c>
      <c r="U168" s="27" t="str">
        <f aca="false">IF(OR($A168="",$K168=0),"",ROUND($J168*INDEX(研发人员工时分配表!$O$6:$O$245,$AA168)/$K168,2))</f>
        <v/>
      </c>
      <c r="V168" s="27" t="str">
        <f aca="false">IF(OR($A168="",$K168=0),"",ROUND($J168*INDEX(研发人员工时分配表!$P$6:$P$245,$AA168)/$K168,2))</f>
        <v/>
      </c>
      <c r="W168" s="27" t="str">
        <f aca="false">IF(OR($A168="",$K168=0),"",ROUND($J168*INDEX(研发人员工时分配表!$Q$6:$Q$245,$AA168)/$K168,2))</f>
        <v/>
      </c>
      <c r="X168" s="27" t="str">
        <f aca="false">IF($A168="","",ROUND(SUM(N168:W168),2))</f>
        <v/>
      </c>
      <c r="Y168" s="27" t="str">
        <f aca="false">IF($A168="","",ROUND($J168-X168,2))</f>
        <v/>
      </c>
      <c r="Z168" s="43" t="str">
        <f aca="false">IF($A168="","",IF($AA168=0,"⚠ 工时分配表无此人当月记录",IF($AB168&gt;1,"⚠ 工时分配表存在重复行","√ 正常")))</f>
        <v/>
      </c>
      <c r="AA168" s="47" t="n">
        <f aca="false">IF($A168="",0,IFERROR(MATCH($A168&amp;"|"&amp;$B168,研发人员工时分配表!$W$6:$W$245,0),0))</f>
        <v>0</v>
      </c>
      <c r="AB168" s="47" t="n">
        <f aca="false">IF($A168="",0,COUNTIFS(研发人员工时分配表!$A$6:$A$245,$A168,研发人员工时分配表!$B$6:$B$245,$B168))</f>
        <v>0</v>
      </c>
    </row>
    <row r="169" customFormat="false" ht="18" hidden="false" customHeight="true" outlineLevel="0" collapsed="false">
      <c r="A169" s="36"/>
      <c r="B169" s="36"/>
      <c r="C169" s="43" t="str">
        <f aca="false">IF($B169="","",IFERROR(VLOOKUP($B169,人员名册!$B$4:$G$53,2,0)&amp;"","名册中未登记"))</f>
        <v/>
      </c>
      <c r="D169" s="43" t="str">
        <f aca="false">IF($B169="","",IFERROR(VLOOKUP($B169,人员名册!$B$4:$G$53,5,0)&amp;"",""))</f>
        <v/>
      </c>
      <c r="E169" s="25"/>
      <c r="F169" s="25"/>
      <c r="G169" s="25"/>
      <c r="H169" s="25"/>
      <c r="I169" s="25"/>
      <c r="J169" s="27" t="str">
        <f aca="false">IF($A169="","",ROUND(SUM(E169:I169),2))</f>
        <v/>
      </c>
      <c r="K169" s="45" t="n">
        <f aca="false">IF(OR($A169="",$AA169=0),0,INDEX(研发人员工时分配表!$F$6:$F$245,$AA169))</f>
        <v>0</v>
      </c>
      <c r="L169" s="45" t="n">
        <f aca="false">IF(OR($A169="",$AA169=0),0,INDEX(研发人员工时分配表!$R$6:$R$245,$AA169))</f>
        <v>0</v>
      </c>
      <c r="M169" s="28" t="str">
        <f aca="false">IF(OR($A169="",$K169=0),"",$L169/$K169)</f>
        <v/>
      </c>
      <c r="N169" s="27" t="str">
        <f aca="false">IF(OR($A169="",$K169=0),"",ROUND($J169*INDEX(研发人员工时分配表!$H$6:$H$245,$AA169)/$K169,2))</f>
        <v/>
      </c>
      <c r="O169" s="27" t="str">
        <f aca="false">IF(OR($A169="",$K169=0),"",ROUND($J169*INDEX(研发人员工时分配表!$I$6:$I$245,$AA169)/$K169,2))</f>
        <v/>
      </c>
      <c r="P169" s="27" t="str">
        <f aca="false">IF(OR($A169="",$K169=0),"",ROUND($J169*INDEX(研发人员工时分配表!$J$6:$J$245,$AA169)/$K169,2))</f>
        <v/>
      </c>
      <c r="Q169" s="27" t="str">
        <f aca="false">IF(OR($A169="",$K169=0),"",ROUND($J169*INDEX(研发人员工时分配表!$K$6:$K$245,$AA169)/$K169,2))</f>
        <v/>
      </c>
      <c r="R169" s="27" t="str">
        <f aca="false">IF(OR($A169="",$K169=0),"",ROUND($J169*INDEX(研发人员工时分配表!$L$6:$L$245,$AA169)/$K169,2))</f>
        <v/>
      </c>
      <c r="S169" s="27" t="str">
        <f aca="false">IF(OR($A169="",$K169=0),"",ROUND($J169*INDEX(研发人员工时分配表!$M$6:$M$245,$AA169)/$K169,2))</f>
        <v/>
      </c>
      <c r="T169" s="27" t="str">
        <f aca="false">IF(OR($A169="",$K169=0),"",ROUND($J169*INDEX(研发人员工时分配表!$N$6:$N$245,$AA169)/$K169,2))</f>
        <v/>
      </c>
      <c r="U169" s="27" t="str">
        <f aca="false">IF(OR($A169="",$K169=0),"",ROUND($J169*INDEX(研发人员工时分配表!$O$6:$O$245,$AA169)/$K169,2))</f>
        <v/>
      </c>
      <c r="V169" s="27" t="str">
        <f aca="false">IF(OR($A169="",$K169=0),"",ROUND($J169*INDEX(研发人员工时分配表!$P$6:$P$245,$AA169)/$K169,2))</f>
        <v/>
      </c>
      <c r="W169" s="27" t="str">
        <f aca="false">IF(OR($A169="",$K169=0),"",ROUND($J169*INDEX(研发人员工时分配表!$Q$6:$Q$245,$AA169)/$K169,2))</f>
        <v/>
      </c>
      <c r="X169" s="27" t="str">
        <f aca="false">IF($A169="","",ROUND(SUM(N169:W169),2))</f>
        <v/>
      </c>
      <c r="Y169" s="27" t="str">
        <f aca="false">IF($A169="","",ROUND($J169-X169,2))</f>
        <v/>
      </c>
      <c r="Z169" s="43" t="str">
        <f aca="false">IF($A169="","",IF($AA169=0,"⚠ 工时分配表无此人当月记录",IF($AB169&gt;1,"⚠ 工时分配表存在重复行","√ 正常")))</f>
        <v/>
      </c>
      <c r="AA169" s="47" t="n">
        <f aca="false">IF($A169="",0,IFERROR(MATCH($A169&amp;"|"&amp;$B169,研发人员工时分配表!$W$6:$W$245,0),0))</f>
        <v>0</v>
      </c>
      <c r="AB169" s="47" t="n">
        <f aca="false">IF($A169="",0,COUNTIFS(研发人员工时分配表!$A$6:$A$245,$A169,研发人员工时分配表!$B$6:$B$245,$B169))</f>
        <v>0</v>
      </c>
    </row>
    <row r="170" customFormat="false" ht="18" hidden="false" customHeight="true" outlineLevel="0" collapsed="false">
      <c r="A170" s="36"/>
      <c r="B170" s="36"/>
      <c r="C170" s="43" t="str">
        <f aca="false">IF($B170="","",IFERROR(VLOOKUP($B170,人员名册!$B$4:$G$53,2,0)&amp;"","名册中未登记"))</f>
        <v/>
      </c>
      <c r="D170" s="43" t="str">
        <f aca="false">IF($B170="","",IFERROR(VLOOKUP($B170,人员名册!$B$4:$G$53,5,0)&amp;"",""))</f>
        <v/>
      </c>
      <c r="E170" s="25"/>
      <c r="F170" s="25"/>
      <c r="G170" s="25"/>
      <c r="H170" s="25"/>
      <c r="I170" s="25"/>
      <c r="J170" s="27" t="str">
        <f aca="false">IF($A170="","",ROUND(SUM(E170:I170),2))</f>
        <v/>
      </c>
      <c r="K170" s="45" t="n">
        <f aca="false">IF(OR($A170="",$AA170=0),0,INDEX(研发人员工时分配表!$F$6:$F$245,$AA170))</f>
        <v>0</v>
      </c>
      <c r="L170" s="45" t="n">
        <f aca="false">IF(OR($A170="",$AA170=0),0,INDEX(研发人员工时分配表!$R$6:$R$245,$AA170))</f>
        <v>0</v>
      </c>
      <c r="M170" s="28" t="str">
        <f aca="false">IF(OR($A170="",$K170=0),"",$L170/$K170)</f>
        <v/>
      </c>
      <c r="N170" s="27" t="str">
        <f aca="false">IF(OR($A170="",$K170=0),"",ROUND($J170*INDEX(研发人员工时分配表!$H$6:$H$245,$AA170)/$K170,2))</f>
        <v/>
      </c>
      <c r="O170" s="27" t="str">
        <f aca="false">IF(OR($A170="",$K170=0),"",ROUND($J170*INDEX(研发人员工时分配表!$I$6:$I$245,$AA170)/$K170,2))</f>
        <v/>
      </c>
      <c r="P170" s="27" t="str">
        <f aca="false">IF(OR($A170="",$K170=0),"",ROUND($J170*INDEX(研发人员工时分配表!$J$6:$J$245,$AA170)/$K170,2))</f>
        <v/>
      </c>
      <c r="Q170" s="27" t="str">
        <f aca="false">IF(OR($A170="",$K170=0),"",ROUND($J170*INDEX(研发人员工时分配表!$K$6:$K$245,$AA170)/$K170,2))</f>
        <v/>
      </c>
      <c r="R170" s="27" t="str">
        <f aca="false">IF(OR($A170="",$K170=0),"",ROUND($J170*INDEX(研发人员工时分配表!$L$6:$L$245,$AA170)/$K170,2))</f>
        <v/>
      </c>
      <c r="S170" s="27" t="str">
        <f aca="false">IF(OR($A170="",$K170=0),"",ROUND($J170*INDEX(研发人员工时分配表!$M$6:$M$245,$AA170)/$K170,2))</f>
        <v/>
      </c>
      <c r="T170" s="27" t="str">
        <f aca="false">IF(OR($A170="",$K170=0),"",ROUND($J170*INDEX(研发人员工时分配表!$N$6:$N$245,$AA170)/$K170,2))</f>
        <v/>
      </c>
      <c r="U170" s="27" t="str">
        <f aca="false">IF(OR($A170="",$K170=0),"",ROUND($J170*INDEX(研发人员工时分配表!$O$6:$O$245,$AA170)/$K170,2))</f>
        <v/>
      </c>
      <c r="V170" s="27" t="str">
        <f aca="false">IF(OR($A170="",$K170=0),"",ROUND($J170*INDEX(研发人员工时分配表!$P$6:$P$245,$AA170)/$K170,2))</f>
        <v/>
      </c>
      <c r="W170" s="27" t="str">
        <f aca="false">IF(OR($A170="",$K170=0),"",ROUND($J170*INDEX(研发人员工时分配表!$Q$6:$Q$245,$AA170)/$K170,2))</f>
        <v/>
      </c>
      <c r="X170" s="27" t="str">
        <f aca="false">IF($A170="","",ROUND(SUM(N170:W170),2))</f>
        <v/>
      </c>
      <c r="Y170" s="27" t="str">
        <f aca="false">IF($A170="","",ROUND($J170-X170,2))</f>
        <v/>
      </c>
      <c r="Z170" s="43" t="str">
        <f aca="false">IF($A170="","",IF($AA170=0,"⚠ 工时分配表无此人当月记录",IF($AB170&gt;1,"⚠ 工时分配表存在重复行","√ 正常")))</f>
        <v/>
      </c>
      <c r="AA170" s="47" t="n">
        <f aca="false">IF($A170="",0,IFERROR(MATCH($A170&amp;"|"&amp;$B170,研发人员工时分配表!$W$6:$W$245,0),0))</f>
        <v>0</v>
      </c>
      <c r="AB170" s="47" t="n">
        <f aca="false">IF($A170="",0,COUNTIFS(研发人员工时分配表!$A$6:$A$245,$A170,研发人员工时分配表!$B$6:$B$245,$B170))</f>
        <v>0</v>
      </c>
    </row>
    <row r="171" customFormat="false" ht="18" hidden="false" customHeight="true" outlineLevel="0" collapsed="false">
      <c r="A171" s="36"/>
      <c r="B171" s="36"/>
      <c r="C171" s="43" t="str">
        <f aca="false">IF($B171="","",IFERROR(VLOOKUP($B171,人员名册!$B$4:$G$53,2,0)&amp;"","名册中未登记"))</f>
        <v/>
      </c>
      <c r="D171" s="43" t="str">
        <f aca="false">IF($B171="","",IFERROR(VLOOKUP($B171,人员名册!$B$4:$G$53,5,0)&amp;"",""))</f>
        <v/>
      </c>
      <c r="E171" s="25"/>
      <c r="F171" s="25"/>
      <c r="G171" s="25"/>
      <c r="H171" s="25"/>
      <c r="I171" s="25"/>
      <c r="J171" s="27" t="str">
        <f aca="false">IF($A171="","",ROUND(SUM(E171:I171),2))</f>
        <v/>
      </c>
      <c r="K171" s="45" t="n">
        <f aca="false">IF(OR($A171="",$AA171=0),0,INDEX(研发人员工时分配表!$F$6:$F$245,$AA171))</f>
        <v>0</v>
      </c>
      <c r="L171" s="45" t="n">
        <f aca="false">IF(OR($A171="",$AA171=0),0,INDEX(研发人员工时分配表!$R$6:$R$245,$AA171))</f>
        <v>0</v>
      </c>
      <c r="M171" s="28" t="str">
        <f aca="false">IF(OR($A171="",$K171=0),"",$L171/$K171)</f>
        <v/>
      </c>
      <c r="N171" s="27" t="str">
        <f aca="false">IF(OR($A171="",$K171=0),"",ROUND($J171*INDEX(研发人员工时分配表!$H$6:$H$245,$AA171)/$K171,2))</f>
        <v/>
      </c>
      <c r="O171" s="27" t="str">
        <f aca="false">IF(OR($A171="",$K171=0),"",ROUND($J171*INDEX(研发人员工时分配表!$I$6:$I$245,$AA171)/$K171,2))</f>
        <v/>
      </c>
      <c r="P171" s="27" t="str">
        <f aca="false">IF(OR($A171="",$K171=0),"",ROUND($J171*INDEX(研发人员工时分配表!$J$6:$J$245,$AA171)/$K171,2))</f>
        <v/>
      </c>
      <c r="Q171" s="27" t="str">
        <f aca="false">IF(OR($A171="",$K171=0),"",ROUND($J171*INDEX(研发人员工时分配表!$K$6:$K$245,$AA171)/$K171,2))</f>
        <v/>
      </c>
      <c r="R171" s="27" t="str">
        <f aca="false">IF(OR($A171="",$K171=0),"",ROUND($J171*INDEX(研发人员工时分配表!$L$6:$L$245,$AA171)/$K171,2))</f>
        <v/>
      </c>
      <c r="S171" s="27" t="str">
        <f aca="false">IF(OR($A171="",$K171=0),"",ROUND($J171*INDEX(研发人员工时分配表!$M$6:$M$245,$AA171)/$K171,2))</f>
        <v/>
      </c>
      <c r="T171" s="27" t="str">
        <f aca="false">IF(OR($A171="",$K171=0),"",ROUND($J171*INDEX(研发人员工时分配表!$N$6:$N$245,$AA171)/$K171,2))</f>
        <v/>
      </c>
      <c r="U171" s="27" t="str">
        <f aca="false">IF(OR($A171="",$K171=0),"",ROUND($J171*INDEX(研发人员工时分配表!$O$6:$O$245,$AA171)/$K171,2))</f>
        <v/>
      </c>
      <c r="V171" s="27" t="str">
        <f aca="false">IF(OR($A171="",$K171=0),"",ROUND($J171*INDEX(研发人员工时分配表!$P$6:$P$245,$AA171)/$K171,2))</f>
        <v/>
      </c>
      <c r="W171" s="27" t="str">
        <f aca="false">IF(OR($A171="",$K171=0),"",ROUND($J171*INDEX(研发人员工时分配表!$Q$6:$Q$245,$AA171)/$K171,2))</f>
        <v/>
      </c>
      <c r="X171" s="27" t="str">
        <f aca="false">IF($A171="","",ROUND(SUM(N171:W171),2))</f>
        <v/>
      </c>
      <c r="Y171" s="27" t="str">
        <f aca="false">IF($A171="","",ROUND($J171-X171,2))</f>
        <v/>
      </c>
      <c r="Z171" s="43" t="str">
        <f aca="false">IF($A171="","",IF($AA171=0,"⚠ 工时分配表无此人当月记录",IF($AB171&gt;1,"⚠ 工时分配表存在重复行","√ 正常")))</f>
        <v/>
      </c>
      <c r="AA171" s="47" t="n">
        <f aca="false">IF($A171="",0,IFERROR(MATCH($A171&amp;"|"&amp;$B171,研发人员工时分配表!$W$6:$W$245,0),0))</f>
        <v>0</v>
      </c>
      <c r="AB171" s="47" t="n">
        <f aca="false">IF($A171="",0,COUNTIFS(研发人员工时分配表!$A$6:$A$245,$A171,研发人员工时分配表!$B$6:$B$245,$B171))</f>
        <v>0</v>
      </c>
    </row>
    <row r="172" customFormat="false" ht="18" hidden="false" customHeight="true" outlineLevel="0" collapsed="false">
      <c r="A172" s="36"/>
      <c r="B172" s="36"/>
      <c r="C172" s="43" t="str">
        <f aca="false">IF($B172="","",IFERROR(VLOOKUP($B172,人员名册!$B$4:$G$53,2,0)&amp;"","名册中未登记"))</f>
        <v/>
      </c>
      <c r="D172" s="43" t="str">
        <f aca="false">IF($B172="","",IFERROR(VLOOKUP($B172,人员名册!$B$4:$G$53,5,0)&amp;"",""))</f>
        <v/>
      </c>
      <c r="E172" s="25"/>
      <c r="F172" s="25"/>
      <c r="G172" s="25"/>
      <c r="H172" s="25"/>
      <c r="I172" s="25"/>
      <c r="J172" s="27" t="str">
        <f aca="false">IF($A172="","",ROUND(SUM(E172:I172),2))</f>
        <v/>
      </c>
      <c r="K172" s="45" t="n">
        <f aca="false">IF(OR($A172="",$AA172=0),0,INDEX(研发人员工时分配表!$F$6:$F$245,$AA172))</f>
        <v>0</v>
      </c>
      <c r="L172" s="45" t="n">
        <f aca="false">IF(OR($A172="",$AA172=0),0,INDEX(研发人员工时分配表!$R$6:$R$245,$AA172))</f>
        <v>0</v>
      </c>
      <c r="M172" s="28" t="str">
        <f aca="false">IF(OR($A172="",$K172=0),"",$L172/$K172)</f>
        <v/>
      </c>
      <c r="N172" s="27" t="str">
        <f aca="false">IF(OR($A172="",$K172=0),"",ROUND($J172*INDEX(研发人员工时分配表!$H$6:$H$245,$AA172)/$K172,2))</f>
        <v/>
      </c>
      <c r="O172" s="27" t="str">
        <f aca="false">IF(OR($A172="",$K172=0),"",ROUND($J172*INDEX(研发人员工时分配表!$I$6:$I$245,$AA172)/$K172,2))</f>
        <v/>
      </c>
      <c r="P172" s="27" t="str">
        <f aca="false">IF(OR($A172="",$K172=0),"",ROUND($J172*INDEX(研发人员工时分配表!$J$6:$J$245,$AA172)/$K172,2))</f>
        <v/>
      </c>
      <c r="Q172" s="27" t="str">
        <f aca="false">IF(OR($A172="",$K172=0),"",ROUND($J172*INDEX(研发人员工时分配表!$K$6:$K$245,$AA172)/$K172,2))</f>
        <v/>
      </c>
      <c r="R172" s="27" t="str">
        <f aca="false">IF(OR($A172="",$K172=0),"",ROUND($J172*INDEX(研发人员工时分配表!$L$6:$L$245,$AA172)/$K172,2))</f>
        <v/>
      </c>
      <c r="S172" s="27" t="str">
        <f aca="false">IF(OR($A172="",$K172=0),"",ROUND($J172*INDEX(研发人员工时分配表!$M$6:$M$245,$AA172)/$K172,2))</f>
        <v/>
      </c>
      <c r="T172" s="27" t="str">
        <f aca="false">IF(OR($A172="",$K172=0),"",ROUND($J172*INDEX(研发人员工时分配表!$N$6:$N$245,$AA172)/$K172,2))</f>
        <v/>
      </c>
      <c r="U172" s="27" t="str">
        <f aca="false">IF(OR($A172="",$K172=0),"",ROUND($J172*INDEX(研发人员工时分配表!$O$6:$O$245,$AA172)/$K172,2))</f>
        <v/>
      </c>
      <c r="V172" s="27" t="str">
        <f aca="false">IF(OR($A172="",$K172=0),"",ROUND($J172*INDEX(研发人员工时分配表!$P$6:$P$245,$AA172)/$K172,2))</f>
        <v/>
      </c>
      <c r="W172" s="27" t="str">
        <f aca="false">IF(OR($A172="",$K172=0),"",ROUND($J172*INDEX(研发人员工时分配表!$Q$6:$Q$245,$AA172)/$K172,2))</f>
        <v/>
      </c>
      <c r="X172" s="27" t="str">
        <f aca="false">IF($A172="","",ROUND(SUM(N172:W172),2))</f>
        <v/>
      </c>
      <c r="Y172" s="27" t="str">
        <f aca="false">IF($A172="","",ROUND($J172-X172,2))</f>
        <v/>
      </c>
      <c r="Z172" s="43" t="str">
        <f aca="false">IF($A172="","",IF($AA172=0,"⚠ 工时分配表无此人当月记录",IF($AB172&gt;1,"⚠ 工时分配表存在重复行","√ 正常")))</f>
        <v/>
      </c>
      <c r="AA172" s="47" t="n">
        <f aca="false">IF($A172="",0,IFERROR(MATCH($A172&amp;"|"&amp;$B172,研发人员工时分配表!$W$6:$W$245,0),0))</f>
        <v>0</v>
      </c>
      <c r="AB172" s="47" t="n">
        <f aca="false">IF($A172="",0,COUNTIFS(研发人员工时分配表!$A$6:$A$245,$A172,研发人员工时分配表!$B$6:$B$245,$B172))</f>
        <v>0</v>
      </c>
    </row>
    <row r="173" customFormat="false" ht="18" hidden="false" customHeight="true" outlineLevel="0" collapsed="false">
      <c r="A173" s="36"/>
      <c r="B173" s="36"/>
      <c r="C173" s="43" t="str">
        <f aca="false">IF($B173="","",IFERROR(VLOOKUP($B173,人员名册!$B$4:$G$53,2,0)&amp;"","名册中未登记"))</f>
        <v/>
      </c>
      <c r="D173" s="43" t="str">
        <f aca="false">IF($B173="","",IFERROR(VLOOKUP($B173,人员名册!$B$4:$G$53,5,0)&amp;"",""))</f>
        <v/>
      </c>
      <c r="E173" s="25"/>
      <c r="F173" s="25"/>
      <c r="G173" s="25"/>
      <c r="H173" s="25"/>
      <c r="I173" s="25"/>
      <c r="J173" s="27" t="str">
        <f aca="false">IF($A173="","",ROUND(SUM(E173:I173),2))</f>
        <v/>
      </c>
      <c r="K173" s="45" t="n">
        <f aca="false">IF(OR($A173="",$AA173=0),0,INDEX(研发人员工时分配表!$F$6:$F$245,$AA173))</f>
        <v>0</v>
      </c>
      <c r="L173" s="45" t="n">
        <f aca="false">IF(OR($A173="",$AA173=0),0,INDEX(研发人员工时分配表!$R$6:$R$245,$AA173))</f>
        <v>0</v>
      </c>
      <c r="M173" s="28" t="str">
        <f aca="false">IF(OR($A173="",$K173=0),"",$L173/$K173)</f>
        <v/>
      </c>
      <c r="N173" s="27" t="str">
        <f aca="false">IF(OR($A173="",$K173=0),"",ROUND($J173*INDEX(研发人员工时分配表!$H$6:$H$245,$AA173)/$K173,2))</f>
        <v/>
      </c>
      <c r="O173" s="27" t="str">
        <f aca="false">IF(OR($A173="",$K173=0),"",ROUND($J173*INDEX(研发人员工时分配表!$I$6:$I$245,$AA173)/$K173,2))</f>
        <v/>
      </c>
      <c r="P173" s="27" t="str">
        <f aca="false">IF(OR($A173="",$K173=0),"",ROUND($J173*INDEX(研发人员工时分配表!$J$6:$J$245,$AA173)/$K173,2))</f>
        <v/>
      </c>
      <c r="Q173" s="27" t="str">
        <f aca="false">IF(OR($A173="",$K173=0),"",ROUND($J173*INDEX(研发人员工时分配表!$K$6:$K$245,$AA173)/$K173,2))</f>
        <v/>
      </c>
      <c r="R173" s="27" t="str">
        <f aca="false">IF(OR($A173="",$K173=0),"",ROUND($J173*INDEX(研发人员工时分配表!$L$6:$L$245,$AA173)/$K173,2))</f>
        <v/>
      </c>
      <c r="S173" s="27" t="str">
        <f aca="false">IF(OR($A173="",$K173=0),"",ROUND($J173*INDEX(研发人员工时分配表!$M$6:$M$245,$AA173)/$K173,2))</f>
        <v/>
      </c>
      <c r="T173" s="27" t="str">
        <f aca="false">IF(OR($A173="",$K173=0),"",ROUND($J173*INDEX(研发人员工时分配表!$N$6:$N$245,$AA173)/$K173,2))</f>
        <v/>
      </c>
      <c r="U173" s="27" t="str">
        <f aca="false">IF(OR($A173="",$K173=0),"",ROUND($J173*INDEX(研发人员工时分配表!$O$6:$O$245,$AA173)/$K173,2))</f>
        <v/>
      </c>
      <c r="V173" s="27" t="str">
        <f aca="false">IF(OR($A173="",$K173=0),"",ROUND($J173*INDEX(研发人员工时分配表!$P$6:$P$245,$AA173)/$K173,2))</f>
        <v/>
      </c>
      <c r="W173" s="27" t="str">
        <f aca="false">IF(OR($A173="",$K173=0),"",ROUND($J173*INDEX(研发人员工时分配表!$Q$6:$Q$245,$AA173)/$K173,2))</f>
        <v/>
      </c>
      <c r="X173" s="27" t="str">
        <f aca="false">IF($A173="","",ROUND(SUM(N173:W173),2))</f>
        <v/>
      </c>
      <c r="Y173" s="27" t="str">
        <f aca="false">IF($A173="","",ROUND($J173-X173,2))</f>
        <v/>
      </c>
      <c r="Z173" s="43" t="str">
        <f aca="false">IF($A173="","",IF($AA173=0,"⚠ 工时分配表无此人当月记录",IF($AB173&gt;1,"⚠ 工时分配表存在重复行","√ 正常")))</f>
        <v/>
      </c>
      <c r="AA173" s="47" t="n">
        <f aca="false">IF($A173="",0,IFERROR(MATCH($A173&amp;"|"&amp;$B173,研发人员工时分配表!$W$6:$W$245,0),0))</f>
        <v>0</v>
      </c>
      <c r="AB173" s="47" t="n">
        <f aca="false">IF($A173="",0,COUNTIFS(研发人员工时分配表!$A$6:$A$245,$A173,研发人员工时分配表!$B$6:$B$245,$B173))</f>
        <v>0</v>
      </c>
    </row>
    <row r="174" customFormat="false" ht="18" hidden="false" customHeight="true" outlineLevel="0" collapsed="false">
      <c r="A174" s="36"/>
      <c r="B174" s="36"/>
      <c r="C174" s="43" t="str">
        <f aca="false">IF($B174="","",IFERROR(VLOOKUP($B174,人员名册!$B$4:$G$53,2,0)&amp;"","名册中未登记"))</f>
        <v/>
      </c>
      <c r="D174" s="43" t="str">
        <f aca="false">IF($B174="","",IFERROR(VLOOKUP($B174,人员名册!$B$4:$G$53,5,0)&amp;"",""))</f>
        <v/>
      </c>
      <c r="E174" s="25"/>
      <c r="F174" s="25"/>
      <c r="G174" s="25"/>
      <c r="H174" s="25"/>
      <c r="I174" s="25"/>
      <c r="J174" s="27" t="str">
        <f aca="false">IF($A174="","",ROUND(SUM(E174:I174),2))</f>
        <v/>
      </c>
      <c r="K174" s="45" t="n">
        <f aca="false">IF(OR($A174="",$AA174=0),0,INDEX(研发人员工时分配表!$F$6:$F$245,$AA174))</f>
        <v>0</v>
      </c>
      <c r="L174" s="45" t="n">
        <f aca="false">IF(OR($A174="",$AA174=0),0,INDEX(研发人员工时分配表!$R$6:$R$245,$AA174))</f>
        <v>0</v>
      </c>
      <c r="M174" s="28" t="str">
        <f aca="false">IF(OR($A174="",$K174=0),"",$L174/$K174)</f>
        <v/>
      </c>
      <c r="N174" s="27" t="str">
        <f aca="false">IF(OR($A174="",$K174=0),"",ROUND($J174*INDEX(研发人员工时分配表!$H$6:$H$245,$AA174)/$K174,2))</f>
        <v/>
      </c>
      <c r="O174" s="27" t="str">
        <f aca="false">IF(OR($A174="",$K174=0),"",ROUND($J174*INDEX(研发人员工时分配表!$I$6:$I$245,$AA174)/$K174,2))</f>
        <v/>
      </c>
      <c r="P174" s="27" t="str">
        <f aca="false">IF(OR($A174="",$K174=0),"",ROUND($J174*INDEX(研发人员工时分配表!$J$6:$J$245,$AA174)/$K174,2))</f>
        <v/>
      </c>
      <c r="Q174" s="27" t="str">
        <f aca="false">IF(OR($A174="",$K174=0),"",ROUND($J174*INDEX(研发人员工时分配表!$K$6:$K$245,$AA174)/$K174,2))</f>
        <v/>
      </c>
      <c r="R174" s="27" t="str">
        <f aca="false">IF(OR($A174="",$K174=0),"",ROUND($J174*INDEX(研发人员工时分配表!$L$6:$L$245,$AA174)/$K174,2))</f>
        <v/>
      </c>
      <c r="S174" s="27" t="str">
        <f aca="false">IF(OR($A174="",$K174=0),"",ROUND($J174*INDEX(研发人员工时分配表!$M$6:$M$245,$AA174)/$K174,2))</f>
        <v/>
      </c>
      <c r="T174" s="27" t="str">
        <f aca="false">IF(OR($A174="",$K174=0),"",ROUND($J174*INDEX(研发人员工时分配表!$N$6:$N$245,$AA174)/$K174,2))</f>
        <v/>
      </c>
      <c r="U174" s="27" t="str">
        <f aca="false">IF(OR($A174="",$K174=0),"",ROUND($J174*INDEX(研发人员工时分配表!$O$6:$O$245,$AA174)/$K174,2))</f>
        <v/>
      </c>
      <c r="V174" s="27" t="str">
        <f aca="false">IF(OR($A174="",$K174=0),"",ROUND($J174*INDEX(研发人员工时分配表!$P$6:$P$245,$AA174)/$K174,2))</f>
        <v/>
      </c>
      <c r="W174" s="27" t="str">
        <f aca="false">IF(OR($A174="",$K174=0),"",ROUND($J174*INDEX(研发人员工时分配表!$Q$6:$Q$245,$AA174)/$K174,2))</f>
        <v/>
      </c>
      <c r="X174" s="27" t="str">
        <f aca="false">IF($A174="","",ROUND(SUM(N174:W174),2))</f>
        <v/>
      </c>
      <c r="Y174" s="27" t="str">
        <f aca="false">IF($A174="","",ROUND($J174-X174,2))</f>
        <v/>
      </c>
      <c r="Z174" s="43" t="str">
        <f aca="false">IF($A174="","",IF($AA174=0,"⚠ 工时分配表无此人当月记录",IF($AB174&gt;1,"⚠ 工时分配表存在重复行","√ 正常")))</f>
        <v/>
      </c>
      <c r="AA174" s="47" t="n">
        <f aca="false">IF($A174="",0,IFERROR(MATCH($A174&amp;"|"&amp;$B174,研发人员工时分配表!$W$6:$W$245,0),0))</f>
        <v>0</v>
      </c>
      <c r="AB174" s="47" t="n">
        <f aca="false">IF($A174="",0,COUNTIFS(研发人员工时分配表!$A$6:$A$245,$A174,研发人员工时分配表!$B$6:$B$245,$B174))</f>
        <v>0</v>
      </c>
    </row>
    <row r="175" customFormat="false" ht="18" hidden="false" customHeight="true" outlineLevel="0" collapsed="false">
      <c r="A175" s="36"/>
      <c r="B175" s="36"/>
      <c r="C175" s="43" t="str">
        <f aca="false">IF($B175="","",IFERROR(VLOOKUP($B175,人员名册!$B$4:$G$53,2,0)&amp;"","名册中未登记"))</f>
        <v/>
      </c>
      <c r="D175" s="43" t="str">
        <f aca="false">IF($B175="","",IFERROR(VLOOKUP($B175,人员名册!$B$4:$G$53,5,0)&amp;"",""))</f>
        <v/>
      </c>
      <c r="E175" s="25"/>
      <c r="F175" s="25"/>
      <c r="G175" s="25"/>
      <c r="H175" s="25"/>
      <c r="I175" s="25"/>
      <c r="J175" s="27" t="str">
        <f aca="false">IF($A175="","",ROUND(SUM(E175:I175),2))</f>
        <v/>
      </c>
      <c r="K175" s="45" t="n">
        <f aca="false">IF(OR($A175="",$AA175=0),0,INDEX(研发人员工时分配表!$F$6:$F$245,$AA175))</f>
        <v>0</v>
      </c>
      <c r="L175" s="45" t="n">
        <f aca="false">IF(OR($A175="",$AA175=0),0,INDEX(研发人员工时分配表!$R$6:$R$245,$AA175))</f>
        <v>0</v>
      </c>
      <c r="M175" s="28" t="str">
        <f aca="false">IF(OR($A175="",$K175=0),"",$L175/$K175)</f>
        <v/>
      </c>
      <c r="N175" s="27" t="str">
        <f aca="false">IF(OR($A175="",$K175=0),"",ROUND($J175*INDEX(研发人员工时分配表!$H$6:$H$245,$AA175)/$K175,2))</f>
        <v/>
      </c>
      <c r="O175" s="27" t="str">
        <f aca="false">IF(OR($A175="",$K175=0),"",ROUND($J175*INDEX(研发人员工时分配表!$I$6:$I$245,$AA175)/$K175,2))</f>
        <v/>
      </c>
      <c r="P175" s="27" t="str">
        <f aca="false">IF(OR($A175="",$K175=0),"",ROUND($J175*INDEX(研发人员工时分配表!$J$6:$J$245,$AA175)/$K175,2))</f>
        <v/>
      </c>
      <c r="Q175" s="27" t="str">
        <f aca="false">IF(OR($A175="",$K175=0),"",ROUND($J175*INDEX(研发人员工时分配表!$K$6:$K$245,$AA175)/$K175,2))</f>
        <v/>
      </c>
      <c r="R175" s="27" t="str">
        <f aca="false">IF(OR($A175="",$K175=0),"",ROUND($J175*INDEX(研发人员工时分配表!$L$6:$L$245,$AA175)/$K175,2))</f>
        <v/>
      </c>
      <c r="S175" s="27" t="str">
        <f aca="false">IF(OR($A175="",$K175=0),"",ROUND($J175*INDEX(研发人员工时分配表!$M$6:$M$245,$AA175)/$K175,2))</f>
        <v/>
      </c>
      <c r="T175" s="27" t="str">
        <f aca="false">IF(OR($A175="",$K175=0),"",ROUND($J175*INDEX(研发人员工时分配表!$N$6:$N$245,$AA175)/$K175,2))</f>
        <v/>
      </c>
      <c r="U175" s="27" t="str">
        <f aca="false">IF(OR($A175="",$K175=0),"",ROUND($J175*INDEX(研发人员工时分配表!$O$6:$O$245,$AA175)/$K175,2))</f>
        <v/>
      </c>
      <c r="V175" s="27" t="str">
        <f aca="false">IF(OR($A175="",$K175=0),"",ROUND($J175*INDEX(研发人员工时分配表!$P$6:$P$245,$AA175)/$K175,2))</f>
        <v/>
      </c>
      <c r="W175" s="27" t="str">
        <f aca="false">IF(OR($A175="",$K175=0),"",ROUND($J175*INDEX(研发人员工时分配表!$Q$6:$Q$245,$AA175)/$K175,2))</f>
        <v/>
      </c>
      <c r="X175" s="27" t="str">
        <f aca="false">IF($A175="","",ROUND(SUM(N175:W175),2))</f>
        <v/>
      </c>
      <c r="Y175" s="27" t="str">
        <f aca="false">IF($A175="","",ROUND($J175-X175,2))</f>
        <v/>
      </c>
      <c r="Z175" s="43" t="str">
        <f aca="false">IF($A175="","",IF($AA175=0,"⚠ 工时分配表无此人当月记录",IF($AB175&gt;1,"⚠ 工时分配表存在重复行","√ 正常")))</f>
        <v/>
      </c>
      <c r="AA175" s="47" t="n">
        <f aca="false">IF($A175="",0,IFERROR(MATCH($A175&amp;"|"&amp;$B175,研发人员工时分配表!$W$6:$W$245,0),0))</f>
        <v>0</v>
      </c>
      <c r="AB175" s="47" t="n">
        <f aca="false">IF($A175="",0,COUNTIFS(研发人员工时分配表!$A$6:$A$245,$A175,研发人员工时分配表!$B$6:$B$245,$B175))</f>
        <v>0</v>
      </c>
    </row>
    <row r="176" customFormat="false" ht="18" hidden="false" customHeight="true" outlineLevel="0" collapsed="false">
      <c r="A176" s="36"/>
      <c r="B176" s="36"/>
      <c r="C176" s="43" t="str">
        <f aca="false">IF($B176="","",IFERROR(VLOOKUP($B176,人员名册!$B$4:$G$53,2,0)&amp;"","名册中未登记"))</f>
        <v/>
      </c>
      <c r="D176" s="43" t="str">
        <f aca="false">IF($B176="","",IFERROR(VLOOKUP($B176,人员名册!$B$4:$G$53,5,0)&amp;"",""))</f>
        <v/>
      </c>
      <c r="E176" s="25"/>
      <c r="F176" s="25"/>
      <c r="G176" s="25"/>
      <c r="H176" s="25"/>
      <c r="I176" s="25"/>
      <c r="J176" s="27" t="str">
        <f aca="false">IF($A176="","",ROUND(SUM(E176:I176),2))</f>
        <v/>
      </c>
      <c r="K176" s="45" t="n">
        <f aca="false">IF(OR($A176="",$AA176=0),0,INDEX(研发人员工时分配表!$F$6:$F$245,$AA176))</f>
        <v>0</v>
      </c>
      <c r="L176" s="45" t="n">
        <f aca="false">IF(OR($A176="",$AA176=0),0,INDEX(研发人员工时分配表!$R$6:$R$245,$AA176))</f>
        <v>0</v>
      </c>
      <c r="M176" s="28" t="str">
        <f aca="false">IF(OR($A176="",$K176=0),"",$L176/$K176)</f>
        <v/>
      </c>
      <c r="N176" s="27" t="str">
        <f aca="false">IF(OR($A176="",$K176=0),"",ROUND($J176*INDEX(研发人员工时分配表!$H$6:$H$245,$AA176)/$K176,2))</f>
        <v/>
      </c>
      <c r="O176" s="27" t="str">
        <f aca="false">IF(OR($A176="",$K176=0),"",ROUND($J176*INDEX(研发人员工时分配表!$I$6:$I$245,$AA176)/$K176,2))</f>
        <v/>
      </c>
      <c r="P176" s="27" t="str">
        <f aca="false">IF(OR($A176="",$K176=0),"",ROUND($J176*INDEX(研发人员工时分配表!$J$6:$J$245,$AA176)/$K176,2))</f>
        <v/>
      </c>
      <c r="Q176" s="27" t="str">
        <f aca="false">IF(OR($A176="",$K176=0),"",ROUND($J176*INDEX(研发人员工时分配表!$K$6:$K$245,$AA176)/$K176,2))</f>
        <v/>
      </c>
      <c r="R176" s="27" t="str">
        <f aca="false">IF(OR($A176="",$K176=0),"",ROUND($J176*INDEX(研发人员工时分配表!$L$6:$L$245,$AA176)/$K176,2))</f>
        <v/>
      </c>
      <c r="S176" s="27" t="str">
        <f aca="false">IF(OR($A176="",$K176=0),"",ROUND($J176*INDEX(研发人员工时分配表!$M$6:$M$245,$AA176)/$K176,2))</f>
        <v/>
      </c>
      <c r="T176" s="27" t="str">
        <f aca="false">IF(OR($A176="",$K176=0),"",ROUND($J176*INDEX(研发人员工时分配表!$N$6:$N$245,$AA176)/$K176,2))</f>
        <v/>
      </c>
      <c r="U176" s="27" t="str">
        <f aca="false">IF(OR($A176="",$K176=0),"",ROUND($J176*INDEX(研发人员工时分配表!$O$6:$O$245,$AA176)/$K176,2))</f>
        <v/>
      </c>
      <c r="V176" s="27" t="str">
        <f aca="false">IF(OR($A176="",$K176=0),"",ROUND($J176*INDEX(研发人员工时分配表!$P$6:$P$245,$AA176)/$K176,2))</f>
        <v/>
      </c>
      <c r="W176" s="27" t="str">
        <f aca="false">IF(OR($A176="",$K176=0),"",ROUND($J176*INDEX(研发人员工时分配表!$Q$6:$Q$245,$AA176)/$K176,2))</f>
        <v/>
      </c>
      <c r="X176" s="27" t="str">
        <f aca="false">IF($A176="","",ROUND(SUM(N176:W176),2))</f>
        <v/>
      </c>
      <c r="Y176" s="27" t="str">
        <f aca="false">IF($A176="","",ROUND($J176-X176,2))</f>
        <v/>
      </c>
      <c r="Z176" s="43" t="str">
        <f aca="false">IF($A176="","",IF($AA176=0,"⚠ 工时分配表无此人当月记录",IF($AB176&gt;1,"⚠ 工时分配表存在重复行","√ 正常")))</f>
        <v/>
      </c>
      <c r="AA176" s="47" t="n">
        <f aca="false">IF($A176="",0,IFERROR(MATCH($A176&amp;"|"&amp;$B176,研发人员工时分配表!$W$6:$W$245,0),0))</f>
        <v>0</v>
      </c>
      <c r="AB176" s="47" t="n">
        <f aca="false">IF($A176="",0,COUNTIFS(研发人员工时分配表!$A$6:$A$245,$A176,研发人员工时分配表!$B$6:$B$245,$B176))</f>
        <v>0</v>
      </c>
    </row>
    <row r="177" customFormat="false" ht="18" hidden="false" customHeight="true" outlineLevel="0" collapsed="false">
      <c r="A177" s="36"/>
      <c r="B177" s="36"/>
      <c r="C177" s="43" t="str">
        <f aca="false">IF($B177="","",IFERROR(VLOOKUP($B177,人员名册!$B$4:$G$53,2,0)&amp;"","名册中未登记"))</f>
        <v/>
      </c>
      <c r="D177" s="43" t="str">
        <f aca="false">IF($B177="","",IFERROR(VLOOKUP($B177,人员名册!$B$4:$G$53,5,0)&amp;"",""))</f>
        <v/>
      </c>
      <c r="E177" s="25"/>
      <c r="F177" s="25"/>
      <c r="G177" s="25"/>
      <c r="H177" s="25"/>
      <c r="I177" s="25"/>
      <c r="J177" s="27" t="str">
        <f aca="false">IF($A177="","",ROUND(SUM(E177:I177),2))</f>
        <v/>
      </c>
      <c r="K177" s="45" t="n">
        <f aca="false">IF(OR($A177="",$AA177=0),0,INDEX(研发人员工时分配表!$F$6:$F$245,$AA177))</f>
        <v>0</v>
      </c>
      <c r="L177" s="45" t="n">
        <f aca="false">IF(OR($A177="",$AA177=0),0,INDEX(研发人员工时分配表!$R$6:$R$245,$AA177))</f>
        <v>0</v>
      </c>
      <c r="M177" s="28" t="str">
        <f aca="false">IF(OR($A177="",$K177=0),"",$L177/$K177)</f>
        <v/>
      </c>
      <c r="N177" s="27" t="str">
        <f aca="false">IF(OR($A177="",$K177=0),"",ROUND($J177*INDEX(研发人员工时分配表!$H$6:$H$245,$AA177)/$K177,2))</f>
        <v/>
      </c>
      <c r="O177" s="27" t="str">
        <f aca="false">IF(OR($A177="",$K177=0),"",ROUND($J177*INDEX(研发人员工时分配表!$I$6:$I$245,$AA177)/$K177,2))</f>
        <v/>
      </c>
      <c r="P177" s="27" t="str">
        <f aca="false">IF(OR($A177="",$K177=0),"",ROUND($J177*INDEX(研发人员工时分配表!$J$6:$J$245,$AA177)/$K177,2))</f>
        <v/>
      </c>
      <c r="Q177" s="27" t="str">
        <f aca="false">IF(OR($A177="",$K177=0),"",ROUND($J177*INDEX(研发人员工时分配表!$K$6:$K$245,$AA177)/$K177,2))</f>
        <v/>
      </c>
      <c r="R177" s="27" t="str">
        <f aca="false">IF(OR($A177="",$K177=0),"",ROUND($J177*INDEX(研发人员工时分配表!$L$6:$L$245,$AA177)/$K177,2))</f>
        <v/>
      </c>
      <c r="S177" s="27" t="str">
        <f aca="false">IF(OR($A177="",$K177=0),"",ROUND($J177*INDEX(研发人员工时分配表!$M$6:$M$245,$AA177)/$K177,2))</f>
        <v/>
      </c>
      <c r="T177" s="27" t="str">
        <f aca="false">IF(OR($A177="",$K177=0),"",ROUND($J177*INDEX(研发人员工时分配表!$N$6:$N$245,$AA177)/$K177,2))</f>
        <v/>
      </c>
      <c r="U177" s="27" t="str">
        <f aca="false">IF(OR($A177="",$K177=0),"",ROUND($J177*INDEX(研发人员工时分配表!$O$6:$O$245,$AA177)/$K177,2))</f>
        <v/>
      </c>
      <c r="V177" s="27" t="str">
        <f aca="false">IF(OR($A177="",$K177=0),"",ROUND($J177*INDEX(研发人员工时分配表!$P$6:$P$245,$AA177)/$K177,2))</f>
        <v/>
      </c>
      <c r="W177" s="27" t="str">
        <f aca="false">IF(OR($A177="",$K177=0),"",ROUND($J177*INDEX(研发人员工时分配表!$Q$6:$Q$245,$AA177)/$K177,2))</f>
        <v/>
      </c>
      <c r="X177" s="27" t="str">
        <f aca="false">IF($A177="","",ROUND(SUM(N177:W177),2))</f>
        <v/>
      </c>
      <c r="Y177" s="27" t="str">
        <f aca="false">IF($A177="","",ROUND($J177-X177,2))</f>
        <v/>
      </c>
      <c r="Z177" s="43" t="str">
        <f aca="false">IF($A177="","",IF($AA177=0,"⚠ 工时分配表无此人当月记录",IF($AB177&gt;1,"⚠ 工时分配表存在重复行","√ 正常")))</f>
        <v/>
      </c>
      <c r="AA177" s="47" t="n">
        <f aca="false">IF($A177="",0,IFERROR(MATCH($A177&amp;"|"&amp;$B177,研发人员工时分配表!$W$6:$W$245,0),0))</f>
        <v>0</v>
      </c>
      <c r="AB177" s="47" t="n">
        <f aca="false">IF($A177="",0,COUNTIFS(研发人员工时分配表!$A$6:$A$245,$A177,研发人员工时分配表!$B$6:$B$245,$B177))</f>
        <v>0</v>
      </c>
    </row>
    <row r="178" customFormat="false" ht="18" hidden="false" customHeight="true" outlineLevel="0" collapsed="false">
      <c r="A178" s="36"/>
      <c r="B178" s="36"/>
      <c r="C178" s="43" t="str">
        <f aca="false">IF($B178="","",IFERROR(VLOOKUP($B178,人员名册!$B$4:$G$53,2,0)&amp;"","名册中未登记"))</f>
        <v/>
      </c>
      <c r="D178" s="43" t="str">
        <f aca="false">IF($B178="","",IFERROR(VLOOKUP($B178,人员名册!$B$4:$G$53,5,0)&amp;"",""))</f>
        <v/>
      </c>
      <c r="E178" s="25"/>
      <c r="F178" s="25"/>
      <c r="G178" s="25"/>
      <c r="H178" s="25"/>
      <c r="I178" s="25"/>
      <c r="J178" s="27" t="str">
        <f aca="false">IF($A178="","",ROUND(SUM(E178:I178),2))</f>
        <v/>
      </c>
      <c r="K178" s="45" t="n">
        <f aca="false">IF(OR($A178="",$AA178=0),0,INDEX(研发人员工时分配表!$F$6:$F$245,$AA178))</f>
        <v>0</v>
      </c>
      <c r="L178" s="45" t="n">
        <f aca="false">IF(OR($A178="",$AA178=0),0,INDEX(研发人员工时分配表!$R$6:$R$245,$AA178))</f>
        <v>0</v>
      </c>
      <c r="M178" s="28" t="str">
        <f aca="false">IF(OR($A178="",$K178=0),"",$L178/$K178)</f>
        <v/>
      </c>
      <c r="N178" s="27" t="str">
        <f aca="false">IF(OR($A178="",$K178=0),"",ROUND($J178*INDEX(研发人员工时分配表!$H$6:$H$245,$AA178)/$K178,2))</f>
        <v/>
      </c>
      <c r="O178" s="27" t="str">
        <f aca="false">IF(OR($A178="",$K178=0),"",ROUND($J178*INDEX(研发人员工时分配表!$I$6:$I$245,$AA178)/$K178,2))</f>
        <v/>
      </c>
      <c r="P178" s="27" t="str">
        <f aca="false">IF(OR($A178="",$K178=0),"",ROUND($J178*INDEX(研发人员工时分配表!$J$6:$J$245,$AA178)/$K178,2))</f>
        <v/>
      </c>
      <c r="Q178" s="27" t="str">
        <f aca="false">IF(OR($A178="",$K178=0),"",ROUND($J178*INDEX(研发人员工时分配表!$K$6:$K$245,$AA178)/$K178,2))</f>
        <v/>
      </c>
      <c r="R178" s="27" t="str">
        <f aca="false">IF(OR($A178="",$K178=0),"",ROUND($J178*INDEX(研发人员工时分配表!$L$6:$L$245,$AA178)/$K178,2))</f>
        <v/>
      </c>
      <c r="S178" s="27" t="str">
        <f aca="false">IF(OR($A178="",$K178=0),"",ROUND($J178*INDEX(研发人员工时分配表!$M$6:$M$245,$AA178)/$K178,2))</f>
        <v/>
      </c>
      <c r="T178" s="27" t="str">
        <f aca="false">IF(OR($A178="",$K178=0),"",ROUND($J178*INDEX(研发人员工时分配表!$N$6:$N$245,$AA178)/$K178,2))</f>
        <v/>
      </c>
      <c r="U178" s="27" t="str">
        <f aca="false">IF(OR($A178="",$K178=0),"",ROUND($J178*INDEX(研发人员工时分配表!$O$6:$O$245,$AA178)/$K178,2))</f>
        <v/>
      </c>
      <c r="V178" s="27" t="str">
        <f aca="false">IF(OR($A178="",$K178=0),"",ROUND($J178*INDEX(研发人员工时分配表!$P$6:$P$245,$AA178)/$K178,2))</f>
        <v/>
      </c>
      <c r="W178" s="27" t="str">
        <f aca="false">IF(OR($A178="",$K178=0),"",ROUND($J178*INDEX(研发人员工时分配表!$Q$6:$Q$245,$AA178)/$K178,2))</f>
        <v/>
      </c>
      <c r="X178" s="27" t="str">
        <f aca="false">IF($A178="","",ROUND(SUM(N178:W178),2))</f>
        <v/>
      </c>
      <c r="Y178" s="27" t="str">
        <f aca="false">IF($A178="","",ROUND($J178-X178,2))</f>
        <v/>
      </c>
      <c r="Z178" s="43" t="str">
        <f aca="false">IF($A178="","",IF($AA178=0,"⚠ 工时分配表无此人当月记录",IF($AB178&gt;1,"⚠ 工时分配表存在重复行","√ 正常")))</f>
        <v/>
      </c>
      <c r="AA178" s="47" t="n">
        <f aca="false">IF($A178="",0,IFERROR(MATCH($A178&amp;"|"&amp;$B178,研发人员工时分配表!$W$6:$W$245,0),0))</f>
        <v>0</v>
      </c>
      <c r="AB178" s="47" t="n">
        <f aca="false">IF($A178="",0,COUNTIFS(研发人员工时分配表!$A$6:$A$245,$A178,研发人员工时分配表!$B$6:$B$245,$B178))</f>
        <v>0</v>
      </c>
    </row>
    <row r="179" customFormat="false" ht="18" hidden="false" customHeight="true" outlineLevel="0" collapsed="false">
      <c r="A179" s="36"/>
      <c r="B179" s="36"/>
      <c r="C179" s="43" t="str">
        <f aca="false">IF($B179="","",IFERROR(VLOOKUP($B179,人员名册!$B$4:$G$53,2,0)&amp;"","名册中未登记"))</f>
        <v/>
      </c>
      <c r="D179" s="43" t="str">
        <f aca="false">IF($B179="","",IFERROR(VLOOKUP($B179,人员名册!$B$4:$G$53,5,0)&amp;"",""))</f>
        <v/>
      </c>
      <c r="E179" s="25"/>
      <c r="F179" s="25"/>
      <c r="G179" s="25"/>
      <c r="H179" s="25"/>
      <c r="I179" s="25"/>
      <c r="J179" s="27" t="str">
        <f aca="false">IF($A179="","",ROUND(SUM(E179:I179),2))</f>
        <v/>
      </c>
      <c r="K179" s="45" t="n">
        <f aca="false">IF(OR($A179="",$AA179=0),0,INDEX(研发人员工时分配表!$F$6:$F$245,$AA179))</f>
        <v>0</v>
      </c>
      <c r="L179" s="45" t="n">
        <f aca="false">IF(OR($A179="",$AA179=0),0,INDEX(研发人员工时分配表!$R$6:$R$245,$AA179))</f>
        <v>0</v>
      </c>
      <c r="M179" s="28" t="str">
        <f aca="false">IF(OR($A179="",$K179=0),"",$L179/$K179)</f>
        <v/>
      </c>
      <c r="N179" s="27" t="str">
        <f aca="false">IF(OR($A179="",$K179=0),"",ROUND($J179*INDEX(研发人员工时分配表!$H$6:$H$245,$AA179)/$K179,2))</f>
        <v/>
      </c>
      <c r="O179" s="27" t="str">
        <f aca="false">IF(OR($A179="",$K179=0),"",ROUND($J179*INDEX(研发人员工时分配表!$I$6:$I$245,$AA179)/$K179,2))</f>
        <v/>
      </c>
      <c r="P179" s="27" t="str">
        <f aca="false">IF(OR($A179="",$K179=0),"",ROUND($J179*INDEX(研发人员工时分配表!$J$6:$J$245,$AA179)/$K179,2))</f>
        <v/>
      </c>
      <c r="Q179" s="27" t="str">
        <f aca="false">IF(OR($A179="",$K179=0),"",ROUND($J179*INDEX(研发人员工时分配表!$K$6:$K$245,$AA179)/$K179,2))</f>
        <v/>
      </c>
      <c r="R179" s="27" t="str">
        <f aca="false">IF(OR($A179="",$K179=0),"",ROUND($J179*INDEX(研发人员工时分配表!$L$6:$L$245,$AA179)/$K179,2))</f>
        <v/>
      </c>
      <c r="S179" s="27" t="str">
        <f aca="false">IF(OR($A179="",$K179=0),"",ROUND($J179*INDEX(研发人员工时分配表!$M$6:$M$245,$AA179)/$K179,2))</f>
        <v/>
      </c>
      <c r="T179" s="27" t="str">
        <f aca="false">IF(OR($A179="",$K179=0),"",ROUND($J179*INDEX(研发人员工时分配表!$N$6:$N$245,$AA179)/$K179,2))</f>
        <v/>
      </c>
      <c r="U179" s="27" t="str">
        <f aca="false">IF(OR($A179="",$K179=0),"",ROUND($J179*INDEX(研发人员工时分配表!$O$6:$O$245,$AA179)/$K179,2))</f>
        <v/>
      </c>
      <c r="V179" s="27" t="str">
        <f aca="false">IF(OR($A179="",$K179=0),"",ROUND($J179*INDEX(研发人员工时分配表!$P$6:$P$245,$AA179)/$K179,2))</f>
        <v/>
      </c>
      <c r="W179" s="27" t="str">
        <f aca="false">IF(OR($A179="",$K179=0),"",ROUND($J179*INDEX(研发人员工时分配表!$Q$6:$Q$245,$AA179)/$K179,2))</f>
        <v/>
      </c>
      <c r="X179" s="27" t="str">
        <f aca="false">IF($A179="","",ROUND(SUM(N179:W179),2))</f>
        <v/>
      </c>
      <c r="Y179" s="27" t="str">
        <f aca="false">IF($A179="","",ROUND($J179-X179,2))</f>
        <v/>
      </c>
      <c r="Z179" s="43" t="str">
        <f aca="false">IF($A179="","",IF($AA179=0,"⚠ 工时分配表无此人当月记录",IF($AB179&gt;1,"⚠ 工时分配表存在重复行","√ 正常")))</f>
        <v/>
      </c>
      <c r="AA179" s="47" t="n">
        <f aca="false">IF($A179="",0,IFERROR(MATCH($A179&amp;"|"&amp;$B179,研发人员工时分配表!$W$6:$W$245,0),0))</f>
        <v>0</v>
      </c>
      <c r="AB179" s="47" t="n">
        <f aca="false">IF($A179="",0,COUNTIFS(研发人员工时分配表!$A$6:$A$245,$A179,研发人员工时分配表!$B$6:$B$245,$B179))</f>
        <v>0</v>
      </c>
    </row>
    <row r="180" customFormat="false" ht="18" hidden="false" customHeight="true" outlineLevel="0" collapsed="false">
      <c r="A180" s="36"/>
      <c r="B180" s="36"/>
      <c r="C180" s="43" t="str">
        <f aca="false">IF($B180="","",IFERROR(VLOOKUP($B180,人员名册!$B$4:$G$53,2,0)&amp;"","名册中未登记"))</f>
        <v/>
      </c>
      <c r="D180" s="43" t="str">
        <f aca="false">IF($B180="","",IFERROR(VLOOKUP($B180,人员名册!$B$4:$G$53,5,0)&amp;"",""))</f>
        <v/>
      </c>
      <c r="E180" s="25"/>
      <c r="F180" s="25"/>
      <c r="G180" s="25"/>
      <c r="H180" s="25"/>
      <c r="I180" s="25"/>
      <c r="J180" s="27" t="str">
        <f aca="false">IF($A180="","",ROUND(SUM(E180:I180),2))</f>
        <v/>
      </c>
      <c r="K180" s="45" t="n">
        <f aca="false">IF(OR($A180="",$AA180=0),0,INDEX(研发人员工时分配表!$F$6:$F$245,$AA180))</f>
        <v>0</v>
      </c>
      <c r="L180" s="45" t="n">
        <f aca="false">IF(OR($A180="",$AA180=0),0,INDEX(研发人员工时分配表!$R$6:$R$245,$AA180))</f>
        <v>0</v>
      </c>
      <c r="M180" s="28" t="str">
        <f aca="false">IF(OR($A180="",$K180=0),"",$L180/$K180)</f>
        <v/>
      </c>
      <c r="N180" s="27" t="str">
        <f aca="false">IF(OR($A180="",$K180=0),"",ROUND($J180*INDEX(研发人员工时分配表!$H$6:$H$245,$AA180)/$K180,2))</f>
        <v/>
      </c>
      <c r="O180" s="27" t="str">
        <f aca="false">IF(OR($A180="",$K180=0),"",ROUND($J180*INDEX(研发人员工时分配表!$I$6:$I$245,$AA180)/$K180,2))</f>
        <v/>
      </c>
      <c r="P180" s="27" t="str">
        <f aca="false">IF(OR($A180="",$K180=0),"",ROUND($J180*INDEX(研发人员工时分配表!$J$6:$J$245,$AA180)/$K180,2))</f>
        <v/>
      </c>
      <c r="Q180" s="27" t="str">
        <f aca="false">IF(OR($A180="",$K180=0),"",ROUND($J180*INDEX(研发人员工时分配表!$K$6:$K$245,$AA180)/$K180,2))</f>
        <v/>
      </c>
      <c r="R180" s="27" t="str">
        <f aca="false">IF(OR($A180="",$K180=0),"",ROUND($J180*INDEX(研发人员工时分配表!$L$6:$L$245,$AA180)/$K180,2))</f>
        <v/>
      </c>
      <c r="S180" s="27" t="str">
        <f aca="false">IF(OR($A180="",$K180=0),"",ROUND($J180*INDEX(研发人员工时分配表!$M$6:$M$245,$AA180)/$K180,2))</f>
        <v/>
      </c>
      <c r="T180" s="27" t="str">
        <f aca="false">IF(OR($A180="",$K180=0),"",ROUND($J180*INDEX(研发人员工时分配表!$N$6:$N$245,$AA180)/$K180,2))</f>
        <v/>
      </c>
      <c r="U180" s="27" t="str">
        <f aca="false">IF(OR($A180="",$K180=0),"",ROUND($J180*INDEX(研发人员工时分配表!$O$6:$O$245,$AA180)/$K180,2))</f>
        <v/>
      </c>
      <c r="V180" s="27" t="str">
        <f aca="false">IF(OR($A180="",$K180=0),"",ROUND($J180*INDEX(研发人员工时分配表!$P$6:$P$245,$AA180)/$K180,2))</f>
        <v/>
      </c>
      <c r="W180" s="27" t="str">
        <f aca="false">IF(OR($A180="",$K180=0),"",ROUND($J180*INDEX(研发人员工时分配表!$Q$6:$Q$245,$AA180)/$K180,2))</f>
        <v/>
      </c>
      <c r="X180" s="27" t="str">
        <f aca="false">IF($A180="","",ROUND(SUM(N180:W180),2))</f>
        <v/>
      </c>
      <c r="Y180" s="27" t="str">
        <f aca="false">IF($A180="","",ROUND($J180-X180,2))</f>
        <v/>
      </c>
      <c r="Z180" s="43" t="str">
        <f aca="false">IF($A180="","",IF($AA180=0,"⚠ 工时分配表无此人当月记录",IF($AB180&gt;1,"⚠ 工时分配表存在重复行","√ 正常")))</f>
        <v/>
      </c>
      <c r="AA180" s="47" t="n">
        <f aca="false">IF($A180="",0,IFERROR(MATCH($A180&amp;"|"&amp;$B180,研发人员工时分配表!$W$6:$W$245,0),0))</f>
        <v>0</v>
      </c>
      <c r="AB180" s="47" t="n">
        <f aca="false">IF($A180="",0,COUNTIFS(研发人员工时分配表!$A$6:$A$245,$A180,研发人员工时分配表!$B$6:$B$245,$B180))</f>
        <v>0</v>
      </c>
    </row>
    <row r="181" customFormat="false" ht="18" hidden="false" customHeight="true" outlineLevel="0" collapsed="false">
      <c r="A181" s="36"/>
      <c r="B181" s="36"/>
      <c r="C181" s="43" t="str">
        <f aca="false">IF($B181="","",IFERROR(VLOOKUP($B181,人员名册!$B$4:$G$53,2,0)&amp;"","名册中未登记"))</f>
        <v/>
      </c>
      <c r="D181" s="43" t="str">
        <f aca="false">IF($B181="","",IFERROR(VLOOKUP($B181,人员名册!$B$4:$G$53,5,0)&amp;"",""))</f>
        <v/>
      </c>
      <c r="E181" s="25"/>
      <c r="F181" s="25"/>
      <c r="G181" s="25"/>
      <c r="H181" s="25"/>
      <c r="I181" s="25"/>
      <c r="J181" s="27" t="str">
        <f aca="false">IF($A181="","",ROUND(SUM(E181:I181),2))</f>
        <v/>
      </c>
      <c r="K181" s="45" t="n">
        <f aca="false">IF(OR($A181="",$AA181=0),0,INDEX(研发人员工时分配表!$F$6:$F$245,$AA181))</f>
        <v>0</v>
      </c>
      <c r="L181" s="45" t="n">
        <f aca="false">IF(OR($A181="",$AA181=0),0,INDEX(研发人员工时分配表!$R$6:$R$245,$AA181))</f>
        <v>0</v>
      </c>
      <c r="M181" s="28" t="str">
        <f aca="false">IF(OR($A181="",$K181=0),"",$L181/$K181)</f>
        <v/>
      </c>
      <c r="N181" s="27" t="str">
        <f aca="false">IF(OR($A181="",$K181=0),"",ROUND($J181*INDEX(研发人员工时分配表!$H$6:$H$245,$AA181)/$K181,2))</f>
        <v/>
      </c>
      <c r="O181" s="27" t="str">
        <f aca="false">IF(OR($A181="",$K181=0),"",ROUND($J181*INDEX(研发人员工时分配表!$I$6:$I$245,$AA181)/$K181,2))</f>
        <v/>
      </c>
      <c r="P181" s="27" t="str">
        <f aca="false">IF(OR($A181="",$K181=0),"",ROUND($J181*INDEX(研发人员工时分配表!$J$6:$J$245,$AA181)/$K181,2))</f>
        <v/>
      </c>
      <c r="Q181" s="27" t="str">
        <f aca="false">IF(OR($A181="",$K181=0),"",ROUND($J181*INDEX(研发人员工时分配表!$K$6:$K$245,$AA181)/$K181,2))</f>
        <v/>
      </c>
      <c r="R181" s="27" t="str">
        <f aca="false">IF(OR($A181="",$K181=0),"",ROUND($J181*INDEX(研发人员工时分配表!$L$6:$L$245,$AA181)/$K181,2))</f>
        <v/>
      </c>
      <c r="S181" s="27" t="str">
        <f aca="false">IF(OR($A181="",$K181=0),"",ROUND($J181*INDEX(研发人员工时分配表!$M$6:$M$245,$AA181)/$K181,2))</f>
        <v/>
      </c>
      <c r="T181" s="27" t="str">
        <f aca="false">IF(OR($A181="",$K181=0),"",ROUND($J181*INDEX(研发人员工时分配表!$N$6:$N$245,$AA181)/$K181,2))</f>
        <v/>
      </c>
      <c r="U181" s="27" t="str">
        <f aca="false">IF(OR($A181="",$K181=0),"",ROUND($J181*INDEX(研发人员工时分配表!$O$6:$O$245,$AA181)/$K181,2))</f>
        <v/>
      </c>
      <c r="V181" s="27" t="str">
        <f aca="false">IF(OR($A181="",$K181=0),"",ROUND($J181*INDEX(研发人员工时分配表!$P$6:$P$245,$AA181)/$K181,2))</f>
        <v/>
      </c>
      <c r="W181" s="27" t="str">
        <f aca="false">IF(OR($A181="",$K181=0),"",ROUND($J181*INDEX(研发人员工时分配表!$Q$6:$Q$245,$AA181)/$K181,2))</f>
        <v/>
      </c>
      <c r="X181" s="27" t="str">
        <f aca="false">IF($A181="","",ROUND(SUM(N181:W181),2))</f>
        <v/>
      </c>
      <c r="Y181" s="27" t="str">
        <f aca="false">IF($A181="","",ROUND($J181-X181,2))</f>
        <v/>
      </c>
      <c r="Z181" s="43" t="str">
        <f aca="false">IF($A181="","",IF($AA181=0,"⚠ 工时分配表无此人当月记录",IF($AB181&gt;1,"⚠ 工时分配表存在重复行","√ 正常")))</f>
        <v/>
      </c>
      <c r="AA181" s="47" t="n">
        <f aca="false">IF($A181="",0,IFERROR(MATCH($A181&amp;"|"&amp;$B181,研发人员工时分配表!$W$6:$W$245,0),0))</f>
        <v>0</v>
      </c>
      <c r="AB181" s="47" t="n">
        <f aca="false">IF($A181="",0,COUNTIFS(研发人员工时分配表!$A$6:$A$245,$A181,研发人员工时分配表!$B$6:$B$245,$B181))</f>
        <v>0</v>
      </c>
    </row>
    <row r="182" customFormat="false" ht="18" hidden="false" customHeight="true" outlineLevel="0" collapsed="false">
      <c r="A182" s="36"/>
      <c r="B182" s="36"/>
      <c r="C182" s="43" t="str">
        <f aca="false">IF($B182="","",IFERROR(VLOOKUP($B182,人员名册!$B$4:$G$53,2,0)&amp;"","名册中未登记"))</f>
        <v/>
      </c>
      <c r="D182" s="43" t="str">
        <f aca="false">IF($B182="","",IFERROR(VLOOKUP($B182,人员名册!$B$4:$G$53,5,0)&amp;"",""))</f>
        <v/>
      </c>
      <c r="E182" s="25"/>
      <c r="F182" s="25"/>
      <c r="G182" s="25"/>
      <c r="H182" s="25"/>
      <c r="I182" s="25"/>
      <c r="J182" s="27" t="str">
        <f aca="false">IF($A182="","",ROUND(SUM(E182:I182),2))</f>
        <v/>
      </c>
      <c r="K182" s="45" t="n">
        <f aca="false">IF(OR($A182="",$AA182=0),0,INDEX(研发人员工时分配表!$F$6:$F$245,$AA182))</f>
        <v>0</v>
      </c>
      <c r="L182" s="45" t="n">
        <f aca="false">IF(OR($A182="",$AA182=0),0,INDEX(研发人员工时分配表!$R$6:$R$245,$AA182))</f>
        <v>0</v>
      </c>
      <c r="M182" s="28" t="str">
        <f aca="false">IF(OR($A182="",$K182=0),"",$L182/$K182)</f>
        <v/>
      </c>
      <c r="N182" s="27" t="str">
        <f aca="false">IF(OR($A182="",$K182=0),"",ROUND($J182*INDEX(研发人员工时分配表!$H$6:$H$245,$AA182)/$K182,2))</f>
        <v/>
      </c>
      <c r="O182" s="27" t="str">
        <f aca="false">IF(OR($A182="",$K182=0),"",ROUND($J182*INDEX(研发人员工时分配表!$I$6:$I$245,$AA182)/$K182,2))</f>
        <v/>
      </c>
      <c r="P182" s="27" t="str">
        <f aca="false">IF(OR($A182="",$K182=0),"",ROUND($J182*INDEX(研发人员工时分配表!$J$6:$J$245,$AA182)/$K182,2))</f>
        <v/>
      </c>
      <c r="Q182" s="27" t="str">
        <f aca="false">IF(OR($A182="",$K182=0),"",ROUND($J182*INDEX(研发人员工时分配表!$K$6:$K$245,$AA182)/$K182,2))</f>
        <v/>
      </c>
      <c r="R182" s="27" t="str">
        <f aca="false">IF(OR($A182="",$K182=0),"",ROUND($J182*INDEX(研发人员工时分配表!$L$6:$L$245,$AA182)/$K182,2))</f>
        <v/>
      </c>
      <c r="S182" s="27" t="str">
        <f aca="false">IF(OR($A182="",$K182=0),"",ROUND($J182*INDEX(研发人员工时分配表!$M$6:$M$245,$AA182)/$K182,2))</f>
        <v/>
      </c>
      <c r="T182" s="27" t="str">
        <f aca="false">IF(OR($A182="",$K182=0),"",ROUND($J182*INDEX(研发人员工时分配表!$N$6:$N$245,$AA182)/$K182,2))</f>
        <v/>
      </c>
      <c r="U182" s="27" t="str">
        <f aca="false">IF(OR($A182="",$K182=0),"",ROUND($J182*INDEX(研发人员工时分配表!$O$6:$O$245,$AA182)/$K182,2))</f>
        <v/>
      </c>
      <c r="V182" s="27" t="str">
        <f aca="false">IF(OR($A182="",$K182=0),"",ROUND($J182*INDEX(研发人员工时分配表!$P$6:$P$245,$AA182)/$K182,2))</f>
        <v/>
      </c>
      <c r="W182" s="27" t="str">
        <f aca="false">IF(OR($A182="",$K182=0),"",ROUND($J182*INDEX(研发人员工时分配表!$Q$6:$Q$245,$AA182)/$K182,2))</f>
        <v/>
      </c>
      <c r="X182" s="27" t="str">
        <f aca="false">IF($A182="","",ROUND(SUM(N182:W182),2))</f>
        <v/>
      </c>
      <c r="Y182" s="27" t="str">
        <f aca="false">IF($A182="","",ROUND($J182-X182,2))</f>
        <v/>
      </c>
      <c r="Z182" s="43" t="str">
        <f aca="false">IF($A182="","",IF($AA182=0,"⚠ 工时分配表无此人当月记录",IF($AB182&gt;1,"⚠ 工时分配表存在重复行","√ 正常")))</f>
        <v/>
      </c>
      <c r="AA182" s="47" t="n">
        <f aca="false">IF($A182="",0,IFERROR(MATCH($A182&amp;"|"&amp;$B182,研发人员工时分配表!$W$6:$W$245,0),0))</f>
        <v>0</v>
      </c>
      <c r="AB182" s="47" t="n">
        <f aca="false">IF($A182="",0,COUNTIFS(研发人员工时分配表!$A$6:$A$245,$A182,研发人员工时分配表!$B$6:$B$245,$B182))</f>
        <v>0</v>
      </c>
    </row>
    <row r="183" customFormat="false" ht="18" hidden="false" customHeight="true" outlineLevel="0" collapsed="false">
      <c r="A183" s="36"/>
      <c r="B183" s="36"/>
      <c r="C183" s="43" t="str">
        <f aca="false">IF($B183="","",IFERROR(VLOOKUP($B183,人员名册!$B$4:$G$53,2,0)&amp;"","名册中未登记"))</f>
        <v/>
      </c>
      <c r="D183" s="43" t="str">
        <f aca="false">IF($B183="","",IFERROR(VLOOKUP($B183,人员名册!$B$4:$G$53,5,0)&amp;"",""))</f>
        <v/>
      </c>
      <c r="E183" s="25"/>
      <c r="F183" s="25"/>
      <c r="G183" s="25"/>
      <c r="H183" s="25"/>
      <c r="I183" s="25"/>
      <c r="J183" s="27" t="str">
        <f aca="false">IF($A183="","",ROUND(SUM(E183:I183),2))</f>
        <v/>
      </c>
      <c r="K183" s="45" t="n">
        <f aca="false">IF(OR($A183="",$AA183=0),0,INDEX(研发人员工时分配表!$F$6:$F$245,$AA183))</f>
        <v>0</v>
      </c>
      <c r="L183" s="45" t="n">
        <f aca="false">IF(OR($A183="",$AA183=0),0,INDEX(研发人员工时分配表!$R$6:$R$245,$AA183))</f>
        <v>0</v>
      </c>
      <c r="M183" s="28" t="str">
        <f aca="false">IF(OR($A183="",$K183=0),"",$L183/$K183)</f>
        <v/>
      </c>
      <c r="N183" s="27" t="str">
        <f aca="false">IF(OR($A183="",$K183=0),"",ROUND($J183*INDEX(研发人员工时分配表!$H$6:$H$245,$AA183)/$K183,2))</f>
        <v/>
      </c>
      <c r="O183" s="27" t="str">
        <f aca="false">IF(OR($A183="",$K183=0),"",ROUND($J183*INDEX(研发人员工时分配表!$I$6:$I$245,$AA183)/$K183,2))</f>
        <v/>
      </c>
      <c r="P183" s="27" t="str">
        <f aca="false">IF(OR($A183="",$K183=0),"",ROUND($J183*INDEX(研发人员工时分配表!$J$6:$J$245,$AA183)/$K183,2))</f>
        <v/>
      </c>
      <c r="Q183" s="27" t="str">
        <f aca="false">IF(OR($A183="",$K183=0),"",ROUND($J183*INDEX(研发人员工时分配表!$K$6:$K$245,$AA183)/$K183,2))</f>
        <v/>
      </c>
      <c r="R183" s="27" t="str">
        <f aca="false">IF(OR($A183="",$K183=0),"",ROUND($J183*INDEX(研发人员工时分配表!$L$6:$L$245,$AA183)/$K183,2))</f>
        <v/>
      </c>
      <c r="S183" s="27" t="str">
        <f aca="false">IF(OR($A183="",$K183=0),"",ROUND($J183*INDEX(研发人员工时分配表!$M$6:$M$245,$AA183)/$K183,2))</f>
        <v/>
      </c>
      <c r="T183" s="27" t="str">
        <f aca="false">IF(OR($A183="",$K183=0),"",ROUND($J183*INDEX(研发人员工时分配表!$N$6:$N$245,$AA183)/$K183,2))</f>
        <v/>
      </c>
      <c r="U183" s="27" t="str">
        <f aca="false">IF(OR($A183="",$K183=0),"",ROUND($J183*INDEX(研发人员工时分配表!$O$6:$O$245,$AA183)/$K183,2))</f>
        <v/>
      </c>
      <c r="V183" s="27" t="str">
        <f aca="false">IF(OR($A183="",$K183=0),"",ROUND($J183*INDEX(研发人员工时分配表!$P$6:$P$245,$AA183)/$K183,2))</f>
        <v/>
      </c>
      <c r="W183" s="27" t="str">
        <f aca="false">IF(OR($A183="",$K183=0),"",ROUND($J183*INDEX(研发人员工时分配表!$Q$6:$Q$245,$AA183)/$K183,2))</f>
        <v/>
      </c>
      <c r="X183" s="27" t="str">
        <f aca="false">IF($A183="","",ROUND(SUM(N183:W183),2))</f>
        <v/>
      </c>
      <c r="Y183" s="27" t="str">
        <f aca="false">IF($A183="","",ROUND($J183-X183,2))</f>
        <v/>
      </c>
      <c r="Z183" s="43" t="str">
        <f aca="false">IF($A183="","",IF($AA183=0,"⚠ 工时分配表无此人当月记录",IF($AB183&gt;1,"⚠ 工时分配表存在重复行","√ 正常")))</f>
        <v/>
      </c>
      <c r="AA183" s="47" t="n">
        <f aca="false">IF($A183="",0,IFERROR(MATCH($A183&amp;"|"&amp;$B183,研发人员工时分配表!$W$6:$W$245,0),0))</f>
        <v>0</v>
      </c>
      <c r="AB183" s="47" t="n">
        <f aca="false">IF($A183="",0,COUNTIFS(研发人员工时分配表!$A$6:$A$245,$A183,研发人员工时分配表!$B$6:$B$245,$B183))</f>
        <v>0</v>
      </c>
    </row>
    <row r="184" customFormat="false" ht="18" hidden="false" customHeight="true" outlineLevel="0" collapsed="false">
      <c r="A184" s="36"/>
      <c r="B184" s="36"/>
      <c r="C184" s="43" t="str">
        <f aca="false">IF($B184="","",IFERROR(VLOOKUP($B184,人员名册!$B$4:$G$53,2,0)&amp;"","名册中未登记"))</f>
        <v/>
      </c>
      <c r="D184" s="43" t="str">
        <f aca="false">IF($B184="","",IFERROR(VLOOKUP($B184,人员名册!$B$4:$G$53,5,0)&amp;"",""))</f>
        <v/>
      </c>
      <c r="E184" s="25"/>
      <c r="F184" s="25"/>
      <c r="G184" s="25"/>
      <c r="H184" s="25"/>
      <c r="I184" s="25"/>
      <c r="J184" s="27" t="str">
        <f aca="false">IF($A184="","",ROUND(SUM(E184:I184),2))</f>
        <v/>
      </c>
      <c r="K184" s="45" t="n">
        <f aca="false">IF(OR($A184="",$AA184=0),0,INDEX(研发人员工时分配表!$F$6:$F$245,$AA184))</f>
        <v>0</v>
      </c>
      <c r="L184" s="45" t="n">
        <f aca="false">IF(OR($A184="",$AA184=0),0,INDEX(研发人员工时分配表!$R$6:$R$245,$AA184))</f>
        <v>0</v>
      </c>
      <c r="M184" s="28" t="str">
        <f aca="false">IF(OR($A184="",$K184=0),"",$L184/$K184)</f>
        <v/>
      </c>
      <c r="N184" s="27" t="str">
        <f aca="false">IF(OR($A184="",$K184=0),"",ROUND($J184*INDEX(研发人员工时分配表!$H$6:$H$245,$AA184)/$K184,2))</f>
        <v/>
      </c>
      <c r="O184" s="27" t="str">
        <f aca="false">IF(OR($A184="",$K184=0),"",ROUND($J184*INDEX(研发人员工时分配表!$I$6:$I$245,$AA184)/$K184,2))</f>
        <v/>
      </c>
      <c r="P184" s="27" t="str">
        <f aca="false">IF(OR($A184="",$K184=0),"",ROUND($J184*INDEX(研发人员工时分配表!$J$6:$J$245,$AA184)/$K184,2))</f>
        <v/>
      </c>
      <c r="Q184" s="27" t="str">
        <f aca="false">IF(OR($A184="",$K184=0),"",ROUND($J184*INDEX(研发人员工时分配表!$K$6:$K$245,$AA184)/$K184,2))</f>
        <v/>
      </c>
      <c r="R184" s="27" t="str">
        <f aca="false">IF(OR($A184="",$K184=0),"",ROUND($J184*INDEX(研发人员工时分配表!$L$6:$L$245,$AA184)/$K184,2))</f>
        <v/>
      </c>
      <c r="S184" s="27" t="str">
        <f aca="false">IF(OR($A184="",$K184=0),"",ROUND($J184*INDEX(研发人员工时分配表!$M$6:$M$245,$AA184)/$K184,2))</f>
        <v/>
      </c>
      <c r="T184" s="27" t="str">
        <f aca="false">IF(OR($A184="",$K184=0),"",ROUND($J184*INDEX(研发人员工时分配表!$N$6:$N$245,$AA184)/$K184,2))</f>
        <v/>
      </c>
      <c r="U184" s="27" t="str">
        <f aca="false">IF(OR($A184="",$K184=0),"",ROUND($J184*INDEX(研发人员工时分配表!$O$6:$O$245,$AA184)/$K184,2))</f>
        <v/>
      </c>
      <c r="V184" s="27" t="str">
        <f aca="false">IF(OR($A184="",$K184=0),"",ROUND($J184*INDEX(研发人员工时分配表!$P$6:$P$245,$AA184)/$K184,2))</f>
        <v/>
      </c>
      <c r="W184" s="27" t="str">
        <f aca="false">IF(OR($A184="",$K184=0),"",ROUND($J184*INDEX(研发人员工时分配表!$Q$6:$Q$245,$AA184)/$K184,2))</f>
        <v/>
      </c>
      <c r="X184" s="27" t="str">
        <f aca="false">IF($A184="","",ROUND(SUM(N184:W184),2))</f>
        <v/>
      </c>
      <c r="Y184" s="27" t="str">
        <f aca="false">IF($A184="","",ROUND($J184-X184,2))</f>
        <v/>
      </c>
      <c r="Z184" s="43" t="str">
        <f aca="false">IF($A184="","",IF($AA184=0,"⚠ 工时分配表无此人当月记录",IF($AB184&gt;1,"⚠ 工时分配表存在重复行","√ 正常")))</f>
        <v/>
      </c>
      <c r="AA184" s="47" t="n">
        <f aca="false">IF($A184="",0,IFERROR(MATCH($A184&amp;"|"&amp;$B184,研发人员工时分配表!$W$6:$W$245,0),0))</f>
        <v>0</v>
      </c>
      <c r="AB184" s="47" t="n">
        <f aca="false">IF($A184="",0,COUNTIFS(研发人员工时分配表!$A$6:$A$245,$A184,研发人员工时分配表!$B$6:$B$245,$B184))</f>
        <v>0</v>
      </c>
    </row>
    <row r="185" customFormat="false" ht="18" hidden="false" customHeight="true" outlineLevel="0" collapsed="false">
      <c r="A185" s="36"/>
      <c r="B185" s="36"/>
      <c r="C185" s="43" t="str">
        <f aca="false">IF($B185="","",IFERROR(VLOOKUP($B185,人员名册!$B$4:$G$53,2,0)&amp;"","名册中未登记"))</f>
        <v/>
      </c>
      <c r="D185" s="43" t="str">
        <f aca="false">IF($B185="","",IFERROR(VLOOKUP($B185,人员名册!$B$4:$G$53,5,0)&amp;"",""))</f>
        <v/>
      </c>
      <c r="E185" s="25"/>
      <c r="F185" s="25"/>
      <c r="G185" s="25"/>
      <c r="H185" s="25"/>
      <c r="I185" s="25"/>
      <c r="J185" s="27" t="str">
        <f aca="false">IF($A185="","",ROUND(SUM(E185:I185),2))</f>
        <v/>
      </c>
      <c r="K185" s="45" t="n">
        <f aca="false">IF(OR($A185="",$AA185=0),0,INDEX(研发人员工时分配表!$F$6:$F$245,$AA185))</f>
        <v>0</v>
      </c>
      <c r="L185" s="45" t="n">
        <f aca="false">IF(OR($A185="",$AA185=0),0,INDEX(研发人员工时分配表!$R$6:$R$245,$AA185))</f>
        <v>0</v>
      </c>
      <c r="M185" s="28" t="str">
        <f aca="false">IF(OR($A185="",$K185=0),"",$L185/$K185)</f>
        <v/>
      </c>
      <c r="N185" s="27" t="str">
        <f aca="false">IF(OR($A185="",$K185=0),"",ROUND($J185*INDEX(研发人员工时分配表!$H$6:$H$245,$AA185)/$K185,2))</f>
        <v/>
      </c>
      <c r="O185" s="27" t="str">
        <f aca="false">IF(OR($A185="",$K185=0),"",ROUND($J185*INDEX(研发人员工时分配表!$I$6:$I$245,$AA185)/$K185,2))</f>
        <v/>
      </c>
      <c r="P185" s="27" t="str">
        <f aca="false">IF(OR($A185="",$K185=0),"",ROUND($J185*INDEX(研发人员工时分配表!$J$6:$J$245,$AA185)/$K185,2))</f>
        <v/>
      </c>
      <c r="Q185" s="27" t="str">
        <f aca="false">IF(OR($A185="",$K185=0),"",ROUND($J185*INDEX(研发人员工时分配表!$K$6:$K$245,$AA185)/$K185,2))</f>
        <v/>
      </c>
      <c r="R185" s="27" t="str">
        <f aca="false">IF(OR($A185="",$K185=0),"",ROUND($J185*INDEX(研发人员工时分配表!$L$6:$L$245,$AA185)/$K185,2))</f>
        <v/>
      </c>
      <c r="S185" s="27" t="str">
        <f aca="false">IF(OR($A185="",$K185=0),"",ROUND($J185*INDEX(研发人员工时分配表!$M$6:$M$245,$AA185)/$K185,2))</f>
        <v/>
      </c>
      <c r="T185" s="27" t="str">
        <f aca="false">IF(OR($A185="",$K185=0),"",ROUND($J185*INDEX(研发人员工时分配表!$N$6:$N$245,$AA185)/$K185,2))</f>
        <v/>
      </c>
      <c r="U185" s="27" t="str">
        <f aca="false">IF(OR($A185="",$K185=0),"",ROUND($J185*INDEX(研发人员工时分配表!$O$6:$O$245,$AA185)/$K185,2))</f>
        <v/>
      </c>
      <c r="V185" s="27" t="str">
        <f aca="false">IF(OR($A185="",$K185=0),"",ROUND($J185*INDEX(研发人员工时分配表!$P$6:$P$245,$AA185)/$K185,2))</f>
        <v/>
      </c>
      <c r="W185" s="27" t="str">
        <f aca="false">IF(OR($A185="",$K185=0),"",ROUND($J185*INDEX(研发人员工时分配表!$Q$6:$Q$245,$AA185)/$K185,2))</f>
        <v/>
      </c>
      <c r="X185" s="27" t="str">
        <f aca="false">IF($A185="","",ROUND(SUM(N185:W185),2))</f>
        <v/>
      </c>
      <c r="Y185" s="27" t="str">
        <f aca="false">IF($A185="","",ROUND($J185-X185,2))</f>
        <v/>
      </c>
      <c r="Z185" s="43" t="str">
        <f aca="false">IF($A185="","",IF($AA185=0,"⚠ 工时分配表无此人当月记录",IF($AB185&gt;1,"⚠ 工时分配表存在重复行","√ 正常")))</f>
        <v/>
      </c>
      <c r="AA185" s="47" t="n">
        <f aca="false">IF($A185="",0,IFERROR(MATCH($A185&amp;"|"&amp;$B185,研发人员工时分配表!$W$6:$W$245,0),0))</f>
        <v>0</v>
      </c>
      <c r="AB185" s="47" t="n">
        <f aca="false">IF($A185="",0,COUNTIFS(研发人员工时分配表!$A$6:$A$245,$A185,研发人员工时分配表!$B$6:$B$245,$B185))</f>
        <v>0</v>
      </c>
    </row>
    <row r="186" customFormat="false" ht="18" hidden="false" customHeight="true" outlineLevel="0" collapsed="false">
      <c r="A186" s="36"/>
      <c r="B186" s="36"/>
      <c r="C186" s="43" t="str">
        <f aca="false">IF($B186="","",IFERROR(VLOOKUP($B186,人员名册!$B$4:$G$53,2,0)&amp;"","名册中未登记"))</f>
        <v/>
      </c>
      <c r="D186" s="43" t="str">
        <f aca="false">IF($B186="","",IFERROR(VLOOKUP($B186,人员名册!$B$4:$G$53,5,0)&amp;"",""))</f>
        <v/>
      </c>
      <c r="E186" s="25"/>
      <c r="F186" s="25"/>
      <c r="G186" s="25"/>
      <c r="H186" s="25"/>
      <c r="I186" s="25"/>
      <c r="J186" s="27" t="str">
        <f aca="false">IF($A186="","",ROUND(SUM(E186:I186),2))</f>
        <v/>
      </c>
      <c r="K186" s="45" t="n">
        <f aca="false">IF(OR($A186="",$AA186=0),0,INDEX(研发人员工时分配表!$F$6:$F$245,$AA186))</f>
        <v>0</v>
      </c>
      <c r="L186" s="45" t="n">
        <f aca="false">IF(OR($A186="",$AA186=0),0,INDEX(研发人员工时分配表!$R$6:$R$245,$AA186))</f>
        <v>0</v>
      </c>
      <c r="M186" s="28" t="str">
        <f aca="false">IF(OR($A186="",$K186=0),"",$L186/$K186)</f>
        <v/>
      </c>
      <c r="N186" s="27" t="str">
        <f aca="false">IF(OR($A186="",$K186=0),"",ROUND($J186*INDEX(研发人员工时分配表!$H$6:$H$245,$AA186)/$K186,2))</f>
        <v/>
      </c>
      <c r="O186" s="27" t="str">
        <f aca="false">IF(OR($A186="",$K186=0),"",ROUND($J186*INDEX(研发人员工时分配表!$I$6:$I$245,$AA186)/$K186,2))</f>
        <v/>
      </c>
      <c r="P186" s="27" t="str">
        <f aca="false">IF(OR($A186="",$K186=0),"",ROUND($J186*INDEX(研发人员工时分配表!$J$6:$J$245,$AA186)/$K186,2))</f>
        <v/>
      </c>
      <c r="Q186" s="27" t="str">
        <f aca="false">IF(OR($A186="",$K186=0),"",ROUND($J186*INDEX(研发人员工时分配表!$K$6:$K$245,$AA186)/$K186,2))</f>
        <v/>
      </c>
      <c r="R186" s="27" t="str">
        <f aca="false">IF(OR($A186="",$K186=0),"",ROUND($J186*INDEX(研发人员工时分配表!$L$6:$L$245,$AA186)/$K186,2))</f>
        <v/>
      </c>
      <c r="S186" s="27" t="str">
        <f aca="false">IF(OR($A186="",$K186=0),"",ROUND($J186*INDEX(研发人员工时分配表!$M$6:$M$245,$AA186)/$K186,2))</f>
        <v/>
      </c>
      <c r="T186" s="27" t="str">
        <f aca="false">IF(OR($A186="",$K186=0),"",ROUND($J186*INDEX(研发人员工时分配表!$N$6:$N$245,$AA186)/$K186,2))</f>
        <v/>
      </c>
      <c r="U186" s="27" t="str">
        <f aca="false">IF(OR($A186="",$K186=0),"",ROUND($J186*INDEX(研发人员工时分配表!$O$6:$O$245,$AA186)/$K186,2))</f>
        <v/>
      </c>
      <c r="V186" s="27" t="str">
        <f aca="false">IF(OR($A186="",$K186=0),"",ROUND($J186*INDEX(研发人员工时分配表!$P$6:$P$245,$AA186)/$K186,2))</f>
        <v/>
      </c>
      <c r="W186" s="27" t="str">
        <f aca="false">IF(OR($A186="",$K186=0),"",ROUND($J186*INDEX(研发人员工时分配表!$Q$6:$Q$245,$AA186)/$K186,2))</f>
        <v/>
      </c>
      <c r="X186" s="27" t="str">
        <f aca="false">IF($A186="","",ROUND(SUM(N186:W186),2))</f>
        <v/>
      </c>
      <c r="Y186" s="27" t="str">
        <f aca="false">IF($A186="","",ROUND($J186-X186,2))</f>
        <v/>
      </c>
      <c r="Z186" s="43" t="str">
        <f aca="false">IF($A186="","",IF($AA186=0,"⚠ 工时分配表无此人当月记录",IF($AB186&gt;1,"⚠ 工时分配表存在重复行","√ 正常")))</f>
        <v/>
      </c>
      <c r="AA186" s="47" t="n">
        <f aca="false">IF($A186="",0,IFERROR(MATCH($A186&amp;"|"&amp;$B186,研发人员工时分配表!$W$6:$W$245,0),0))</f>
        <v>0</v>
      </c>
      <c r="AB186" s="47" t="n">
        <f aca="false">IF($A186="",0,COUNTIFS(研发人员工时分配表!$A$6:$A$245,$A186,研发人员工时分配表!$B$6:$B$245,$B186))</f>
        <v>0</v>
      </c>
    </row>
    <row r="187" customFormat="false" ht="18" hidden="false" customHeight="true" outlineLevel="0" collapsed="false">
      <c r="A187" s="36"/>
      <c r="B187" s="36"/>
      <c r="C187" s="43" t="str">
        <f aca="false">IF($B187="","",IFERROR(VLOOKUP($B187,人员名册!$B$4:$G$53,2,0)&amp;"","名册中未登记"))</f>
        <v/>
      </c>
      <c r="D187" s="43" t="str">
        <f aca="false">IF($B187="","",IFERROR(VLOOKUP($B187,人员名册!$B$4:$G$53,5,0)&amp;"",""))</f>
        <v/>
      </c>
      <c r="E187" s="25"/>
      <c r="F187" s="25"/>
      <c r="G187" s="25"/>
      <c r="H187" s="25"/>
      <c r="I187" s="25"/>
      <c r="J187" s="27" t="str">
        <f aca="false">IF($A187="","",ROUND(SUM(E187:I187),2))</f>
        <v/>
      </c>
      <c r="K187" s="45" t="n">
        <f aca="false">IF(OR($A187="",$AA187=0),0,INDEX(研发人员工时分配表!$F$6:$F$245,$AA187))</f>
        <v>0</v>
      </c>
      <c r="L187" s="45" t="n">
        <f aca="false">IF(OR($A187="",$AA187=0),0,INDEX(研发人员工时分配表!$R$6:$R$245,$AA187))</f>
        <v>0</v>
      </c>
      <c r="M187" s="28" t="str">
        <f aca="false">IF(OR($A187="",$K187=0),"",$L187/$K187)</f>
        <v/>
      </c>
      <c r="N187" s="27" t="str">
        <f aca="false">IF(OR($A187="",$K187=0),"",ROUND($J187*INDEX(研发人员工时分配表!$H$6:$H$245,$AA187)/$K187,2))</f>
        <v/>
      </c>
      <c r="O187" s="27" t="str">
        <f aca="false">IF(OR($A187="",$K187=0),"",ROUND($J187*INDEX(研发人员工时分配表!$I$6:$I$245,$AA187)/$K187,2))</f>
        <v/>
      </c>
      <c r="P187" s="27" t="str">
        <f aca="false">IF(OR($A187="",$K187=0),"",ROUND($J187*INDEX(研发人员工时分配表!$J$6:$J$245,$AA187)/$K187,2))</f>
        <v/>
      </c>
      <c r="Q187" s="27" t="str">
        <f aca="false">IF(OR($A187="",$K187=0),"",ROUND($J187*INDEX(研发人员工时分配表!$K$6:$K$245,$AA187)/$K187,2))</f>
        <v/>
      </c>
      <c r="R187" s="27" t="str">
        <f aca="false">IF(OR($A187="",$K187=0),"",ROUND($J187*INDEX(研发人员工时分配表!$L$6:$L$245,$AA187)/$K187,2))</f>
        <v/>
      </c>
      <c r="S187" s="27" t="str">
        <f aca="false">IF(OR($A187="",$K187=0),"",ROUND($J187*INDEX(研发人员工时分配表!$M$6:$M$245,$AA187)/$K187,2))</f>
        <v/>
      </c>
      <c r="T187" s="27" t="str">
        <f aca="false">IF(OR($A187="",$K187=0),"",ROUND($J187*INDEX(研发人员工时分配表!$N$6:$N$245,$AA187)/$K187,2))</f>
        <v/>
      </c>
      <c r="U187" s="27" t="str">
        <f aca="false">IF(OR($A187="",$K187=0),"",ROUND($J187*INDEX(研发人员工时分配表!$O$6:$O$245,$AA187)/$K187,2))</f>
        <v/>
      </c>
      <c r="V187" s="27" t="str">
        <f aca="false">IF(OR($A187="",$K187=0),"",ROUND($J187*INDEX(研发人员工时分配表!$P$6:$P$245,$AA187)/$K187,2))</f>
        <v/>
      </c>
      <c r="W187" s="27" t="str">
        <f aca="false">IF(OR($A187="",$K187=0),"",ROUND($J187*INDEX(研发人员工时分配表!$Q$6:$Q$245,$AA187)/$K187,2))</f>
        <v/>
      </c>
      <c r="X187" s="27" t="str">
        <f aca="false">IF($A187="","",ROUND(SUM(N187:W187),2))</f>
        <v/>
      </c>
      <c r="Y187" s="27" t="str">
        <f aca="false">IF($A187="","",ROUND($J187-X187,2))</f>
        <v/>
      </c>
      <c r="Z187" s="43" t="str">
        <f aca="false">IF($A187="","",IF($AA187=0,"⚠ 工时分配表无此人当月记录",IF($AB187&gt;1,"⚠ 工时分配表存在重复行","√ 正常")))</f>
        <v/>
      </c>
      <c r="AA187" s="47" t="n">
        <f aca="false">IF($A187="",0,IFERROR(MATCH($A187&amp;"|"&amp;$B187,研发人员工时分配表!$W$6:$W$245,0),0))</f>
        <v>0</v>
      </c>
      <c r="AB187" s="47" t="n">
        <f aca="false">IF($A187="",0,COUNTIFS(研发人员工时分配表!$A$6:$A$245,$A187,研发人员工时分配表!$B$6:$B$245,$B187))</f>
        <v>0</v>
      </c>
    </row>
    <row r="188" customFormat="false" ht="18" hidden="false" customHeight="true" outlineLevel="0" collapsed="false">
      <c r="A188" s="36"/>
      <c r="B188" s="36"/>
      <c r="C188" s="43" t="str">
        <f aca="false">IF($B188="","",IFERROR(VLOOKUP($B188,人员名册!$B$4:$G$53,2,0)&amp;"","名册中未登记"))</f>
        <v/>
      </c>
      <c r="D188" s="43" t="str">
        <f aca="false">IF($B188="","",IFERROR(VLOOKUP($B188,人员名册!$B$4:$G$53,5,0)&amp;"",""))</f>
        <v/>
      </c>
      <c r="E188" s="25"/>
      <c r="F188" s="25"/>
      <c r="G188" s="25"/>
      <c r="H188" s="25"/>
      <c r="I188" s="25"/>
      <c r="J188" s="27" t="str">
        <f aca="false">IF($A188="","",ROUND(SUM(E188:I188),2))</f>
        <v/>
      </c>
      <c r="K188" s="45" t="n">
        <f aca="false">IF(OR($A188="",$AA188=0),0,INDEX(研发人员工时分配表!$F$6:$F$245,$AA188))</f>
        <v>0</v>
      </c>
      <c r="L188" s="45" t="n">
        <f aca="false">IF(OR($A188="",$AA188=0),0,INDEX(研发人员工时分配表!$R$6:$R$245,$AA188))</f>
        <v>0</v>
      </c>
      <c r="M188" s="28" t="str">
        <f aca="false">IF(OR($A188="",$K188=0),"",$L188/$K188)</f>
        <v/>
      </c>
      <c r="N188" s="27" t="str">
        <f aca="false">IF(OR($A188="",$K188=0),"",ROUND($J188*INDEX(研发人员工时分配表!$H$6:$H$245,$AA188)/$K188,2))</f>
        <v/>
      </c>
      <c r="O188" s="27" t="str">
        <f aca="false">IF(OR($A188="",$K188=0),"",ROUND($J188*INDEX(研发人员工时分配表!$I$6:$I$245,$AA188)/$K188,2))</f>
        <v/>
      </c>
      <c r="P188" s="27" t="str">
        <f aca="false">IF(OR($A188="",$K188=0),"",ROUND($J188*INDEX(研发人员工时分配表!$J$6:$J$245,$AA188)/$K188,2))</f>
        <v/>
      </c>
      <c r="Q188" s="27" t="str">
        <f aca="false">IF(OR($A188="",$K188=0),"",ROUND($J188*INDEX(研发人员工时分配表!$K$6:$K$245,$AA188)/$K188,2))</f>
        <v/>
      </c>
      <c r="R188" s="27" t="str">
        <f aca="false">IF(OR($A188="",$K188=0),"",ROUND($J188*INDEX(研发人员工时分配表!$L$6:$L$245,$AA188)/$K188,2))</f>
        <v/>
      </c>
      <c r="S188" s="27" t="str">
        <f aca="false">IF(OR($A188="",$K188=0),"",ROUND($J188*INDEX(研发人员工时分配表!$M$6:$M$245,$AA188)/$K188,2))</f>
        <v/>
      </c>
      <c r="T188" s="27" t="str">
        <f aca="false">IF(OR($A188="",$K188=0),"",ROUND($J188*INDEX(研发人员工时分配表!$N$6:$N$245,$AA188)/$K188,2))</f>
        <v/>
      </c>
      <c r="U188" s="27" t="str">
        <f aca="false">IF(OR($A188="",$K188=0),"",ROUND($J188*INDEX(研发人员工时分配表!$O$6:$O$245,$AA188)/$K188,2))</f>
        <v/>
      </c>
      <c r="V188" s="27" t="str">
        <f aca="false">IF(OR($A188="",$K188=0),"",ROUND($J188*INDEX(研发人员工时分配表!$P$6:$P$245,$AA188)/$K188,2))</f>
        <v/>
      </c>
      <c r="W188" s="27" t="str">
        <f aca="false">IF(OR($A188="",$K188=0),"",ROUND($J188*INDEX(研发人员工时分配表!$Q$6:$Q$245,$AA188)/$K188,2))</f>
        <v/>
      </c>
      <c r="X188" s="27" t="str">
        <f aca="false">IF($A188="","",ROUND(SUM(N188:W188),2))</f>
        <v/>
      </c>
      <c r="Y188" s="27" t="str">
        <f aca="false">IF($A188="","",ROUND($J188-X188,2))</f>
        <v/>
      </c>
      <c r="Z188" s="43" t="str">
        <f aca="false">IF($A188="","",IF($AA188=0,"⚠ 工时分配表无此人当月记录",IF($AB188&gt;1,"⚠ 工时分配表存在重复行","√ 正常")))</f>
        <v/>
      </c>
      <c r="AA188" s="47" t="n">
        <f aca="false">IF($A188="",0,IFERROR(MATCH($A188&amp;"|"&amp;$B188,研发人员工时分配表!$W$6:$W$245,0),0))</f>
        <v>0</v>
      </c>
      <c r="AB188" s="47" t="n">
        <f aca="false">IF($A188="",0,COUNTIFS(研发人员工时分配表!$A$6:$A$245,$A188,研发人员工时分配表!$B$6:$B$245,$B188))</f>
        <v>0</v>
      </c>
    </row>
    <row r="189" customFormat="false" ht="18" hidden="false" customHeight="true" outlineLevel="0" collapsed="false">
      <c r="A189" s="36"/>
      <c r="B189" s="36"/>
      <c r="C189" s="43" t="str">
        <f aca="false">IF($B189="","",IFERROR(VLOOKUP($B189,人员名册!$B$4:$G$53,2,0)&amp;"","名册中未登记"))</f>
        <v/>
      </c>
      <c r="D189" s="43" t="str">
        <f aca="false">IF($B189="","",IFERROR(VLOOKUP($B189,人员名册!$B$4:$G$53,5,0)&amp;"",""))</f>
        <v/>
      </c>
      <c r="E189" s="25"/>
      <c r="F189" s="25"/>
      <c r="G189" s="25"/>
      <c r="H189" s="25"/>
      <c r="I189" s="25"/>
      <c r="J189" s="27" t="str">
        <f aca="false">IF($A189="","",ROUND(SUM(E189:I189),2))</f>
        <v/>
      </c>
      <c r="K189" s="45" t="n">
        <f aca="false">IF(OR($A189="",$AA189=0),0,INDEX(研发人员工时分配表!$F$6:$F$245,$AA189))</f>
        <v>0</v>
      </c>
      <c r="L189" s="45" t="n">
        <f aca="false">IF(OR($A189="",$AA189=0),0,INDEX(研发人员工时分配表!$R$6:$R$245,$AA189))</f>
        <v>0</v>
      </c>
      <c r="M189" s="28" t="str">
        <f aca="false">IF(OR($A189="",$K189=0),"",$L189/$K189)</f>
        <v/>
      </c>
      <c r="N189" s="27" t="str">
        <f aca="false">IF(OR($A189="",$K189=0),"",ROUND($J189*INDEX(研发人员工时分配表!$H$6:$H$245,$AA189)/$K189,2))</f>
        <v/>
      </c>
      <c r="O189" s="27" t="str">
        <f aca="false">IF(OR($A189="",$K189=0),"",ROUND($J189*INDEX(研发人员工时分配表!$I$6:$I$245,$AA189)/$K189,2))</f>
        <v/>
      </c>
      <c r="P189" s="27" t="str">
        <f aca="false">IF(OR($A189="",$K189=0),"",ROUND($J189*INDEX(研发人员工时分配表!$J$6:$J$245,$AA189)/$K189,2))</f>
        <v/>
      </c>
      <c r="Q189" s="27" t="str">
        <f aca="false">IF(OR($A189="",$K189=0),"",ROUND($J189*INDEX(研发人员工时分配表!$K$6:$K$245,$AA189)/$K189,2))</f>
        <v/>
      </c>
      <c r="R189" s="27" t="str">
        <f aca="false">IF(OR($A189="",$K189=0),"",ROUND($J189*INDEX(研发人员工时分配表!$L$6:$L$245,$AA189)/$K189,2))</f>
        <v/>
      </c>
      <c r="S189" s="27" t="str">
        <f aca="false">IF(OR($A189="",$K189=0),"",ROUND($J189*INDEX(研发人员工时分配表!$M$6:$M$245,$AA189)/$K189,2))</f>
        <v/>
      </c>
      <c r="T189" s="27" t="str">
        <f aca="false">IF(OR($A189="",$K189=0),"",ROUND($J189*INDEX(研发人员工时分配表!$N$6:$N$245,$AA189)/$K189,2))</f>
        <v/>
      </c>
      <c r="U189" s="27" t="str">
        <f aca="false">IF(OR($A189="",$K189=0),"",ROUND($J189*INDEX(研发人员工时分配表!$O$6:$O$245,$AA189)/$K189,2))</f>
        <v/>
      </c>
      <c r="V189" s="27" t="str">
        <f aca="false">IF(OR($A189="",$K189=0),"",ROUND($J189*INDEX(研发人员工时分配表!$P$6:$P$245,$AA189)/$K189,2))</f>
        <v/>
      </c>
      <c r="W189" s="27" t="str">
        <f aca="false">IF(OR($A189="",$K189=0),"",ROUND($J189*INDEX(研发人员工时分配表!$Q$6:$Q$245,$AA189)/$K189,2))</f>
        <v/>
      </c>
      <c r="X189" s="27" t="str">
        <f aca="false">IF($A189="","",ROUND(SUM(N189:W189),2))</f>
        <v/>
      </c>
      <c r="Y189" s="27" t="str">
        <f aca="false">IF($A189="","",ROUND($J189-X189,2))</f>
        <v/>
      </c>
      <c r="Z189" s="43" t="str">
        <f aca="false">IF($A189="","",IF($AA189=0,"⚠ 工时分配表无此人当月记录",IF($AB189&gt;1,"⚠ 工时分配表存在重复行","√ 正常")))</f>
        <v/>
      </c>
      <c r="AA189" s="47" t="n">
        <f aca="false">IF($A189="",0,IFERROR(MATCH($A189&amp;"|"&amp;$B189,研发人员工时分配表!$W$6:$W$245,0),0))</f>
        <v>0</v>
      </c>
      <c r="AB189" s="47" t="n">
        <f aca="false">IF($A189="",0,COUNTIFS(研发人员工时分配表!$A$6:$A$245,$A189,研发人员工时分配表!$B$6:$B$245,$B189))</f>
        <v>0</v>
      </c>
    </row>
    <row r="190" customFormat="false" ht="18" hidden="false" customHeight="true" outlineLevel="0" collapsed="false">
      <c r="A190" s="36"/>
      <c r="B190" s="36"/>
      <c r="C190" s="43" t="str">
        <f aca="false">IF($B190="","",IFERROR(VLOOKUP($B190,人员名册!$B$4:$G$53,2,0)&amp;"","名册中未登记"))</f>
        <v/>
      </c>
      <c r="D190" s="43" t="str">
        <f aca="false">IF($B190="","",IFERROR(VLOOKUP($B190,人员名册!$B$4:$G$53,5,0)&amp;"",""))</f>
        <v/>
      </c>
      <c r="E190" s="25"/>
      <c r="F190" s="25"/>
      <c r="G190" s="25"/>
      <c r="H190" s="25"/>
      <c r="I190" s="25"/>
      <c r="J190" s="27" t="str">
        <f aca="false">IF($A190="","",ROUND(SUM(E190:I190),2))</f>
        <v/>
      </c>
      <c r="K190" s="45" t="n">
        <f aca="false">IF(OR($A190="",$AA190=0),0,INDEX(研发人员工时分配表!$F$6:$F$245,$AA190))</f>
        <v>0</v>
      </c>
      <c r="L190" s="45" t="n">
        <f aca="false">IF(OR($A190="",$AA190=0),0,INDEX(研发人员工时分配表!$R$6:$R$245,$AA190))</f>
        <v>0</v>
      </c>
      <c r="M190" s="28" t="str">
        <f aca="false">IF(OR($A190="",$K190=0),"",$L190/$K190)</f>
        <v/>
      </c>
      <c r="N190" s="27" t="str">
        <f aca="false">IF(OR($A190="",$K190=0),"",ROUND($J190*INDEX(研发人员工时分配表!$H$6:$H$245,$AA190)/$K190,2))</f>
        <v/>
      </c>
      <c r="O190" s="27" t="str">
        <f aca="false">IF(OR($A190="",$K190=0),"",ROUND($J190*INDEX(研发人员工时分配表!$I$6:$I$245,$AA190)/$K190,2))</f>
        <v/>
      </c>
      <c r="P190" s="27" t="str">
        <f aca="false">IF(OR($A190="",$K190=0),"",ROUND($J190*INDEX(研发人员工时分配表!$J$6:$J$245,$AA190)/$K190,2))</f>
        <v/>
      </c>
      <c r="Q190" s="27" t="str">
        <f aca="false">IF(OR($A190="",$K190=0),"",ROUND($J190*INDEX(研发人员工时分配表!$K$6:$K$245,$AA190)/$K190,2))</f>
        <v/>
      </c>
      <c r="R190" s="27" t="str">
        <f aca="false">IF(OR($A190="",$K190=0),"",ROUND($J190*INDEX(研发人员工时分配表!$L$6:$L$245,$AA190)/$K190,2))</f>
        <v/>
      </c>
      <c r="S190" s="27" t="str">
        <f aca="false">IF(OR($A190="",$K190=0),"",ROUND($J190*INDEX(研发人员工时分配表!$M$6:$M$245,$AA190)/$K190,2))</f>
        <v/>
      </c>
      <c r="T190" s="27" t="str">
        <f aca="false">IF(OR($A190="",$K190=0),"",ROUND($J190*INDEX(研发人员工时分配表!$N$6:$N$245,$AA190)/$K190,2))</f>
        <v/>
      </c>
      <c r="U190" s="27" t="str">
        <f aca="false">IF(OR($A190="",$K190=0),"",ROUND($J190*INDEX(研发人员工时分配表!$O$6:$O$245,$AA190)/$K190,2))</f>
        <v/>
      </c>
      <c r="V190" s="27" t="str">
        <f aca="false">IF(OR($A190="",$K190=0),"",ROUND($J190*INDEX(研发人员工时分配表!$P$6:$P$245,$AA190)/$K190,2))</f>
        <v/>
      </c>
      <c r="W190" s="27" t="str">
        <f aca="false">IF(OR($A190="",$K190=0),"",ROUND($J190*INDEX(研发人员工时分配表!$Q$6:$Q$245,$AA190)/$K190,2))</f>
        <v/>
      </c>
      <c r="X190" s="27" t="str">
        <f aca="false">IF($A190="","",ROUND(SUM(N190:W190),2))</f>
        <v/>
      </c>
      <c r="Y190" s="27" t="str">
        <f aca="false">IF($A190="","",ROUND($J190-X190,2))</f>
        <v/>
      </c>
      <c r="Z190" s="43" t="str">
        <f aca="false">IF($A190="","",IF($AA190=0,"⚠ 工时分配表无此人当月记录",IF($AB190&gt;1,"⚠ 工时分配表存在重复行","√ 正常")))</f>
        <v/>
      </c>
      <c r="AA190" s="47" t="n">
        <f aca="false">IF($A190="",0,IFERROR(MATCH($A190&amp;"|"&amp;$B190,研发人员工时分配表!$W$6:$W$245,0),0))</f>
        <v>0</v>
      </c>
      <c r="AB190" s="47" t="n">
        <f aca="false">IF($A190="",0,COUNTIFS(研发人员工时分配表!$A$6:$A$245,$A190,研发人员工时分配表!$B$6:$B$245,$B190))</f>
        <v>0</v>
      </c>
    </row>
    <row r="191" customFormat="false" ht="18" hidden="false" customHeight="true" outlineLevel="0" collapsed="false">
      <c r="A191" s="36"/>
      <c r="B191" s="36"/>
      <c r="C191" s="43" t="str">
        <f aca="false">IF($B191="","",IFERROR(VLOOKUP($B191,人员名册!$B$4:$G$53,2,0)&amp;"","名册中未登记"))</f>
        <v/>
      </c>
      <c r="D191" s="43" t="str">
        <f aca="false">IF($B191="","",IFERROR(VLOOKUP($B191,人员名册!$B$4:$G$53,5,0)&amp;"",""))</f>
        <v/>
      </c>
      <c r="E191" s="25"/>
      <c r="F191" s="25"/>
      <c r="G191" s="25"/>
      <c r="H191" s="25"/>
      <c r="I191" s="25"/>
      <c r="J191" s="27" t="str">
        <f aca="false">IF($A191="","",ROUND(SUM(E191:I191),2))</f>
        <v/>
      </c>
      <c r="K191" s="45" t="n">
        <f aca="false">IF(OR($A191="",$AA191=0),0,INDEX(研发人员工时分配表!$F$6:$F$245,$AA191))</f>
        <v>0</v>
      </c>
      <c r="L191" s="45" t="n">
        <f aca="false">IF(OR($A191="",$AA191=0),0,INDEX(研发人员工时分配表!$R$6:$R$245,$AA191))</f>
        <v>0</v>
      </c>
      <c r="M191" s="28" t="str">
        <f aca="false">IF(OR($A191="",$K191=0),"",$L191/$K191)</f>
        <v/>
      </c>
      <c r="N191" s="27" t="str">
        <f aca="false">IF(OR($A191="",$K191=0),"",ROUND($J191*INDEX(研发人员工时分配表!$H$6:$H$245,$AA191)/$K191,2))</f>
        <v/>
      </c>
      <c r="O191" s="27" t="str">
        <f aca="false">IF(OR($A191="",$K191=0),"",ROUND($J191*INDEX(研发人员工时分配表!$I$6:$I$245,$AA191)/$K191,2))</f>
        <v/>
      </c>
      <c r="P191" s="27" t="str">
        <f aca="false">IF(OR($A191="",$K191=0),"",ROUND($J191*INDEX(研发人员工时分配表!$J$6:$J$245,$AA191)/$K191,2))</f>
        <v/>
      </c>
      <c r="Q191" s="27" t="str">
        <f aca="false">IF(OR($A191="",$K191=0),"",ROUND($J191*INDEX(研发人员工时分配表!$K$6:$K$245,$AA191)/$K191,2))</f>
        <v/>
      </c>
      <c r="R191" s="27" t="str">
        <f aca="false">IF(OR($A191="",$K191=0),"",ROUND($J191*INDEX(研发人员工时分配表!$L$6:$L$245,$AA191)/$K191,2))</f>
        <v/>
      </c>
      <c r="S191" s="27" t="str">
        <f aca="false">IF(OR($A191="",$K191=0),"",ROUND($J191*INDEX(研发人员工时分配表!$M$6:$M$245,$AA191)/$K191,2))</f>
        <v/>
      </c>
      <c r="T191" s="27" t="str">
        <f aca="false">IF(OR($A191="",$K191=0),"",ROUND($J191*INDEX(研发人员工时分配表!$N$6:$N$245,$AA191)/$K191,2))</f>
        <v/>
      </c>
      <c r="U191" s="27" t="str">
        <f aca="false">IF(OR($A191="",$K191=0),"",ROUND($J191*INDEX(研发人员工时分配表!$O$6:$O$245,$AA191)/$K191,2))</f>
        <v/>
      </c>
      <c r="V191" s="27" t="str">
        <f aca="false">IF(OR($A191="",$K191=0),"",ROUND($J191*INDEX(研发人员工时分配表!$P$6:$P$245,$AA191)/$K191,2))</f>
        <v/>
      </c>
      <c r="W191" s="27" t="str">
        <f aca="false">IF(OR($A191="",$K191=0),"",ROUND($J191*INDEX(研发人员工时分配表!$Q$6:$Q$245,$AA191)/$K191,2))</f>
        <v/>
      </c>
      <c r="X191" s="27" t="str">
        <f aca="false">IF($A191="","",ROUND(SUM(N191:W191),2))</f>
        <v/>
      </c>
      <c r="Y191" s="27" t="str">
        <f aca="false">IF($A191="","",ROUND($J191-X191,2))</f>
        <v/>
      </c>
      <c r="Z191" s="43" t="str">
        <f aca="false">IF($A191="","",IF($AA191=0,"⚠ 工时分配表无此人当月记录",IF($AB191&gt;1,"⚠ 工时分配表存在重复行","√ 正常")))</f>
        <v/>
      </c>
      <c r="AA191" s="47" t="n">
        <f aca="false">IF($A191="",0,IFERROR(MATCH($A191&amp;"|"&amp;$B191,研发人员工时分配表!$W$6:$W$245,0),0))</f>
        <v>0</v>
      </c>
      <c r="AB191" s="47" t="n">
        <f aca="false">IF($A191="",0,COUNTIFS(研发人员工时分配表!$A$6:$A$245,$A191,研发人员工时分配表!$B$6:$B$245,$B191))</f>
        <v>0</v>
      </c>
    </row>
    <row r="192" customFormat="false" ht="18" hidden="false" customHeight="true" outlineLevel="0" collapsed="false">
      <c r="A192" s="36"/>
      <c r="B192" s="36"/>
      <c r="C192" s="43" t="str">
        <f aca="false">IF($B192="","",IFERROR(VLOOKUP($B192,人员名册!$B$4:$G$53,2,0)&amp;"","名册中未登记"))</f>
        <v/>
      </c>
      <c r="D192" s="43" t="str">
        <f aca="false">IF($B192="","",IFERROR(VLOOKUP($B192,人员名册!$B$4:$G$53,5,0)&amp;"",""))</f>
        <v/>
      </c>
      <c r="E192" s="25"/>
      <c r="F192" s="25"/>
      <c r="G192" s="25"/>
      <c r="H192" s="25"/>
      <c r="I192" s="25"/>
      <c r="J192" s="27" t="str">
        <f aca="false">IF($A192="","",ROUND(SUM(E192:I192),2))</f>
        <v/>
      </c>
      <c r="K192" s="45" t="n">
        <f aca="false">IF(OR($A192="",$AA192=0),0,INDEX(研发人员工时分配表!$F$6:$F$245,$AA192))</f>
        <v>0</v>
      </c>
      <c r="L192" s="45" t="n">
        <f aca="false">IF(OR($A192="",$AA192=0),0,INDEX(研发人员工时分配表!$R$6:$R$245,$AA192))</f>
        <v>0</v>
      </c>
      <c r="M192" s="28" t="str">
        <f aca="false">IF(OR($A192="",$K192=0),"",$L192/$K192)</f>
        <v/>
      </c>
      <c r="N192" s="27" t="str">
        <f aca="false">IF(OR($A192="",$K192=0),"",ROUND($J192*INDEX(研发人员工时分配表!$H$6:$H$245,$AA192)/$K192,2))</f>
        <v/>
      </c>
      <c r="O192" s="27" t="str">
        <f aca="false">IF(OR($A192="",$K192=0),"",ROUND($J192*INDEX(研发人员工时分配表!$I$6:$I$245,$AA192)/$K192,2))</f>
        <v/>
      </c>
      <c r="P192" s="27" t="str">
        <f aca="false">IF(OR($A192="",$K192=0),"",ROUND($J192*INDEX(研发人员工时分配表!$J$6:$J$245,$AA192)/$K192,2))</f>
        <v/>
      </c>
      <c r="Q192" s="27" t="str">
        <f aca="false">IF(OR($A192="",$K192=0),"",ROUND($J192*INDEX(研发人员工时分配表!$K$6:$K$245,$AA192)/$K192,2))</f>
        <v/>
      </c>
      <c r="R192" s="27" t="str">
        <f aca="false">IF(OR($A192="",$K192=0),"",ROUND($J192*INDEX(研发人员工时分配表!$L$6:$L$245,$AA192)/$K192,2))</f>
        <v/>
      </c>
      <c r="S192" s="27" t="str">
        <f aca="false">IF(OR($A192="",$K192=0),"",ROUND($J192*INDEX(研发人员工时分配表!$M$6:$M$245,$AA192)/$K192,2))</f>
        <v/>
      </c>
      <c r="T192" s="27" t="str">
        <f aca="false">IF(OR($A192="",$K192=0),"",ROUND($J192*INDEX(研发人员工时分配表!$N$6:$N$245,$AA192)/$K192,2))</f>
        <v/>
      </c>
      <c r="U192" s="27" t="str">
        <f aca="false">IF(OR($A192="",$K192=0),"",ROUND($J192*INDEX(研发人员工时分配表!$O$6:$O$245,$AA192)/$K192,2))</f>
        <v/>
      </c>
      <c r="V192" s="27" t="str">
        <f aca="false">IF(OR($A192="",$K192=0),"",ROUND($J192*INDEX(研发人员工时分配表!$P$6:$P$245,$AA192)/$K192,2))</f>
        <v/>
      </c>
      <c r="W192" s="27" t="str">
        <f aca="false">IF(OR($A192="",$K192=0),"",ROUND($J192*INDEX(研发人员工时分配表!$Q$6:$Q$245,$AA192)/$K192,2))</f>
        <v/>
      </c>
      <c r="X192" s="27" t="str">
        <f aca="false">IF($A192="","",ROUND(SUM(N192:W192),2))</f>
        <v/>
      </c>
      <c r="Y192" s="27" t="str">
        <f aca="false">IF($A192="","",ROUND($J192-X192,2))</f>
        <v/>
      </c>
      <c r="Z192" s="43" t="str">
        <f aca="false">IF($A192="","",IF($AA192=0,"⚠ 工时分配表无此人当月记录",IF($AB192&gt;1,"⚠ 工时分配表存在重复行","√ 正常")))</f>
        <v/>
      </c>
      <c r="AA192" s="47" t="n">
        <f aca="false">IF($A192="",0,IFERROR(MATCH($A192&amp;"|"&amp;$B192,研发人员工时分配表!$W$6:$W$245,0),0))</f>
        <v>0</v>
      </c>
      <c r="AB192" s="47" t="n">
        <f aca="false">IF($A192="",0,COUNTIFS(研发人员工时分配表!$A$6:$A$245,$A192,研发人员工时分配表!$B$6:$B$245,$B192))</f>
        <v>0</v>
      </c>
    </row>
    <row r="193" customFormat="false" ht="18" hidden="false" customHeight="true" outlineLevel="0" collapsed="false">
      <c r="A193" s="36"/>
      <c r="B193" s="36"/>
      <c r="C193" s="43" t="str">
        <f aca="false">IF($B193="","",IFERROR(VLOOKUP($B193,人员名册!$B$4:$G$53,2,0)&amp;"","名册中未登记"))</f>
        <v/>
      </c>
      <c r="D193" s="43" t="str">
        <f aca="false">IF($B193="","",IFERROR(VLOOKUP($B193,人员名册!$B$4:$G$53,5,0)&amp;"",""))</f>
        <v/>
      </c>
      <c r="E193" s="25"/>
      <c r="F193" s="25"/>
      <c r="G193" s="25"/>
      <c r="H193" s="25"/>
      <c r="I193" s="25"/>
      <c r="J193" s="27" t="str">
        <f aca="false">IF($A193="","",ROUND(SUM(E193:I193),2))</f>
        <v/>
      </c>
      <c r="K193" s="45" t="n">
        <f aca="false">IF(OR($A193="",$AA193=0),0,INDEX(研发人员工时分配表!$F$6:$F$245,$AA193))</f>
        <v>0</v>
      </c>
      <c r="L193" s="45" t="n">
        <f aca="false">IF(OR($A193="",$AA193=0),0,INDEX(研发人员工时分配表!$R$6:$R$245,$AA193))</f>
        <v>0</v>
      </c>
      <c r="M193" s="28" t="str">
        <f aca="false">IF(OR($A193="",$K193=0),"",$L193/$K193)</f>
        <v/>
      </c>
      <c r="N193" s="27" t="str">
        <f aca="false">IF(OR($A193="",$K193=0),"",ROUND($J193*INDEX(研发人员工时分配表!$H$6:$H$245,$AA193)/$K193,2))</f>
        <v/>
      </c>
      <c r="O193" s="27" t="str">
        <f aca="false">IF(OR($A193="",$K193=0),"",ROUND($J193*INDEX(研发人员工时分配表!$I$6:$I$245,$AA193)/$K193,2))</f>
        <v/>
      </c>
      <c r="P193" s="27" t="str">
        <f aca="false">IF(OR($A193="",$K193=0),"",ROUND($J193*INDEX(研发人员工时分配表!$J$6:$J$245,$AA193)/$K193,2))</f>
        <v/>
      </c>
      <c r="Q193" s="27" t="str">
        <f aca="false">IF(OR($A193="",$K193=0),"",ROUND($J193*INDEX(研发人员工时分配表!$K$6:$K$245,$AA193)/$K193,2))</f>
        <v/>
      </c>
      <c r="R193" s="27" t="str">
        <f aca="false">IF(OR($A193="",$K193=0),"",ROUND($J193*INDEX(研发人员工时分配表!$L$6:$L$245,$AA193)/$K193,2))</f>
        <v/>
      </c>
      <c r="S193" s="27" t="str">
        <f aca="false">IF(OR($A193="",$K193=0),"",ROUND($J193*INDEX(研发人员工时分配表!$M$6:$M$245,$AA193)/$K193,2))</f>
        <v/>
      </c>
      <c r="T193" s="27" t="str">
        <f aca="false">IF(OR($A193="",$K193=0),"",ROUND($J193*INDEX(研发人员工时分配表!$N$6:$N$245,$AA193)/$K193,2))</f>
        <v/>
      </c>
      <c r="U193" s="27" t="str">
        <f aca="false">IF(OR($A193="",$K193=0),"",ROUND($J193*INDEX(研发人员工时分配表!$O$6:$O$245,$AA193)/$K193,2))</f>
        <v/>
      </c>
      <c r="V193" s="27" t="str">
        <f aca="false">IF(OR($A193="",$K193=0),"",ROUND($J193*INDEX(研发人员工时分配表!$P$6:$P$245,$AA193)/$K193,2))</f>
        <v/>
      </c>
      <c r="W193" s="27" t="str">
        <f aca="false">IF(OR($A193="",$K193=0),"",ROUND($J193*INDEX(研发人员工时分配表!$Q$6:$Q$245,$AA193)/$K193,2))</f>
        <v/>
      </c>
      <c r="X193" s="27" t="str">
        <f aca="false">IF($A193="","",ROUND(SUM(N193:W193),2))</f>
        <v/>
      </c>
      <c r="Y193" s="27" t="str">
        <f aca="false">IF($A193="","",ROUND($J193-X193,2))</f>
        <v/>
      </c>
      <c r="Z193" s="43" t="str">
        <f aca="false">IF($A193="","",IF($AA193=0,"⚠ 工时分配表无此人当月记录",IF($AB193&gt;1,"⚠ 工时分配表存在重复行","√ 正常")))</f>
        <v/>
      </c>
      <c r="AA193" s="47" t="n">
        <f aca="false">IF($A193="",0,IFERROR(MATCH($A193&amp;"|"&amp;$B193,研发人员工时分配表!$W$6:$W$245,0),0))</f>
        <v>0</v>
      </c>
      <c r="AB193" s="47" t="n">
        <f aca="false">IF($A193="",0,COUNTIFS(研发人员工时分配表!$A$6:$A$245,$A193,研发人员工时分配表!$B$6:$B$245,$B193))</f>
        <v>0</v>
      </c>
    </row>
    <row r="194" customFormat="false" ht="18" hidden="false" customHeight="true" outlineLevel="0" collapsed="false">
      <c r="A194" s="36"/>
      <c r="B194" s="36"/>
      <c r="C194" s="43" t="str">
        <f aca="false">IF($B194="","",IFERROR(VLOOKUP($B194,人员名册!$B$4:$G$53,2,0)&amp;"","名册中未登记"))</f>
        <v/>
      </c>
      <c r="D194" s="43" t="str">
        <f aca="false">IF($B194="","",IFERROR(VLOOKUP($B194,人员名册!$B$4:$G$53,5,0)&amp;"",""))</f>
        <v/>
      </c>
      <c r="E194" s="25"/>
      <c r="F194" s="25"/>
      <c r="G194" s="25"/>
      <c r="H194" s="25"/>
      <c r="I194" s="25"/>
      <c r="J194" s="27" t="str">
        <f aca="false">IF($A194="","",ROUND(SUM(E194:I194),2))</f>
        <v/>
      </c>
      <c r="K194" s="45" t="n">
        <f aca="false">IF(OR($A194="",$AA194=0),0,INDEX(研发人员工时分配表!$F$6:$F$245,$AA194))</f>
        <v>0</v>
      </c>
      <c r="L194" s="45" t="n">
        <f aca="false">IF(OR($A194="",$AA194=0),0,INDEX(研发人员工时分配表!$R$6:$R$245,$AA194))</f>
        <v>0</v>
      </c>
      <c r="M194" s="28" t="str">
        <f aca="false">IF(OR($A194="",$K194=0),"",$L194/$K194)</f>
        <v/>
      </c>
      <c r="N194" s="27" t="str">
        <f aca="false">IF(OR($A194="",$K194=0),"",ROUND($J194*INDEX(研发人员工时分配表!$H$6:$H$245,$AA194)/$K194,2))</f>
        <v/>
      </c>
      <c r="O194" s="27" t="str">
        <f aca="false">IF(OR($A194="",$K194=0),"",ROUND($J194*INDEX(研发人员工时分配表!$I$6:$I$245,$AA194)/$K194,2))</f>
        <v/>
      </c>
      <c r="P194" s="27" t="str">
        <f aca="false">IF(OR($A194="",$K194=0),"",ROUND($J194*INDEX(研发人员工时分配表!$J$6:$J$245,$AA194)/$K194,2))</f>
        <v/>
      </c>
      <c r="Q194" s="27" t="str">
        <f aca="false">IF(OR($A194="",$K194=0),"",ROUND($J194*INDEX(研发人员工时分配表!$K$6:$K$245,$AA194)/$K194,2))</f>
        <v/>
      </c>
      <c r="R194" s="27" t="str">
        <f aca="false">IF(OR($A194="",$K194=0),"",ROUND($J194*INDEX(研发人员工时分配表!$L$6:$L$245,$AA194)/$K194,2))</f>
        <v/>
      </c>
      <c r="S194" s="27" t="str">
        <f aca="false">IF(OR($A194="",$K194=0),"",ROUND($J194*INDEX(研发人员工时分配表!$M$6:$M$245,$AA194)/$K194,2))</f>
        <v/>
      </c>
      <c r="T194" s="27" t="str">
        <f aca="false">IF(OR($A194="",$K194=0),"",ROUND($J194*INDEX(研发人员工时分配表!$N$6:$N$245,$AA194)/$K194,2))</f>
        <v/>
      </c>
      <c r="U194" s="27" t="str">
        <f aca="false">IF(OR($A194="",$K194=0),"",ROUND($J194*INDEX(研发人员工时分配表!$O$6:$O$245,$AA194)/$K194,2))</f>
        <v/>
      </c>
      <c r="V194" s="27" t="str">
        <f aca="false">IF(OR($A194="",$K194=0),"",ROUND($J194*INDEX(研发人员工时分配表!$P$6:$P$245,$AA194)/$K194,2))</f>
        <v/>
      </c>
      <c r="W194" s="27" t="str">
        <f aca="false">IF(OR($A194="",$K194=0),"",ROUND($J194*INDEX(研发人员工时分配表!$Q$6:$Q$245,$AA194)/$K194,2))</f>
        <v/>
      </c>
      <c r="X194" s="27" t="str">
        <f aca="false">IF($A194="","",ROUND(SUM(N194:W194),2))</f>
        <v/>
      </c>
      <c r="Y194" s="27" t="str">
        <f aca="false">IF($A194="","",ROUND($J194-X194,2))</f>
        <v/>
      </c>
      <c r="Z194" s="43" t="str">
        <f aca="false">IF($A194="","",IF($AA194=0,"⚠ 工时分配表无此人当月记录",IF($AB194&gt;1,"⚠ 工时分配表存在重复行","√ 正常")))</f>
        <v/>
      </c>
      <c r="AA194" s="47" t="n">
        <f aca="false">IF($A194="",0,IFERROR(MATCH($A194&amp;"|"&amp;$B194,研发人员工时分配表!$W$6:$W$245,0),0))</f>
        <v>0</v>
      </c>
      <c r="AB194" s="47" t="n">
        <f aca="false">IF($A194="",0,COUNTIFS(研发人员工时分配表!$A$6:$A$245,$A194,研发人员工时分配表!$B$6:$B$245,$B194))</f>
        <v>0</v>
      </c>
    </row>
    <row r="195" customFormat="false" ht="18" hidden="false" customHeight="true" outlineLevel="0" collapsed="false">
      <c r="A195" s="36"/>
      <c r="B195" s="36"/>
      <c r="C195" s="43" t="str">
        <f aca="false">IF($B195="","",IFERROR(VLOOKUP($B195,人员名册!$B$4:$G$53,2,0)&amp;"","名册中未登记"))</f>
        <v/>
      </c>
      <c r="D195" s="43" t="str">
        <f aca="false">IF($B195="","",IFERROR(VLOOKUP($B195,人员名册!$B$4:$G$53,5,0)&amp;"",""))</f>
        <v/>
      </c>
      <c r="E195" s="25"/>
      <c r="F195" s="25"/>
      <c r="G195" s="25"/>
      <c r="H195" s="25"/>
      <c r="I195" s="25"/>
      <c r="J195" s="27" t="str">
        <f aca="false">IF($A195="","",ROUND(SUM(E195:I195),2))</f>
        <v/>
      </c>
      <c r="K195" s="45" t="n">
        <f aca="false">IF(OR($A195="",$AA195=0),0,INDEX(研发人员工时分配表!$F$6:$F$245,$AA195))</f>
        <v>0</v>
      </c>
      <c r="L195" s="45" t="n">
        <f aca="false">IF(OR($A195="",$AA195=0),0,INDEX(研发人员工时分配表!$R$6:$R$245,$AA195))</f>
        <v>0</v>
      </c>
      <c r="M195" s="28" t="str">
        <f aca="false">IF(OR($A195="",$K195=0),"",$L195/$K195)</f>
        <v/>
      </c>
      <c r="N195" s="27" t="str">
        <f aca="false">IF(OR($A195="",$K195=0),"",ROUND($J195*INDEX(研发人员工时分配表!$H$6:$H$245,$AA195)/$K195,2))</f>
        <v/>
      </c>
      <c r="O195" s="27" t="str">
        <f aca="false">IF(OR($A195="",$K195=0),"",ROUND($J195*INDEX(研发人员工时分配表!$I$6:$I$245,$AA195)/$K195,2))</f>
        <v/>
      </c>
      <c r="P195" s="27" t="str">
        <f aca="false">IF(OR($A195="",$K195=0),"",ROUND($J195*INDEX(研发人员工时分配表!$J$6:$J$245,$AA195)/$K195,2))</f>
        <v/>
      </c>
      <c r="Q195" s="27" t="str">
        <f aca="false">IF(OR($A195="",$K195=0),"",ROUND($J195*INDEX(研发人员工时分配表!$K$6:$K$245,$AA195)/$K195,2))</f>
        <v/>
      </c>
      <c r="R195" s="27" t="str">
        <f aca="false">IF(OR($A195="",$K195=0),"",ROUND($J195*INDEX(研发人员工时分配表!$L$6:$L$245,$AA195)/$K195,2))</f>
        <v/>
      </c>
      <c r="S195" s="27" t="str">
        <f aca="false">IF(OR($A195="",$K195=0),"",ROUND($J195*INDEX(研发人员工时分配表!$M$6:$M$245,$AA195)/$K195,2))</f>
        <v/>
      </c>
      <c r="T195" s="27" t="str">
        <f aca="false">IF(OR($A195="",$K195=0),"",ROUND($J195*INDEX(研发人员工时分配表!$N$6:$N$245,$AA195)/$K195,2))</f>
        <v/>
      </c>
      <c r="U195" s="27" t="str">
        <f aca="false">IF(OR($A195="",$K195=0),"",ROUND($J195*INDEX(研发人员工时分配表!$O$6:$O$245,$AA195)/$K195,2))</f>
        <v/>
      </c>
      <c r="V195" s="27" t="str">
        <f aca="false">IF(OR($A195="",$K195=0),"",ROUND($J195*INDEX(研发人员工时分配表!$P$6:$P$245,$AA195)/$K195,2))</f>
        <v/>
      </c>
      <c r="W195" s="27" t="str">
        <f aca="false">IF(OR($A195="",$K195=0),"",ROUND($J195*INDEX(研发人员工时分配表!$Q$6:$Q$245,$AA195)/$K195,2))</f>
        <v/>
      </c>
      <c r="X195" s="27" t="str">
        <f aca="false">IF($A195="","",ROUND(SUM(N195:W195),2))</f>
        <v/>
      </c>
      <c r="Y195" s="27" t="str">
        <f aca="false">IF($A195="","",ROUND($J195-X195,2))</f>
        <v/>
      </c>
      <c r="Z195" s="43" t="str">
        <f aca="false">IF($A195="","",IF($AA195=0,"⚠ 工时分配表无此人当月记录",IF($AB195&gt;1,"⚠ 工时分配表存在重复行","√ 正常")))</f>
        <v/>
      </c>
      <c r="AA195" s="47" t="n">
        <f aca="false">IF($A195="",0,IFERROR(MATCH($A195&amp;"|"&amp;$B195,研发人员工时分配表!$W$6:$W$245,0),0))</f>
        <v>0</v>
      </c>
      <c r="AB195" s="47" t="n">
        <f aca="false">IF($A195="",0,COUNTIFS(研发人员工时分配表!$A$6:$A$245,$A195,研发人员工时分配表!$B$6:$B$245,$B195))</f>
        <v>0</v>
      </c>
    </row>
    <row r="196" customFormat="false" ht="18" hidden="false" customHeight="true" outlineLevel="0" collapsed="false">
      <c r="A196" s="36"/>
      <c r="B196" s="36"/>
      <c r="C196" s="43" t="str">
        <f aca="false">IF($B196="","",IFERROR(VLOOKUP($B196,人员名册!$B$4:$G$53,2,0)&amp;"","名册中未登记"))</f>
        <v/>
      </c>
      <c r="D196" s="43" t="str">
        <f aca="false">IF($B196="","",IFERROR(VLOOKUP($B196,人员名册!$B$4:$G$53,5,0)&amp;"",""))</f>
        <v/>
      </c>
      <c r="E196" s="25"/>
      <c r="F196" s="25"/>
      <c r="G196" s="25"/>
      <c r="H196" s="25"/>
      <c r="I196" s="25"/>
      <c r="J196" s="27" t="str">
        <f aca="false">IF($A196="","",ROUND(SUM(E196:I196),2))</f>
        <v/>
      </c>
      <c r="K196" s="45" t="n">
        <f aca="false">IF(OR($A196="",$AA196=0),0,INDEX(研发人员工时分配表!$F$6:$F$245,$AA196))</f>
        <v>0</v>
      </c>
      <c r="L196" s="45" t="n">
        <f aca="false">IF(OR($A196="",$AA196=0),0,INDEX(研发人员工时分配表!$R$6:$R$245,$AA196))</f>
        <v>0</v>
      </c>
      <c r="M196" s="28" t="str">
        <f aca="false">IF(OR($A196="",$K196=0),"",$L196/$K196)</f>
        <v/>
      </c>
      <c r="N196" s="27" t="str">
        <f aca="false">IF(OR($A196="",$K196=0),"",ROUND($J196*INDEX(研发人员工时分配表!$H$6:$H$245,$AA196)/$K196,2))</f>
        <v/>
      </c>
      <c r="O196" s="27" t="str">
        <f aca="false">IF(OR($A196="",$K196=0),"",ROUND($J196*INDEX(研发人员工时分配表!$I$6:$I$245,$AA196)/$K196,2))</f>
        <v/>
      </c>
      <c r="P196" s="27" t="str">
        <f aca="false">IF(OR($A196="",$K196=0),"",ROUND($J196*INDEX(研发人员工时分配表!$J$6:$J$245,$AA196)/$K196,2))</f>
        <v/>
      </c>
      <c r="Q196" s="27" t="str">
        <f aca="false">IF(OR($A196="",$K196=0),"",ROUND($J196*INDEX(研发人员工时分配表!$K$6:$K$245,$AA196)/$K196,2))</f>
        <v/>
      </c>
      <c r="R196" s="27" t="str">
        <f aca="false">IF(OR($A196="",$K196=0),"",ROUND($J196*INDEX(研发人员工时分配表!$L$6:$L$245,$AA196)/$K196,2))</f>
        <v/>
      </c>
      <c r="S196" s="27" t="str">
        <f aca="false">IF(OR($A196="",$K196=0),"",ROUND($J196*INDEX(研发人员工时分配表!$M$6:$M$245,$AA196)/$K196,2))</f>
        <v/>
      </c>
      <c r="T196" s="27" t="str">
        <f aca="false">IF(OR($A196="",$K196=0),"",ROUND($J196*INDEX(研发人员工时分配表!$N$6:$N$245,$AA196)/$K196,2))</f>
        <v/>
      </c>
      <c r="U196" s="27" t="str">
        <f aca="false">IF(OR($A196="",$K196=0),"",ROUND($J196*INDEX(研发人员工时分配表!$O$6:$O$245,$AA196)/$K196,2))</f>
        <v/>
      </c>
      <c r="V196" s="27" t="str">
        <f aca="false">IF(OR($A196="",$K196=0),"",ROUND($J196*INDEX(研发人员工时分配表!$P$6:$P$245,$AA196)/$K196,2))</f>
        <v/>
      </c>
      <c r="W196" s="27" t="str">
        <f aca="false">IF(OR($A196="",$K196=0),"",ROUND($J196*INDEX(研发人员工时分配表!$Q$6:$Q$245,$AA196)/$K196,2))</f>
        <v/>
      </c>
      <c r="X196" s="27" t="str">
        <f aca="false">IF($A196="","",ROUND(SUM(N196:W196),2))</f>
        <v/>
      </c>
      <c r="Y196" s="27" t="str">
        <f aca="false">IF($A196="","",ROUND($J196-X196,2))</f>
        <v/>
      </c>
      <c r="Z196" s="43" t="str">
        <f aca="false">IF($A196="","",IF($AA196=0,"⚠ 工时分配表无此人当月记录",IF($AB196&gt;1,"⚠ 工时分配表存在重复行","√ 正常")))</f>
        <v/>
      </c>
      <c r="AA196" s="47" t="n">
        <f aca="false">IF($A196="",0,IFERROR(MATCH($A196&amp;"|"&amp;$B196,研发人员工时分配表!$W$6:$W$245,0),0))</f>
        <v>0</v>
      </c>
      <c r="AB196" s="47" t="n">
        <f aca="false">IF($A196="",0,COUNTIFS(研发人员工时分配表!$A$6:$A$245,$A196,研发人员工时分配表!$B$6:$B$245,$B196))</f>
        <v>0</v>
      </c>
    </row>
    <row r="197" customFormat="false" ht="18" hidden="false" customHeight="true" outlineLevel="0" collapsed="false">
      <c r="A197" s="36"/>
      <c r="B197" s="36"/>
      <c r="C197" s="43" t="str">
        <f aca="false">IF($B197="","",IFERROR(VLOOKUP($B197,人员名册!$B$4:$G$53,2,0)&amp;"","名册中未登记"))</f>
        <v/>
      </c>
      <c r="D197" s="43" t="str">
        <f aca="false">IF($B197="","",IFERROR(VLOOKUP($B197,人员名册!$B$4:$G$53,5,0)&amp;"",""))</f>
        <v/>
      </c>
      <c r="E197" s="25"/>
      <c r="F197" s="25"/>
      <c r="G197" s="25"/>
      <c r="H197" s="25"/>
      <c r="I197" s="25"/>
      <c r="J197" s="27" t="str">
        <f aca="false">IF($A197="","",ROUND(SUM(E197:I197),2))</f>
        <v/>
      </c>
      <c r="K197" s="45" t="n">
        <f aca="false">IF(OR($A197="",$AA197=0),0,INDEX(研发人员工时分配表!$F$6:$F$245,$AA197))</f>
        <v>0</v>
      </c>
      <c r="L197" s="45" t="n">
        <f aca="false">IF(OR($A197="",$AA197=0),0,INDEX(研发人员工时分配表!$R$6:$R$245,$AA197))</f>
        <v>0</v>
      </c>
      <c r="M197" s="28" t="str">
        <f aca="false">IF(OR($A197="",$K197=0),"",$L197/$K197)</f>
        <v/>
      </c>
      <c r="N197" s="27" t="str">
        <f aca="false">IF(OR($A197="",$K197=0),"",ROUND($J197*INDEX(研发人员工时分配表!$H$6:$H$245,$AA197)/$K197,2))</f>
        <v/>
      </c>
      <c r="O197" s="27" t="str">
        <f aca="false">IF(OR($A197="",$K197=0),"",ROUND($J197*INDEX(研发人员工时分配表!$I$6:$I$245,$AA197)/$K197,2))</f>
        <v/>
      </c>
      <c r="P197" s="27" t="str">
        <f aca="false">IF(OR($A197="",$K197=0),"",ROUND($J197*INDEX(研发人员工时分配表!$J$6:$J$245,$AA197)/$K197,2))</f>
        <v/>
      </c>
      <c r="Q197" s="27" t="str">
        <f aca="false">IF(OR($A197="",$K197=0),"",ROUND($J197*INDEX(研发人员工时分配表!$K$6:$K$245,$AA197)/$K197,2))</f>
        <v/>
      </c>
      <c r="R197" s="27" t="str">
        <f aca="false">IF(OR($A197="",$K197=0),"",ROUND($J197*INDEX(研发人员工时分配表!$L$6:$L$245,$AA197)/$K197,2))</f>
        <v/>
      </c>
      <c r="S197" s="27" t="str">
        <f aca="false">IF(OR($A197="",$K197=0),"",ROUND($J197*INDEX(研发人员工时分配表!$M$6:$M$245,$AA197)/$K197,2))</f>
        <v/>
      </c>
      <c r="T197" s="27" t="str">
        <f aca="false">IF(OR($A197="",$K197=0),"",ROUND($J197*INDEX(研发人员工时分配表!$N$6:$N$245,$AA197)/$K197,2))</f>
        <v/>
      </c>
      <c r="U197" s="27" t="str">
        <f aca="false">IF(OR($A197="",$K197=0),"",ROUND($J197*INDEX(研发人员工时分配表!$O$6:$O$245,$AA197)/$K197,2))</f>
        <v/>
      </c>
      <c r="V197" s="27" t="str">
        <f aca="false">IF(OR($A197="",$K197=0),"",ROUND($J197*INDEX(研发人员工时分配表!$P$6:$P$245,$AA197)/$K197,2))</f>
        <v/>
      </c>
      <c r="W197" s="27" t="str">
        <f aca="false">IF(OR($A197="",$K197=0),"",ROUND($J197*INDEX(研发人员工时分配表!$Q$6:$Q$245,$AA197)/$K197,2))</f>
        <v/>
      </c>
      <c r="X197" s="27" t="str">
        <f aca="false">IF($A197="","",ROUND(SUM(N197:W197),2))</f>
        <v/>
      </c>
      <c r="Y197" s="27" t="str">
        <f aca="false">IF($A197="","",ROUND($J197-X197,2))</f>
        <v/>
      </c>
      <c r="Z197" s="43" t="str">
        <f aca="false">IF($A197="","",IF($AA197=0,"⚠ 工时分配表无此人当月记录",IF($AB197&gt;1,"⚠ 工时分配表存在重复行","√ 正常")))</f>
        <v/>
      </c>
      <c r="AA197" s="47" t="n">
        <f aca="false">IF($A197="",0,IFERROR(MATCH($A197&amp;"|"&amp;$B197,研发人员工时分配表!$W$6:$W$245,0),0))</f>
        <v>0</v>
      </c>
      <c r="AB197" s="47" t="n">
        <f aca="false">IF($A197="",0,COUNTIFS(研发人员工时分配表!$A$6:$A$245,$A197,研发人员工时分配表!$B$6:$B$245,$B197))</f>
        <v>0</v>
      </c>
    </row>
    <row r="198" customFormat="false" ht="18" hidden="false" customHeight="true" outlineLevel="0" collapsed="false">
      <c r="A198" s="36"/>
      <c r="B198" s="36"/>
      <c r="C198" s="43" t="str">
        <f aca="false">IF($B198="","",IFERROR(VLOOKUP($B198,人员名册!$B$4:$G$53,2,0)&amp;"","名册中未登记"))</f>
        <v/>
      </c>
      <c r="D198" s="43" t="str">
        <f aca="false">IF($B198="","",IFERROR(VLOOKUP($B198,人员名册!$B$4:$G$53,5,0)&amp;"",""))</f>
        <v/>
      </c>
      <c r="E198" s="25"/>
      <c r="F198" s="25"/>
      <c r="G198" s="25"/>
      <c r="H198" s="25"/>
      <c r="I198" s="25"/>
      <c r="J198" s="27" t="str">
        <f aca="false">IF($A198="","",ROUND(SUM(E198:I198),2))</f>
        <v/>
      </c>
      <c r="K198" s="45" t="n">
        <f aca="false">IF(OR($A198="",$AA198=0),0,INDEX(研发人员工时分配表!$F$6:$F$245,$AA198))</f>
        <v>0</v>
      </c>
      <c r="L198" s="45" t="n">
        <f aca="false">IF(OR($A198="",$AA198=0),0,INDEX(研发人员工时分配表!$R$6:$R$245,$AA198))</f>
        <v>0</v>
      </c>
      <c r="M198" s="28" t="str">
        <f aca="false">IF(OR($A198="",$K198=0),"",$L198/$K198)</f>
        <v/>
      </c>
      <c r="N198" s="27" t="str">
        <f aca="false">IF(OR($A198="",$K198=0),"",ROUND($J198*INDEX(研发人员工时分配表!$H$6:$H$245,$AA198)/$K198,2))</f>
        <v/>
      </c>
      <c r="O198" s="27" t="str">
        <f aca="false">IF(OR($A198="",$K198=0),"",ROUND($J198*INDEX(研发人员工时分配表!$I$6:$I$245,$AA198)/$K198,2))</f>
        <v/>
      </c>
      <c r="P198" s="27" t="str">
        <f aca="false">IF(OR($A198="",$K198=0),"",ROUND($J198*INDEX(研发人员工时分配表!$J$6:$J$245,$AA198)/$K198,2))</f>
        <v/>
      </c>
      <c r="Q198" s="27" t="str">
        <f aca="false">IF(OR($A198="",$K198=0),"",ROUND($J198*INDEX(研发人员工时分配表!$K$6:$K$245,$AA198)/$K198,2))</f>
        <v/>
      </c>
      <c r="R198" s="27" t="str">
        <f aca="false">IF(OR($A198="",$K198=0),"",ROUND($J198*INDEX(研发人员工时分配表!$L$6:$L$245,$AA198)/$K198,2))</f>
        <v/>
      </c>
      <c r="S198" s="27" t="str">
        <f aca="false">IF(OR($A198="",$K198=0),"",ROUND($J198*INDEX(研发人员工时分配表!$M$6:$M$245,$AA198)/$K198,2))</f>
        <v/>
      </c>
      <c r="T198" s="27" t="str">
        <f aca="false">IF(OR($A198="",$K198=0),"",ROUND($J198*INDEX(研发人员工时分配表!$N$6:$N$245,$AA198)/$K198,2))</f>
        <v/>
      </c>
      <c r="U198" s="27" t="str">
        <f aca="false">IF(OR($A198="",$K198=0),"",ROUND($J198*INDEX(研发人员工时分配表!$O$6:$O$245,$AA198)/$K198,2))</f>
        <v/>
      </c>
      <c r="V198" s="27" t="str">
        <f aca="false">IF(OR($A198="",$K198=0),"",ROUND($J198*INDEX(研发人员工时分配表!$P$6:$P$245,$AA198)/$K198,2))</f>
        <v/>
      </c>
      <c r="W198" s="27" t="str">
        <f aca="false">IF(OR($A198="",$K198=0),"",ROUND($J198*INDEX(研发人员工时分配表!$Q$6:$Q$245,$AA198)/$K198,2))</f>
        <v/>
      </c>
      <c r="X198" s="27" t="str">
        <f aca="false">IF($A198="","",ROUND(SUM(N198:W198),2))</f>
        <v/>
      </c>
      <c r="Y198" s="27" t="str">
        <f aca="false">IF($A198="","",ROUND($J198-X198,2))</f>
        <v/>
      </c>
      <c r="Z198" s="43" t="str">
        <f aca="false">IF($A198="","",IF($AA198=0,"⚠ 工时分配表无此人当月记录",IF($AB198&gt;1,"⚠ 工时分配表存在重复行","√ 正常")))</f>
        <v/>
      </c>
      <c r="AA198" s="47" t="n">
        <f aca="false">IF($A198="",0,IFERROR(MATCH($A198&amp;"|"&amp;$B198,研发人员工时分配表!$W$6:$W$245,0),0))</f>
        <v>0</v>
      </c>
      <c r="AB198" s="47" t="n">
        <f aca="false">IF($A198="",0,COUNTIFS(研发人员工时分配表!$A$6:$A$245,$A198,研发人员工时分配表!$B$6:$B$245,$B198))</f>
        <v>0</v>
      </c>
    </row>
    <row r="199" customFormat="false" ht="18" hidden="false" customHeight="true" outlineLevel="0" collapsed="false">
      <c r="A199" s="36"/>
      <c r="B199" s="36"/>
      <c r="C199" s="43" t="str">
        <f aca="false">IF($B199="","",IFERROR(VLOOKUP($B199,人员名册!$B$4:$G$53,2,0)&amp;"","名册中未登记"))</f>
        <v/>
      </c>
      <c r="D199" s="43" t="str">
        <f aca="false">IF($B199="","",IFERROR(VLOOKUP($B199,人员名册!$B$4:$G$53,5,0)&amp;"",""))</f>
        <v/>
      </c>
      <c r="E199" s="25"/>
      <c r="F199" s="25"/>
      <c r="G199" s="25"/>
      <c r="H199" s="25"/>
      <c r="I199" s="25"/>
      <c r="J199" s="27" t="str">
        <f aca="false">IF($A199="","",ROUND(SUM(E199:I199),2))</f>
        <v/>
      </c>
      <c r="K199" s="45" t="n">
        <f aca="false">IF(OR($A199="",$AA199=0),0,INDEX(研发人员工时分配表!$F$6:$F$245,$AA199))</f>
        <v>0</v>
      </c>
      <c r="L199" s="45" t="n">
        <f aca="false">IF(OR($A199="",$AA199=0),0,INDEX(研发人员工时分配表!$R$6:$R$245,$AA199))</f>
        <v>0</v>
      </c>
      <c r="M199" s="28" t="str">
        <f aca="false">IF(OR($A199="",$K199=0),"",$L199/$K199)</f>
        <v/>
      </c>
      <c r="N199" s="27" t="str">
        <f aca="false">IF(OR($A199="",$K199=0),"",ROUND($J199*INDEX(研发人员工时分配表!$H$6:$H$245,$AA199)/$K199,2))</f>
        <v/>
      </c>
      <c r="O199" s="27" t="str">
        <f aca="false">IF(OR($A199="",$K199=0),"",ROUND($J199*INDEX(研发人员工时分配表!$I$6:$I$245,$AA199)/$K199,2))</f>
        <v/>
      </c>
      <c r="P199" s="27" t="str">
        <f aca="false">IF(OR($A199="",$K199=0),"",ROUND($J199*INDEX(研发人员工时分配表!$J$6:$J$245,$AA199)/$K199,2))</f>
        <v/>
      </c>
      <c r="Q199" s="27" t="str">
        <f aca="false">IF(OR($A199="",$K199=0),"",ROUND($J199*INDEX(研发人员工时分配表!$K$6:$K$245,$AA199)/$K199,2))</f>
        <v/>
      </c>
      <c r="R199" s="27" t="str">
        <f aca="false">IF(OR($A199="",$K199=0),"",ROUND($J199*INDEX(研发人员工时分配表!$L$6:$L$245,$AA199)/$K199,2))</f>
        <v/>
      </c>
      <c r="S199" s="27" t="str">
        <f aca="false">IF(OR($A199="",$K199=0),"",ROUND($J199*INDEX(研发人员工时分配表!$M$6:$M$245,$AA199)/$K199,2))</f>
        <v/>
      </c>
      <c r="T199" s="27" t="str">
        <f aca="false">IF(OR($A199="",$K199=0),"",ROUND($J199*INDEX(研发人员工时分配表!$N$6:$N$245,$AA199)/$K199,2))</f>
        <v/>
      </c>
      <c r="U199" s="27" t="str">
        <f aca="false">IF(OR($A199="",$K199=0),"",ROUND($J199*INDEX(研发人员工时分配表!$O$6:$O$245,$AA199)/$K199,2))</f>
        <v/>
      </c>
      <c r="V199" s="27" t="str">
        <f aca="false">IF(OR($A199="",$K199=0),"",ROUND($J199*INDEX(研发人员工时分配表!$P$6:$P$245,$AA199)/$K199,2))</f>
        <v/>
      </c>
      <c r="W199" s="27" t="str">
        <f aca="false">IF(OR($A199="",$K199=0),"",ROUND($J199*INDEX(研发人员工时分配表!$Q$6:$Q$245,$AA199)/$K199,2))</f>
        <v/>
      </c>
      <c r="X199" s="27" t="str">
        <f aca="false">IF($A199="","",ROUND(SUM(N199:W199),2))</f>
        <v/>
      </c>
      <c r="Y199" s="27" t="str">
        <f aca="false">IF($A199="","",ROUND($J199-X199,2))</f>
        <v/>
      </c>
      <c r="Z199" s="43" t="str">
        <f aca="false">IF($A199="","",IF($AA199=0,"⚠ 工时分配表无此人当月记录",IF($AB199&gt;1,"⚠ 工时分配表存在重复行","√ 正常")))</f>
        <v/>
      </c>
      <c r="AA199" s="47" t="n">
        <f aca="false">IF($A199="",0,IFERROR(MATCH($A199&amp;"|"&amp;$B199,研发人员工时分配表!$W$6:$W$245,0),0))</f>
        <v>0</v>
      </c>
      <c r="AB199" s="47" t="n">
        <f aca="false">IF($A199="",0,COUNTIFS(研发人员工时分配表!$A$6:$A$245,$A199,研发人员工时分配表!$B$6:$B$245,$B199))</f>
        <v>0</v>
      </c>
    </row>
    <row r="200" customFormat="false" ht="18" hidden="false" customHeight="true" outlineLevel="0" collapsed="false">
      <c r="A200" s="36"/>
      <c r="B200" s="36"/>
      <c r="C200" s="43" t="str">
        <f aca="false">IF($B200="","",IFERROR(VLOOKUP($B200,人员名册!$B$4:$G$53,2,0)&amp;"","名册中未登记"))</f>
        <v/>
      </c>
      <c r="D200" s="43" t="str">
        <f aca="false">IF($B200="","",IFERROR(VLOOKUP($B200,人员名册!$B$4:$G$53,5,0)&amp;"",""))</f>
        <v/>
      </c>
      <c r="E200" s="25"/>
      <c r="F200" s="25"/>
      <c r="G200" s="25"/>
      <c r="H200" s="25"/>
      <c r="I200" s="25"/>
      <c r="J200" s="27" t="str">
        <f aca="false">IF($A200="","",ROUND(SUM(E200:I200),2))</f>
        <v/>
      </c>
      <c r="K200" s="45" t="n">
        <f aca="false">IF(OR($A200="",$AA200=0),0,INDEX(研发人员工时分配表!$F$6:$F$245,$AA200))</f>
        <v>0</v>
      </c>
      <c r="L200" s="45" t="n">
        <f aca="false">IF(OR($A200="",$AA200=0),0,INDEX(研发人员工时分配表!$R$6:$R$245,$AA200))</f>
        <v>0</v>
      </c>
      <c r="M200" s="28" t="str">
        <f aca="false">IF(OR($A200="",$K200=0),"",$L200/$K200)</f>
        <v/>
      </c>
      <c r="N200" s="27" t="str">
        <f aca="false">IF(OR($A200="",$K200=0),"",ROUND($J200*INDEX(研发人员工时分配表!$H$6:$H$245,$AA200)/$K200,2))</f>
        <v/>
      </c>
      <c r="O200" s="27" t="str">
        <f aca="false">IF(OR($A200="",$K200=0),"",ROUND($J200*INDEX(研发人员工时分配表!$I$6:$I$245,$AA200)/$K200,2))</f>
        <v/>
      </c>
      <c r="P200" s="27" t="str">
        <f aca="false">IF(OR($A200="",$K200=0),"",ROUND($J200*INDEX(研发人员工时分配表!$J$6:$J$245,$AA200)/$K200,2))</f>
        <v/>
      </c>
      <c r="Q200" s="27" t="str">
        <f aca="false">IF(OR($A200="",$K200=0),"",ROUND($J200*INDEX(研发人员工时分配表!$K$6:$K$245,$AA200)/$K200,2))</f>
        <v/>
      </c>
      <c r="R200" s="27" t="str">
        <f aca="false">IF(OR($A200="",$K200=0),"",ROUND($J200*INDEX(研发人员工时分配表!$L$6:$L$245,$AA200)/$K200,2))</f>
        <v/>
      </c>
      <c r="S200" s="27" t="str">
        <f aca="false">IF(OR($A200="",$K200=0),"",ROUND($J200*INDEX(研发人员工时分配表!$M$6:$M$245,$AA200)/$K200,2))</f>
        <v/>
      </c>
      <c r="T200" s="27" t="str">
        <f aca="false">IF(OR($A200="",$K200=0),"",ROUND($J200*INDEX(研发人员工时分配表!$N$6:$N$245,$AA200)/$K200,2))</f>
        <v/>
      </c>
      <c r="U200" s="27" t="str">
        <f aca="false">IF(OR($A200="",$K200=0),"",ROUND($J200*INDEX(研发人员工时分配表!$O$6:$O$245,$AA200)/$K200,2))</f>
        <v/>
      </c>
      <c r="V200" s="27" t="str">
        <f aca="false">IF(OR($A200="",$K200=0),"",ROUND($J200*INDEX(研发人员工时分配表!$P$6:$P$245,$AA200)/$K200,2))</f>
        <v/>
      </c>
      <c r="W200" s="27" t="str">
        <f aca="false">IF(OR($A200="",$K200=0),"",ROUND($J200*INDEX(研发人员工时分配表!$Q$6:$Q$245,$AA200)/$K200,2))</f>
        <v/>
      </c>
      <c r="X200" s="27" t="str">
        <f aca="false">IF($A200="","",ROUND(SUM(N200:W200),2))</f>
        <v/>
      </c>
      <c r="Y200" s="27" t="str">
        <f aca="false">IF($A200="","",ROUND($J200-X200,2))</f>
        <v/>
      </c>
      <c r="Z200" s="43" t="str">
        <f aca="false">IF($A200="","",IF($AA200=0,"⚠ 工时分配表无此人当月记录",IF($AB200&gt;1,"⚠ 工时分配表存在重复行","√ 正常")))</f>
        <v/>
      </c>
      <c r="AA200" s="47" t="n">
        <f aca="false">IF($A200="",0,IFERROR(MATCH($A200&amp;"|"&amp;$B200,研发人员工时分配表!$W$6:$W$245,0),0))</f>
        <v>0</v>
      </c>
      <c r="AB200" s="47" t="n">
        <f aca="false">IF($A200="",0,COUNTIFS(研发人员工时分配表!$A$6:$A$245,$A200,研发人员工时分配表!$B$6:$B$245,$B200))</f>
        <v>0</v>
      </c>
    </row>
    <row r="201" customFormat="false" ht="18" hidden="false" customHeight="true" outlineLevel="0" collapsed="false">
      <c r="A201" s="36"/>
      <c r="B201" s="36"/>
      <c r="C201" s="43" t="str">
        <f aca="false">IF($B201="","",IFERROR(VLOOKUP($B201,人员名册!$B$4:$G$53,2,0)&amp;"","名册中未登记"))</f>
        <v/>
      </c>
      <c r="D201" s="43" t="str">
        <f aca="false">IF($B201="","",IFERROR(VLOOKUP($B201,人员名册!$B$4:$G$53,5,0)&amp;"",""))</f>
        <v/>
      </c>
      <c r="E201" s="25"/>
      <c r="F201" s="25"/>
      <c r="G201" s="25"/>
      <c r="H201" s="25"/>
      <c r="I201" s="25"/>
      <c r="J201" s="27" t="str">
        <f aca="false">IF($A201="","",ROUND(SUM(E201:I201),2))</f>
        <v/>
      </c>
      <c r="K201" s="45" t="n">
        <f aca="false">IF(OR($A201="",$AA201=0),0,INDEX(研发人员工时分配表!$F$6:$F$245,$AA201))</f>
        <v>0</v>
      </c>
      <c r="L201" s="45" t="n">
        <f aca="false">IF(OR($A201="",$AA201=0),0,INDEX(研发人员工时分配表!$R$6:$R$245,$AA201))</f>
        <v>0</v>
      </c>
      <c r="M201" s="28" t="str">
        <f aca="false">IF(OR($A201="",$K201=0),"",$L201/$K201)</f>
        <v/>
      </c>
      <c r="N201" s="27" t="str">
        <f aca="false">IF(OR($A201="",$K201=0),"",ROUND($J201*INDEX(研发人员工时分配表!$H$6:$H$245,$AA201)/$K201,2))</f>
        <v/>
      </c>
      <c r="O201" s="27" t="str">
        <f aca="false">IF(OR($A201="",$K201=0),"",ROUND($J201*INDEX(研发人员工时分配表!$I$6:$I$245,$AA201)/$K201,2))</f>
        <v/>
      </c>
      <c r="P201" s="27" t="str">
        <f aca="false">IF(OR($A201="",$K201=0),"",ROUND($J201*INDEX(研发人员工时分配表!$J$6:$J$245,$AA201)/$K201,2))</f>
        <v/>
      </c>
      <c r="Q201" s="27" t="str">
        <f aca="false">IF(OR($A201="",$K201=0),"",ROUND($J201*INDEX(研发人员工时分配表!$K$6:$K$245,$AA201)/$K201,2))</f>
        <v/>
      </c>
      <c r="R201" s="27" t="str">
        <f aca="false">IF(OR($A201="",$K201=0),"",ROUND($J201*INDEX(研发人员工时分配表!$L$6:$L$245,$AA201)/$K201,2))</f>
        <v/>
      </c>
      <c r="S201" s="27" t="str">
        <f aca="false">IF(OR($A201="",$K201=0),"",ROUND($J201*INDEX(研发人员工时分配表!$M$6:$M$245,$AA201)/$K201,2))</f>
        <v/>
      </c>
      <c r="T201" s="27" t="str">
        <f aca="false">IF(OR($A201="",$K201=0),"",ROUND($J201*INDEX(研发人员工时分配表!$N$6:$N$245,$AA201)/$K201,2))</f>
        <v/>
      </c>
      <c r="U201" s="27" t="str">
        <f aca="false">IF(OR($A201="",$K201=0),"",ROUND($J201*INDEX(研发人员工时分配表!$O$6:$O$245,$AA201)/$K201,2))</f>
        <v/>
      </c>
      <c r="V201" s="27" t="str">
        <f aca="false">IF(OR($A201="",$K201=0),"",ROUND($J201*INDEX(研发人员工时分配表!$P$6:$P$245,$AA201)/$K201,2))</f>
        <v/>
      </c>
      <c r="W201" s="27" t="str">
        <f aca="false">IF(OR($A201="",$K201=0),"",ROUND($J201*INDEX(研发人员工时分配表!$Q$6:$Q$245,$AA201)/$K201,2))</f>
        <v/>
      </c>
      <c r="X201" s="27" t="str">
        <f aca="false">IF($A201="","",ROUND(SUM(N201:W201),2))</f>
        <v/>
      </c>
      <c r="Y201" s="27" t="str">
        <f aca="false">IF($A201="","",ROUND($J201-X201,2))</f>
        <v/>
      </c>
      <c r="Z201" s="43" t="str">
        <f aca="false">IF($A201="","",IF($AA201=0,"⚠ 工时分配表无此人当月记录",IF($AB201&gt;1,"⚠ 工时分配表存在重复行","√ 正常")))</f>
        <v/>
      </c>
      <c r="AA201" s="47" t="n">
        <f aca="false">IF($A201="",0,IFERROR(MATCH($A201&amp;"|"&amp;$B201,研发人员工时分配表!$W$6:$W$245,0),0))</f>
        <v>0</v>
      </c>
      <c r="AB201" s="47" t="n">
        <f aca="false">IF($A201="",0,COUNTIFS(研发人员工时分配表!$A$6:$A$245,$A201,研发人员工时分配表!$B$6:$B$245,$B201))</f>
        <v>0</v>
      </c>
    </row>
    <row r="202" customFormat="false" ht="18" hidden="false" customHeight="true" outlineLevel="0" collapsed="false">
      <c r="A202" s="36"/>
      <c r="B202" s="36"/>
      <c r="C202" s="43" t="str">
        <f aca="false">IF($B202="","",IFERROR(VLOOKUP($B202,人员名册!$B$4:$G$53,2,0)&amp;"","名册中未登记"))</f>
        <v/>
      </c>
      <c r="D202" s="43" t="str">
        <f aca="false">IF($B202="","",IFERROR(VLOOKUP($B202,人员名册!$B$4:$G$53,5,0)&amp;"",""))</f>
        <v/>
      </c>
      <c r="E202" s="25"/>
      <c r="F202" s="25"/>
      <c r="G202" s="25"/>
      <c r="H202" s="25"/>
      <c r="I202" s="25"/>
      <c r="J202" s="27" t="str">
        <f aca="false">IF($A202="","",ROUND(SUM(E202:I202),2))</f>
        <v/>
      </c>
      <c r="K202" s="45" t="n">
        <f aca="false">IF(OR($A202="",$AA202=0),0,INDEX(研发人员工时分配表!$F$6:$F$245,$AA202))</f>
        <v>0</v>
      </c>
      <c r="L202" s="45" t="n">
        <f aca="false">IF(OR($A202="",$AA202=0),0,INDEX(研发人员工时分配表!$R$6:$R$245,$AA202))</f>
        <v>0</v>
      </c>
      <c r="M202" s="28" t="str">
        <f aca="false">IF(OR($A202="",$K202=0),"",$L202/$K202)</f>
        <v/>
      </c>
      <c r="N202" s="27" t="str">
        <f aca="false">IF(OR($A202="",$K202=0),"",ROUND($J202*INDEX(研发人员工时分配表!$H$6:$H$245,$AA202)/$K202,2))</f>
        <v/>
      </c>
      <c r="O202" s="27" t="str">
        <f aca="false">IF(OR($A202="",$K202=0),"",ROUND($J202*INDEX(研发人员工时分配表!$I$6:$I$245,$AA202)/$K202,2))</f>
        <v/>
      </c>
      <c r="P202" s="27" t="str">
        <f aca="false">IF(OR($A202="",$K202=0),"",ROUND($J202*INDEX(研发人员工时分配表!$J$6:$J$245,$AA202)/$K202,2))</f>
        <v/>
      </c>
      <c r="Q202" s="27" t="str">
        <f aca="false">IF(OR($A202="",$K202=0),"",ROUND($J202*INDEX(研发人员工时分配表!$K$6:$K$245,$AA202)/$K202,2))</f>
        <v/>
      </c>
      <c r="R202" s="27" t="str">
        <f aca="false">IF(OR($A202="",$K202=0),"",ROUND($J202*INDEX(研发人员工时分配表!$L$6:$L$245,$AA202)/$K202,2))</f>
        <v/>
      </c>
      <c r="S202" s="27" t="str">
        <f aca="false">IF(OR($A202="",$K202=0),"",ROUND($J202*INDEX(研发人员工时分配表!$M$6:$M$245,$AA202)/$K202,2))</f>
        <v/>
      </c>
      <c r="T202" s="27" t="str">
        <f aca="false">IF(OR($A202="",$K202=0),"",ROUND($J202*INDEX(研发人员工时分配表!$N$6:$N$245,$AA202)/$K202,2))</f>
        <v/>
      </c>
      <c r="U202" s="27" t="str">
        <f aca="false">IF(OR($A202="",$K202=0),"",ROUND($J202*INDEX(研发人员工时分配表!$O$6:$O$245,$AA202)/$K202,2))</f>
        <v/>
      </c>
      <c r="V202" s="27" t="str">
        <f aca="false">IF(OR($A202="",$K202=0),"",ROUND($J202*INDEX(研发人员工时分配表!$P$6:$P$245,$AA202)/$K202,2))</f>
        <v/>
      </c>
      <c r="W202" s="27" t="str">
        <f aca="false">IF(OR($A202="",$K202=0),"",ROUND($J202*INDEX(研发人员工时分配表!$Q$6:$Q$245,$AA202)/$K202,2))</f>
        <v/>
      </c>
      <c r="X202" s="27" t="str">
        <f aca="false">IF($A202="","",ROUND(SUM(N202:W202),2))</f>
        <v/>
      </c>
      <c r="Y202" s="27" t="str">
        <f aca="false">IF($A202="","",ROUND($J202-X202,2))</f>
        <v/>
      </c>
      <c r="Z202" s="43" t="str">
        <f aca="false">IF($A202="","",IF($AA202=0,"⚠ 工时分配表无此人当月记录",IF($AB202&gt;1,"⚠ 工时分配表存在重复行","√ 正常")))</f>
        <v/>
      </c>
      <c r="AA202" s="47" t="n">
        <f aca="false">IF($A202="",0,IFERROR(MATCH($A202&amp;"|"&amp;$B202,研发人员工时分配表!$W$6:$W$245,0),0))</f>
        <v>0</v>
      </c>
      <c r="AB202" s="47" t="n">
        <f aca="false">IF($A202="",0,COUNTIFS(研发人员工时分配表!$A$6:$A$245,$A202,研发人员工时分配表!$B$6:$B$245,$B202))</f>
        <v>0</v>
      </c>
    </row>
    <row r="203" customFormat="false" ht="18" hidden="false" customHeight="true" outlineLevel="0" collapsed="false">
      <c r="A203" s="36"/>
      <c r="B203" s="36"/>
      <c r="C203" s="43" t="str">
        <f aca="false">IF($B203="","",IFERROR(VLOOKUP($B203,人员名册!$B$4:$G$53,2,0)&amp;"","名册中未登记"))</f>
        <v/>
      </c>
      <c r="D203" s="43" t="str">
        <f aca="false">IF($B203="","",IFERROR(VLOOKUP($B203,人员名册!$B$4:$G$53,5,0)&amp;"",""))</f>
        <v/>
      </c>
      <c r="E203" s="25"/>
      <c r="F203" s="25"/>
      <c r="G203" s="25"/>
      <c r="H203" s="25"/>
      <c r="I203" s="25"/>
      <c r="J203" s="27" t="str">
        <f aca="false">IF($A203="","",ROUND(SUM(E203:I203),2))</f>
        <v/>
      </c>
      <c r="K203" s="45" t="n">
        <f aca="false">IF(OR($A203="",$AA203=0),0,INDEX(研发人员工时分配表!$F$6:$F$245,$AA203))</f>
        <v>0</v>
      </c>
      <c r="L203" s="45" t="n">
        <f aca="false">IF(OR($A203="",$AA203=0),0,INDEX(研发人员工时分配表!$R$6:$R$245,$AA203))</f>
        <v>0</v>
      </c>
      <c r="M203" s="28" t="str">
        <f aca="false">IF(OR($A203="",$K203=0),"",$L203/$K203)</f>
        <v/>
      </c>
      <c r="N203" s="27" t="str">
        <f aca="false">IF(OR($A203="",$K203=0),"",ROUND($J203*INDEX(研发人员工时分配表!$H$6:$H$245,$AA203)/$K203,2))</f>
        <v/>
      </c>
      <c r="O203" s="27" t="str">
        <f aca="false">IF(OR($A203="",$K203=0),"",ROUND($J203*INDEX(研发人员工时分配表!$I$6:$I$245,$AA203)/$K203,2))</f>
        <v/>
      </c>
      <c r="P203" s="27" t="str">
        <f aca="false">IF(OR($A203="",$K203=0),"",ROUND($J203*INDEX(研发人员工时分配表!$J$6:$J$245,$AA203)/$K203,2))</f>
        <v/>
      </c>
      <c r="Q203" s="27" t="str">
        <f aca="false">IF(OR($A203="",$K203=0),"",ROUND($J203*INDEX(研发人员工时分配表!$K$6:$K$245,$AA203)/$K203,2))</f>
        <v/>
      </c>
      <c r="R203" s="27" t="str">
        <f aca="false">IF(OR($A203="",$K203=0),"",ROUND($J203*INDEX(研发人员工时分配表!$L$6:$L$245,$AA203)/$K203,2))</f>
        <v/>
      </c>
      <c r="S203" s="27" t="str">
        <f aca="false">IF(OR($A203="",$K203=0),"",ROUND($J203*INDEX(研发人员工时分配表!$M$6:$M$245,$AA203)/$K203,2))</f>
        <v/>
      </c>
      <c r="T203" s="27" t="str">
        <f aca="false">IF(OR($A203="",$K203=0),"",ROUND($J203*INDEX(研发人员工时分配表!$N$6:$N$245,$AA203)/$K203,2))</f>
        <v/>
      </c>
      <c r="U203" s="27" t="str">
        <f aca="false">IF(OR($A203="",$K203=0),"",ROUND($J203*INDEX(研发人员工时分配表!$O$6:$O$245,$AA203)/$K203,2))</f>
        <v/>
      </c>
      <c r="V203" s="27" t="str">
        <f aca="false">IF(OR($A203="",$K203=0),"",ROUND($J203*INDEX(研发人员工时分配表!$P$6:$P$245,$AA203)/$K203,2))</f>
        <v/>
      </c>
      <c r="W203" s="27" t="str">
        <f aca="false">IF(OR($A203="",$K203=0),"",ROUND($J203*INDEX(研发人员工时分配表!$Q$6:$Q$245,$AA203)/$K203,2))</f>
        <v/>
      </c>
      <c r="X203" s="27" t="str">
        <f aca="false">IF($A203="","",ROUND(SUM(N203:W203),2))</f>
        <v/>
      </c>
      <c r="Y203" s="27" t="str">
        <f aca="false">IF($A203="","",ROUND($J203-X203,2))</f>
        <v/>
      </c>
      <c r="Z203" s="43" t="str">
        <f aca="false">IF($A203="","",IF($AA203=0,"⚠ 工时分配表无此人当月记录",IF($AB203&gt;1,"⚠ 工时分配表存在重复行","√ 正常")))</f>
        <v/>
      </c>
      <c r="AA203" s="47" t="n">
        <f aca="false">IF($A203="",0,IFERROR(MATCH($A203&amp;"|"&amp;$B203,研发人员工时分配表!$W$6:$W$245,0),0))</f>
        <v>0</v>
      </c>
      <c r="AB203" s="47" t="n">
        <f aca="false">IF($A203="",0,COUNTIFS(研发人员工时分配表!$A$6:$A$245,$A203,研发人员工时分配表!$B$6:$B$245,$B203))</f>
        <v>0</v>
      </c>
    </row>
    <row r="204" customFormat="false" ht="18" hidden="false" customHeight="true" outlineLevel="0" collapsed="false">
      <c r="A204" s="36"/>
      <c r="B204" s="36"/>
      <c r="C204" s="43" t="str">
        <f aca="false">IF($B204="","",IFERROR(VLOOKUP($B204,人员名册!$B$4:$G$53,2,0)&amp;"","名册中未登记"))</f>
        <v/>
      </c>
      <c r="D204" s="43" t="str">
        <f aca="false">IF($B204="","",IFERROR(VLOOKUP($B204,人员名册!$B$4:$G$53,5,0)&amp;"",""))</f>
        <v/>
      </c>
      <c r="E204" s="25"/>
      <c r="F204" s="25"/>
      <c r="G204" s="25"/>
      <c r="H204" s="25"/>
      <c r="I204" s="25"/>
      <c r="J204" s="27" t="str">
        <f aca="false">IF($A204="","",ROUND(SUM(E204:I204),2))</f>
        <v/>
      </c>
      <c r="K204" s="45" t="n">
        <f aca="false">IF(OR($A204="",$AA204=0),0,INDEX(研发人员工时分配表!$F$6:$F$245,$AA204))</f>
        <v>0</v>
      </c>
      <c r="L204" s="45" t="n">
        <f aca="false">IF(OR($A204="",$AA204=0),0,INDEX(研发人员工时分配表!$R$6:$R$245,$AA204))</f>
        <v>0</v>
      </c>
      <c r="M204" s="28" t="str">
        <f aca="false">IF(OR($A204="",$K204=0),"",$L204/$K204)</f>
        <v/>
      </c>
      <c r="N204" s="27" t="str">
        <f aca="false">IF(OR($A204="",$K204=0),"",ROUND($J204*INDEX(研发人员工时分配表!$H$6:$H$245,$AA204)/$K204,2))</f>
        <v/>
      </c>
      <c r="O204" s="27" t="str">
        <f aca="false">IF(OR($A204="",$K204=0),"",ROUND($J204*INDEX(研发人员工时分配表!$I$6:$I$245,$AA204)/$K204,2))</f>
        <v/>
      </c>
      <c r="P204" s="27" t="str">
        <f aca="false">IF(OR($A204="",$K204=0),"",ROUND($J204*INDEX(研发人员工时分配表!$J$6:$J$245,$AA204)/$K204,2))</f>
        <v/>
      </c>
      <c r="Q204" s="27" t="str">
        <f aca="false">IF(OR($A204="",$K204=0),"",ROUND($J204*INDEX(研发人员工时分配表!$K$6:$K$245,$AA204)/$K204,2))</f>
        <v/>
      </c>
      <c r="R204" s="27" t="str">
        <f aca="false">IF(OR($A204="",$K204=0),"",ROUND($J204*INDEX(研发人员工时分配表!$L$6:$L$245,$AA204)/$K204,2))</f>
        <v/>
      </c>
      <c r="S204" s="27" t="str">
        <f aca="false">IF(OR($A204="",$K204=0),"",ROUND($J204*INDEX(研发人员工时分配表!$M$6:$M$245,$AA204)/$K204,2))</f>
        <v/>
      </c>
      <c r="T204" s="27" t="str">
        <f aca="false">IF(OR($A204="",$K204=0),"",ROUND($J204*INDEX(研发人员工时分配表!$N$6:$N$245,$AA204)/$K204,2))</f>
        <v/>
      </c>
      <c r="U204" s="27" t="str">
        <f aca="false">IF(OR($A204="",$K204=0),"",ROUND($J204*INDEX(研发人员工时分配表!$O$6:$O$245,$AA204)/$K204,2))</f>
        <v/>
      </c>
      <c r="V204" s="27" t="str">
        <f aca="false">IF(OR($A204="",$K204=0),"",ROUND($J204*INDEX(研发人员工时分配表!$P$6:$P$245,$AA204)/$K204,2))</f>
        <v/>
      </c>
      <c r="W204" s="27" t="str">
        <f aca="false">IF(OR($A204="",$K204=0),"",ROUND($J204*INDEX(研发人员工时分配表!$Q$6:$Q$245,$AA204)/$K204,2))</f>
        <v/>
      </c>
      <c r="X204" s="27" t="str">
        <f aca="false">IF($A204="","",ROUND(SUM(N204:W204),2))</f>
        <v/>
      </c>
      <c r="Y204" s="27" t="str">
        <f aca="false">IF($A204="","",ROUND($J204-X204,2))</f>
        <v/>
      </c>
      <c r="Z204" s="43" t="str">
        <f aca="false">IF($A204="","",IF($AA204=0,"⚠ 工时分配表无此人当月记录",IF($AB204&gt;1,"⚠ 工时分配表存在重复行","√ 正常")))</f>
        <v/>
      </c>
      <c r="AA204" s="47" t="n">
        <f aca="false">IF($A204="",0,IFERROR(MATCH($A204&amp;"|"&amp;$B204,研发人员工时分配表!$W$6:$W$245,0),0))</f>
        <v>0</v>
      </c>
      <c r="AB204" s="47" t="n">
        <f aca="false">IF($A204="",0,COUNTIFS(研发人员工时分配表!$A$6:$A$245,$A204,研发人员工时分配表!$B$6:$B$245,$B204))</f>
        <v>0</v>
      </c>
    </row>
    <row r="205" customFormat="false" ht="18" hidden="false" customHeight="true" outlineLevel="0" collapsed="false">
      <c r="A205" s="36"/>
      <c r="B205" s="36"/>
      <c r="C205" s="43" t="str">
        <f aca="false">IF($B205="","",IFERROR(VLOOKUP($B205,人员名册!$B$4:$G$53,2,0)&amp;"","名册中未登记"))</f>
        <v/>
      </c>
      <c r="D205" s="43" t="str">
        <f aca="false">IF($B205="","",IFERROR(VLOOKUP($B205,人员名册!$B$4:$G$53,5,0)&amp;"",""))</f>
        <v/>
      </c>
      <c r="E205" s="25"/>
      <c r="F205" s="25"/>
      <c r="G205" s="25"/>
      <c r="H205" s="25"/>
      <c r="I205" s="25"/>
      <c r="J205" s="27" t="str">
        <f aca="false">IF($A205="","",ROUND(SUM(E205:I205),2))</f>
        <v/>
      </c>
      <c r="K205" s="45" t="n">
        <f aca="false">IF(OR($A205="",$AA205=0),0,INDEX(研发人员工时分配表!$F$6:$F$245,$AA205))</f>
        <v>0</v>
      </c>
      <c r="L205" s="45" t="n">
        <f aca="false">IF(OR($A205="",$AA205=0),0,INDEX(研发人员工时分配表!$R$6:$R$245,$AA205))</f>
        <v>0</v>
      </c>
      <c r="M205" s="28" t="str">
        <f aca="false">IF(OR($A205="",$K205=0),"",$L205/$K205)</f>
        <v/>
      </c>
      <c r="N205" s="27" t="str">
        <f aca="false">IF(OR($A205="",$K205=0),"",ROUND($J205*INDEX(研发人员工时分配表!$H$6:$H$245,$AA205)/$K205,2))</f>
        <v/>
      </c>
      <c r="O205" s="27" t="str">
        <f aca="false">IF(OR($A205="",$K205=0),"",ROUND($J205*INDEX(研发人员工时分配表!$I$6:$I$245,$AA205)/$K205,2))</f>
        <v/>
      </c>
      <c r="P205" s="27" t="str">
        <f aca="false">IF(OR($A205="",$K205=0),"",ROUND($J205*INDEX(研发人员工时分配表!$J$6:$J$245,$AA205)/$K205,2))</f>
        <v/>
      </c>
      <c r="Q205" s="27" t="str">
        <f aca="false">IF(OR($A205="",$K205=0),"",ROUND($J205*INDEX(研发人员工时分配表!$K$6:$K$245,$AA205)/$K205,2))</f>
        <v/>
      </c>
      <c r="R205" s="27" t="str">
        <f aca="false">IF(OR($A205="",$K205=0),"",ROUND($J205*INDEX(研发人员工时分配表!$L$6:$L$245,$AA205)/$K205,2))</f>
        <v/>
      </c>
      <c r="S205" s="27" t="str">
        <f aca="false">IF(OR($A205="",$K205=0),"",ROUND($J205*INDEX(研发人员工时分配表!$M$6:$M$245,$AA205)/$K205,2))</f>
        <v/>
      </c>
      <c r="T205" s="27" t="str">
        <f aca="false">IF(OR($A205="",$K205=0),"",ROUND($J205*INDEX(研发人员工时分配表!$N$6:$N$245,$AA205)/$K205,2))</f>
        <v/>
      </c>
      <c r="U205" s="27" t="str">
        <f aca="false">IF(OR($A205="",$K205=0),"",ROUND($J205*INDEX(研发人员工时分配表!$O$6:$O$245,$AA205)/$K205,2))</f>
        <v/>
      </c>
      <c r="V205" s="27" t="str">
        <f aca="false">IF(OR($A205="",$K205=0),"",ROUND($J205*INDEX(研发人员工时分配表!$P$6:$P$245,$AA205)/$K205,2))</f>
        <v/>
      </c>
      <c r="W205" s="27" t="str">
        <f aca="false">IF(OR($A205="",$K205=0),"",ROUND($J205*INDEX(研发人员工时分配表!$Q$6:$Q$245,$AA205)/$K205,2))</f>
        <v/>
      </c>
      <c r="X205" s="27" t="str">
        <f aca="false">IF($A205="","",ROUND(SUM(N205:W205),2))</f>
        <v/>
      </c>
      <c r="Y205" s="27" t="str">
        <f aca="false">IF($A205="","",ROUND($J205-X205,2))</f>
        <v/>
      </c>
      <c r="Z205" s="43" t="str">
        <f aca="false">IF($A205="","",IF($AA205=0,"⚠ 工时分配表无此人当月记录",IF($AB205&gt;1,"⚠ 工时分配表存在重复行","√ 正常")))</f>
        <v/>
      </c>
      <c r="AA205" s="47" t="n">
        <f aca="false">IF($A205="",0,IFERROR(MATCH($A205&amp;"|"&amp;$B205,研发人员工时分配表!$W$6:$W$245,0),0))</f>
        <v>0</v>
      </c>
      <c r="AB205" s="47" t="n">
        <f aca="false">IF($A205="",0,COUNTIFS(研发人员工时分配表!$A$6:$A$245,$A205,研发人员工时分配表!$B$6:$B$245,$B205))</f>
        <v>0</v>
      </c>
    </row>
    <row r="206" customFormat="false" ht="18" hidden="false" customHeight="true" outlineLevel="0" collapsed="false">
      <c r="A206" s="36"/>
      <c r="B206" s="36"/>
      <c r="C206" s="43" t="str">
        <f aca="false">IF($B206="","",IFERROR(VLOOKUP($B206,人员名册!$B$4:$G$53,2,0)&amp;"","名册中未登记"))</f>
        <v/>
      </c>
      <c r="D206" s="43" t="str">
        <f aca="false">IF($B206="","",IFERROR(VLOOKUP($B206,人员名册!$B$4:$G$53,5,0)&amp;"",""))</f>
        <v/>
      </c>
      <c r="E206" s="25"/>
      <c r="F206" s="25"/>
      <c r="G206" s="25"/>
      <c r="H206" s="25"/>
      <c r="I206" s="25"/>
      <c r="J206" s="27" t="str">
        <f aca="false">IF($A206="","",ROUND(SUM(E206:I206),2))</f>
        <v/>
      </c>
      <c r="K206" s="45" t="n">
        <f aca="false">IF(OR($A206="",$AA206=0),0,INDEX(研发人员工时分配表!$F$6:$F$245,$AA206))</f>
        <v>0</v>
      </c>
      <c r="L206" s="45" t="n">
        <f aca="false">IF(OR($A206="",$AA206=0),0,INDEX(研发人员工时分配表!$R$6:$R$245,$AA206))</f>
        <v>0</v>
      </c>
      <c r="M206" s="28" t="str">
        <f aca="false">IF(OR($A206="",$K206=0),"",$L206/$K206)</f>
        <v/>
      </c>
      <c r="N206" s="27" t="str">
        <f aca="false">IF(OR($A206="",$K206=0),"",ROUND($J206*INDEX(研发人员工时分配表!$H$6:$H$245,$AA206)/$K206,2))</f>
        <v/>
      </c>
      <c r="O206" s="27" t="str">
        <f aca="false">IF(OR($A206="",$K206=0),"",ROUND($J206*INDEX(研发人员工时分配表!$I$6:$I$245,$AA206)/$K206,2))</f>
        <v/>
      </c>
      <c r="P206" s="27" t="str">
        <f aca="false">IF(OR($A206="",$K206=0),"",ROUND($J206*INDEX(研发人员工时分配表!$J$6:$J$245,$AA206)/$K206,2))</f>
        <v/>
      </c>
      <c r="Q206" s="27" t="str">
        <f aca="false">IF(OR($A206="",$K206=0),"",ROUND($J206*INDEX(研发人员工时分配表!$K$6:$K$245,$AA206)/$K206,2))</f>
        <v/>
      </c>
      <c r="R206" s="27" t="str">
        <f aca="false">IF(OR($A206="",$K206=0),"",ROUND($J206*INDEX(研发人员工时分配表!$L$6:$L$245,$AA206)/$K206,2))</f>
        <v/>
      </c>
      <c r="S206" s="27" t="str">
        <f aca="false">IF(OR($A206="",$K206=0),"",ROUND($J206*INDEX(研发人员工时分配表!$M$6:$M$245,$AA206)/$K206,2))</f>
        <v/>
      </c>
      <c r="T206" s="27" t="str">
        <f aca="false">IF(OR($A206="",$K206=0),"",ROUND($J206*INDEX(研发人员工时分配表!$N$6:$N$245,$AA206)/$K206,2))</f>
        <v/>
      </c>
      <c r="U206" s="27" t="str">
        <f aca="false">IF(OR($A206="",$K206=0),"",ROUND($J206*INDEX(研发人员工时分配表!$O$6:$O$245,$AA206)/$K206,2))</f>
        <v/>
      </c>
      <c r="V206" s="27" t="str">
        <f aca="false">IF(OR($A206="",$K206=0),"",ROUND($J206*INDEX(研发人员工时分配表!$P$6:$P$245,$AA206)/$K206,2))</f>
        <v/>
      </c>
      <c r="W206" s="27" t="str">
        <f aca="false">IF(OR($A206="",$K206=0),"",ROUND($J206*INDEX(研发人员工时分配表!$Q$6:$Q$245,$AA206)/$K206,2))</f>
        <v/>
      </c>
      <c r="X206" s="27" t="str">
        <f aca="false">IF($A206="","",ROUND(SUM(N206:W206),2))</f>
        <v/>
      </c>
      <c r="Y206" s="27" t="str">
        <f aca="false">IF($A206="","",ROUND($J206-X206,2))</f>
        <v/>
      </c>
      <c r="Z206" s="43" t="str">
        <f aca="false">IF($A206="","",IF($AA206=0,"⚠ 工时分配表无此人当月记录",IF($AB206&gt;1,"⚠ 工时分配表存在重复行","√ 正常")))</f>
        <v/>
      </c>
      <c r="AA206" s="47" t="n">
        <f aca="false">IF($A206="",0,IFERROR(MATCH($A206&amp;"|"&amp;$B206,研发人员工时分配表!$W$6:$W$245,0),0))</f>
        <v>0</v>
      </c>
      <c r="AB206" s="47" t="n">
        <f aca="false">IF($A206="",0,COUNTIFS(研发人员工时分配表!$A$6:$A$245,$A206,研发人员工时分配表!$B$6:$B$245,$B206))</f>
        <v>0</v>
      </c>
    </row>
    <row r="207" customFormat="false" ht="18" hidden="false" customHeight="true" outlineLevel="0" collapsed="false">
      <c r="A207" s="36"/>
      <c r="B207" s="36"/>
      <c r="C207" s="43" t="str">
        <f aca="false">IF($B207="","",IFERROR(VLOOKUP($B207,人员名册!$B$4:$G$53,2,0)&amp;"","名册中未登记"))</f>
        <v/>
      </c>
      <c r="D207" s="43" t="str">
        <f aca="false">IF($B207="","",IFERROR(VLOOKUP($B207,人员名册!$B$4:$G$53,5,0)&amp;"",""))</f>
        <v/>
      </c>
      <c r="E207" s="25"/>
      <c r="F207" s="25"/>
      <c r="G207" s="25"/>
      <c r="H207" s="25"/>
      <c r="I207" s="25"/>
      <c r="J207" s="27" t="str">
        <f aca="false">IF($A207="","",ROUND(SUM(E207:I207),2))</f>
        <v/>
      </c>
      <c r="K207" s="45" t="n">
        <f aca="false">IF(OR($A207="",$AA207=0),0,INDEX(研发人员工时分配表!$F$6:$F$245,$AA207))</f>
        <v>0</v>
      </c>
      <c r="L207" s="45" t="n">
        <f aca="false">IF(OR($A207="",$AA207=0),0,INDEX(研发人员工时分配表!$R$6:$R$245,$AA207))</f>
        <v>0</v>
      </c>
      <c r="M207" s="28" t="str">
        <f aca="false">IF(OR($A207="",$K207=0),"",$L207/$K207)</f>
        <v/>
      </c>
      <c r="N207" s="27" t="str">
        <f aca="false">IF(OR($A207="",$K207=0),"",ROUND($J207*INDEX(研发人员工时分配表!$H$6:$H$245,$AA207)/$K207,2))</f>
        <v/>
      </c>
      <c r="O207" s="27" t="str">
        <f aca="false">IF(OR($A207="",$K207=0),"",ROUND($J207*INDEX(研发人员工时分配表!$I$6:$I$245,$AA207)/$K207,2))</f>
        <v/>
      </c>
      <c r="P207" s="27" t="str">
        <f aca="false">IF(OR($A207="",$K207=0),"",ROUND($J207*INDEX(研发人员工时分配表!$J$6:$J$245,$AA207)/$K207,2))</f>
        <v/>
      </c>
      <c r="Q207" s="27" t="str">
        <f aca="false">IF(OR($A207="",$K207=0),"",ROUND($J207*INDEX(研发人员工时分配表!$K$6:$K$245,$AA207)/$K207,2))</f>
        <v/>
      </c>
      <c r="R207" s="27" t="str">
        <f aca="false">IF(OR($A207="",$K207=0),"",ROUND($J207*INDEX(研发人员工时分配表!$L$6:$L$245,$AA207)/$K207,2))</f>
        <v/>
      </c>
      <c r="S207" s="27" t="str">
        <f aca="false">IF(OR($A207="",$K207=0),"",ROUND($J207*INDEX(研发人员工时分配表!$M$6:$M$245,$AA207)/$K207,2))</f>
        <v/>
      </c>
      <c r="T207" s="27" t="str">
        <f aca="false">IF(OR($A207="",$K207=0),"",ROUND($J207*INDEX(研发人员工时分配表!$N$6:$N$245,$AA207)/$K207,2))</f>
        <v/>
      </c>
      <c r="U207" s="27" t="str">
        <f aca="false">IF(OR($A207="",$K207=0),"",ROUND($J207*INDEX(研发人员工时分配表!$O$6:$O$245,$AA207)/$K207,2))</f>
        <v/>
      </c>
      <c r="V207" s="27" t="str">
        <f aca="false">IF(OR($A207="",$K207=0),"",ROUND($J207*INDEX(研发人员工时分配表!$P$6:$P$245,$AA207)/$K207,2))</f>
        <v/>
      </c>
      <c r="W207" s="27" t="str">
        <f aca="false">IF(OR($A207="",$K207=0),"",ROUND($J207*INDEX(研发人员工时分配表!$Q$6:$Q$245,$AA207)/$K207,2))</f>
        <v/>
      </c>
      <c r="X207" s="27" t="str">
        <f aca="false">IF($A207="","",ROUND(SUM(N207:W207),2))</f>
        <v/>
      </c>
      <c r="Y207" s="27" t="str">
        <f aca="false">IF($A207="","",ROUND($J207-X207,2))</f>
        <v/>
      </c>
      <c r="Z207" s="43" t="str">
        <f aca="false">IF($A207="","",IF($AA207=0,"⚠ 工时分配表无此人当月记录",IF($AB207&gt;1,"⚠ 工时分配表存在重复行","√ 正常")))</f>
        <v/>
      </c>
      <c r="AA207" s="47" t="n">
        <f aca="false">IF($A207="",0,IFERROR(MATCH($A207&amp;"|"&amp;$B207,研发人员工时分配表!$W$6:$W$245,0),0))</f>
        <v>0</v>
      </c>
      <c r="AB207" s="47" t="n">
        <f aca="false">IF($A207="",0,COUNTIFS(研发人员工时分配表!$A$6:$A$245,$A207,研发人员工时分配表!$B$6:$B$245,$B207))</f>
        <v>0</v>
      </c>
    </row>
    <row r="208" customFormat="false" ht="18" hidden="false" customHeight="true" outlineLevel="0" collapsed="false">
      <c r="A208" s="36"/>
      <c r="B208" s="36"/>
      <c r="C208" s="43" t="str">
        <f aca="false">IF($B208="","",IFERROR(VLOOKUP($B208,人员名册!$B$4:$G$53,2,0)&amp;"","名册中未登记"))</f>
        <v/>
      </c>
      <c r="D208" s="43" t="str">
        <f aca="false">IF($B208="","",IFERROR(VLOOKUP($B208,人员名册!$B$4:$G$53,5,0)&amp;"",""))</f>
        <v/>
      </c>
      <c r="E208" s="25"/>
      <c r="F208" s="25"/>
      <c r="G208" s="25"/>
      <c r="H208" s="25"/>
      <c r="I208" s="25"/>
      <c r="J208" s="27" t="str">
        <f aca="false">IF($A208="","",ROUND(SUM(E208:I208),2))</f>
        <v/>
      </c>
      <c r="K208" s="45" t="n">
        <f aca="false">IF(OR($A208="",$AA208=0),0,INDEX(研发人员工时分配表!$F$6:$F$245,$AA208))</f>
        <v>0</v>
      </c>
      <c r="L208" s="45" t="n">
        <f aca="false">IF(OR($A208="",$AA208=0),0,INDEX(研发人员工时分配表!$R$6:$R$245,$AA208))</f>
        <v>0</v>
      </c>
      <c r="M208" s="28" t="str">
        <f aca="false">IF(OR($A208="",$K208=0),"",$L208/$K208)</f>
        <v/>
      </c>
      <c r="N208" s="27" t="str">
        <f aca="false">IF(OR($A208="",$K208=0),"",ROUND($J208*INDEX(研发人员工时分配表!$H$6:$H$245,$AA208)/$K208,2))</f>
        <v/>
      </c>
      <c r="O208" s="27" t="str">
        <f aca="false">IF(OR($A208="",$K208=0),"",ROUND($J208*INDEX(研发人员工时分配表!$I$6:$I$245,$AA208)/$K208,2))</f>
        <v/>
      </c>
      <c r="P208" s="27" t="str">
        <f aca="false">IF(OR($A208="",$K208=0),"",ROUND($J208*INDEX(研发人员工时分配表!$J$6:$J$245,$AA208)/$K208,2))</f>
        <v/>
      </c>
      <c r="Q208" s="27" t="str">
        <f aca="false">IF(OR($A208="",$K208=0),"",ROUND($J208*INDEX(研发人员工时分配表!$K$6:$K$245,$AA208)/$K208,2))</f>
        <v/>
      </c>
      <c r="R208" s="27" t="str">
        <f aca="false">IF(OR($A208="",$K208=0),"",ROUND($J208*INDEX(研发人员工时分配表!$L$6:$L$245,$AA208)/$K208,2))</f>
        <v/>
      </c>
      <c r="S208" s="27" t="str">
        <f aca="false">IF(OR($A208="",$K208=0),"",ROUND($J208*INDEX(研发人员工时分配表!$M$6:$M$245,$AA208)/$K208,2))</f>
        <v/>
      </c>
      <c r="T208" s="27" t="str">
        <f aca="false">IF(OR($A208="",$K208=0),"",ROUND($J208*INDEX(研发人员工时分配表!$N$6:$N$245,$AA208)/$K208,2))</f>
        <v/>
      </c>
      <c r="U208" s="27" t="str">
        <f aca="false">IF(OR($A208="",$K208=0),"",ROUND($J208*INDEX(研发人员工时分配表!$O$6:$O$245,$AA208)/$K208,2))</f>
        <v/>
      </c>
      <c r="V208" s="27" t="str">
        <f aca="false">IF(OR($A208="",$K208=0),"",ROUND($J208*INDEX(研发人员工时分配表!$P$6:$P$245,$AA208)/$K208,2))</f>
        <v/>
      </c>
      <c r="W208" s="27" t="str">
        <f aca="false">IF(OR($A208="",$K208=0),"",ROUND($J208*INDEX(研发人员工时分配表!$Q$6:$Q$245,$AA208)/$K208,2))</f>
        <v/>
      </c>
      <c r="X208" s="27" t="str">
        <f aca="false">IF($A208="","",ROUND(SUM(N208:W208),2))</f>
        <v/>
      </c>
      <c r="Y208" s="27" t="str">
        <f aca="false">IF($A208="","",ROUND($J208-X208,2))</f>
        <v/>
      </c>
      <c r="Z208" s="43" t="str">
        <f aca="false">IF($A208="","",IF($AA208=0,"⚠ 工时分配表无此人当月记录",IF($AB208&gt;1,"⚠ 工时分配表存在重复行","√ 正常")))</f>
        <v/>
      </c>
      <c r="AA208" s="47" t="n">
        <f aca="false">IF($A208="",0,IFERROR(MATCH($A208&amp;"|"&amp;$B208,研发人员工时分配表!$W$6:$W$245,0),0))</f>
        <v>0</v>
      </c>
      <c r="AB208" s="47" t="n">
        <f aca="false">IF($A208="",0,COUNTIFS(研发人员工时分配表!$A$6:$A$245,$A208,研发人员工时分配表!$B$6:$B$245,$B208))</f>
        <v>0</v>
      </c>
    </row>
    <row r="209" customFormat="false" ht="18" hidden="false" customHeight="true" outlineLevel="0" collapsed="false">
      <c r="A209" s="36"/>
      <c r="B209" s="36"/>
      <c r="C209" s="43" t="str">
        <f aca="false">IF($B209="","",IFERROR(VLOOKUP($B209,人员名册!$B$4:$G$53,2,0)&amp;"","名册中未登记"))</f>
        <v/>
      </c>
      <c r="D209" s="43" t="str">
        <f aca="false">IF($B209="","",IFERROR(VLOOKUP($B209,人员名册!$B$4:$G$53,5,0)&amp;"",""))</f>
        <v/>
      </c>
      <c r="E209" s="25"/>
      <c r="F209" s="25"/>
      <c r="G209" s="25"/>
      <c r="H209" s="25"/>
      <c r="I209" s="25"/>
      <c r="J209" s="27" t="str">
        <f aca="false">IF($A209="","",ROUND(SUM(E209:I209),2))</f>
        <v/>
      </c>
      <c r="K209" s="45" t="n">
        <f aca="false">IF(OR($A209="",$AA209=0),0,INDEX(研发人员工时分配表!$F$6:$F$245,$AA209))</f>
        <v>0</v>
      </c>
      <c r="L209" s="45" t="n">
        <f aca="false">IF(OR($A209="",$AA209=0),0,INDEX(研发人员工时分配表!$R$6:$R$245,$AA209))</f>
        <v>0</v>
      </c>
      <c r="M209" s="28" t="str">
        <f aca="false">IF(OR($A209="",$K209=0),"",$L209/$K209)</f>
        <v/>
      </c>
      <c r="N209" s="27" t="str">
        <f aca="false">IF(OR($A209="",$K209=0),"",ROUND($J209*INDEX(研发人员工时分配表!$H$6:$H$245,$AA209)/$K209,2))</f>
        <v/>
      </c>
      <c r="O209" s="27" t="str">
        <f aca="false">IF(OR($A209="",$K209=0),"",ROUND($J209*INDEX(研发人员工时分配表!$I$6:$I$245,$AA209)/$K209,2))</f>
        <v/>
      </c>
      <c r="P209" s="27" t="str">
        <f aca="false">IF(OR($A209="",$K209=0),"",ROUND($J209*INDEX(研发人员工时分配表!$J$6:$J$245,$AA209)/$K209,2))</f>
        <v/>
      </c>
      <c r="Q209" s="27" t="str">
        <f aca="false">IF(OR($A209="",$K209=0),"",ROUND($J209*INDEX(研发人员工时分配表!$K$6:$K$245,$AA209)/$K209,2))</f>
        <v/>
      </c>
      <c r="R209" s="27" t="str">
        <f aca="false">IF(OR($A209="",$K209=0),"",ROUND($J209*INDEX(研发人员工时分配表!$L$6:$L$245,$AA209)/$K209,2))</f>
        <v/>
      </c>
      <c r="S209" s="27" t="str">
        <f aca="false">IF(OR($A209="",$K209=0),"",ROUND($J209*INDEX(研发人员工时分配表!$M$6:$M$245,$AA209)/$K209,2))</f>
        <v/>
      </c>
      <c r="T209" s="27" t="str">
        <f aca="false">IF(OR($A209="",$K209=0),"",ROUND($J209*INDEX(研发人员工时分配表!$N$6:$N$245,$AA209)/$K209,2))</f>
        <v/>
      </c>
      <c r="U209" s="27" t="str">
        <f aca="false">IF(OR($A209="",$K209=0),"",ROUND($J209*INDEX(研发人员工时分配表!$O$6:$O$245,$AA209)/$K209,2))</f>
        <v/>
      </c>
      <c r="V209" s="27" t="str">
        <f aca="false">IF(OR($A209="",$K209=0),"",ROUND($J209*INDEX(研发人员工时分配表!$P$6:$P$245,$AA209)/$K209,2))</f>
        <v/>
      </c>
      <c r="W209" s="27" t="str">
        <f aca="false">IF(OR($A209="",$K209=0),"",ROUND($J209*INDEX(研发人员工时分配表!$Q$6:$Q$245,$AA209)/$K209,2))</f>
        <v/>
      </c>
      <c r="X209" s="27" t="str">
        <f aca="false">IF($A209="","",ROUND(SUM(N209:W209),2))</f>
        <v/>
      </c>
      <c r="Y209" s="27" t="str">
        <f aca="false">IF($A209="","",ROUND($J209-X209,2))</f>
        <v/>
      </c>
      <c r="Z209" s="43" t="str">
        <f aca="false">IF($A209="","",IF($AA209=0,"⚠ 工时分配表无此人当月记录",IF($AB209&gt;1,"⚠ 工时分配表存在重复行","√ 正常")))</f>
        <v/>
      </c>
      <c r="AA209" s="47" t="n">
        <f aca="false">IF($A209="",0,IFERROR(MATCH($A209&amp;"|"&amp;$B209,研发人员工时分配表!$W$6:$W$245,0),0))</f>
        <v>0</v>
      </c>
      <c r="AB209" s="47" t="n">
        <f aca="false">IF($A209="",0,COUNTIFS(研发人员工时分配表!$A$6:$A$245,$A209,研发人员工时分配表!$B$6:$B$245,$B209))</f>
        <v>0</v>
      </c>
    </row>
    <row r="210" customFormat="false" ht="18" hidden="false" customHeight="true" outlineLevel="0" collapsed="false">
      <c r="A210" s="36"/>
      <c r="B210" s="36"/>
      <c r="C210" s="43" t="str">
        <f aca="false">IF($B210="","",IFERROR(VLOOKUP($B210,人员名册!$B$4:$G$53,2,0)&amp;"","名册中未登记"))</f>
        <v/>
      </c>
      <c r="D210" s="43" t="str">
        <f aca="false">IF($B210="","",IFERROR(VLOOKUP($B210,人员名册!$B$4:$G$53,5,0)&amp;"",""))</f>
        <v/>
      </c>
      <c r="E210" s="25"/>
      <c r="F210" s="25"/>
      <c r="G210" s="25"/>
      <c r="H210" s="25"/>
      <c r="I210" s="25"/>
      <c r="J210" s="27" t="str">
        <f aca="false">IF($A210="","",ROUND(SUM(E210:I210),2))</f>
        <v/>
      </c>
      <c r="K210" s="45" t="n">
        <f aca="false">IF(OR($A210="",$AA210=0),0,INDEX(研发人员工时分配表!$F$6:$F$245,$AA210))</f>
        <v>0</v>
      </c>
      <c r="L210" s="45" t="n">
        <f aca="false">IF(OR($A210="",$AA210=0),0,INDEX(研发人员工时分配表!$R$6:$R$245,$AA210))</f>
        <v>0</v>
      </c>
      <c r="M210" s="28" t="str">
        <f aca="false">IF(OR($A210="",$K210=0),"",$L210/$K210)</f>
        <v/>
      </c>
      <c r="N210" s="27" t="str">
        <f aca="false">IF(OR($A210="",$K210=0),"",ROUND($J210*INDEX(研发人员工时分配表!$H$6:$H$245,$AA210)/$K210,2))</f>
        <v/>
      </c>
      <c r="O210" s="27" t="str">
        <f aca="false">IF(OR($A210="",$K210=0),"",ROUND($J210*INDEX(研发人员工时分配表!$I$6:$I$245,$AA210)/$K210,2))</f>
        <v/>
      </c>
      <c r="P210" s="27" t="str">
        <f aca="false">IF(OR($A210="",$K210=0),"",ROUND($J210*INDEX(研发人员工时分配表!$J$6:$J$245,$AA210)/$K210,2))</f>
        <v/>
      </c>
      <c r="Q210" s="27" t="str">
        <f aca="false">IF(OR($A210="",$K210=0),"",ROUND($J210*INDEX(研发人员工时分配表!$K$6:$K$245,$AA210)/$K210,2))</f>
        <v/>
      </c>
      <c r="R210" s="27" t="str">
        <f aca="false">IF(OR($A210="",$K210=0),"",ROUND($J210*INDEX(研发人员工时分配表!$L$6:$L$245,$AA210)/$K210,2))</f>
        <v/>
      </c>
      <c r="S210" s="27" t="str">
        <f aca="false">IF(OR($A210="",$K210=0),"",ROUND($J210*INDEX(研发人员工时分配表!$M$6:$M$245,$AA210)/$K210,2))</f>
        <v/>
      </c>
      <c r="T210" s="27" t="str">
        <f aca="false">IF(OR($A210="",$K210=0),"",ROUND($J210*INDEX(研发人员工时分配表!$N$6:$N$245,$AA210)/$K210,2))</f>
        <v/>
      </c>
      <c r="U210" s="27" t="str">
        <f aca="false">IF(OR($A210="",$K210=0),"",ROUND($J210*INDEX(研发人员工时分配表!$O$6:$O$245,$AA210)/$K210,2))</f>
        <v/>
      </c>
      <c r="V210" s="27" t="str">
        <f aca="false">IF(OR($A210="",$K210=0),"",ROUND($J210*INDEX(研发人员工时分配表!$P$6:$P$245,$AA210)/$K210,2))</f>
        <v/>
      </c>
      <c r="W210" s="27" t="str">
        <f aca="false">IF(OR($A210="",$K210=0),"",ROUND($J210*INDEX(研发人员工时分配表!$Q$6:$Q$245,$AA210)/$K210,2))</f>
        <v/>
      </c>
      <c r="X210" s="27" t="str">
        <f aca="false">IF($A210="","",ROUND(SUM(N210:W210),2))</f>
        <v/>
      </c>
      <c r="Y210" s="27" t="str">
        <f aca="false">IF($A210="","",ROUND($J210-X210,2))</f>
        <v/>
      </c>
      <c r="Z210" s="43" t="str">
        <f aca="false">IF($A210="","",IF($AA210=0,"⚠ 工时分配表无此人当月记录",IF($AB210&gt;1,"⚠ 工时分配表存在重复行","√ 正常")))</f>
        <v/>
      </c>
      <c r="AA210" s="47" t="n">
        <f aca="false">IF($A210="",0,IFERROR(MATCH($A210&amp;"|"&amp;$B210,研发人员工时分配表!$W$6:$W$245,0),0))</f>
        <v>0</v>
      </c>
      <c r="AB210" s="47" t="n">
        <f aca="false">IF($A210="",0,COUNTIFS(研发人员工时分配表!$A$6:$A$245,$A210,研发人员工时分配表!$B$6:$B$245,$B210))</f>
        <v>0</v>
      </c>
    </row>
    <row r="211" customFormat="false" ht="18" hidden="false" customHeight="true" outlineLevel="0" collapsed="false">
      <c r="A211" s="36"/>
      <c r="B211" s="36"/>
      <c r="C211" s="43" t="str">
        <f aca="false">IF($B211="","",IFERROR(VLOOKUP($B211,人员名册!$B$4:$G$53,2,0)&amp;"","名册中未登记"))</f>
        <v/>
      </c>
      <c r="D211" s="43" t="str">
        <f aca="false">IF($B211="","",IFERROR(VLOOKUP($B211,人员名册!$B$4:$G$53,5,0)&amp;"",""))</f>
        <v/>
      </c>
      <c r="E211" s="25"/>
      <c r="F211" s="25"/>
      <c r="G211" s="25"/>
      <c r="H211" s="25"/>
      <c r="I211" s="25"/>
      <c r="J211" s="27" t="str">
        <f aca="false">IF($A211="","",ROUND(SUM(E211:I211),2))</f>
        <v/>
      </c>
      <c r="K211" s="45" t="n">
        <f aca="false">IF(OR($A211="",$AA211=0),0,INDEX(研发人员工时分配表!$F$6:$F$245,$AA211))</f>
        <v>0</v>
      </c>
      <c r="L211" s="45" t="n">
        <f aca="false">IF(OR($A211="",$AA211=0),0,INDEX(研发人员工时分配表!$R$6:$R$245,$AA211))</f>
        <v>0</v>
      </c>
      <c r="M211" s="28" t="str">
        <f aca="false">IF(OR($A211="",$K211=0),"",$L211/$K211)</f>
        <v/>
      </c>
      <c r="N211" s="27" t="str">
        <f aca="false">IF(OR($A211="",$K211=0),"",ROUND($J211*INDEX(研发人员工时分配表!$H$6:$H$245,$AA211)/$K211,2))</f>
        <v/>
      </c>
      <c r="O211" s="27" t="str">
        <f aca="false">IF(OR($A211="",$K211=0),"",ROUND($J211*INDEX(研发人员工时分配表!$I$6:$I$245,$AA211)/$K211,2))</f>
        <v/>
      </c>
      <c r="P211" s="27" t="str">
        <f aca="false">IF(OR($A211="",$K211=0),"",ROUND($J211*INDEX(研发人员工时分配表!$J$6:$J$245,$AA211)/$K211,2))</f>
        <v/>
      </c>
      <c r="Q211" s="27" t="str">
        <f aca="false">IF(OR($A211="",$K211=0),"",ROUND($J211*INDEX(研发人员工时分配表!$K$6:$K$245,$AA211)/$K211,2))</f>
        <v/>
      </c>
      <c r="R211" s="27" t="str">
        <f aca="false">IF(OR($A211="",$K211=0),"",ROUND($J211*INDEX(研发人员工时分配表!$L$6:$L$245,$AA211)/$K211,2))</f>
        <v/>
      </c>
      <c r="S211" s="27" t="str">
        <f aca="false">IF(OR($A211="",$K211=0),"",ROUND($J211*INDEX(研发人员工时分配表!$M$6:$M$245,$AA211)/$K211,2))</f>
        <v/>
      </c>
      <c r="T211" s="27" t="str">
        <f aca="false">IF(OR($A211="",$K211=0),"",ROUND($J211*INDEX(研发人员工时分配表!$N$6:$N$245,$AA211)/$K211,2))</f>
        <v/>
      </c>
      <c r="U211" s="27" t="str">
        <f aca="false">IF(OR($A211="",$K211=0),"",ROUND($J211*INDEX(研发人员工时分配表!$O$6:$O$245,$AA211)/$K211,2))</f>
        <v/>
      </c>
      <c r="V211" s="27" t="str">
        <f aca="false">IF(OR($A211="",$K211=0),"",ROUND($J211*INDEX(研发人员工时分配表!$P$6:$P$245,$AA211)/$K211,2))</f>
        <v/>
      </c>
      <c r="W211" s="27" t="str">
        <f aca="false">IF(OR($A211="",$K211=0),"",ROUND($J211*INDEX(研发人员工时分配表!$Q$6:$Q$245,$AA211)/$K211,2))</f>
        <v/>
      </c>
      <c r="X211" s="27" t="str">
        <f aca="false">IF($A211="","",ROUND(SUM(N211:W211),2))</f>
        <v/>
      </c>
      <c r="Y211" s="27" t="str">
        <f aca="false">IF($A211="","",ROUND($J211-X211,2))</f>
        <v/>
      </c>
      <c r="Z211" s="43" t="str">
        <f aca="false">IF($A211="","",IF($AA211=0,"⚠ 工时分配表无此人当月记录",IF($AB211&gt;1,"⚠ 工时分配表存在重复行","√ 正常")))</f>
        <v/>
      </c>
      <c r="AA211" s="47" t="n">
        <f aca="false">IF($A211="",0,IFERROR(MATCH($A211&amp;"|"&amp;$B211,研发人员工时分配表!$W$6:$W$245,0),0))</f>
        <v>0</v>
      </c>
      <c r="AB211" s="47" t="n">
        <f aca="false">IF($A211="",0,COUNTIFS(研发人员工时分配表!$A$6:$A$245,$A211,研发人员工时分配表!$B$6:$B$245,$B211))</f>
        <v>0</v>
      </c>
    </row>
    <row r="212" customFormat="false" ht="18" hidden="false" customHeight="true" outlineLevel="0" collapsed="false">
      <c r="A212" s="36"/>
      <c r="B212" s="36"/>
      <c r="C212" s="43" t="str">
        <f aca="false">IF($B212="","",IFERROR(VLOOKUP($B212,人员名册!$B$4:$G$53,2,0)&amp;"","名册中未登记"))</f>
        <v/>
      </c>
      <c r="D212" s="43" t="str">
        <f aca="false">IF($B212="","",IFERROR(VLOOKUP($B212,人员名册!$B$4:$G$53,5,0)&amp;"",""))</f>
        <v/>
      </c>
      <c r="E212" s="25"/>
      <c r="F212" s="25"/>
      <c r="G212" s="25"/>
      <c r="H212" s="25"/>
      <c r="I212" s="25"/>
      <c r="J212" s="27" t="str">
        <f aca="false">IF($A212="","",ROUND(SUM(E212:I212),2))</f>
        <v/>
      </c>
      <c r="K212" s="45" t="n">
        <f aca="false">IF(OR($A212="",$AA212=0),0,INDEX(研发人员工时分配表!$F$6:$F$245,$AA212))</f>
        <v>0</v>
      </c>
      <c r="L212" s="45" t="n">
        <f aca="false">IF(OR($A212="",$AA212=0),0,INDEX(研发人员工时分配表!$R$6:$R$245,$AA212))</f>
        <v>0</v>
      </c>
      <c r="M212" s="28" t="str">
        <f aca="false">IF(OR($A212="",$K212=0),"",$L212/$K212)</f>
        <v/>
      </c>
      <c r="N212" s="27" t="str">
        <f aca="false">IF(OR($A212="",$K212=0),"",ROUND($J212*INDEX(研发人员工时分配表!$H$6:$H$245,$AA212)/$K212,2))</f>
        <v/>
      </c>
      <c r="O212" s="27" t="str">
        <f aca="false">IF(OR($A212="",$K212=0),"",ROUND($J212*INDEX(研发人员工时分配表!$I$6:$I$245,$AA212)/$K212,2))</f>
        <v/>
      </c>
      <c r="P212" s="27" t="str">
        <f aca="false">IF(OR($A212="",$K212=0),"",ROUND($J212*INDEX(研发人员工时分配表!$J$6:$J$245,$AA212)/$K212,2))</f>
        <v/>
      </c>
      <c r="Q212" s="27" t="str">
        <f aca="false">IF(OR($A212="",$K212=0),"",ROUND($J212*INDEX(研发人员工时分配表!$K$6:$K$245,$AA212)/$K212,2))</f>
        <v/>
      </c>
      <c r="R212" s="27" t="str">
        <f aca="false">IF(OR($A212="",$K212=0),"",ROUND($J212*INDEX(研发人员工时分配表!$L$6:$L$245,$AA212)/$K212,2))</f>
        <v/>
      </c>
      <c r="S212" s="27" t="str">
        <f aca="false">IF(OR($A212="",$K212=0),"",ROUND($J212*INDEX(研发人员工时分配表!$M$6:$M$245,$AA212)/$K212,2))</f>
        <v/>
      </c>
      <c r="T212" s="27" t="str">
        <f aca="false">IF(OR($A212="",$K212=0),"",ROUND($J212*INDEX(研发人员工时分配表!$N$6:$N$245,$AA212)/$K212,2))</f>
        <v/>
      </c>
      <c r="U212" s="27" t="str">
        <f aca="false">IF(OR($A212="",$K212=0),"",ROUND($J212*INDEX(研发人员工时分配表!$O$6:$O$245,$AA212)/$K212,2))</f>
        <v/>
      </c>
      <c r="V212" s="27" t="str">
        <f aca="false">IF(OR($A212="",$K212=0),"",ROUND($J212*INDEX(研发人员工时分配表!$P$6:$P$245,$AA212)/$K212,2))</f>
        <v/>
      </c>
      <c r="W212" s="27" t="str">
        <f aca="false">IF(OR($A212="",$K212=0),"",ROUND($J212*INDEX(研发人员工时分配表!$Q$6:$Q$245,$AA212)/$K212,2))</f>
        <v/>
      </c>
      <c r="X212" s="27" t="str">
        <f aca="false">IF($A212="","",ROUND(SUM(N212:W212),2))</f>
        <v/>
      </c>
      <c r="Y212" s="27" t="str">
        <f aca="false">IF($A212="","",ROUND($J212-X212,2))</f>
        <v/>
      </c>
      <c r="Z212" s="43" t="str">
        <f aca="false">IF($A212="","",IF($AA212=0,"⚠ 工时分配表无此人当月记录",IF($AB212&gt;1,"⚠ 工时分配表存在重复行","√ 正常")))</f>
        <v/>
      </c>
      <c r="AA212" s="47" t="n">
        <f aca="false">IF($A212="",0,IFERROR(MATCH($A212&amp;"|"&amp;$B212,研发人员工时分配表!$W$6:$W$245,0),0))</f>
        <v>0</v>
      </c>
      <c r="AB212" s="47" t="n">
        <f aca="false">IF($A212="",0,COUNTIFS(研发人员工时分配表!$A$6:$A$245,$A212,研发人员工时分配表!$B$6:$B$245,$B212))</f>
        <v>0</v>
      </c>
    </row>
    <row r="213" customFormat="false" ht="18" hidden="false" customHeight="true" outlineLevel="0" collapsed="false">
      <c r="A213" s="36"/>
      <c r="B213" s="36"/>
      <c r="C213" s="43" t="str">
        <f aca="false">IF($B213="","",IFERROR(VLOOKUP($B213,人员名册!$B$4:$G$53,2,0)&amp;"","名册中未登记"))</f>
        <v/>
      </c>
      <c r="D213" s="43" t="str">
        <f aca="false">IF($B213="","",IFERROR(VLOOKUP($B213,人员名册!$B$4:$G$53,5,0)&amp;"",""))</f>
        <v/>
      </c>
      <c r="E213" s="25"/>
      <c r="F213" s="25"/>
      <c r="G213" s="25"/>
      <c r="H213" s="25"/>
      <c r="I213" s="25"/>
      <c r="J213" s="27" t="str">
        <f aca="false">IF($A213="","",ROUND(SUM(E213:I213),2))</f>
        <v/>
      </c>
      <c r="K213" s="45" t="n">
        <f aca="false">IF(OR($A213="",$AA213=0),0,INDEX(研发人员工时分配表!$F$6:$F$245,$AA213))</f>
        <v>0</v>
      </c>
      <c r="L213" s="45" t="n">
        <f aca="false">IF(OR($A213="",$AA213=0),0,INDEX(研发人员工时分配表!$R$6:$R$245,$AA213))</f>
        <v>0</v>
      </c>
      <c r="M213" s="28" t="str">
        <f aca="false">IF(OR($A213="",$K213=0),"",$L213/$K213)</f>
        <v/>
      </c>
      <c r="N213" s="27" t="str">
        <f aca="false">IF(OR($A213="",$K213=0),"",ROUND($J213*INDEX(研发人员工时分配表!$H$6:$H$245,$AA213)/$K213,2))</f>
        <v/>
      </c>
      <c r="O213" s="27" t="str">
        <f aca="false">IF(OR($A213="",$K213=0),"",ROUND($J213*INDEX(研发人员工时分配表!$I$6:$I$245,$AA213)/$K213,2))</f>
        <v/>
      </c>
      <c r="P213" s="27" t="str">
        <f aca="false">IF(OR($A213="",$K213=0),"",ROUND($J213*INDEX(研发人员工时分配表!$J$6:$J$245,$AA213)/$K213,2))</f>
        <v/>
      </c>
      <c r="Q213" s="27" t="str">
        <f aca="false">IF(OR($A213="",$K213=0),"",ROUND($J213*INDEX(研发人员工时分配表!$K$6:$K$245,$AA213)/$K213,2))</f>
        <v/>
      </c>
      <c r="R213" s="27" t="str">
        <f aca="false">IF(OR($A213="",$K213=0),"",ROUND($J213*INDEX(研发人员工时分配表!$L$6:$L$245,$AA213)/$K213,2))</f>
        <v/>
      </c>
      <c r="S213" s="27" t="str">
        <f aca="false">IF(OR($A213="",$K213=0),"",ROUND($J213*INDEX(研发人员工时分配表!$M$6:$M$245,$AA213)/$K213,2))</f>
        <v/>
      </c>
      <c r="T213" s="27" t="str">
        <f aca="false">IF(OR($A213="",$K213=0),"",ROUND($J213*INDEX(研发人员工时分配表!$N$6:$N$245,$AA213)/$K213,2))</f>
        <v/>
      </c>
      <c r="U213" s="27" t="str">
        <f aca="false">IF(OR($A213="",$K213=0),"",ROUND($J213*INDEX(研发人员工时分配表!$O$6:$O$245,$AA213)/$K213,2))</f>
        <v/>
      </c>
      <c r="V213" s="27" t="str">
        <f aca="false">IF(OR($A213="",$K213=0),"",ROUND($J213*INDEX(研发人员工时分配表!$P$6:$P$245,$AA213)/$K213,2))</f>
        <v/>
      </c>
      <c r="W213" s="27" t="str">
        <f aca="false">IF(OR($A213="",$K213=0),"",ROUND($J213*INDEX(研发人员工时分配表!$Q$6:$Q$245,$AA213)/$K213,2))</f>
        <v/>
      </c>
      <c r="X213" s="27" t="str">
        <f aca="false">IF($A213="","",ROUND(SUM(N213:W213),2))</f>
        <v/>
      </c>
      <c r="Y213" s="27" t="str">
        <f aca="false">IF($A213="","",ROUND($J213-X213,2))</f>
        <v/>
      </c>
      <c r="Z213" s="43" t="str">
        <f aca="false">IF($A213="","",IF($AA213=0,"⚠ 工时分配表无此人当月记录",IF($AB213&gt;1,"⚠ 工时分配表存在重复行","√ 正常")))</f>
        <v/>
      </c>
      <c r="AA213" s="47" t="n">
        <f aca="false">IF($A213="",0,IFERROR(MATCH($A213&amp;"|"&amp;$B213,研发人员工时分配表!$W$6:$W$245,0),0))</f>
        <v>0</v>
      </c>
      <c r="AB213" s="47" t="n">
        <f aca="false">IF($A213="",0,COUNTIFS(研发人员工时分配表!$A$6:$A$245,$A213,研发人员工时分配表!$B$6:$B$245,$B213))</f>
        <v>0</v>
      </c>
    </row>
    <row r="214" customFormat="false" ht="18" hidden="false" customHeight="true" outlineLevel="0" collapsed="false">
      <c r="A214" s="36"/>
      <c r="B214" s="36"/>
      <c r="C214" s="43" t="str">
        <f aca="false">IF($B214="","",IFERROR(VLOOKUP($B214,人员名册!$B$4:$G$53,2,0)&amp;"","名册中未登记"))</f>
        <v/>
      </c>
      <c r="D214" s="43" t="str">
        <f aca="false">IF($B214="","",IFERROR(VLOOKUP($B214,人员名册!$B$4:$G$53,5,0)&amp;"",""))</f>
        <v/>
      </c>
      <c r="E214" s="25"/>
      <c r="F214" s="25"/>
      <c r="G214" s="25"/>
      <c r="H214" s="25"/>
      <c r="I214" s="25"/>
      <c r="J214" s="27" t="str">
        <f aca="false">IF($A214="","",ROUND(SUM(E214:I214),2))</f>
        <v/>
      </c>
      <c r="K214" s="45" t="n">
        <f aca="false">IF(OR($A214="",$AA214=0),0,INDEX(研发人员工时分配表!$F$6:$F$245,$AA214))</f>
        <v>0</v>
      </c>
      <c r="L214" s="45" t="n">
        <f aca="false">IF(OR($A214="",$AA214=0),0,INDEX(研发人员工时分配表!$R$6:$R$245,$AA214))</f>
        <v>0</v>
      </c>
      <c r="M214" s="28" t="str">
        <f aca="false">IF(OR($A214="",$K214=0),"",$L214/$K214)</f>
        <v/>
      </c>
      <c r="N214" s="27" t="str">
        <f aca="false">IF(OR($A214="",$K214=0),"",ROUND($J214*INDEX(研发人员工时分配表!$H$6:$H$245,$AA214)/$K214,2))</f>
        <v/>
      </c>
      <c r="O214" s="27" t="str">
        <f aca="false">IF(OR($A214="",$K214=0),"",ROUND($J214*INDEX(研发人员工时分配表!$I$6:$I$245,$AA214)/$K214,2))</f>
        <v/>
      </c>
      <c r="P214" s="27" t="str">
        <f aca="false">IF(OR($A214="",$K214=0),"",ROUND($J214*INDEX(研发人员工时分配表!$J$6:$J$245,$AA214)/$K214,2))</f>
        <v/>
      </c>
      <c r="Q214" s="27" t="str">
        <f aca="false">IF(OR($A214="",$K214=0),"",ROUND($J214*INDEX(研发人员工时分配表!$K$6:$K$245,$AA214)/$K214,2))</f>
        <v/>
      </c>
      <c r="R214" s="27" t="str">
        <f aca="false">IF(OR($A214="",$K214=0),"",ROUND($J214*INDEX(研发人员工时分配表!$L$6:$L$245,$AA214)/$K214,2))</f>
        <v/>
      </c>
      <c r="S214" s="27" t="str">
        <f aca="false">IF(OR($A214="",$K214=0),"",ROUND($J214*INDEX(研发人员工时分配表!$M$6:$M$245,$AA214)/$K214,2))</f>
        <v/>
      </c>
      <c r="T214" s="27" t="str">
        <f aca="false">IF(OR($A214="",$K214=0),"",ROUND($J214*INDEX(研发人员工时分配表!$N$6:$N$245,$AA214)/$K214,2))</f>
        <v/>
      </c>
      <c r="U214" s="27" t="str">
        <f aca="false">IF(OR($A214="",$K214=0),"",ROUND($J214*INDEX(研发人员工时分配表!$O$6:$O$245,$AA214)/$K214,2))</f>
        <v/>
      </c>
      <c r="V214" s="27" t="str">
        <f aca="false">IF(OR($A214="",$K214=0),"",ROUND($J214*INDEX(研发人员工时分配表!$P$6:$P$245,$AA214)/$K214,2))</f>
        <v/>
      </c>
      <c r="W214" s="27" t="str">
        <f aca="false">IF(OR($A214="",$K214=0),"",ROUND($J214*INDEX(研发人员工时分配表!$Q$6:$Q$245,$AA214)/$K214,2))</f>
        <v/>
      </c>
      <c r="X214" s="27" t="str">
        <f aca="false">IF($A214="","",ROUND(SUM(N214:W214),2))</f>
        <v/>
      </c>
      <c r="Y214" s="27" t="str">
        <f aca="false">IF($A214="","",ROUND($J214-X214,2))</f>
        <v/>
      </c>
      <c r="Z214" s="43" t="str">
        <f aca="false">IF($A214="","",IF($AA214=0,"⚠ 工时分配表无此人当月记录",IF($AB214&gt;1,"⚠ 工时分配表存在重复行","√ 正常")))</f>
        <v/>
      </c>
      <c r="AA214" s="47" t="n">
        <f aca="false">IF($A214="",0,IFERROR(MATCH($A214&amp;"|"&amp;$B214,研发人员工时分配表!$W$6:$W$245,0),0))</f>
        <v>0</v>
      </c>
      <c r="AB214" s="47" t="n">
        <f aca="false">IF($A214="",0,COUNTIFS(研发人员工时分配表!$A$6:$A$245,$A214,研发人员工时分配表!$B$6:$B$245,$B214))</f>
        <v>0</v>
      </c>
    </row>
    <row r="215" customFormat="false" ht="18" hidden="false" customHeight="true" outlineLevel="0" collapsed="false">
      <c r="A215" s="36"/>
      <c r="B215" s="36"/>
      <c r="C215" s="43" t="str">
        <f aca="false">IF($B215="","",IFERROR(VLOOKUP($B215,人员名册!$B$4:$G$53,2,0)&amp;"","名册中未登记"))</f>
        <v/>
      </c>
      <c r="D215" s="43" t="str">
        <f aca="false">IF($B215="","",IFERROR(VLOOKUP($B215,人员名册!$B$4:$G$53,5,0)&amp;"",""))</f>
        <v/>
      </c>
      <c r="E215" s="25"/>
      <c r="F215" s="25"/>
      <c r="G215" s="25"/>
      <c r="H215" s="25"/>
      <c r="I215" s="25"/>
      <c r="J215" s="27" t="str">
        <f aca="false">IF($A215="","",ROUND(SUM(E215:I215),2))</f>
        <v/>
      </c>
      <c r="K215" s="45" t="n">
        <f aca="false">IF(OR($A215="",$AA215=0),0,INDEX(研发人员工时分配表!$F$6:$F$245,$AA215))</f>
        <v>0</v>
      </c>
      <c r="L215" s="45" t="n">
        <f aca="false">IF(OR($A215="",$AA215=0),0,INDEX(研发人员工时分配表!$R$6:$R$245,$AA215))</f>
        <v>0</v>
      </c>
      <c r="M215" s="28" t="str">
        <f aca="false">IF(OR($A215="",$K215=0),"",$L215/$K215)</f>
        <v/>
      </c>
      <c r="N215" s="27" t="str">
        <f aca="false">IF(OR($A215="",$K215=0),"",ROUND($J215*INDEX(研发人员工时分配表!$H$6:$H$245,$AA215)/$K215,2))</f>
        <v/>
      </c>
      <c r="O215" s="27" t="str">
        <f aca="false">IF(OR($A215="",$K215=0),"",ROUND($J215*INDEX(研发人员工时分配表!$I$6:$I$245,$AA215)/$K215,2))</f>
        <v/>
      </c>
      <c r="P215" s="27" t="str">
        <f aca="false">IF(OR($A215="",$K215=0),"",ROUND($J215*INDEX(研发人员工时分配表!$J$6:$J$245,$AA215)/$K215,2))</f>
        <v/>
      </c>
      <c r="Q215" s="27" t="str">
        <f aca="false">IF(OR($A215="",$K215=0),"",ROUND($J215*INDEX(研发人员工时分配表!$K$6:$K$245,$AA215)/$K215,2))</f>
        <v/>
      </c>
      <c r="R215" s="27" t="str">
        <f aca="false">IF(OR($A215="",$K215=0),"",ROUND($J215*INDEX(研发人员工时分配表!$L$6:$L$245,$AA215)/$K215,2))</f>
        <v/>
      </c>
      <c r="S215" s="27" t="str">
        <f aca="false">IF(OR($A215="",$K215=0),"",ROUND($J215*INDEX(研发人员工时分配表!$M$6:$M$245,$AA215)/$K215,2))</f>
        <v/>
      </c>
      <c r="T215" s="27" t="str">
        <f aca="false">IF(OR($A215="",$K215=0),"",ROUND($J215*INDEX(研发人员工时分配表!$N$6:$N$245,$AA215)/$K215,2))</f>
        <v/>
      </c>
      <c r="U215" s="27" t="str">
        <f aca="false">IF(OR($A215="",$K215=0),"",ROUND($J215*INDEX(研发人员工时分配表!$O$6:$O$245,$AA215)/$K215,2))</f>
        <v/>
      </c>
      <c r="V215" s="27" t="str">
        <f aca="false">IF(OR($A215="",$K215=0),"",ROUND($J215*INDEX(研发人员工时分配表!$P$6:$P$245,$AA215)/$K215,2))</f>
        <v/>
      </c>
      <c r="W215" s="27" t="str">
        <f aca="false">IF(OR($A215="",$K215=0),"",ROUND($J215*INDEX(研发人员工时分配表!$Q$6:$Q$245,$AA215)/$K215,2))</f>
        <v/>
      </c>
      <c r="X215" s="27" t="str">
        <f aca="false">IF($A215="","",ROUND(SUM(N215:W215),2))</f>
        <v/>
      </c>
      <c r="Y215" s="27" t="str">
        <f aca="false">IF($A215="","",ROUND($J215-X215,2))</f>
        <v/>
      </c>
      <c r="Z215" s="43" t="str">
        <f aca="false">IF($A215="","",IF($AA215=0,"⚠ 工时分配表无此人当月记录",IF($AB215&gt;1,"⚠ 工时分配表存在重复行","√ 正常")))</f>
        <v/>
      </c>
      <c r="AA215" s="47" t="n">
        <f aca="false">IF($A215="",0,IFERROR(MATCH($A215&amp;"|"&amp;$B215,研发人员工时分配表!$W$6:$W$245,0),0))</f>
        <v>0</v>
      </c>
      <c r="AB215" s="47" t="n">
        <f aca="false">IF($A215="",0,COUNTIFS(研发人员工时分配表!$A$6:$A$245,$A215,研发人员工时分配表!$B$6:$B$245,$B215))</f>
        <v>0</v>
      </c>
    </row>
    <row r="216" customFormat="false" ht="18" hidden="false" customHeight="true" outlineLevel="0" collapsed="false">
      <c r="A216" s="36"/>
      <c r="B216" s="36"/>
      <c r="C216" s="43" t="str">
        <f aca="false">IF($B216="","",IFERROR(VLOOKUP($B216,人员名册!$B$4:$G$53,2,0)&amp;"","名册中未登记"))</f>
        <v/>
      </c>
      <c r="D216" s="43" t="str">
        <f aca="false">IF($B216="","",IFERROR(VLOOKUP($B216,人员名册!$B$4:$G$53,5,0)&amp;"",""))</f>
        <v/>
      </c>
      <c r="E216" s="25"/>
      <c r="F216" s="25"/>
      <c r="G216" s="25"/>
      <c r="H216" s="25"/>
      <c r="I216" s="25"/>
      <c r="J216" s="27" t="str">
        <f aca="false">IF($A216="","",ROUND(SUM(E216:I216),2))</f>
        <v/>
      </c>
      <c r="K216" s="45" t="n">
        <f aca="false">IF(OR($A216="",$AA216=0),0,INDEX(研发人员工时分配表!$F$6:$F$245,$AA216))</f>
        <v>0</v>
      </c>
      <c r="L216" s="45" t="n">
        <f aca="false">IF(OR($A216="",$AA216=0),0,INDEX(研发人员工时分配表!$R$6:$R$245,$AA216))</f>
        <v>0</v>
      </c>
      <c r="M216" s="28" t="str">
        <f aca="false">IF(OR($A216="",$K216=0),"",$L216/$K216)</f>
        <v/>
      </c>
      <c r="N216" s="27" t="str">
        <f aca="false">IF(OR($A216="",$K216=0),"",ROUND($J216*INDEX(研发人员工时分配表!$H$6:$H$245,$AA216)/$K216,2))</f>
        <v/>
      </c>
      <c r="O216" s="27" t="str">
        <f aca="false">IF(OR($A216="",$K216=0),"",ROUND($J216*INDEX(研发人员工时分配表!$I$6:$I$245,$AA216)/$K216,2))</f>
        <v/>
      </c>
      <c r="P216" s="27" t="str">
        <f aca="false">IF(OR($A216="",$K216=0),"",ROUND($J216*INDEX(研发人员工时分配表!$J$6:$J$245,$AA216)/$K216,2))</f>
        <v/>
      </c>
      <c r="Q216" s="27" t="str">
        <f aca="false">IF(OR($A216="",$K216=0),"",ROUND($J216*INDEX(研发人员工时分配表!$K$6:$K$245,$AA216)/$K216,2))</f>
        <v/>
      </c>
      <c r="R216" s="27" t="str">
        <f aca="false">IF(OR($A216="",$K216=0),"",ROUND($J216*INDEX(研发人员工时分配表!$L$6:$L$245,$AA216)/$K216,2))</f>
        <v/>
      </c>
      <c r="S216" s="27" t="str">
        <f aca="false">IF(OR($A216="",$K216=0),"",ROUND($J216*INDEX(研发人员工时分配表!$M$6:$M$245,$AA216)/$K216,2))</f>
        <v/>
      </c>
      <c r="T216" s="27" t="str">
        <f aca="false">IF(OR($A216="",$K216=0),"",ROUND($J216*INDEX(研发人员工时分配表!$N$6:$N$245,$AA216)/$K216,2))</f>
        <v/>
      </c>
      <c r="U216" s="27" t="str">
        <f aca="false">IF(OR($A216="",$K216=0),"",ROUND($J216*INDEX(研发人员工时分配表!$O$6:$O$245,$AA216)/$K216,2))</f>
        <v/>
      </c>
      <c r="V216" s="27" t="str">
        <f aca="false">IF(OR($A216="",$K216=0),"",ROUND($J216*INDEX(研发人员工时分配表!$P$6:$P$245,$AA216)/$K216,2))</f>
        <v/>
      </c>
      <c r="W216" s="27" t="str">
        <f aca="false">IF(OR($A216="",$K216=0),"",ROUND($J216*INDEX(研发人员工时分配表!$Q$6:$Q$245,$AA216)/$K216,2))</f>
        <v/>
      </c>
      <c r="X216" s="27" t="str">
        <f aca="false">IF($A216="","",ROUND(SUM(N216:W216),2))</f>
        <v/>
      </c>
      <c r="Y216" s="27" t="str">
        <f aca="false">IF($A216="","",ROUND($J216-X216,2))</f>
        <v/>
      </c>
      <c r="Z216" s="43" t="str">
        <f aca="false">IF($A216="","",IF($AA216=0,"⚠ 工时分配表无此人当月记录",IF($AB216&gt;1,"⚠ 工时分配表存在重复行","√ 正常")))</f>
        <v/>
      </c>
      <c r="AA216" s="47" t="n">
        <f aca="false">IF($A216="",0,IFERROR(MATCH($A216&amp;"|"&amp;$B216,研发人员工时分配表!$W$6:$W$245,0),0))</f>
        <v>0</v>
      </c>
      <c r="AB216" s="47" t="n">
        <f aca="false">IF($A216="",0,COUNTIFS(研发人员工时分配表!$A$6:$A$245,$A216,研发人员工时分配表!$B$6:$B$245,$B216))</f>
        <v>0</v>
      </c>
    </row>
    <row r="217" customFormat="false" ht="18" hidden="false" customHeight="true" outlineLevel="0" collapsed="false">
      <c r="A217" s="36"/>
      <c r="B217" s="36"/>
      <c r="C217" s="43" t="str">
        <f aca="false">IF($B217="","",IFERROR(VLOOKUP($B217,人员名册!$B$4:$G$53,2,0)&amp;"","名册中未登记"))</f>
        <v/>
      </c>
      <c r="D217" s="43" t="str">
        <f aca="false">IF($B217="","",IFERROR(VLOOKUP($B217,人员名册!$B$4:$G$53,5,0)&amp;"",""))</f>
        <v/>
      </c>
      <c r="E217" s="25"/>
      <c r="F217" s="25"/>
      <c r="G217" s="25"/>
      <c r="H217" s="25"/>
      <c r="I217" s="25"/>
      <c r="J217" s="27" t="str">
        <f aca="false">IF($A217="","",ROUND(SUM(E217:I217),2))</f>
        <v/>
      </c>
      <c r="K217" s="45" t="n">
        <f aca="false">IF(OR($A217="",$AA217=0),0,INDEX(研发人员工时分配表!$F$6:$F$245,$AA217))</f>
        <v>0</v>
      </c>
      <c r="L217" s="45" t="n">
        <f aca="false">IF(OR($A217="",$AA217=0),0,INDEX(研发人员工时分配表!$R$6:$R$245,$AA217))</f>
        <v>0</v>
      </c>
      <c r="M217" s="28" t="str">
        <f aca="false">IF(OR($A217="",$K217=0),"",$L217/$K217)</f>
        <v/>
      </c>
      <c r="N217" s="27" t="str">
        <f aca="false">IF(OR($A217="",$K217=0),"",ROUND($J217*INDEX(研发人员工时分配表!$H$6:$H$245,$AA217)/$K217,2))</f>
        <v/>
      </c>
      <c r="O217" s="27" t="str">
        <f aca="false">IF(OR($A217="",$K217=0),"",ROUND($J217*INDEX(研发人员工时分配表!$I$6:$I$245,$AA217)/$K217,2))</f>
        <v/>
      </c>
      <c r="P217" s="27" t="str">
        <f aca="false">IF(OR($A217="",$K217=0),"",ROUND($J217*INDEX(研发人员工时分配表!$J$6:$J$245,$AA217)/$K217,2))</f>
        <v/>
      </c>
      <c r="Q217" s="27" t="str">
        <f aca="false">IF(OR($A217="",$K217=0),"",ROUND($J217*INDEX(研发人员工时分配表!$K$6:$K$245,$AA217)/$K217,2))</f>
        <v/>
      </c>
      <c r="R217" s="27" t="str">
        <f aca="false">IF(OR($A217="",$K217=0),"",ROUND($J217*INDEX(研发人员工时分配表!$L$6:$L$245,$AA217)/$K217,2))</f>
        <v/>
      </c>
      <c r="S217" s="27" t="str">
        <f aca="false">IF(OR($A217="",$K217=0),"",ROUND($J217*INDEX(研发人员工时分配表!$M$6:$M$245,$AA217)/$K217,2))</f>
        <v/>
      </c>
      <c r="T217" s="27" t="str">
        <f aca="false">IF(OR($A217="",$K217=0),"",ROUND($J217*INDEX(研发人员工时分配表!$N$6:$N$245,$AA217)/$K217,2))</f>
        <v/>
      </c>
      <c r="U217" s="27" t="str">
        <f aca="false">IF(OR($A217="",$K217=0),"",ROUND($J217*INDEX(研发人员工时分配表!$O$6:$O$245,$AA217)/$K217,2))</f>
        <v/>
      </c>
      <c r="V217" s="27" t="str">
        <f aca="false">IF(OR($A217="",$K217=0),"",ROUND($J217*INDEX(研发人员工时分配表!$P$6:$P$245,$AA217)/$K217,2))</f>
        <v/>
      </c>
      <c r="W217" s="27" t="str">
        <f aca="false">IF(OR($A217="",$K217=0),"",ROUND($J217*INDEX(研发人员工时分配表!$Q$6:$Q$245,$AA217)/$K217,2))</f>
        <v/>
      </c>
      <c r="X217" s="27" t="str">
        <f aca="false">IF($A217="","",ROUND(SUM(N217:W217),2))</f>
        <v/>
      </c>
      <c r="Y217" s="27" t="str">
        <f aca="false">IF($A217="","",ROUND($J217-X217,2))</f>
        <v/>
      </c>
      <c r="Z217" s="43" t="str">
        <f aca="false">IF($A217="","",IF($AA217=0,"⚠ 工时分配表无此人当月记录",IF($AB217&gt;1,"⚠ 工时分配表存在重复行","√ 正常")))</f>
        <v/>
      </c>
      <c r="AA217" s="47" t="n">
        <f aca="false">IF($A217="",0,IFERROR(MATCH($A217&amp;"|"&amp;$B217,研发人员工时分配表!$W$6:$W$245,0),0))</f>
        <v>0</v>
      </c>
      <c r="AB217" s="47" t="n">
        <f aca="false">IF($A217="",0,COUNTIFS(研发人员工时分配表!$A$6:$A$245,$A217,研发人员工时分配表!$B$6:$B$245,$B217))</f>
        <v>0</v>
      </c>
    </row>
    <row r="218" customFormat="false" ht="18" hidden="false" customHeight="true" outlineLevel="0" collapsed="false">
      <c r="A218" s="36"/>
      <c r="B218" s="36"/>
      <c r="C218" s="43" t="str">
        <f aca="false">IF($B218="","",IFERROR(VLOOKUP($B218,人员名册!$B$4:$G$53,2,0)&amp;"","名册中未登记"))</f>
        <v/>
      </c>
      <c r="D218" s="43" t="str">
        <f aca="false">IF($B218="","",IFERROR(VLOOKUP($B218,人员名册!$B$4:$G$53,5,0)&amp;"",""))</f>
        <v/>
      </c>
      <c r="E218" s="25"/>
      <c r="F218" s="25"/>
      <c r="G218" s="25"/>
      <c r="H218" s="25"/>
      <c r="I218" s="25"/>
      <c r="J218" s="27" t="str">
        <f aca="false">IF($A218="","",ROUND(SUM(E218:I218),2))</f>
        <v/>
      </c>
      <c r="K218" s="45" t="n">
        <f aca="false">IF(OR($A218="",$AA218=0),0,INDEX(研发人员工时分配表!$F$6:$F$245,$AA218))</f>
        <v>0</v>
      </c>
      <c r="L218" s="45" t="n">
        <f aca="false">IF(OR($A218="",$AA218=0),0,INDEX(研发人员工时分配表!$R$6:$R$245,$AA218))</f>
        <v>0</v>
      </c>
      <c r="M218" s="28" t="str">
        <f aca="false">IF(OR($A218="",$K218=0),"",$L218/$K218)</f>
        <v/>
      </c>
      <c r="N218" s="27" t="str">
        <f aca="false">IF(OR($A218="",$K218=0),"",ROUND($J218*INDEX(研发人员工时分配表!$H$6:$H$245,$AA218)/$K218,2))</f>
        <v/>
      </c>
      <c r="O218" s="27" t="str">
        <f aca="false">IF(OR($A218="",$K218=0),"",ROUND($J218*INDEX(研发人员工时分配表!$I$6:$I$245,$AA218)/$K218,2))</f>
        <v/>
      </c>
      <c r="P218" s="27" t="str">
        <f aca="false">IF(OR($A218="",$K218=0),"",ROUND($J218*INDEX(研发人员工时分配表!$J$6:$J$245,$AA218)/$K218,2))</f>
        <v/>
      </c>
      <c r="Q218" s="27" t="str">
        <f aca="false">IF(OR($A218="",$K218=0),"",ROUND($J218*INDEX(研发人员工时分配表!$K$6:$K$245,$AA218)/$K218,2))</f>
        <v/>
      </c>
      <c r="R218" s="27" t="str">
        <f aca="false">IF(OR($A218="",$K218=0),"",ROUND($J218*INDEX(研发人员工时分配表!$L$6:$L$245,$AA218)/$K218,2))</f>
        <v/>
      </c>
      <c r="S218" s="27" t="str">
        <f aca="false">IF(OR($A218="",$K218=0),"",ROUND($J218*INDEX(研发人员工时分配表!$M$6:$M$245,$AA218)/$K218,2))</f>
        <v/>
      </c>
      <c r="T218" s="27" t="str">
        <f aca="false">IF(OR($A218="",$K218=0),"",ROUND($J218*INDEX(研发人员工时分配表!$N$6:$N$245,$AA218)/$K218,2))</f>
        <v/>
      </c>
      <c r="U218" s="27" t="str">
        <f aca="false">IF(OR($A218="",$K218=0),"",ROUND($J218*INDEX(研发人员工时分配表!$O$6:$O$245,$AA218)/$K218,2))</f>
        <v/>
      </c>
      <c r="V218" s="27" t="str">
        <f aca="false">IF(OR($A218="",$K218=0),"",ROUND($J218*INDEX(研发人员工时分配表!$P$6:$P$245,$AA218)/$K218,2))</f>
        <v/>
      </c>
      <c r="W218" s="27" t="str">
        <f aca="false">IF(OR($A218="",$K218=0),"",ROUND($J218*INDEX(研发人员工时分配表!$Q$6:$Q$245,$AA218)/$K218,2))</f>
        <v/>
      </c>
      <c r="X218" s="27" t="str">
        <f aca="false">IF($A218="","",ROUND(SUM(N218:W218),2))</f>
        <v/>
      </c>
      <c r="Y218" s="27" t="str">
        <f aca="false">IF($A218="","",ROUND($J218-X218,2))</f>
        <v/>
      </c>
      <c r="Z218" s="43" t="str">
        <f aca="false">IF($A218="","",IF($AA218=0,"⚠ 工时分配表无此人当月记录",IF($AB218&gt;1,"⚠ 工时分配表存在重复行","√ 正常")))</f>
        <v/>
      </c>
      <c r="AA218" s="47" t="n">
        <f aca="false">IF($A218="",0,IFERROR(MATCH($A218&amp;"|"&amp;$B218,研发人员工时分配表!$W$6:$W$245,0),0))</f>
        <v>0</v>
      </c>
      <c r="AB218" s="47" t="n">
        <f aca="false">IF($A218="",0,COUNTIFS(研发人员工时分配表!$A$6:$A$245,$A218,研发人员工时分配表!$B$6:$B$245,$B218))</f>
        <v>0</v>
      </c>
    </row>
    <row r="219" customFormat="false" ht="18" hidden="false" customHeight="true" outlineLevel="0" collapsed="false">
      <c r="A219" s="36"/>
      <c r="B219" s="36"/>
      <c r="C219" s="43" t="str">
        <f aca="false">IF($B219="","",IFERROR(VLOOKUP($B219,人员名册!$B$4:$G$53,2,0)&amp;"","名册中未登记"))</f>
        <v/>
      </c>
      <c r="D219" s="43" t="str">
        <f aca="false">IF($B219="","",IFERROR(VLOOKUP($B219,人员名册!$B$4:$G$53,5,0)&amp;"",""))</f>
        <v/>
      </c>
      <c r="E219" s="25"/>
      <c r="F219" s="25"/>
      <c r="G219" s="25"/>
      <c r="H219" s="25"/>
      <c r="I219" s="25"/>
      <c r="J219" s="27" t="str">
        <f aca="false">IF($A219="","",ROUND(SUM(E219:I219),2))</f>
        <v/>
      </c>
      <c r="K219" s="45" t="n">
        <f aca="false">IF(OR($A219="",$AA219=0),0,INDEX(研发人员工时分配表!$F$6:$F$245,$AA219))</f>
        <v>0</v>
      </c>
      <c r="L219" s="45" t="n">
        <f aca="false">IF(OR($A219="",$AA219=0),0,INDEX(研发人员工时分配表!$R$6:$R$245,$AA219))</f>
        <v>0</v>
      </c>
      <c r="M219" s="28" t="str">
        <f aca="false">IF(OR($A219="",$K219=0),"",$L219/$K219)</f>
        <v/>
      </c>
      <c r="N219" s="27" t="str">
        <f aca="false">IF(OR($A219="",$K219=0),"",ROUND($J219*INDEX(研发人员工时分配表!$H$6:$H$245,$AA219)/$K219,2))</f>
        <v/>
      </c>
      <c r="O219" s="27" t="str">
        <f aca="false">IF(OR($A219="",$K219=0),"",ROUND($J219*INDEX(研发人员工时分配表!$I$6:$I$245,$AA219)/$K219,2))</f>
        <v/>
      </c>
      <c r="P219" s="27" t="str">
        <f aca="false">IF(OR($A219="",$K219=0),"",ROUND($J219*INDEX(研发人员工时分配表!$J$6:$J$245,$AA219)/$K219,2))</f>
        <v/>
      </c>
      <c r="Q219" s="27" t="str">
        <f aca="false">IF(OR($A219="",$K219=0),"",ROUND($J219*INDEX(研发人员工时分配表!$K$6:$K$245,$AA219)/$K219,2))</f>
        <v/>
      </c>
      <c r="R219" s="27" t="str">
        <f aca="false">IF(OR($A219="",$K219=0),"",ROUND($J219*INDEX(研发人员工时分配表!$L$6:$L$245,$AA219)/$K219,2))</f>
        <v/>
      </c>
      <c r="S219" s="27" t="str">
        <f aca="false">IF(OR($A219="",$K219=0),"",ROUND($J219*INDEX(研发人员工时分配表!$M$6:$M$245,$AA219)/$K219,2))</f>
        <v/>
      </c>
      <c r="T219" s="27" t="str">
        <f aca="false">IF(OR($A219="",$K219=0),"",ROUND($J219*INDEX(研发人员工时分配表!$N$6:$N$245,$AA219)/$K219,2))</f>
        <v/>
      </c>
      <c r="U219" s="27" t="str">
        <f aca="false">IF(OR($A219="",$K219=0),"",ROUND($J219*INDEX(研发人员工时分配表!$O$6:$O$245,$AA219)/$K219,2))</f>
        <v/>
      </c>
      <c r="V219" s="27" t="str">
        <f aca="false">IF(OR($A219="",$K219=0),"",ROUND($J219*INDEX(研发人员工时分配表!$P$6:$P$245,$AA219)/$K219,2))</f>
        <v/>
      </c>
      <c r="W219" s="27" t="str">
        <f aca="false">IF(OR($A219="",$K219=0),"",ROUND($J219*INDEX(研发人员工时分配表!$Q$6:$Q$245,$AA219)/$K219,2))</f>
        <v/>
      </c>
      <c r="X219" s="27" t="str">
        <f aca="false">IF($A219="","",ROUND(SUM(N219:W219),2))</f>
        <v/>
      </c>
      <c r="Y219" s="27" t="str">
        <f aca="false">IF($A219="","",ROUND($J219-X219,2))</f>
        <v/>
      </c>
      <c r="Z219" s="43" t="str">
        <f aca="false">IF($A219="","",IF($AA219=0,"⚠ 工时分配表无此人当月记录",IF($AB219&gt;1,"⚠ 工时分配表存在重复行","√ 正常")))</f>
        <v/>
      </c>
      <c r="AA219" s="47" t="n">
        <f aca="false">IF($A219="",0,IFERROR(MATCH($A219&amp;"|"&amp;$B219,研发人员工时分配表!$W$6:$W$245,0),0))</f>
        <v>0</v>
      </c>
      <c r="AB219" s="47" t="n">
        <f aca="false">IF($A219="",0,COUNTIFS(研发人员工时分配表!$A$6:$A$245,$A219,研发人员工时分配表!$B$6:$B$245,$B219))</f>
        <v>0</v>
      </c>
    </row>
    <row r="220" customFormat="false" ht="18" hidden="false" customHeight="true" outlineLevel="0" collapsed="false">
      <c r="A220" s="36"/>
      <c r="B220" s="36"/>
      <c r="C220" s="43" t="str">
        <f aca="false">IF($B220="","",IFERROR(VLOOKUP($B220,人员名册!$B$4:$G$53,2,0)&amp;"","名册中未登记"))</f>
        <v/>
      </c>
      <c r="D220" s="43" t="str">
        <f aca="false">IF($B220="","",IFERROR(VLOOKUP($B220,人员名册!$B$4:$G$53,5,0)&amp;"",""))</f>
        <v/>
      </c>
      <c r="E220" s="25"/>
      <c r="F220" s="25"/>
      <c r="G220" s="25"/>
      <c r="H220" s="25"/>
      <c r="I220" s="25"/>
      <c r="J220" s="27" t="str">
        <f aca="false">IF($A220="","",ROUND(SUM(E220:I220),2))</f>
        <v/>
      </c>
      <c r="K220" s="45" t="n">
        <f aca="false">IF(OR($A220="",$AA220=0),0,INDEX(研发人员工时分配表!$F$6:$F$245,$AA220))</f>
        <v>0</v>
      </c>
      <c r="L220" s="45" t="n">
        <f aca="false">IF(OR($A220="",$AA220=0),0,INDEX(研发人员工时分配表!$R$6:$R$245,$AA220))</f>
        <v>0</v>
      </c>
      <c r="M220" s="28" t="str">
        <f aca="false">IF(OR($A220="",$K220=0),"",$L220/$K220)</f>
        <v/>
      </c>
      <c r="N220" s="27" t="str">
        <f aca="false">IF(OR($A220="",$K220=0),"",ROUND($J220*INDEX(研发人员工时分配表!$H$6:$H$245,$AA220)/$K220,2))</f>
        <v/>
      </c>
      <c r="O220" s="27" t="str">
        <f aca="false">IF(OR($A220="",$K220=0),"",ROUND($J220*INDEX(研发人员工时分配表!$I$6:$I$245,$AA220)/$K220,2))</f>
        <v/>
      </c>
      <c r="P220" s="27" t="str">
        <f aca="false">IF(OR($A220="",$K220=0),"",ROUND($J220*INDEX(研发人员工时分配表!$J$6:$J$245,$AA220)/$K220,2))</f>
        <v/>
      </c>
      <c r="Q220" s="27" t="str">
        <f aca="false">IF(OR($A220="",$K220=0),"",ROUND($J220*INDEX(研发人员工时分配表!$K$6:$K$245,$AA220)/$K220,2))</f>
        <v/>
      </c>
      <c r="R220" s="27" t="str">
        <f aca="false">IF(OR($A220="",$K220=0),"",ROUND($J220*INDEX(研发人员工时分配表!$L$6:$L$245,$AA220)/$K220,2))</f>
        <v/>
      </c>
      <c r="S220" s="27" t="str">
        <f aca="false">IF(OR($A220="",$K220=0),"",ROUND($J220*INDEX(研发人员工时分配表!$M$6:$M$245,$AA220)/$K220,2))</f>
        <v/>
      </c>
      <c r="T220" s="27" t="str">
        <f aca="false">IF(OR($A220="",$K220=0),"",ROUND($J220*INDEX(研发人员工时分配表!$N$6:$N$245,$AA220)/$K220,2))</f>
        <v/>
      </c>
      <c r="U220" s="27" t="str">
        <f aca="false">IF(OR($A220="",$K220=0),"",ROUND($J220*INDEX(研发人员工时分配表!$O$6:$O$245,$AA220)/$K220,2))</f>
        <v/>
      </c>
      <c r="V220" s="27" t="str">
        <f aca="false">IF(OR($A220="",$K220=0),"",ROUND($J220*INDEX(研发人员工时分配表!$P$6:$P$245,$AA220)/$K220,2))</f>
        <v/>
      </c>
      <c r="W220" s="27" t="str">
        <f aca="false">IF(OR($A220="",$K220=0),"",ROUND($J220*INDEX(研发人员工时分配表!$Q$6:$Q$245,$AA220)/$K220,2))</f>
        <v/>
      </c>
      <c r="X220" s="27" t="str">
        <f aca="false">IF($A220="","",ROUND(SUM(N220:W220),2))</f>
        <v/>
      </c>
      <c r="Y220" s="27" t="str">
        <f aca="false">IF($A220="","",ROUND($J220-X220,2))</f>
        <v/>
      </c>
      <c r="Z220" s="43" t="str">
        <f aca="false">IF($A220="","",IF($AA220=0,"⚠ 工时分配表无此人当月记录",IF($AB220&gt;1,"⚠ 工时分配表存在重复行","√ 正常")))</f>
        <v/>
      </c>
      <c r="AA220" s="47" t="n">
        <f aca="false">IF($A220="",0,IFERROR(MATCH($A220&amp;"|"&amp;$B220,研发人员工时分配表!$W$6:$W$245,0),0))</f>
        <v>0</v>
      </c>
      <c r="AB220" s="47" t="n">
        <f aca="false">IF($A220="",0,COUNTIFS(研发人员工时分配表!$A$6:$A$245,$A220,研发人员工时分配表!$B$6:$B$245,$B220))</f>
        <v>0</v>
      </c>
    </row>
    <row r="221" customFormat="false" ht="18" hidden="false" customHeight="true" outlineLevel="0" collapsed="false">
      <c r="A221" s="36"/>
      <c r="B221" s="36"/>
      <c r="C221" s="43" t="str">
        <f aca="false">IF($B221="","",IFERROR(VLOOKUP($B221,人员名册!$B$4:$G$53,2,0)&amp;"","名册中未登记"))</f>
        <v/>
      </c>
      <c r="D221" s="43" t="str">
        <f aca="false">IF($B221="","",IFERROR(VLOOKUP($B221,人员名册!$B$4:$G$53,5,0)&amp;"",""))</f>
        <v/>
      </c>
      <c r="E221" s="25"/>
      <c r="F221" s="25"/>
      <c r="G221" s="25"/>
      <c r="H221" s="25"/>
      <c r="I221" s="25"/>
      <c r="J221" s="27" t="str">
        <f aca="false">IF($A221="","",ROUND(SUM(E221:I221),2))</f>
        <v/>
      </c>
      <c r="K221" s="45" t="n">
        <f aca="false">IF(OR($A221="",$AA221=0),0,INDEX(研发人员工时分配表!$F$6:$F$245,$AA221))</f>
        <v>0</v>
      </c>
      <c r="L221" s="45" t="n">
        <f aca="false">IF(OR($A221="",$AA221=0),0,INDEX(研发人员工时分配表!$R$6:$R$245,$AA221))</f>
        <v>0</v>
      </c>
      <c r="M221" s="28" t="str">
        <f aca="false">IF(OR($A221="",$K221=0),"",$L221/$K221)</f>
        <v/>
      </c>
      <c r="N221" s="27" t="str">
        <f aca="false">IF(OR($A221="",$K221=0),"",ROUND($J221*INDEX(研发人员工时分配表!$H$6:$H$245,$AA221)/$K221,2))</f>
        <v/>
      </c>
      <c r="O221" s="27" t="str">
        <f aca="false">IF(OR($A221="",$K221=0),"",ROUND($J221*INDEX(研发人员工时分配表!$I$6:$I$245,$AA221)/$K221,2))</f>
        <v/>
      </c>
      <c r="P221" s="27" t="str">
        <f aca="false">IF(OR($A221="",$K221=0),"",ROUND($J221*INDEX(研发人员工时分配表!$J$6:$J$245,$AA221)/$K221,2))</f>
        <v/>
      </c>
      <c r="Q221" s="27" t="str">
        <f aca="false">IF(OR($A221="",$K221=0),"",ROUND($J221*INDEX(研发人员工时分配表!$K$6:$K$245,$AA221)/$K221,2))</f>
        <v/>
      </c>
      <c r="R221" s="27" t="str">
        <f aca="false">IF(OR($A221="",$K221=0),"",ROUND($J221*INDEX(研发人员工时分配表!$L$6:$L$245,$AA221)/$K221,2))</f>
        <v/>
      </c>
      <c r="S221" s="27" t="str">
        <f aca="false">IF(OR($A221="",$K221=0),"",ROUND($J221*INDEX(研发人员工时分配表!$M$6:$M$245,$AA221)/$K221,2))</f>
        <v/>
      </c>
      <c r="T221" s="27" t="str">
        <f aca="false">IF(OR($A221="",$K221=0),"",ROUND($J221*INDEX(研发人员工时分配表!$N$6:$N$245,$AA221)/$K221,2))</f>
        <v/>
      </c>
      <c r="U221" s="27" t="str">
        <f aca="false">IF(OR($A221="",$K221=0),"",ROUND($J221*INDEX(研发人员工时分配表!$O$6:$O$245,$AA221)/$K221,2))</f>
        <v/>
      </c>
      <c r="V221" s="27" t="str">
        <f aca="false">IF(OR($A221="",$K221=0),"",ROUND($J221*INDEX(研发人员工时分配表!$P$6:$P$245,$AA221)/$K221,2))</f>
        <v/>
      </c>
      <c r="W221" s="27" t="str">
        <f aca="false">IF(OR($A221="",$K221=0),"",ROUND($J221*INDEX(研发人员工时分配表!$Q$6:$Q$245,$AA221)/$K221,2))</f>
        <v/>
      </c>
      <c r="X221" s="27" t="str">
        <f aca="false">IF($A221="","",ROUND(SUM(N221:W221),2))</f>
        <v/>
      </c>
      <c r="Y221" s="27" t="str">
        <f aca="false">IF($A221="","",ROUND($J221-X221,2))</f>
        <v/>
      </c>
      <c r="Z221" s="43" t="str">
        <f aca="false">IF($A221="","",IF($AA221=0,"⚠ 工时分配表无此人当月记录",IF($AB221&gt;1,"⚠ 工时分配表存在重复行","√ 正常")))</f>
        <v/>
      </c>
      <c r="AA221" s="47" t="n">
        <f aca="false">IF($A221="",0,IFERROR(MATCH($A221&amp;"|"&amp;$B221,研发人员工时分配表!$W$6:$W$245,0),0))</f>
        <v>0</v>
      </c>
      <c r="AB221" s="47" t="n">
        <f aca="false">IF($A221="",0,COUNTIFS(研发人员工时分配表!$A$6:$A$245,$A221,研发人员工时分配表!$B$6:$B$245,$B221))</f>
        <v>0</v>
      </c>
    </row>
    <row r="222" customFormat="false" ht="18" hidden="false" customHeight="true" outlineLevel="0" collapsed="false">
      <c r="A222" s="36"/>
      <c r="B222" s="36"/>
      <c r="C222" s="43" t="str">
        <f aca="false">IF($B222="","",IFERROR(VLOOKUP($B222,人员名册!$B$4:$G$53,2,0)&amp;"","名册中未登记"))</f>
        <v/>
      </c>
      <c r="D222" s="43" t="str">
        <f aca="false">IF($B222="","",IFERROR(VLOOKUP($B222,人员名册!$B$4:$G$53,5,0)&amp;"",""))</f>
        <v/>
      </c>
      <c r="E222" s="25"/>
      <c r="F222" s="25"/>
      <c r="G222" s="25"/>
      <c r="H222" s="25"/>
      <c r="I222" s="25"/>
      <c r="J222" s="27" t="str">
        <f aca="false">IF($A222="","",ROUND(SUM(E222:I222),2))</f>
        <v/>
      </c>
      <c r="K222" s="45" t="n">
        <f aca="false">IF(OR($A222="",$AA222=0),0,INDEX(研发人员工时分配表!$F$6:$F$245,$AA222))</f>
        <v>0</v>
      </c>
      <c r="L222" s="45" t="n">
        <f aca="false">IF(OR($A222="",$AA222=0),0,INDEX(研发人员工时分配表!$R$6:$R$245,$AA222))</f>
        <v>0</v>
      </c>
      <c r="M222" s="28" t="str">
        <f aca="false">IF(OR($A222="",$K222=0),"",$L222/$K222)</f>
        <v/>
      </c>
      <c r="N222" s="27" t="str">
        <f aca="false">IF(OR($A222="",$K222=0),"",ROUND($J222*INDEX(研发人员工时分配表!$H$6:$H$245,$AA222)/$K222,2))</f>
        <v/>
      </c>
      <c r="O222" s="27" t="str">
        <f aca="false">IF(OR($A222="",$K222=0),"",ROUND($J222*INDEX(研发人员工时分配表!$I$6:$I$245,$AA222)/$K222,2))</f>
        <v/>
      </c>
      <c r="P222" s="27" t="str">
        <f aca="false">IF(OR($A222="",$K222=0),"",ROUND($J222*INDEX(研发人员工时分配表!$J$6:$J$245,$AA222)/$K222,2))</f>
        <v/>
      </c>
      <c r="Q222" s="27" t="str">
        <f aca="false">IF(OR($A222="",$K222=0),"",ROUND($J222*INDEX(研发人员工时分配表!$K$6:$K$245,$AA222)/$K222,2))</f>
        <v/>
      </c>
      <c r="R222" s="27" t="str">
        <f aca="false">IF(OR($A222="",$K222=0),"",ROUND($J222*INDEX(研发人员工时分配表!$L$6:$L$245,$AA222)/$K222,2))</f>
        <v/>
      </c>
      <c r="S222" s="27" t="str">
        <f aca="false">IF(OR($A222="",$K222=0),"",ROUND($J222*INDEX(研发人员工时分配表!$M$6:$M$245,$AA222)/$K222,2))</f>
        <v/>
      </c>
      <c r="T222" s="27" t="str">
        <f aca="false">IF(OR($A222="",$K222=0),"",ROUND($J222*INDEX(研发人员工时分配表!$N$6:$N$245,$AA222)/$K222,2))</f>
        <v/>
      </c>
      <c r="U222" s="27" t="str">
        <f aca="false">IF(OR($A222="",$K222=0),"",ROUND($J222*INDEX(研发人员工时分配表!$O$6:$O$245,$AA222)/$K222,2))</f>
        <v/>
      </c>
      <c r="V222" s="27" t="str">
        <f aca="false">IF(OR($A222="",$K222=0),"",ROUND($J222*INDEX(研发人员工时分配表!$P$6:$P$245,$AA222)/$K222,2))</f>
        <v/>
      </c>
      <c r="W222" s="27" t="str">
        <f aca="false">IF(OR($A222="",$K222=0),"",ROUND($J222*INDEX(研发人员工时分配表!$Q$6:$Q$245,$AA222)/$K222,2))</f>
        <v/>
      </c>
      <c r="X222" s="27" t="str">
        <f aca="false">IF($A222="","",ROUND(SUM(N222:W222),2))</f>
        <v/>
      </c>
      <c r="Y222" s="27" t="str">
        <f aca="false">IF($A222="","",ROUND($J222-X222,2))</f>
        <v/>
      </c>
      <c r="Z222" s="43" t="str">
        <f aca="false">IF($A222="","",IF($AA222=0,"⚠ 工时分配表无此人当月记录",IF($AB222&gt;1,"⚠ 工时分配表存在重复行","√ 正常")))</f>
        <v/>
      </c>
      <c r="AA222" s="47" t="n">
        <f aca="false">IF($A222="",0,IFERROR(MATCH($A222&amp;"|"&amp;$B222,研发人员工时分配表!$W$6:$W$245,0),0))</f>
        <v>0</v>
      </c>
      <c r="AB222" s="47" t="n">
        <f aca="false">IF($A222="",0,COUNTIFS(研发人员工时分配表!$A$6:$A$245,$A222,研发人员工时分配表!$B$6:$B$245,$B222))</f>
        <v>0</v>
      </c>
    </row>
    <row r="223" customFormat="false" ht="18" hidden="false" customHeight="true" outlineLevel="0" collapsed="false">
      <c r="A223" s="36"/>
      <c r="B223" s="36"/>
      <c r="C223" s="43" t="str">
        <f aca="false">IF($B223="","",IFERROR(VLOOKUP($B223,人员名册!$B$4:$G$53,2,0)&amp;"","名册中未登记"))</f>
        <v/>
      </c>
      <c r="D223" s="43" t="str">
        <f aca="false">IF($B223="","",IFERROR(VLOOKUP($B223,人员名册!$B$4:$G$53,5,0)&amp;"",""))</f>
        <v/>
      </c>
      <c r="E223" s="25"/>
      <c r="F223" s="25"/>
      <c r="G223" s="25"/>
      <c r="H223" s="25"/>
      <c r="I223" s="25"/>
      <c r="J223" s="27" t="str">
        <f aca="false">IF($A223="","",ROUND(SUM(E223:I223),2))</f>
        <v/>
      </c>
      <c r="K223" s="45" t="n">
        <f aca="false">IF(OR($A223="",$AA223=0),0,INDEX(研发人员工时分配表!$F$6:$F$245,$AA223))</f>
        <v>0</v>
      </c>
      <c r="L223" s="45" t="n">
        <f aca="false">IF(OR($A223="",$AA223=0),0,INDEX(研发人员工时分配表!$R$6:$R$245,$AA223))</f>
        <v>0</v>
      </c>
      <c r="M223" s="28" t="str">
        <f aca="false">IF(OR($A223="",$K223=0),"",$L223/$K223)</f>
        <v/>
      </c>
      <c r="N223" s="27" t="str">
        <f aca="false">IF(OR($A223="",$K223=0),"",ROUND($J223*INDEX(研发人员工时分配表!$H$6:$H$245,$AA223)/$K223,2))</f>
        <v/>
      </c>
      <c r="O223" s="27" t="str">
        <f aca="false">IF(OR($A223="",$K223=0),"",ROUND($J223*INDEX(研发人员工时分配表!$I$6:$I$245,$AA223)/$K223,2))</f>
        <v/>
      </c>
      <c r="P223" s="27" t="str">
        <f aca="false">IF(OR($A223="",$K223=0),"",ROUND($J223*INDEX(研发人员工时分配表!$J$6:$J$245,$AA223)/$K223,2))</f>
        <v/>
      </c>
      <c r="Q223" s="27" t="str">
        <f aca="false">IF(OR($A223="",$K223=0),"",ROUND($J223*INDEX(研发人员工时分配表!$K$6:$K$245,$AA223)/$K223,2))</f>
        <v/>
      </c>
      <c r="R223" s="27" t="str">
        <f aca="false">IF(OR($A223="",$K223=0),"",ROUND($J223*INDEX(研发人员工时分配表!$L$6:$L$245,$AA223)/$K223,2))</f>
        <v/>
      </c>
      <c r="S223" s="27" t="str">
        <f aca="false">IF(OR($A223="",$K223=0),"",ROUND($J223*INDEX(研发人员工时分配表!$M$6:$M$245,$AA223)/$K223,2))</f>
        <v/>
      </c>
      <c r="T223" s="27" t="str">
        <f aca="false">IF(OR($A223="",$K223=0),"",ROUND($J223*INDEX(研发人员工时分配表!$N$6:$N$245,$AA223)/$K223,2))</f>
        <v/>
      </c>
      <c r="U223" s="27" t="str">
        <f aca="false">IF(OR($A223="",$K223=0),"",ROUND($J223*INDEX(研发人员工时分配表!$O$6:$O$245,$AA223)/$K223,2))</f>
        <v/>
      </c>
      <c r="V223" s="27" t="str">
        <f aca="false">IF(OR($A223="",$K223=0),"",ROUND($J223*INDEX(研发人员工时分配表!$P$6:$P$245,$AA223)/$K223,2))</f>
        <v/>
      </c>
      <c r="W223" s="27" t="str">
        <f aca="false">IF(OR($A223="",$K223=0),"",ROUND($J223*INDEX(研发人员工时分配表!$Q$6:$Q$245,$AA223)/$K223,2))</f>
        <v/>
      </c>
      <c r="X223" s="27" t="str">
        <f aca="false">IF($A223="","",ROUND(SUM(N223:W223),2))</f>
        <v/>
      </c>
      <c r="Y223" s="27" t="str">
        <f aca="false">IF($A223="","",ROUND($J223-X223,2))</f>
        <v/>
      </c>
      <c r="Z223" s="43" t="str">
        <f aca="false">IF($A223="","",IF($AA223=0,"⚠ 工时分配表无此人当月记录",IF($AB223&gt;1,"⚠ 工时分配表存在重复行","√ 正常")))</f>
        <v/>
      </c>
      <c r="AA223" s="47" t="n">
        <f aca="false">IF($A223="",0,IFERROR(MATCH($A223&amp;"|"&amp;$B223,研发人员工时分配表!$W$6:$W$245,0),0))</f>
        <v>0</v>
      </c>
      <c r="AB223" s="47" t="n">
        <f aca="false">IF($A223="",0,COUNTIFS(研发人员工时分配表!$A$6:$A$245,$A223,研发人员工时分配表!$B$6:$B$245,$B223))</f>
        <v>0</v>
      </c>
    </row>
    <row r="224" customFormat="false" ht="18" hidden="false" customHeight="true" outlineLevel="0" collapsed="false">
      <c r="A224" s="36"/>
      <c r="B224" s="36"/>
      <c r="C224" s="43" t="str">
        <f aca="false">IF($B224="","",IFERROR(VLOOKUP($B224,人员名册!$B$4:$G$53,2,0)&amp;"","名册中未登记"))</f>
        <v/>
      </c>
      <c r="D224" s="43" t="str">
        <f aca="false">IF($B224="","",IFERROR(VLOOKUP($B224,人员名册!$B$4:$G$53,5,0)&amp;"",""))</f>
        <v/>
      </c>
      <c r="E224" s="25"/>
      <c r="F224" s="25"/>
      <c r="G224" s="25"/>
      <c r="H224" s="25"/>
      <c r="I224" s="25"/>
      <c r="J224" s="27" t="str">
        <f aca="false">IF($A224="","",ROUND(SUM(E224:I224),2))</f>
        <v/>
      </c>
      <c r="K224" s="45" t="n">
        <f aca="false">IF(OR($A224="",$AA224=0),0,INDEX(研发人员工时分配表!$F$6:$F$245,$AA224))</f>
        <v>0</v>
      </c>
      <c r="L224" s="45" t="n">
        <f aca="false">IF(OR($A224="",$AA224=0),0,INDEX(研发人员工时分配表!$R$6:$R$245,$AA224))</f>
        <v>0</v>
      </c>
      <c r="M224" s="28" t="str">
        <f aca="false">IF(OR($A224="",$K224=0),"",$L224/$K224)</f>
        <v/>
      </c>
      <c r="N224" s="27" t="str">
        <f aca="false">IF(OR($A224="",$K224=0),"",ROUND($J224*INDEX(研发人员工时分配表!$H$6:$H$245,$AA224)/$K224,2))</f>
        <v/>
      </c>
      <c r="O224" s="27" t="str">
        <f aca="false">IF(OR($A224="",$K224=0),"",ROUND($J224*INDEX(研发人员工时分配表!$I$6:$I$245,$AA224)/$K224,2))</f>
        <v/>
      </c>
      <c r="P224" s="27" t="str">
        <f aca="false">IF(OR($A224="",$K224=0),"",ROUND($J224*INDEX(研发人员工时分配表!$J$6:$J$245,$AA224)/$K224,2))</f>
        <v/>
      </c>
      <c r="Q224" s="27" t="str">
        <f aca="false">IF(OR($A224="",$K224=0),"",ROUND($J224*INDEX(研发人员工时分配表!$K$6:$K$245,$AA224)/$K224,2))</f>
        <v/>
      </c>
      <c r="R224" s="27" t="str">
        <f aca="false">IF(OR($A224="",$K224=0),"",ROUND($J224*INDEX(研发人员工时分配表!$L$6:$L$245,$AA224)/$K224,2))</f>
        <v/>
      </c>
      <c r="S224" s="27" t="str">
        <f aca="false">IF(OR($A224="",$K224=0),"",ROUND($J224*INDEX(研发人员工时分配表!$M$6:$M$245,$AA224)/$K224,2))</f>
        <v/>
      </c>
      <c r="T224" s="27" t="str">
        <f aca="false">IF(OR($A224="",$K224=0),"",ROUND($J224*INDEX(研发人员工时分配表!$N$6:$N$245,$AA224)/$K224,2))</f>
        <v/>
      </c>
      <c r="U224" s="27" t="str">
        <f aca="false">IF(OR($A224="",$K224=0),"",ROUND($J224*INDEX(研发人员工时分配表!$O$6:$O$245,$AA224)/$K224,2))</f>
        <v/>
      </c>
      <c r="V224" s="27" t="str">
        <f aca="false">IF(OR($A224="",$K224=0),"",ROUND($J224*INDEX(研发人员工时分配表!$P$6:$P$245,$AA224)/$K224,2))</f>
        <v/>
      </c>
      <c r="W224" s="27" t="str">
        <f aca="false">IF(OR($A224="",$K224=0),"",ROUND($J224*INDEX(研发人员工时分配表!$Q$6:$Q$245,$AA224)/$K224,2))</f>
        <v/>
      </c>
      <c r="X224" s="27" t="str">
        <f aca="false">IF($A224="","",ROUND(SUM(N224:W224),2))</f>
        <v/>
      </c>
      <c r="Y224" s="27" t="str">
        <f aca="false">IF($A224="","",ROUND($J224-X224,2))</f>
        <v/>
      </c>
      <c r="Z224" s="43" t="str">
        <f aca="false">IF($A224="","",IF($AA224=0,"⚠ 工时分配表无此人当月记录",IF($AB224&gt;1,"⚠ 工时分配表存在重复行","√ 正常")))</f>
        <v/>
      </c>
      <c r="AA224" s="47" t="n">
        <f aca="false">IF($A224="",0,IFERROR(MATCH($A224&amp;"|"&amp;$B224,研发人员工时分配表!$W$6:$W$245,0),0))</f>
        <v>0</v>
      </c>
      <c r="AB224" s="47" t="n">
        <f aca="false">IF($A224="",0,COUNTIFS(研发人员工时分配表!$A$6:$A$245,$A224,研发人员工时分配表!$B$6:$B$245,$B224))</f>
        <v>0</v>
      </c>
    </row>
    <row r="225" customFormat="false" ht="18" hidden="false" customHeight="true" outlineLevel="0" collapsed="false">
      <c r="A225" s="36"/>
      <c r="B225" s="36"/>
      <c r="C225" s="43" t="str">
        <f aca="false">IF($B225="","",IFERROR(VLOOKUP($B225,人员名册!$B$4:$G$53,2,0)&amp;"","名册中未登记"))</f>
        <v/>
      </c>
      <c r="D225" s="43" t="str">
        <f aca="false">IF($B225="","",IFERROR(VLOOKUP($B225,人员名册!$B$4:$G$53,5,0)&amp;"",""))</f>
        <v/>
      </c>
      <c r="E225" s="25"/>
      <c r="F225" s="25"/>
      <c r="G225" s="25"/>
      <c r="H225" s="25"/>
      <c r="I225" s="25"/>
      <c r="J225" s="27" t="str">
        <f aca="false">IF($A225="","",ROUND(SUM(E225:I225),2))</f>
        <v/>
      </c>
      <c r="K225" s="45" t="n">
        <f aca="false">IF(OR($A225="",$AA225=0),0,INDEX(研发人员工时分配表!$F$6:$F$245,$AA225))</f>
        <v>0</v>
      </c>
      <c r="L225" s="45" t="n">
        <f aca="false">IF(OR($A225="",$AA225=0),0,INDEX(研发人员工时分配表!$R$6:$R$245,$AA225))</f>
        <v>0</v>
      </c>
      <c r="M225" s="28" t="str">
        <f aca="false">IF(OR($A225="",$K225=0),"",$L225/$K225)</f>
        <v/>
      </c>
      <c r="N225" s="27" t="str">
        <f aca="false">IF(OR($A225="",$K225=0),"",ROUND($J225*INDEX(研发人员工时分配表!$H$6:$H$245,$AA225)/$K225,2))</f>
        <v/>
      </c>
      <c r="O225" s="27" t="str">
        <f aca="false">IF(OR($A225="",$K225=0),"",ROUND($J225*INDEX(研发人员工时分配表!$I$6:$I$245,$AA225)/$K225,2))</f>
        <v/>
      </c>
      <c r="P225" s="27" t="str">
        <f aca="false">IF(OR($A225="",$K225=0),"",ROUND($J225*INDEX(研发人员工时分配表!$J$6:$J$245,$AA225)/$K225,2))</f>
        <v/>
      </c>
      <c r="Q225" s="27" t="str">
        <f aca="false">IF(OR($A225="",$K225=0),"",ROUND($J225*INDEX(研发人员工时分配表!$K$6:$K$245,$AA225)/$K225,2))</f>
        <v/>
      </c>
      <c r="R225" s="27" t="str">
        <f aca="false">IF(OR($A225="",$K225=0),"",ROUND($J225*INDEX(研发人员工时分配表!$L$6:$L$245,$AA225)/$K225,2))</f>
        <v/>
      </c>
      <c r="S225" s="27" t="str">
        <f aca="false">IF(OR($A225="",$K225=0),"",ROUND($J225*INDEX(研发人员工时分配表!$M$6:$M$245,$AA225)/$K225,2))</f>
        <v/>
      </c>
      <c r="T225" s="27" t="str">
        <f aca="false">IF(OR($A225="",$K225=0),"",ROUND($J225*INDEX(研发人员工时分配表!$N$6:$N$245,$AA225)/$K225,2))</f>
        <v/>
      </c>
      <c r="U225" s="27" t="str">
        <f aca="false">IF(OR($A225="",$K225=0),"",ROUND($J225*INDEX(研发人员工时分配表!$O$6:$O$245,$AA225)/$K225,2))</f>
        <v/>
      </c>
      <c r="V225" s="27" t="str">
        <f aca="false">IF(OR($A225="",$K225=0),"",ROUND($J225*INDEX(研发人员工时分配表!$P$6:$P$245,$AA225)/$K225,2))</f>
        <v/>
      </c>
      <c r="W225" s="27" t="str">
        <f aca="false">IF(OR($A225="",$K225=0),"",ROUND($J225*INDEX(研发人员工时分配表!$Q$6:$Q$245,$AA225)/$K225,2))</f>
        <v/>
      </c>
      <c r="X225" s="27" t="str">
        <f aca="false">IF($A225="","",ROUND(SUM(N225:W225),2))</f>
        <v/>
      </c>
      <c r="Y225" s="27" t="str">
        <f aca="false">IF($A225="","",ROUND($J225-X225,2))</f>
        <v/>
      </c>
      <c r="Z225" s="43" t="str">
        <f aca="false">IF($A225="","",IF($AA225=0,"⚠ 工时分配表无此人当月记录",IF($AB225&gt;1,"⚠ 工时分配表存在重复行","√ 正常")))</f>
        <v/>
      </c>
      <c r="AA225" s="47" t="n">
        <f aca="false">IF($A225="",0,IFERROR(MATCH($A225&amp;"|"&amp;$B225,研发人员工时分配表!$W$6:$W$245,0),0))</f>
        <v>0</v>
      </c>
      <c r="AB225" s="47" t="n">
        <f aca="false">IF($A225="",0,COUNTIFS(研发人员工时分配表!$A$6:$A$245,$A225,研发人员工时分配表!$B$6:$B$245,$B225))</f>
        <v>0</v>
      </c>
    </row>
    <row r="226" customFormat="false" ht="18" hidden="false" customHeight="true" outlineLevel="0" collapsed="false">
      <c r="A226" s="36"/>
      <c r="B226" s="36"/>
      <c r="C226" s="43" t="str">
        <f aca="false">IF($B226="","",IFERROR(VLOOKUP($B226,人员名册!$B$4:$G$53,2,0)&amp;"","名册中未登记"))</f>
        <v/>
      </c>
      <c r="D226" s="43" t="str">
        <f aca="false">IF($B226="","",IFERROR(VLOOKUP($B226,人员名册!$B$4:$G$53,5,0)&amp;"",""))</f>
        <v/>
      </c>
      <c r="E226" s="25"/>
      <c r="F226" s="25"/>
      <c r="G226" s="25"/>
      <c r="H226" s="25"/>
      <c r="I226" s="25"/>
      <c r="J226" s="27" t="str">
        <f aca="false">IF($A226="","",ROUND(SUM(E226:I226),2))</f>
        <v/>
      </c>
      <c r="K226" s="45" t="n">
        <f aca="false">IF(OR($A226="",$AA226=0),0,INDEX(研发人员工时分配表!$F$6:$F$245,$AA226))</f>
        <v>0</v>
      </c>
      <c r="L226" s="45" t="n">
        <f aca="false">IF(OR($A226="",$AA226=0),0,INDEX(研发人员工时分配表!$R$6:$R$245,$AA226))</f>
        <v>0</v>
      </c>
      <c r="M226" s="28" t="str">
        <f aca="false">IF(OR($A226="",$K226=0),"",$L226/$K226)</f>
        <v/>
      </c>
      <c r="N226" s="27" t="str">
        <f aca="false">IF(OR($A226="",$K226=0),"",ROUND($J226*INDEX(研发人员工时分配表!$H$6:$H$245,$AA226)/$K226,2))</f>
        <v/>
      </c>
      <c r="O226" s="27" t="str">
        <f aca="false">IF(OR($A226="",$K226=0),"",ROUND($J226*INDEX(研发人员工时分配表!$I$6:$I$245,$AA226)/$K226,2))</f>
        <v/>
      </c>
      <c r="P226" s="27" t="str">
        <f aca="false">IF(OR($A226="",$K226=0),"",ROUND($J226*INDEX(研发人员工时分配表!$J$6:$J$245,$AA226)/$K226,2))</f>
        <v/>
      </c>
      <c r="Q226" s="27" t="str">
        <f aca="false">IF(OR($A226="",$K226=0),"",ROUND($J226*INDEX(研发人员工时分配表!$K$6:$K$245,$AA226)/$K226,2))</f>
        <v/>
      </c>
      <c r="R226" s="27" t="str">
        <f aca="false">IF(OR($A226="",$K226=0),"",ROUND($J226*INDEX(研发人员工时分配表!$L$6:$L$245,$AA226)/$K226,2))</f>
        <v/>
      </c>
      <c r="S226" s="27" t="str">
        <f aca="false">IF(OR($A226="",$K226=0),"",ROUND($J226*INDEX(研发人员工时分配表!$M$6:$M$245,$AA226)/$K226,2))</f>
        <v/>
      </c>
      <c r="T226" s="27" t="str">
        <f aca="false">IF(OR($A226="",$K226=0),"",ROUND($J226*INDEX(研发人员工时分配表!$N$6:$N$245,$AA226)/$K226,2))</f>
        <v/>
      </c>
      <c r="U226" s="27" t="str">
        <f aca="false">IF(OR($A226="",$K226=0),"",ROUND($J226*INDEX(研发人员工时分配表!$O$6:$O$245,$AA226)/$K226,2))</f>
        <v/>
      </c>
      <c r="V226" s="27" t="str">
        <f aca="false">IF(OR($A226="",$K226=0),"",ROUND($J226*INDEX(研发人员工时分配表!$P$6:$P$245,$AA226)/$K226,2))</f>
        <v/>
      </c>
      <c r="W226" s="27" t="str">
        <f aca="false">IF(OR($A226="",$K226=0),"",ROUND($J226*INDEX(研发人员工时分配表!$Q$6:$Q$245,$AA226)/$K226,2))</f>
        <v/>
      </c>
      <c r="X226" s="27" t="str">
        <f aca="false">IF($A226="","",ROUND(SUM(N226:W226),2))</f>
        <v/>
      </c>
      <c r="Y226" s="27" t="str">
        <f aca="false">IF($A226="","",ROUND($J226-X226,2))</f>
        <v/>
      </c>
      <c r="Z226" s="43" t="str">
        <f aca="false">IF($A226="","",IF($AA226=0,"⚠ 工时分配表无此人当月记录",IF($AB226&gt;1,"⚠ 工时分配表存在重复行","√ 正常")))</f>
        <v/>
      </c>
      <c r="AA226" s="47" t="n">
        <f aca="false">IF($A226="",0,IFERROR(MATCH($A226&amp;"|"&amp;$B226,研发人员工时分配表!$W$6:$W$245,0),0))</f>
        <v>0</v>
      </c>
      <c r="AB226" s="47" t="n">
        <f aca="false">IF($A226="",0,COUNTIFS(研发人员工时分配表!$A$6:$A$245,$A226,研发人员工时分配表!$B$6:$B$245,$B226))</f>
        <v>0</v>
      </c>
    </row>
    <row r="227" customFormat="false" ht="18" hidden="false" customHeight="true" outlineLevel="0" collapsed="false">
      <c r="A227" s="36"/>
      <c r="B227" s="36"/>
      <c r="C227" s="43" t="str">
        <f aca="false">IF($B227="","",IFERROR(VLOOKUP($B227,人员名册!$B$4:$G$53,2,0)&amp;"","名册中未登记"))</f>
        <v/>
      </c>
      <c r="D227" s="43" t="str">
        <f aca="false">IF($B227="","",IFERROR(VLOOKUP($B227,人员名册!$B$4:$G$53,5,0)&amp;"",""))</f>
        <v/>
      </c>
      <c r="E227" s="25"/>
      <c r="F227" s="25"/>
      <c r="G227" s="25"/>
      <c r="H227" s="25"/>
      <c r="I227" s="25"/>
      <c r="J227" s="27" t="str">
        <f aca="false">IF($A227="","",ROUND(SUM(E227:I227),2))</f>
        <v/>
      </c>
      <c r="K227" s="45" t="n">
        <f aca="false">IF(OR($A227="",$AA227=0),0,INDEX(研发人员工时分配表!$F$6:$F$245,$AA227))</f>
        <v>0</v>
      </c>
      <c r="L227" s="45" t="n">
        <f aca="false">IF(OR($A227="",$AA227=0),0,INDEX(研发人员工时分配表!$R$6:$R$245,$AA227))</f>
        <v>0</v>
      </c>
      <c r="M227" s="28" t="str">
        <f aca="false">IF(OR($A227="",$K227=0),"",$L227/$K227)</f>
        <v/>
      </c>
      <c r="N227" s="27" t="str">
        <f aca="false">IF(OR($A227="",$K227=0),"",ROUND($J227*INDEX(研发人员工时分配表!$H$6:$H$245,$AA227)/$K227,2))</f>
        <v/>
      </c>
      <c r="O227" s="27" t="str">
        <f aca="false">IF(OR($A227="",$K227=0),"",ROUND($J227*INDEX(研发人员工时分配表!$I$6:$I$245,$AA227)/$K227,2))</f>
        <v/>
      </c>
      <c r="P227" s="27" t="str">
        <f aca="false">IF(OR($A227="",$K227=0),"",ROUND($J227*INDEX(研发人员工时分配表!$J$6:$J$245,$AA227)/$K227,2))</f>
        <v/>
      </c>
      <c r="Q227" s="27" t="str">
        <f aca="false">IF(OR($A227="",$K227=0),"",ROUND($J227*INDEX(研发人员工时分配表!$K$6:$K$245,$AA227)/$K227,2))</f>
        <v/>
      </c>
      <c r="R227" s="27" t="str">
        <f aca="false">IF(OR($A227="",$K227=0),"",ROUND($J227*INDEX(研发人员工时分配表!$L$6:$L$245,$AA227)/$K227,2))</f>
        <v/>
      </c>
      <c r="S227" s="27" t="str">
        <f aca="false">IF(OR($A227="",$K227=0),"",ROUND($J227*INDEX(研发人员工时分配表!$M$6:$M$245,$AA227)/$K227,2))</f>
        <v/>
      </c>
      <c r="T227" s="27" t="str">
        <f aca="false">IF(OR($A227="",$K227=0),"",ROUND($J227*INDEX(研发人员工时分配表!$N$6:$N$245,$AA227)/$K227,2))</f>
        <v/>
      </c>
      <c r="U227" s="27" t="str">
        <f aca="false">IF(OR($A227="",$K227=0),"",ROUND($J227*INDEX(研发人员工时分配表!$O$6:$O$245,$AA227)/$K227,2))</f>
        <v/>
      </c>
      <c r="V227" s="27" t="str">
        <f aca="false">IF(OR($A227="",$K227=0),"",ROUND($J227*INDEX(研发人员工时分配表!$P$6:$P$245,$AA227)/$K227,2))</f>
        <v/>
      </c>
      <c r="W227" s="27" t="str">
        <f aca="false">IF(OR($A227="",$K227=0),"",ROUND($J227*INDEX(研发人员工时分配表!$Q$6:$Q$245,$AA227)/$K227,2))</f>
        <v/>
      </c>
      <c r="X227" s="27" t="str">
        <f aca="false">IF($A227="","",ROUND(SUM(N227:W227),2))</f>
        <v/>
      </c>
      <c r="Y227" s="27" t="str">
        <f aca="false">IF($A227="","",ROUND($J227-X227,2))</f>
        <v/>
      </c>
      <c r="Z227" s="43" t="str">
        <f aca="false">IF($A227="","",IF($AA227=0,"⚠ 工时分配表无此人当月记录",IF($AB227&gt;1,"⚠ 工时分配表存在重复行","√ 正常")))</f>
        <v/>
      </c>
      <c r="AA227" s="47" t="n">
        <f aca="false">IF($A227="",0,IFERROR(MATCH($A227&amp;"|"&amp;$B227,研发人员工时分配表!$W$6:$W$245,0),0))</f>
        <v>0</v>
      </c>
      <c r="AB227" s="47" t="n">
        <f aca="false">IF($A227="",0,COUNTIFS(研发人员工时分配表!$A$6:$A$245,$A227,研发人员工时分配表!$B$6:$B$245,$B227))</f>
        <v>0</v>
      </c>
    </row>
    <row r="228" customFormat="false" ht="18" hidden="false" customHeight="true" outlineLevel="0" collapsed="false">
      <c r="A228" s="36"/>
      <c r="B228" s="36"/>
      <c r="C228" s="43" t="str">
        <f aca="false">IF($B228="","",IFERROR(VLOOKUP($B228,人员名册!$B$4:$G$53,2,0)&amp;"","名册中未登记"))</f>
        <v/>
      </c>
      <c r="D228" s="43" t="str">
        <f aca="false">IF($B228="","",IFERROR(VLOOKUP($B228,人员名册!$B$4:$G$53,5,0)&amp;"",""))</f>
        <v/>
      </c>
      <c r="E228" s="25"/>
      <c r="F228" s="25"/>
      <c r="G228" s="25"/>
      <c r="H228" s="25"/>
      <c r="I228" s="25"/>
      <c r="J228" s="27" t="str">
        <f aca="false">IF($A228="","",ROUND(SUM(E228:I228),2))</f>
        <v/>
      </c>
      <c r="K228" s="45" t="n">
        <f aca="false">IF(OR($A228="",$AA228=0),0,INDEX(研发人员工时分配表!$F$6:$F$245,$AA228))</f>
        <v>0</v>
      </c>
      <c r="L228" s="45" t="n">
        <f aca="false">IF(OR($A228="",$AA228=0),0,INDEX(研发人员工时分配表!$R$6:$R$245,$AA228))</f>
        <v>0</v>
      </c>
      <c r="M228" s="28" t="str">
        <f aca="false">IF(OR($A228="",$K228=0),"",$L228/$K228)</f>
        <v/>
      </c>
      <c r="N228" s="27" t="str">
        <f aca="false">IF(OR($A228="",$K228=0),"",ROUND($J228*INDEX(研发人员工时分配表!$H$6:$H$245,$AA228)/$K228,2))</f>
        <v/>
      </c>
      <c r="O228" s="27" t="str">
        <f aca="false">IF(OR($A228="",$K228=0),"",ROUND($J228*INDEX(研发人员工时分配表!$I$6:$I$245,$AA228)/$K228,2))</f>
        <v/>
      </c>
      <c r="P228" s="27" t="str">
        <f aca="false">IF(OR($A228="",$K228=0),"",ROUND($J228*INDEX(研发人员工时分配表!$J$6:$J$245,$AA228)/$K228,2))</f>
        <v/>
      </c>
      <c r="Q228" s="27" t="str">
        <f aca="false">IF(OR($A228="",$K228=0),"",ROUND($J228*INDEX(研发人员工时分配表!$K$6:$K$245,$AA228)/$K228,2))</f>
        <v/>
      </c>
      <c r="R228" s="27" t="str">
        <f aca="false">IF(OR($A228="",$K228=0),"",ROUND($J228*INDEX(研发人员工时分配表!$L$6:$L$245,$AA228)/$K228,2))</f>
        <v/>
      </c>
      <c r="S228" s="27" t="str">
        <f aca="false">IF(OR($A228="",$K228=0),"",ROUND($J228*INDEX(研发人员工时分配表!$M$6:$M$245,$AA228)/$K228,2))</f>
        <v/>
      </c>
      <c r="T228" s="27" t="str">
        <f aca="false">IF(OR($A228="",$K228=0),"",ROUND($J228*INDEX(研发人员工时分配表!$N$6:$N$245,$AA228)/$K228,2))</f>
        <v/>
      </c>
      <c r="U228" s="27" t="str">
        <f aca="false">IF(OR($A228="",$K228=0),"",ROUND($J228*INDEX(研发人员工时分配表!$O$6:$O$245,$AA228)/$K228,2))</f>
        <v/>
      </c>
      <c r="V228" s="27" t="str">
        <f aca="false">IF(OR($A228="",$K228=0),"",ROUND($J228*INDEX(研发人员工时分配表!$P$6:$P$245,$AA228)/$K228,2))</f>
        <v/>
      </c>
      <c r="W228" s="27" t="str">
        <f aca="false">IF(OR($A228="",$K228=0),"",ROUND($J228*INDEX(研发人员工时分配表!$Q$6:$Q$245,$AA228)/$K228,2))</f>
        <v/>
      </c>
      <c r="X228" s="27" t="str">
        <f aca="false">IF($A228="","",ROUND(SUM(N228:W228),2))</f>
        <v/>
      </c>
      <c r="Y228" s="27" t="str">
        <f aca="false">IF($A228="","",ROUND($J228-X228,2))</f>
        <v/>
      </c>
      <c r="Z228" s="43" t="str">
        <f aca="false">IF($A228="","",IF($AA228=0,"⚠ 工时分配表无此人当月记录",IF($AB228&gt;1,"⚠ 工时分配表存在重复行","√ 正常")))</f>
        <v/>
      </c>
      <c r="AA228" s="47" t="n">
        <f aca="false">IF($A228="",0,IFERROR(MATCH($A228&amp;"|"&amp;$B228,研发人员工时分配表!$W$6:$W$245,0),0))</f>
        <v>0</v>
      </c>
      <c r="AB228" s="47" t="n">
        <f aca="false">IF($A228="",0,COUNTIFS(研发人员工时分配表!$A$6:$A$245,$A228,研发人员工时分配表!$B$6:$B$245,$B228))</f>
        <v>0</v>
      </c>
    </row>
    <row r="229" customFormat="false" ht="18" hidden="false" customHeight="true" outlineLevel="0" collapsed="false">
      <c r="A229" s="36"/>
      <c r="B229" s="36"/>
      <c r="C229" s="43" t="str">
        <f aca="false">IF($B229="","",IFERROR(VLOOKUP($B229,人员名册!$B$4:$G$53,2,0)&amp;"","名册中未登记"))</f>
        <v/>
      </c>
      <c r="D229" s="43" t="str">
        <f aca="false">IF($B229="","",IFERROR(VLOOKUP($B229,人员名册!$B$4:$G$53,5,0)&amp;"",""))</f>
        <v/>
      </c>
      <c r="E229" s="25"/>
      <c r="F229" s="25"/>
      <c r="G229" s="25"/>
      <c r="H229" s="25"/>
      <c r="I229" s="25"/>
      <c r="J229" s="27" t="str">
        <f aca="false">IF($A229="","",ROUND(SUM(E229:I229),2))</f>
        <v/>
      </c>
      <c r="K229" s="45" t="n">
        <f aca="false">IF(OR($A229="",$AA229=0),0,INDEX(研发人员工时分配表!$F$6:$F$245,$AA229))</f>
        <v>0</v>
      </c>
      <c r="L229" s="45" t="n">
        <f aca="false">IF(OR($A229="",$AA229=0),0,INDEX(研发人员工时分配表!$R$6:$R$245,$AA229))</f>
        <v>0</v>
      </c>
      <c r="M229" s="28" t="str">
        <f aca="false">IF(OR($A229="",$K229=0),"",$L229/$K229)</f>
        <v/>
      </c>
      <c r="N229" s="27" t="str">
        <f aca="false">IF(OR($A229="",$K229=0),"",ROUND($J229*INDEX(研发人员工时分配表!$H$6:$H$245,$AA229)/$K229,2))</f>
        <v/>
      </c>
      <c r="O229" s="27" t="str">
        <f aca="false">IF(OR($A229="",$K229=0),"",ROUND($J229*INDEX(研发人员工时分配表!$I$6:$I$245,$AA229)/$K229,2))</f>
        <v/>
      </c>
      <c r="P229" s="27" t="str">
        <f aca="false">IF(OR($A229="",$K229=0),"",ROUND($J229*INDEX(研发人员工时分配表!$J$6:$J$245,$AA229)/$K229,2))</f>
        <v/>
      </c>
      <c r="Q229" s="27" t="str">
        <f aca="false">IF(OR($A229="",$K229=0),"",ROUND($J229*INDEX(研发人员工时分配表!$K$6:$K$245,$AA229)/$K229,2))</f>
        <v/>
      </c>
      <c r="R229" s="27" t="str">
        <f aca="false">IF(OR($A229="",$K229=0),"",ROUND($J229*INDEX(研发人员工时分配表!$L$6:$L$245,$AA229)/$K229,2))</f>
        <v/>
      </c>
      <c r="S229" s="27" t="str">
        <f aca="false">IF(OR($A229="",$K229=0),"",ROUND($J229*INDEX(研发人员工时分配表!$M$6:$M$245,$AA229)/$K229,2))</f>
        <v/>
      </c>
      <c r="T229" s="27" t="str">
        <f aca="false">IF(OR($A229="",$K229=0),"",ROUND($J229*INDEX(研发人员工时分配表!$N$6:$N$245,$AA229)/$K229,2))</f>
        <v/>
      </c>
      <c r="U229" s="27" t="str">
        <f aca="false">IF(OR($A229="",$K229=0),"",ROUND($J229*INDEX(研发人员工时分配表!$O$6:$O$245,$AA229)/$K229,2))</f>
        <v/>
      </c>
      <c r="V229" s="27" t="str">
        <f aca="false">IF(OR($A229="",$K229=0),"",ROUND($J229*INDEX(研发人员工时分配表!$P$6:$P$245,$AA229)/$K229,2))</f>
        <v/>
      </c>
      <c r="W229" s="27" t="str">
        <f aca="false">IF(OR($A229="",$K229=0),"",ROUND($J229*INDEX(研发人员工时分配表!$Q$6:$Q$245,$AA229)/$K229,2))</f>
        <v/>
      </c>
      <c r="X229" s="27" t="str">
        <f aca="false">IF($A229="","",ROUND(SUM(N229:W229),2))</f>
        <v/>
      </c>
      <c r="Y229" s="27" t="str">
        <f aca="false">IF($A229="","",ROUND($J229-X229,2))</f>
        <v/>
      </c>
      <c r="Z229" s="43" t="str">
        <f aca="false">IF($A229="","",IF($AA229=0,"⚠ 工时分配表无此人当月记录",IF($AB229&gt;1,"⚠ 工时分配表存在重复行","√ 正常")))</f>
        <v/>
      </c>
      <c r="AA229" s="47" t="n">
        <f aca="false">IF($A229="",0,IFERROR(MATCH($A229&amp;"|"&amp;$B229,研发人员工时分配表!$W$6:$W$245,0),0))</f>
        <v>0</v>
      </c>
      <c r="AB229" s="47" t="n">
        <f aca="false">IF($A229="",0,COUNTIFS(研发人员工时分配表!$A$6:$A$245,$A229,研发人员工时分配表!$B$6:$B$245,$B229))</f>
        <v>0</v>
      </c>
    </row>
    <row r="230" customFormat="false" ht="18" hidden="false" customHeight="true" outlineLevel="0" collapsed="false">
      <c r="A230" s="36"/>
      <c r="B230" s="36"/>
      <c r="C230" s="43" t="str">
        <f aca="false">IF($B230="","",IFERROR(VLOOKUP($B230,人员名册!$B$4:$G$53,2,0)&amp;"","名册中未登记"))</f>
        <v/>
      </c>
      <c r="D230" s="43" t="str">
        <f aca="false">IF($B230="","",IFERROR(VLOOKUP($B230,人员名册!$B$4:$G$53,5,0)&amp;"",""))</f>
        <v/>
      </c>
      <c r="E230" s="25"/>
      <c r="F230" s="25"/>
      <c r="G230" s="25"/>
      <c r="H230" s="25"/>
      <c r="I230" s="25"/>
      <c r="J230" s="27" t="str">
        <f aca="false">IF($A230="","",ROUND(SUM(E230:I230),2))</f>
        <v/>
      </c>
      <c r="K230" s="45" t="n">
        <f aca="false">IF(OR($A230="",$AA230=0),0,INDEX(研发人员工时分配表!$F$6:$F$245,$AA230))</f>
        <v>0</v>
      </c>
      <c r="L230" s="45" t="n">
        <f aca="false">IF(OR($A230="",$AA230=0),0,INDEX(研发人员工时分配表!$R$6:$R$245,$AA230))</f>
        <v>0</v>
      </c>
      <c r="M230" s="28" t="str">
        <f aca="false">IF(OR($A230="",$K230=0),"",$L230/$K230)</f>
        <v/>
      </c>
      <c r="N230" s="27" t="str">
        <f aca="false">IF(OR($A230="",$K230=0),"",ROUND($J230*INDEX(研发人员工时分配表!$H$6:$H$245,$AA230)/$K230,2))</f>
        <v/>
      </c>
      <c r="O230" s="27" t="str">
        <f aca="false">IF(OR($A230="",$K230=0),"",ROUND($J230*INDEX(研发人员工时分配表!$I$6:$I$245,$AA230)/$K230,2))</f>
        <v/>
      </c>
      <c r="P230" s="27" t="str">
        <f aca="false">IF(OR($A230="",$K230=0),"",ROUND($J230*INDEX(研发人员工时分配表!$J$6:$J$245,$AA230)/$K230,2))</f>
        <v/>
      </c>
      <c r="Q230" s="27" t="str">
        <f aca="false">IF(OR($A230="",$K230=0),"",ROUND($J230*INDEX(研发人员工时分配表!$K$6:$K$245,$AA230)/$K230,2))</f>
        <v/>
      </c>
      <c r="R230" s="27" t="str">
        <f aca="false">IF(OR($A230="",$K230=0),"",ROUND($J230*INDEX(研发人员工时分配表!$L$6:$L$245,$AA230)/$K230,2))</f>
        <v/>
      </c>
      <c r="S230" s="27" t="str">
        <f aca="false">IF(OR($A230="",$K230=0),"",ROUND($J230*INDEX(研发人员工时分配表!$M$6:$M$245,$AA230)/$K230,2))</f>
        <v/>
      </c>
      <c r="T230" s="27" t="str">
        <f aca="false">IF(OR($A230="",$K230=0),"",ROUND($J230*INDEX(研发人员工时分配表!$N$6:$N$245,$AA230)/$K230,2))</f>
        <v/>
      </c>
      <c r="U230" s="27" t="str">
        <f aca="false">IF(OR($A230="",$K230=0),"",ROUND($J230*INDEX(研发人员工时分配表!$O$6:$O$245,$AA230)/$K230,2))</f>
        <v/>
      </c>
      <c r="V230" s="27" t="str">
        <f aca="false">IF(OR($A230="",$K230=0),"",ROUND($J230*INDEX(研发人员工时分配表!$P$6:$P$245,$AA230)/$K230,2))</f>
        <v/>
      </c>
      <c r="W230" s="27" t="str">
        <f aca="false">IF(OR($A230="",$K230=0),"",ROUND($J230*INDEX(研发人员工时分配表!$Q$6:$Q$245,$AA230)/$K230,2))</f>
        <v/>
      </c>
      <c r="X230" s="27" t="str">
        <f aca="false">IF($A230="","",ROUND(SUM(N230:W230),2))</f>
        <v/>
      </c>
      <c r="Y230" s="27" t="str">
        <f aca="false">IF($A230="","",ROUND($J230-X230,2))</f>
        <v/>
      </c>
      <c r="Z230" s="43" t="str">
        <f aca="false">IF($A230="","",IF($AA230=0,"⚠ 工时分配表无此人当月记录",IF($AB230&gt;1,"⚠ 工时分配表存在重复行","√ 正常")))</f>
        <v/>
      </c>
      <c r="AA230" s="47" t="n">
        <f aca="false">IF($A230="",0,IFERROR(MATCH($A230&amp;"|"&amp;$B230,研发人员工时分配表!$W$6:$W$245,0),0))</f>
        <v>0</v>
      </c>
      <c r="AB230" s="47" t="n">
        <f aca="false">IF($A230="",0,COUNTIFS(研发人员工时分配表!$A$6:$A$245,$A230,研发人员工时分配表!$B$6:$B$245,$B230))</f>
        <v>0</v>
      </c>
    </row>
    <row r="231" customFormat="false" ht="18" hidden="false" customHeight="true" outlineLevel="0" collapsed="false">
      <c r="A231" s="36"/>
      <c r="B231" s="36"/>
      <c r="C231" s="43" t="str">
        <f aca="false">IF($B231="","",IFERROR(VLOOKUP($B231,人员名册!$B$4:$G$53,2,0)&amp;"","名册中未登记"))</f>
        <v/>
      </c>
      <c r="D231" s="43" t="str">
        <f aca="false">IF($B231="","",IFERROR(VLOOKUP($B231,人员名册!$B$4:$G$53,5,0)&amp;"",""))</f>
        <v/>
      </c>
      <c r="E231" s="25"/>
      <c r="F231" s="25"/>
      <c r="G231" s="25"/>
      <c r="H231" s="25"/>
      <c r="I231" s="25"/>
      <c r="J231" s="27" t="str">
        <f aca="false">IF($A231="","",ROUND(SUM(E231:I231),2))</f>
        <v/>
      </c>
      <c r="K231" s="45" t="n">
        <f aca="false">IF(OR($A231="",$AA231=0),0,INDEX(研发人员工时分配表!$F$6:$F$245,$AA231))</f>
        <v>0</v>
      </c>
      <c r="L231" s="45" t="n">
        <f aca="false">IF(OR($A231="",$AA231=0),0,INDEX(研发人员工时分配表!$R$6:$R$245,$AA231))</f>
        <v>0</v>
      </c>
      <c r="M231" s="28" t="str">
        <f aca="false">IF(OR($A231="",$K231=0),"",$L231/$K231)</f>
        <v/>
      </c>
      <c r="N231" s="27" t="str">
        <f aca="false">IF(OR($A231="",$K231=0),"",ROUND($J231*INDEX(研发人员工时分配表!$H$6:$H$245,$AA231)/$K231,2))</f>
        <v/>
      </c>
      <c r="O231" s="27" t="str">
        <f aca="false">IF(OR($A231="",$K231=0),"",ROUND($J231*INDEX(研发人员工时分配表!$I$6:$I$245,$AA231)/$K231,2))</f>
        <v/>
      </c>
      <c r="P231" s="27" t="str">
        <f aca="false">IF(OR($A231="",$K231=0),"",ROUND($J231*INDEX(研发人员工时分配表!$J$6:$J$245,$AA231)/$K231,2))</f>
        <v/>
      </c>
      <c r="Q231" s="27" t="str">
        <f aca="false">IF(OR($A231="",$K231=0),"",ROUND($J231*INDEX(研发人员工时分配表!$K$6:$K$245,$AA231)/$K231,2))</f>
        <v/>
      </c>
      <c r="R231" s="27" t="str">
        <f aca="false">IF(OR($A231="",$K231=0),"",ROUND($J231*INDEX(研发人员工时分配表!$L$6:$L$245,$AA231)/$K231,2))</f>
        <v/>
      </c>
      <c r="S231" s="27" t="str">
        <f aca="false">IF(OR($A231="",$K231=0),"",ROUND($J231*INDEX(研发人员工时分配表!$M$6:$M$245,$AA231)/$K231,2))</f>
        <v/>
      </c>
      <c r="T231" s="27" t="str">
        <f aca="false">IF(OR($A231="",$K231=0),"",ROUND($J231*INDEX(研发人员工时分配表!$N$6:$N$245,$AA231)/$K231,2))</f>
        <v/>
      </c>
      <c r="U231" s="27" t="str">
        <f aca="false">IF(OR($A231="",$K231=0),"",ROUND($J231*INDEX(研发人员工时分配表!$O$6:$O$245,$AA231)/$K231,2))</f>
        <v/>
      </c>
      <c r="V231" s="27" t="str">
        <f aca="false">IF(OR($A231="",$K231=0),"",ROUND($J231*INDEX(研发人员工时分配表!$P$6:$P$245,$AA231)/$K231,2))</f>
        <v/>
      </c>
      <c r="W231" s="27" t="str">
        <f aca="false">IF(OR($A231="",$K231=0),"",ROUND($J231*INDEX(研发人员工时分配表!$Q$6:$Q$245,$AA231)/$K231,2))</f>
        <v/>
      </c>
      <c r="X231" s="27" t="str">
        <f aca="false">IF($A231="","",ROUND(SUM(N231:W231),2))</f>
        <v/>
      </c>
      <c r="Y231" s="27" t="str">
        <f aca="false">IF($A231="","",ROUND($J231-X231,2))</f>
        <v/>
      </c>
      <c r="Z231" s="43" t="str">
        <f aca="false">IF($A231="","",IF($AA231=0,"⚠ 工时分配表无此人当月记录",IF($AB231&gt;1,"⚠ 工时分配表存在重复行","√ 正常")))</f>
        <v/>
      </c>
      <c r="AA231" s="47" t="n">
        <f aca="false">IF($A231="",0,IFERROR(MATCH($A231&amp;"|"&amp;$B231,研发人员工时分配表!$W$6:$W$245,0),0))</f>
        <v>0</v>
      </c>
      <c r="AB231" s="47" t="n">
        <f aca="false">IF($A231="",0,COUNTIFS(研发人员工时分配表!$A$6:$A$245,$A231,研发人员工时分配表!$B$6:$B$245,$B231))</f>
        <v>0</v>
      </c>
    </row>
    <row r="232" customFormat="false" ht="18" hidden="false" customHeight="true" outlineLevel="0" collapsed="false">
      <c r="A232" s="36"/>
      <c r="B232" s="36"/>
      <c r="C232" s="43" t="str">
        <f aca="false">IF($B232="","",IFERROR(VLOOKUP($B232,人员名册!$B$4:$G$53,2,0)&amp;"","名册中未登记"))</f>
        <v/>
      </c>
      <c r="D232" s="43" t="str">
        <f aca="false">IF($B232="","",IFERROR(VLOOKUP($B232,人员名册!$B$4:$G$53,5,0)&amp;"",""))</f>
        <v/>
      </c>
      <c r="E232" s="25"/>
      <c r="F232" s="25"/>
      <c r="G232" s="25"/>
      <c r="H232" s="25"/>
      <c r="I232" s="25"/>
      <c r="J232" s="27" t="str">
        <f aca="false">IF($A232="","",ROUND(SUM(E232:I232),2))</f>
        <v/>
      </c>
      <c r="K232" s="45" t="n">
        <f aca="false">IF(OR($A232="",$AA232=0),0,INDEX(研发人员工时分配表!$F$6:$F$245,$AA232))</f>
        <v>0</v>
      </c>
      <c r="L232" s="45" t="n">
        <f aca="false">IF(OR($A232="",$AA232=0),0,INDEX(研发人员工时分配表!$R$6:$R$245,$AA232))</f>
        <v>0</v>
      </c>
      <c r="M232" s="28" t="str">
        <f aca="false">IF(OR($A232="",$K232=0),"",$L232/$K232)</f>
        <v/>
      </c>
      <c r="N232" s="27" t="str">
        <f aca="false">IF(OR($A232="",$K232=0),"",ROUND($J232*INDEX(研发人员工时分配表!$H$6:$H$245,$AA232)/$K232,2))</f>
        <v/>
      </c>
      <c r="O232" s="27" t="str">
        <f aca="false">IF(OR($A232="",$K232=0),"",ROUND($J232*INDEX(研发人员工时分配表!$I$6:$I$245,$AA232)/$K232,2))</f>
        <v/>
      </c>
      <c r="P232" s="27" t="str">
        <f aca="false">IF(OR($A232="",$K232=0),"",ROUND($J232*INDEX(研发人员工时分配表!$J$6:$J$245,$AA232)/$K232,2))</f>
        <v/>
      </c>
      <c r="Q232" s="27" t="str">
        <f aca="false">IF(OR($A232="",$K232=0),"",ROUND($J232*INDEX(研发人员工时分配表!$K$6:$K$245,$AA232)/$K232,2))</f>
        <v/>
      </c>
      <c r="R232" s="27" t="str">
        <f aca="false">IF(OR($A232="",$K232=0),"",ROUND($J232*INDEX(研发人员工时分配表!$L$6:$L$245,$AA232)/$K232,2))</f>
        <v/>
      </c>
      <c r="S232" s="27" t="str">
        <f aca="false">IF(OR($A232="",$K232=0),"",ROUND($J232*INDEX(研发人员工时分配表!$M$6:$M$245,$AA232)/$K232,2))</f>
        <v/>
      </c>
      <c r="T232" s="27" t="str">
        <f aca="false">IF(OR($A232="",$K232=0),"",ROUND($J232*INDEX(研发人员工时分配表!$N$6:$N$245,$AA232)/$K232,2))</f>
        <v/>
      </c>
      <c r="U232" s="27" t="str">
        <f aca="false">IF(OR($A232="",$K232=0),"",ROUND($J232*INDEX(研发人员工时分配表!$O$6:$O$245,$AA232)/$K232,2))</f>
        <v/>
      </c>
      <c r="V232" s="27" t="str">
        <f aca="false">IF(OR($A232="",$K232=0),"",ROUND($J232*INDEX(研发人员工时分配表!$P$6:$P$245,$AA232)/$K232,2))</f>
        <v/>
      </c>
      <c r="W232" s="27" t="str">
        <f aca="false">IF(OR($A232="",$K232=0),"",ROUND($J232*INDEX(研发人员工时分配表!$Q$6:$Q$245,$AA232)/$K232,2))</f>
        <v/>
      </c>
      <c r="X232" s="27" t="str">
        <f aca="false">IF($A232="","",ROUND(SUM(N232:W232),2))</f>
        <v/>
      </c>
      <c r="Y232" s="27" t="str">
        <f aca="false">IF($A232="","",ROUND($J232-X232,2))</f>
        <v/>
      </c>
      <c r="Z232" s="43" t="str">
        <f aca="false">IF($A232="","",IF($AA232=0,"⚠ 工时分配表无此人当月记录",IF($AB232&gt;1,"⚠ 工时分配表存在重复行","√ 正常")))</f>
        <v/>
      </c>
      <c r="AA232" s="47" t="n">
        <f aca="false">IF($A232="",0,IFERROR(MATCH($A232&amp;"|"&amp;$B232,研发人员工时分配表!$W$6:$W$245,0),0))</f>
        <v>0</v>
      </c>
      <c r="AB232" s="47" t="n">
        <f aca="false">IF($A232="",0,COUNTIFS(研发人员工时分配表!$A$6:$A$245,$A232,研发人员工时分配表!$B$6:$B$245,$B232))</f>
        <v>0</v>
      </c>
    </row>
    <row r="233" customFormat="false" ht="18" hidden="false" customHeight="true" outlineLevel="0" collapsed="false">
      <c r="A233" s="36"/>
      <c r="B233" s="36"/>
      <c r="C233" s="43" t="str">
        <f aca="false">IF($B233="","",IFERROR(VLOOKUP($B233,人员名册!$B$4:$G$53,2,0)&amp;"","名册中未登记"))</f>
        <v/>
      </c>
      <c r="D233" s="43" t="str">
        <f aca="false">IF($B233="","",IFERROR(VLOOKUP($B233,人员名册!$B$4:$G$53,5,0)&amp;"",""))</f>
        <v/>
      </c>
      <c r="E233" s="25"/>
      <c r="F233" s="25"/>
      <c r="G233" s="25"/>
      <c r="H233" s="25"/>
      <c r="I233" s="25"/>
      <c r="J233" s="27" t="str">
        <f aca="false">IF($A233="","",ROUND(SUM(E233:I233),2))</f>
        <v/>
      </c>
      <c r="K233" s="45" t="n">
        <f aca="false">IF(OR($A233="",$AA233=0),0,INDEX(研发人员工时分配表!$F$6:$F$245,$AA233))</f>
        <v>0</v>
      </c>
      <c r="L233" s="45" t="n">
        <f aca="false">IF(OR($A233="",$AA233=0),0,INDEX(研发人员工时分配表!$R$6:$R$245,$AA233))</f>
        <v>0</v>
      </c>
      <c r="M233" s="28" t="str">
        <f aca="false">IF(OR($A233="",$K233=0),"",$L233/$K233)</f>
        <v/>
      </c>
      <c r="N233" s="27" t="str">
        <f aca="false">IF(OR($A233="",$K233=0),"",ROUND($J233*INDEX(研发人员工时分配表!$H$6:$H$245,$AA233)/$K233,2))</f>
        <v/>
      </c>
      <c r="O233" s="27" t="str">
        <f aca="false">IF(OR($A233="",$K233=0),"",ROUND($J233*INDEX(研发人员工时分配表!$I$6:$I$245,$AA233)/$K233,2))</f>
        <v/>
      </c>
      <c r="P233" s="27" t="str">
        <f aca="false">IF(OR($A233="",$K233=0),"",ROUND($J233*INDEX(研发人员工时分配表!$J$6:$J$245,$AA233)/$K233,2))</f>
        <v/>
      </c>
      <c r="Q233" s="27" t="str">
        <f aca="false">IF(OR($A233="",$K233=0),"",ROUND($J233*INDEX(研发人员工时分配表!$K$6:$K$245,$AA233)/$K233,2))</f>
        <v/>
      </c>
      <c r="R233" s="27" t="str">
        <f aca="false">IF(OR($A233="",$K233=0),"",ROUND($J233*INDEX(研发人员工时分配表!$L$6:$L$245,$AA233)/$K233,2))</f>
        <v/>
      </c>
      <c r="S233" s="27" t="str">
        <f aca="false">IF(OR($A233="",$K233=0),"",ROUND($J233*INDEX(研发人员工时分配表!$M$6:$M$245,$AA233)/$K233,2))</f>
        <v/>
      </c>
      <c r="T233" s="27" t="str">
        <f aca="false">IF(OR($A233="",$K233=0),"",ROUND($J233*INDEX(研发人员工时分配表!$N$6:$N$245,$AA233)/$K233,2))</f>
        <v/>
      </c>
      <c r="U233" s="27" t="str">
        <f aca="false">IF(OR($A233="",$K233=0),"",ROUND($J233*INDEX(研发人员工时分配表!$O$6:$O$245,$AA233)/$K233,2))</f>
        <v/>
      </c>
      <c r="V233" s="27" t="str">
        <f aca="false">IF(OR($A233="",$K233=0),"",ROUND($J233*INDEX(研发人员工时分配表!$P$6:$P$245,$AA233)/$K233,2))</f>
        <v/>
      </c>
      <c r="W233" s="27" t="str">
        <f aca="false">IF(OR($A233="",$K233=0),"",ROUND($J233*INDEX(研发人员工时分配表!$Q$6:$Q$245,$AA233)/$K233,2))</f>
        <v/>
      </c>
      <c r="X233" s="27" t="str">
        <f aca="false">IF($A233="","",ROUND(SUM(N233:W233),2))</f>
        <v/>
      </c>
      <c r="Y233" s="27" t="str">
        <f aca="false">IF($A233="","",ROUND($J233-X233,2))</f>
        <v/>
      </c>
      <c r="Z233" s="43" t="str">
        <f aca="false">IF($A233="","",IF($AA233=0,"⚠ 工时分配表无此人当月记录",IF($AB233&gt;1,"⚠ 工时分配表存在重复行","√ 正常")))</f>
        <v/>
      </c>
      <c r="AA233" s="47" t="n">
        <f aca="false">IF($A233="",0,IFERROR(MATCH($A233&amp;"|"&amp;$B233,研发人员工时分配表!$W$6:$W$245,0),0))</f>
        <v>0</v>
      </c>
      <c r="AB233" s="47" t="n">
        <f aca="false">IF($A233="",0,COUNTIFS(研发人员工时分配表!$A$6:$A$245,$A233,研发人员工时分配表!$B$6:$B$245,$B233))</f>
        <v>0</v>
      </c>
    </row>
    <row r="234" customFormat="false" ht="18" hidden="false" customHeight="true" outlineLevel="0" collapsed="false">
      <c r="A234" s="36"/>
      <c r="B234" s="36"/>
      <c r="C234" s="43" t="str">
        <f aca="false">IF($B234="","",IFERROR(VLOOKUP($B234,人员名册!$B$4:$G$53,2,0)&amp;"","名册中未登记"))</f>
        <v/>
      </c>
      <c r="D234" s="43" t="str">
        <f aca="false">IF($B234="","",IFERROR(VLOOKUP($B234,人员名册!$B$4:$G$53,5,0)&amp;"",""))</f>
        <v/>
      </c>
      <c r="E234" s="25"/>
      <c r="F234" s="25"/>
      <c r="G234" s="25"/>
      <c r="H234" s="25"/>
      <c r="I234" s="25"/>
      <c r="J234" s="27" t="str">
        <f aca="false">IF($A234="","",ROUND(SUM(E234:I234),2))</f>
        <v/>
      </c>
      <c r="K234" s="45" t="n">
        <f aca="false">IF(OR($A234="",$AA234=0),0,INDEX(研发人员工时分配表!$F$6:$F$245,$AA234))</f>
        <v>0</v>
      </c>
      <c r="L234" s="45" t="n">
        <f aca="false">IF(OR($A234="",$AA234=0),0,INDEX(研发人员工时分配表!$R$6:$R$245,$AA234))</f>
        <v>0</v>
      </c>
      <c r="M234" s="28" t="str">
        <f aca="false">IF(OR($A234="",$K234=0),"",$L234/$K234)</f>
        <v/>
      </c>
      <c r="N234" s="27" t="str">
        <f aca="false">IF(OR($A234="",$K234=0),"",ROUND($J234*INDEX(研发人员工时分配表!$H$6:$H$245,$AA234)/$K234,2))</f>
        <v/>
      </c>
      <c r="O234" s="27" t="str">
        <f aca="false">IF(OR($A234="",$K234=0),"",ROUND($J234*INDEX(研发人员工时分配表!$I$6:$I$245,$AA234)/$K234,2))</f>
        <v/>
      </c>
      <c r="P234" s="27" t="str">
        <f aca="false">IF(OR($A234="",$K234=0),"",ROUND($J234*INDEX(研发人员工时分配表!$J$6:$J$245,$AA234)/$K234,2))</f>
        <v/>
      </c>
      <c r="Q234" s="27" t="str">
        <f aca="false">IF(OR($A234="",$K234=0),"",ROUND($J234*INDEX(研发人员工时分配表!$K$6:$K$245,$AA234)/$K234,2))</f>
        <v/>
      </c>
      <c r="R234" s="27" t="str">
        <f aca="false">IF(OR($A234="",$K234=0),"",ROUND($J234*INDEX(研发人员工时分配表!$L$6:$L$245,$AA234)/$K234,2))</f>
        <v/>
      </c>
      <c r="S234" s="27" t="str">
        <f aca="false">IF(OR($A234="",$K234=0),"",ROUND($J234*INDEX(研发人员工时分配表!$M$6:$M$245,$AA234)/$K234,2))</f>
        <v/>
      </c>
      <c r="T234" s="27" t="str">
        <f aca="false">IF(OR($A234="",$K234=0),"",ROUND($J234*INDEX(研发人员工时分配表!$N$6:$N$245,$AA234)/$K234,2))</f>
        <v/>
      </c>
      <c r="U234" s="27" t="str">
        <f aca="false">IF(OR($A234="",$K234=0),"",ROUND($J234*INDEX(研发人员工时分配表!$O$6:$O$245,$AA234)/$K234,2))</f>
        <v/>
      </c>
      <c r="V234" s="27" t="str">
        <f aca="false">IF(OR($A234="",$K234=0),"",ROUND($J234*INDEX(研发人员工时分配表!$P$6:$P$245,$AA234)/$K234,2))</f>
        <v/>
      </c>
      <c r="W234" s="27" t="str">
        <f aca="false">IF(OR($A234="",$K234=0),"",ROUND($J234*INDEX(研发人员工时分配表!$Q$6:$Q$245,$AA234)/$K234,2))</f>
        <v/>
      </c>
      <c r="X234" s="27" t="str">
        <f aca="false">IF($A234="","",ROUND(SUM(N234:W234),2))</f>
        <v/>
      </c>
      <c r="Y234" s="27" t="str">
        <f aca="false">IF($A234="","",ROUND($J234-X234,2))</f>
        <v/>
      </c>
      <c r="Z234" s="43" t="str">
        <f aca="false">IF($A234="","",IF($AA234=0,"⚠ 工时分配表无此人当月记录",IF($AB234&gt;1,"⚠ 工时分配表存在重复行","√ 正常")))</f>
        <v/>
      </c>
      <c r="AA234" s="47" t="n">
        <f aca="false">IF($A234="",0,IFERROR(MATCH($A234&amp;"|"&amp;$B234,研发人员工时分配表!$W$6:$W$245,0),0))</f>
        <v>0</v>
      </c>
      <c r="AB234" s="47" t="n">
        <f aca="false">IF($A234="",0,COUNTIFS(研发人员工时分配表!$A$6:$A$245,$A234,研发人员工时分配表!$B$6:$B$245,$B234))</f>
        <v>0</v>
      </c>
    </row>
    <row r="235" customFormat="false" ht="18" hidden="false" customHeight="true" outlineLevel="0" collapsed="false">
      <c r="A235" s="36"/>
      <c r="B235" s="36"/>
      <c r="C235" s="43" t="str">
        <f aca="false">IF($B235="","",IFERROR(VLOOKUP($B235,人员名册!$B$4:$G$53,2,0)&amp;"","名册中未登记"))</f>
        <v/>
      </c>
      <c r="D235" s="43" t="str">
        <f aca="false">IF($B235="","",IFERROR(VLOOKUP($B235,人员名册!$B$4:$G$53,5,0)&amp;"",""))</f>
        <v/>
      </c>
      <c r="E235" s="25"/>
      <c r="F235" s="25"/>
      <c r="G235" s="25"/>
      <c r="H235" s="25"/>
      <c r="I235" s="25"/>
      <c r="J235" s="27" t="str">
        <f aca="false">IF($A235="","",ROUND(SUM(E235:I235),2))</f>
        <v/>
      </c>
      <c r="K235" s="45" t="n">
        <f aca="false">IF(OR($A235="",$AA235=0),0,INDEX(研发人员工时分配表!$F$6:$F$245,$AA235))</f>
        <v>0</v>
      </c>
      <c r="L235" s="45" t="n">
        <f aca="false">IF(OR($A235="",$AA235=0),0,INDEX(研发人员工时分配表!$R$6:$R$245,$AA235))</f>
        <v>0</v>
      </c>
      <c r="M235" s="28" t="str">
        <f aca="false">IF(OR($A235="",$K235=0),"",$L235/$K235)</f>
        <v/>
      </c>
      <c r="N235" s="27" t="str">
        <f aca="false">IF(OR($A235="",$K235=0),"",ROUND($J235*INDEX(研发人员工时分配表!$H$6:$H$245,$AA235)/$K235,2))</f>
        <v/>
      </c>
      <c r="O235" s="27" t="str">
        <f aca="false">IF(OR($A235="",$K235=0),"",ROUND($J235*INDEX(研发人员工时分配表!$I$6:$I$245,$AA235)/$K235,2))</f>
        <v/>
      </c>
      <c r="P235" s="27" t="str">
        <f aca="false">IF(OR($A235="",$K235=0),"",ROUND($J235*INDEX(研发人员工时分配表!$J$6:$J$245,$AA235)/$K235,2))</f>
        <v/>
      </c>
      <c r="Q235" s="27" t="str">
        <f aca="false">IF(OR($A235="",$K235=0),"",ROUND($J235*INDEX(研发人员工时分配表!$K$6:$K$245,$AA235)/$K235,2))</f>
        <v/>
      </c>
      <c r="R235" s="27" t="str">
        <f aca="false">IF(OR($A235="",$K235=0),"",ROUND($J235*INDEX(研发人员工时分配表!$L$6:$L$245,$AA235)/$K235,2))</f>
        <v/>
      </c>
      <c r="S235" s="27" t="str">
        <f aca="false">IF(OR($A235="",$K235=0),"",ROUND($J235*INDEX(研发人员工时分配表!$M$6:$M$245,$AA235)/$K235,2))</f>
        <v/>
      </c>
      <c r="T235" s="27" t="str">
        <f aca="false">IF(OR($A235="",$K235=0),"",ROUND($J235*INDEX(研发人员工时分配表!$N$6:$N$245,$AA235)/$K235,2))</f>
        <v/>
      </c>
      <c r="U235" s="27" t="str">
        <f aca="false">IF(OR($A235="",$K235=0),"",ROUND($J235*INDEX(研发人员工时分配表!$O$6:$O$245,$AA235)/$K235,2))</f>
        <v/>
      </c>
      <c r="V235" s="27" t="str">
        <f aca="false">IF(OR($A235="",$K235=0),"",ROUND($J235*INDEX(研发人员工时分配表!$P$6:$P$245,$AA235)/$K235,2))</f>
        <v/>
      </c>
      <c r="W235" s="27" t="str">
        <f aca="false">IF(OR($A235="",$K235=0),"",ROUND($J235*INDEX(研发人员工时分配表!$Q$6:$Q$245,$AA235)/$K235,2))</f>
        <v/>
      </c>
      <c r="X235" s="27" t="str">
        <f aca="false">IF($A235="","",ROUND(SUM(N235:W235),2))</f>
        <v/>
      </c>
      <c r="Y235" s="27" t="str">
        <f aca="false">IF($A235="","",ROUND($J235-X235,2))</f>
        <v/>
      </c>
      <c r="Z235" s="43" t="str">
        <f aca="false">IF($A235="","",IF($AA235=0,"⚠ 工时分配表无此人当月记录",IF($AB235&gt;1,"⚠ 工时分配表存在重复行","√ 正常")))</f>
        <v/>
      </c>
      <c r="AA235" s="47" t="n">
        <f aca="false">IF($A235="",0,IFERROR(MATCH($A235&amp;"|"&amp;$B235,研发人员工时分配表!$W$6:$W$245,0),0))</f>
        <v>0</v>
      </c>
      <c r="AB235" s="47" t="n">
        <f aca="false">IF($A235="",0,COUNTIFS(研发人员工时分配表!$A$6:$A$245,$A235,研发人员工时分配表!$B$6:$B$245,$B235))</f>
        <v>0</v>
      </c>
    </row>
    <row r="236" customFormat="false" ht="18" hidden="false" customHeight="true" outlineLevel="0" collapsed="false">
      <c r="A236" s="36"/>
      <c r="B236" s="36"/>
      <c r="C236" s="43" t="str">
        <f aca="false">IF($B236="","",IFERROR(VLOOKUP($B236,人员名册!$B$4:$G$53,2,0)&amp;"","名册中未登记"))</f>
        <v/>
      </c>
      <c r="D236" s="43" t="str">
        <f aca="false">IF($B236="","",IFERROR(VLOOKUP($B236,人员名册!$B$4:$G$53,5,0)&amp;"",""))</f>
        <v/>
      </c>
      <c r="E236" s="25"/>
      <c r="F236" s="25"/>
      <c r="G236" s="25"/>
      <c r="H236" s="25"/>
      <c r="I236" s="25"/>
      <c r="J236" s="27" t="str">
        <f aca="false">IF($A236="","",ROUND(SUM(E236:I236),2))</f>
        <v/>
      </c>
      <c r="K236" s="45" t="n">
        <f aca="false">IF(OR($A236="",$AA236=0),0,INDEX(研发人员工时分配表!$F$6:$F$245,$AA236))</f>
        <v>0</v>
      </c>
      <c r="L236" s="45" t="n">
        <f aca="false">IF(OR($A236="",$AA236=0),0,INDEX(研发人员工时分配表!$R$6:$R$245,$AA236))</f>
        <v>0</v>
      </c>
      <c r="M236" s="28" t="str">
        <f aca="false">IF(OR($A236="",$K236=0),"",$L236/$K236)</f>
        <v/>
      </c>
      <c r="N236" s="27" t="str">
        <f aca="false">IF(OR($A236="",$K236=0),"",ROUND($J236*INDEX(研发人员工时分配表!$H$6:$H$245,$AA236)/$K236,2))</f>
        <v/>
      </c>
      <c r="O236" s="27" t="str">
        <f aca="false">IF(OR($A236="",$K236=0),"",ROUND($J236*INDEX(研发人员工时分配表!$I$6:$I$245,$AA236)/$K236,2))</f>
        <v/>
      </c>
      <c r="P236" s="27" t="str">
        <f aca="false">IF(OR($A236="",$K236=0),"",ROUND($J236*INDEX(研发人员工时分配表!$J$6:$J$245,$AA236)/$K236,2))</f>
        <v/>
      </c>
      <c r="Q236" s="27" t="str">
        <f aca="false">IF(OR($A236="",$K236=0),"",ROUND($J236*INDEX(研发人员工时分配表!$K$6:$K$245,$AA236)/$K236,2))</f>
        <v/>
      </c>
      <c r="R236" s="27" t="str">
        <f aca="false">IF(OR($A236="",$K236=0),"",ROUND($J236*INDEX(研发人员工时分配表!$L$6:$L$245,$AA236)/$K236,2))</f>
        <v/>
      </c>
      <c r="S236" s="27" t="str">
        <f aca="false">IF(OR($A236="",$K236=0),"",ROUND($J236*INDEX(研发人员工时分配表!$M$6:$M$245,$AA236)/$K236,2))</f>
        <v/>
      </c>
      <c r="T236" s="27" t="str">
        <f aca="false">IF(OR($A236="",$K236=0),"",ROUND($J236*INDEX(研发人员工时分配表!$N$6:$N$245,$AA236)/$K236,2))</f>
        <v/>
      </c>
      <c r="U236" s="27" t="str">
        <f aca="false">IF(OR($A236="",$K236=0),"",ROUND($J236*INDEX(研发人员工时分配表!$O$6:$O$245,$AA236)/$K236,2))</f>
        <v/>
      </c>
      <c r="V236" s="27" t="str">
        <f aca="false">IF(OR($A236="",$K236=0),"",ROUND($J236*INDEX(研发人员工时分配表!$P$6:$P$245,$AA236)/$K236,2))</f>
        <v/>
      </c>
      <c r="W236" s="27" t="str">
        <f aca="false">IF(OR($A236="",$K236=0),"",ROUND($J236*INDEX(研发人员工时分配表!$Q$6:$Q$245,$AA236)/$K236,2))</f>
        <v/>
      </c>
      <c r="X236" s="27" t="str">
        <f aca="false">IF($A236="","",ROUND(SUM(N236:W236),2))</f>
        <v/>
      </c>
      <c r="Y236" s="27" t="str">
        <f aca="false">IF($A236="","",ROUND($J236-X236,2))</f>
        <v/>
      </c>
      <c r="Z236" s="43" t="str">
        <f aca="false">IF($A236="","",IF($AA236=0,"⚠ 工时分配表无此人当月记录",IF($AB236&gt;1,"⚠ 工时分配表存在重复行","√ 正常")))</f>
        <v/>
      </c>
      <c r="AA236" s="47" t="n">
        <f aca="false">IF($A236="",0,IFERROR(MATCH($A236&amp;"|"&amp;$B236,研发人员工时分配表!$W$6:$W$245,0),0))</f>
        <v>0</v>
      </c>
      <c r="AB236" s="47" t="n">
        <f aca="false">IF($A236="",0,COUNTIFS(研发人员工时分配表!$A$6:$A$245,$A236,研发人员工时分配表!$B$6:$B$245,$B236))</f>
        <v>0</v>
      </c>
    </row>
    <row r="237" customFormat="false" ht="18" hidden="false" customHeight="true" outlineLevel="0" collapsed="false">
      <c r="A237" s="36"/>
      <c r="B237" s="36"/>
      <c r="C237" s="43" t="str">
        <f aca="false">IF($B237="","",IFERROR(VLOOKUP($B237,人员名册!$B$4:$G$53,2,0)&amp;"","名册中未登记"))</f>
        <v/>
      </c>
      <c r="D237" s="43" t="str">
        <f aca="false">IF($B237="","",IFERROR(VLOOKUP($B237,人员名册!$B$4:$G$53,5,0)&amp;"",""))</f>
        <v/>
      </c>
      <c r="E237" s="25"/>
      <c r="F237" s="25"/>
      <c r="G237" s="25"/>
      <c r="H237" s="25"/>
      <c r="I237" s="25"/>
      <c r="J237" s="27" t="str">
        <f aca="false">IF($A237="","",ROUND(SUM(E237:I237),2))</f>
        <v/>
      </c>
      <c r="K237" s="45" t="n">
        <f aca="false">IF(OR($A237="",$AA237=0),0,INDEX(研发人员工时分配表!$F$6:$F$245,$AA237))</f>
        <v>0</v>
      </c>
      <c r="L237" s="45" t="n">
        <f aca="false">IF(OR($A237="",$AA237=0),0,INDEX(研发人员工时分配表!$R$6:$R$245,$AA237))</f>
        <v>0</v>
      </c>
      <c r="M237" s="28" t="str">
        <f aca="false">IF(OR($A237="",$K237=0),"",$L237/$K237)</f>
        <v/>
      </c>
      <c r="N237" s="27" t="str">
        <f aca="false">IF(OR($A237="",$K237=0),"",ROUND($J237*INDEX(研发人员工时分配表!$H$6:$H$245,$AA237)/$K237,2))</f>
        <v/>
      </c>
      <c r="O237" s="27" t="str">
        <f aca="false">IF(OR($A237="",$K237=0),"",ROUND($J237*INDEX(研发人员工时分配表!$I$6:$I$245,$AA237)/$K237,2))</f>
        <v/>
      </c>
      <c r="P237" s="27" t="str">
        <f aca="false">IF(OR($A237="",$K237=0),"",ROUND($J237*INDEX(研发人员工时分配表!$J$6:$J$245,$AA237)/$K237,2))</f>
        <v/>
      </c>
      <c r="Q237" s="27" t="str">
        <f aca="false">IF(OR($A237="",$K237=0),"",ROUND($J237*INDEX(研发人员工时分配表!$K$6:$K$245,$AA237)/$K237,2))</f>
        <v/>
      </c>
      <c r="R237" s="27" t="str">
        <f aca="false">IF(OR($A237="",$K237=0),"",ROUND($J237*INDEX(研发人员工时分配表!$L$6:$L$245,$AA237)/$K237,2))</f>
        <v/>
      </c>
      <c r="S237" s="27" t="str">
        <f aca="false">IF(OR($A237="",$K237=0),"",ROUND($J237*INDEX(研发人员工时分配表!$M$6:$M$245,$AA237)/$K237,2))</f>
        <v/>
      </c>
      <c r="T237" s="27" t="str">
        <f aca="false">IF(OR($A237="",$K237=0),"",ROUND($J237*INDEX(研发人员工时分配表!$N$6:$N$245,$AA237)/$K237,2))</f>
        <v/>
      </c>
      <c r="U237" s="27" t="str">
        <f aca="false">IF(OR($A237="",$K237=0),"",ROUND($J237*INDEX(研发人员工时分配表!$O$6:$O$245,$AA237)/$K237,2))</f>
        <v/>
      </c>
      <c r="V237" s="27" t="str">
        <f aca="false">IF(OR($A237="",$K237=0),"",ROUND($J237*INDEX(研发人员工时分配表!$P$6:$P$245,$AA237)/$K237,2))</f>
        <v/>
      </c>
      <c r="W237" s="27" t="str">
        <f aca="false">IF(OR($A237="",$K237=0),"",ROUND($J237*INDEX(研发人员工时分配表!$Q$6:$Q$245,$AA237)/$K237,2))</f>
        <v/>
      </c>
      <c r="X237" s="27" t="str">
        <f aca="false">IF($A237="","",ROUND(SUM(N237:W237),2))</f>
        <v/>
      </c>
      <c r="Y237" s="27" t="str">
        <f aca="false">IF($A237="","",ROUND($J237-X237,2))</f>
        <v/>
      </c>
      <c r="Z237" s="43" t="str">
        <f aca="false">IF($A237="","",IF($AA237=0,"⚠ 工时分配表无此人当月记录",IF($AB237&gt;1,"⚠ 工时分配表存在重复行","√ 正常")))</f>
        <v/>
      </c>
      <c r="AA237" s="47" t="n">
        <f aca="false">IF($A237="",0,IFERROR(MATCH($A237&amp;"|"&amp;$B237,研发人员工时分配表!$W$6:$W$245,0),0))</f>
        <v>0</v>
      </c>
      <c r="AB237" s="47" t="n">
        <f aca="false">IF($A237="",0,COUNTIFS(研发人员工时分配表!$A$6:$A$245,$A237,研发人员工时分配表!$B$6:$B$245,$B237))</f>
        <v>0</v>
      </c>
    </row>
    <row r="238" customFormat="false" ht="18" hidden="false" customHeight="true" outlineLevel="0" collapsed="false">
      <c r="A238" s="36"/>
      <c r="B238" s="36"/>
      <c r="C238" s="43" t="str">
        <f aca="false">IF($B238="","",IFERROR(VLOOKUP($B238,人员名册!$B$4:$G$53,2,0)&amp;"","名册中未登记"))</f>
        <v/>
      </c>
      <c r="D238" s="43" t="str">
        <f aca="false">IF($B238="","",IFERROR(VLOOKUP($B238,人员名册!$B$4:$G$53,5,0)&amp;"",""))</f>
        <v/>
      </c>
      <c r="E238" s="25"/>
      <c r="F238" s="25"/>
      <c r="G238" s="25"/>
      <c r="H238" s="25"/>
      <c r="I238" s="25"/>
      <c r="J238" s="27" t="str">
        <f aca="false">IF($A238="","",ROUND(SUM(E238:I238),2))</f>
        <v/>
      </c>
      <c r="K238" s="45" t="n">
        <f aca="false">IF(OR($A238="",$AA238=0),0,INDEX(研发人员工时分配表!$F$6:$F$245,$AA238))</f>
        <v>0</v>
      </c>
      <c r="L238" s="45" t="n">
        <f aca="false">IF(OR($A238="",$AA238=0),0,INDEX(研发人员工时分配表!$R$6:$R$245,$AA238))</f>
        <v>0</v>
      </c>
      <c r="M238" s="28" t="str">
        <f aca="false">IF(OR($A238="",$K238=0),"",$L238/$K238)</f>
        <v/>
      </c>
      <c r="N238" s="27" t="str">
        <f aca="false">IF(OR($A238="",$K238=0),"",ROUND($J238*INDEX(研发人员工时分配表!$H$6:$H$245,$AA238)/$K238,2))</f>
        <v/>
      </c>
      <c r="O238" s="27" t="str">
        <f aca="false">IF(OR($A238="",$K238=0),"",ROUND($J238*INDEX(研发人员工时分配表!$I$6:$I$245,$AA238)/$K238,2))</f>
        <v/>
      </c>
      <c r="P238" s="27" t="str">
        <f aca="false">IF(OR($A238="",$K238=0),"",ROUND($J238*INDEX(研发人员工时分配表!$J$6:$J$245,$AA238)/$K238,2))</f>
        <v/>
      </c>
      <c r="Q238" s="27" t="str">
        <f aca="false">IF(OR($A238="",$K238=0),"",ROUND($J238*INDEX(研发人员工时分配表!$K$6:$K$245,$AA238)/$K238,2))</f>
        <v/>
      </c>
      <c r="R238" s="27" t="str">
        <f aca="false">IF(OR($A238="",$K238=0),"",ROUND($J238*INDEX(研发人员工时分配表!$L$6:$L$245,$AA238)/$K238,2))</f>
        <v/>
      </c>
      <c r="S238" s="27" t="str">
        <f aca="false">IF(OR($A238="",$K238=0),"",ROUND($J238*INDEX(研发人员工时分配表!$M$6:$M$245,$AA238)/$K238,2))</f>
        <v/>
      </c>
      <c r="T238" s="27" t="str">
        <f aca="false">IF(OR($A238="",$K238=0),"",ROUND($J238*INDEX(研发人员工时分配表!$N$6:$N$245,$AA238)/$K238,2))</f>
        <v/>
      </c>
      <c r="U238" s="27" t="str">
        <f aca="false">IF(OR($A238="",$K238=0),"",ROUND($J238*INDEX(研发人员工时分配表!$O$6:$O$245,$AA238)/$K238,2))</f>
        <v/>
      </c>
      <c r="V238" s="27" t="str">
        <f aca="false">IF(OR($A238="",$K238=0),"",ROUND($J238*INDEX(研发人员工时分配表!$P$6:$P$245,$AA238)/$K238,2))</f>
        <v/>
      </c>
      <c r="W238" s="27" t="str">
        <f aca="false">IF(OR($A238="",$K238=0),"",ROUND($J238*INDEX(研发人员工时分配表!$Q$6:$Q$245,$AA238)/$K238,2))</f>
        <v/>
      </c>
      <c r="X238" s="27" t="str">
        <f aca="false">IF($A238="","",ROUND(SUM(N238:W238),2))</f>
        <v/>
      </c>
      <c r="Y238" s="27" t="str">
        <f aca="false">IF($A238="","",ROUND($J238-X238,2))</f>
        <v/>
      </c>
      <c r="Z238" s="43" t="str">
        <f aca="false">IF($A238="","",IF($AA238=0,"⚠ 工时分配表无此人当月记录",IF($AB238&gt;1,"⚠ 工时分配表存在重复行","√ 正常")))</f>
        <v/>
      </c>
      <c r="AA238" s="47" t="n">
        <f aca="false">IF($A238="",0,IFERROR(MATCH($A238&amp;"|"&amp;$B238,研发人员工时分配表!$W$6:$W$245,0),0))</f>
        <v>0</v>
      </c>
      <c r="AB238" s="47" t="n">
        <f aca="false">IF($A238="",0,COUNTIFS(研发人员工时分配表!$A$6:$A$245,$A238,研发人员工时分配表!$B$6:$B$245,$B238))</f>
        <v>0</v>
      </c>
    </row>
    <row r="239" customFormat="false" ht="18" hidden="false" customHeight="true" outlineLevel="0" collapsed="false">
      <c r="A239" s="36"/>
      <c r="B239" s="36"/>
      <c r="C239" s="43" t="str">
        <f aca="false">IF($B239="","",IFERROR(VLOOKUP($B239,人员名册!$B$4:$G$53,2,0)&amp;"","名册中未登记"))</f>
        <v/>
      </c>
      <c r="D239" s="43" t="str">
        <f aca="false">IF($B239="","",IFERROR(VLOOKUP($B239,人员名册!$B$4:$G$53,5,0)&amp;"",""))</f>
        <v/>
      </c>
      <c r="E239" s="25"/>
      <c r="F239" s="25"/>
      <c r="G239" s="25"/>
      <c r="H239" s="25"/>
      <c r="I239" s="25"/>
      <c r="J239" s="27" t="str">
        <f aca="false">IF($A239="","",ROUND(SUM(E239:I239),2))</f>
        <v/>
      </c>
      <c r="K239" s="45" t="n">
        <f aca="false">IF(OR($A239="",$AA239=0),0,INDEX(研发人员工时分配表!$F$6:$F$245,$AA239))</f>
        <v>0</v>
      </c>
      <c r="L239" s="45" t="n">
        <f aca="false">IF(OR($A239="",$AA239=0),0,INDEX(研发人员工时分配表!$R$6:$R$245,$AA239))</f>
        <v>0</v>
      </c>
      <c r="M239" s="28" t="str">
        <f aca="false">IF(OR($A239="",$K239=0),"",$L239/$K239)</f>
        <v/>
      </c>
      <c r="N239" s="27" t="str">
        <f aca="false">IF(OR($A239="",$K239=0),"",ROUND($J239*INDEX(研发人员工时分配表!$H$6:$H$245,$AA239)/$K239,2))</f>
        <v/>
      </c>
      <c r="O239" s="27" t="str">
        <f aca="false">IF(OR($A239="",$K239=0),"",ROUND($J239*INDEX(研发人员工时分配表!$I$6:$I$245,$AA239)/$K239,2))</f>
        <v/>
      </c>
      <c r="P239" s="27" t="str">
        <f aca="false">IF(OR($A239="",$K239=0),"",ROUND($J239*INDEX(研发人员工时分配表!$J$6:$J$245,$AA239)/$K239,2))</f>
        <v/>
      </c>
      <c r="Q239" s="27" t="str">
        <f aca="false">IF(OR($A239="",$K239=0),"",ROUND($J239*INDEX(研发人员工时分配表!$K$6:$K$245,$AA239)/$K239,2))</f>
        <v/>
      </c>
      <c r="R239" s="27" t="str">
        <f aca="false">IF(OR($A239="",$K239=0),"",ROUND($J239*INDEX(研发人员工时分配表!$L$6:$L$245,$AA239)/$K239,2))</f>
        <v/>
      </c>
      <c r="S239" s="27" t="str">
        <f aca="false">IF(OR($A239="",$K239=0),"",ROUND($J239*INDEX(研发人员工时分配表!$M$6:$M$245,$AA239)/$K239,2))</f>
        <v/>
      </c>
      <c r="T239" s="27" t="str">
        <f aca="false">IF(OR($A239="",$K239=0),"",ROUND($J239*INDEX(研发人员工时分配表!$N$6:$N$245,$AA239)/$K239,2))</f>
        <v/>
      </c>
      <c r="U239" s="27" t="str">
        <f aca="false">IF(OR($A239="",$K239=0),"",ROUND($J239*INDEX(研发人员工时分配表!$O$6:$O$245,$AA239)/$K239,2))</f>
        <v/>
      </c>
      <c r="V239" s="27" t="str">
        <f aca="false">IF(OR($A239="",$K239=0),"",ROUND($J239*INDEX(研发人员工时分配表!$P$6:$P$245,$AA239)/$K239,2))</f>
        <v/>
      </c>
      <c r="W239" s="27" t="str">
        <f aca="false">IF(OR($A239="",$K239=0),"",ROUND($J239*INDEX(研发人员工时分配表!$Q$6:$Q$245,$AA239)/$K239,2))</f>
        <v/>
      </c>
      <c r="X239" s="27" t="str">
        <f aca="false">IF($A239="","",ROUND(SUM(N239:W239),2))</f>
        <v/>
      </c>
      <c r="Y239" s="27" t="str">
        <f aca="false">IF($A239="","",ROUND($J239-X239,2))</f>
        <v/>
      </c>
      <c r="Z239" s="43" t="str">
        <f aca="false">IF($A239="","",IF($AA239=0,"⚠ 工时分配表无此人当月记录",IF($AB239&gt;1,"⚠ 工时分配表存在重复行","√ 正常")))</f>
        <v/>
      </c>
      <c r="AA239" s="47" t="n">
        <f aca="false">IF($A239="",0,IFERROR(MATCH($A239&amp;"|"&amp;$B239,研发人员工时分配表!$W$6:$W$245,0),0))</f>
        <v>0</v>
      </c>
      <c r="AB239" s="47" t="n">
        <f aca="false">IF($A239="",0,COUNTIFS(研发人员工时分配表!$A$6:$A$245,$A239,研发人员工时分配表!$B$6:$B$245,$B239))</f>
        <v>0</v>
      </c>
    </row>
    <row r="240" customFormat="false" ht="18" hidden="false" customHeight="true" outlineLevel="0" collapsed="false">
      <c r="A240" s="36"/>
      <c r="B240" s="36"/>
      <c r="C240" s="43" t="str">
        <f aca="false">IF($B240="","",IFERROR(VLOOKUP($B240,人员名册!$B$4:$G$53,2,0)&amp;"","名册中未登记"))</f>
        <v/>
      </c>
      <c r="D240" s="43" t="str">
        <f aca="false">IF($B240="","",IFERROR(VLOOKUP($B240,人员名册!$B$4:$G$53,5,0)&amp;"",""))</f>
        <v/>
      </c>
      <c r="E240" s="25"/>
      <c r="F240" s="25"/>
      <c r="G240" s="25"/>
      <c r="H240" s="25"/>
      <c r="I240" s="25"/>
      <c r="J240" s="27" t="str">
        <f aca="false">IF($A240="","",ROUND(SUM(E240:I240),2))</f>
        <v/>
      </c>
      <c r="K240" s="45" t="n">
        <f aca="false">IF(OR($A240="",$AA240=0),0,INDEX(研发人员工时分配表!$F$6:$F$245,$AA240))</f>
        <v>0</v>
      </c>
      <c r="L240" s="45" t="n">
        <f aca="false">IF(OR($A240="",$AA240=0),0,INDEX(研发人员工时分配表!$R$6:$R$245,$AA240))</f>
        <v>0</v>
      </c>
      <c r="M240" s="28" t="str">
        <f aca="false">IF(OR($A240="",$K240=0),"",$L240/$K240)</f>
        <v/>
      </c>
      <c r="N240" s="27" t="str">
        <f aca="false">IF(OR($A240="",$K240=0),"",ROUND($J240*INDEX(研发人员工时分配表!$H$6:$H$245,$AA240)/$K240,2))</f>
        <v/>
      </c>
      <c r="O240" s="27" t="str">
        <f aca="false">IF(OR($A240="",$K240=0),"",ROUND($J240*INDEX(研发人员工时分配表!$I$6:$I$245,$AA240)/$K240,2))</f>
        <v/>
      </c>
      <c r="P240" s="27" t="str">
        <f aca="false">IF(OR($A240="",$K240=0),"",ROUND($J240*INDEX(研发人员工时分配表!$J$6:$J$245,$AA240)/$K240,2))</f>
        <v/>
      </c>
      <c r="Q240" s="27" t="str">
        <f aca="false">IF(OR($A240="",$K240=0),"",ROUND($J240*INDEX(研发人员工时分配表!$K$6:$K$245,$AA240)/$K240,2))</f>
        <v/>
      </c>
      <c r="R240" s="27" t="str">
        <f aca="false">IF(OR($A240="",$K240=0),"",ROUND($J240*INDEX(研发人员工时分配表!$L$6:$L$245,$AA240)/$K240,2))</f>
        <v/>
      </c>
      <c r="S240" s="27" t="str">
        <f aca="false">IF(OR($A240="",$K240=0),"",ROUND($J240*INDEX(研发人员工时分配表!$M$6:$M$245,$AA240)/$K240,2))</f>
        <v/>
      </c>
      <c r="T240" s="27" t="str">
        <f aca="false">IF(OR($A240="",$K240=0),"",ROUND($J240*INDEX(研发人员工时分配表!$N$6:$N$245,$AA240)/$K240,2))</f>
        <v/>
      </c>
      <c r="U240" s="27" t="str">
        <f aca="false">IF(OR($A240="",$K240=0),"",ROUND($J240*INDEX(研发人员工时分配表!$O$6:$O$245,$AA240)/$K240,2))</f>
        <v/>
      </c>
      <c r="V240" s="27" t="str">
        <f aca="false">IF(OR($A240="",$K240=0),"",ROUND($J240*INDEX(研发人员工时分配表!$P$6:$P$245,$AA240)/$K240,2))</f>
        <v/>
      </c>
      <c r="W240" s="27" t="str">
        <f aca="false">IF(OR($A240="",$K240=0),"",ROUND($J240*INDEX(研发人员工时分配表!$Q$6:$Q$245,$AA240)/$K240,2))</f>
        <v/>
      </c>
      <c r="X240" s="27" t="str">
        <f aca="false">IF($A240="","",ROUND(SUM(N240:W240),2))</f>
        <v/>
      </c>
      <c r="Y240" s="27" t="str">
        <f aca="false">IF($A240="","",ROUND($J240-X240,2))</f>
        <v/>
      </c>
      <c r="Z240" s="43" t="str">
        <f aca="false">IF($A240="","",IF($AA240=0,"⚠ 工时分配表无此人当月记录",IF($AB240&gt;1,"⚠ 工时分配表存在重复行","√ 正常")))</f>
        <v/>
      </c>
      <c r="AA240" s="47" t="n">
        <f aca="false">IF($A240="",0,IFERROR(MATCH($A240&amp;"|"&amp;$B240,研发人员工时分配表!$W$6:$W$245,0),0))</f>
        <v>0</v>
      </c>
      <c r="AB240" s="47" t="n">
        <f aca="false">IF($A240="",0,COUNTIFS(研发人员工时分配表!$A$6:$A$245,$A240,研发人员工时分配表!$B$6:$B$245,$B240))</f>
        <v>0</v>
      </c>
    </row>
    <row r="241" customFormat="false" ht="18" hidden="false" customHeight="true" outlineLevel="0" collapsed="false">
      <c r="A241" s="36"/>
      <c r="B241" s="36"/>
      <c r="C241" s="43" t="str">
        <f aca="false">IF($B241="","",IFERROR(VLOOKUP($B241,人员名册!$B$4:$G$53,2,0)&amp;"","名册中未登记"))</f>
        <v/>
      </c>
      <c r="D241" s="43" t="str">
        <f aca="false">IF($B241="","",IFERROR(VLOOKUP($B241,人员名册!$B$4:$G$53,5,0)&amp;"",""))</f>
        <v/>
      </c>
      <c r="E241" s="25"/>
      <c r="F241" s="25"/>
      <c r="G241" s="25"/>
      <c r="H241" s="25"/>
      <c r="I241" s="25"/>
      <c r="J241" s="27" t="str">
        <f aca="false">IF($A241="","",ROUND(SUM(E241:I241),2))</f>
        <v/>
      </c>
      <c r="K241" s="45" t="n">
        <f aca="false">IF(OR($A241="",$AA241=0),0,INDEX(研发人员工时分配表!$F$6:$F$245,$AA241))</f>
        <v>0</v>
      </c>
      <c r="L241" s="45" t="n">
        <f aca="false">IF(OR($A241="",$AA241=0),0,INDEX(研发人员工时分配表!$R$6:$R$245,$AA241))</f>
        <v>0</v>
      </c>
      <c r="M241" s="28" t="str">
        <f aca="false">IF(OR($A241="",$K241=0),"",$L241/$K241)</f>
        <v/>
      </c>
      <c r="N241" s="27" t="str">
        <f aca="false">IF(OR($A241="",$K241=0),"",ROUND($J241*INDEX(研发人员工时分配表!$H$6:$H$245,$AA241)/$K241,2))</f>
        <v/>
      </c>
      <c r="O241" s="27" t="str">
        <f aca="false">IF(OR($A241="",$K241=0),"",ROUND($J241*INDEX(研发人员工时分配表!$I$6:$I$245,$AA241)/$K241,2))</f>
        <v/>
      </c>
      <c r="P241" s="27" t="str">
        <f aca="false">IF(OR($A241="",$K241=0),"",ROUND($J241*INDEX(研发人员工时分配表!$J$6:$J$245,$AA241)/$K241,2))</f>
        <v/>
      </c>
      <c r="Q241" s="27" t="str">
        <f aca="false">IF(OR($A241="",$K241=0),"",ROUND($J241*INDEX(研发人员工时分配表!$K$6:$K$245,$AA241)/$K241,2))</f>
        <v/>
      </c>
      <c r="R241" s="27" t="str">
        <f aca="false">IF(OR($A241="",$K241=0),"",ROUND($J241*INDEX(研发人员工时分配表!$L$6:$L$245,$AA241)/$K241,2))</f>
        <v/>
      </c>
      <c r="S241" s="27" t="str">
        <f aca="false">IF(OR($A241="",$K241=0),"",ROUND($J241*INDEX(研发人员工时分配表!$M$6:$M$245,$AA241)/$K241,2))</f>
        <v/>
      </c>
      <c r="T241" s="27" t="str">
        <f aca="false">IF(OR($A241="",$K241=0),"",ROUND($J241*INDEX(研发人员工时分配表!$N$6:$N$245,$AA241)/$K241,2))</f>
        <v/>
      </c>
      <c r="U241" s="27" t="str">
        <f aca="false">IF(OR($A241="",$K241=0),"",ROUND($J241*INDEX(研发人员工时分配表!$O$6:$O$245,$AA241)/$K241,2))</f>
        <v/>
      </c>
      <c r="V241" s="27" t="str">
        <f aca="false">IF(OR($A241="",$K241=0),"",ROUND($J241*INDEX(研发人员工时分配表!$P$6:$P$245,$AA241)/$K241,2))</f>
        <v/>
      </c>
      <c r="W241" s="27" t="str">
        <f aca="false">IF(OR($A241="",$K241=0),"",ROUND($J241*INDEX(研发人员工时分配表!$Q$6:$Q$245,$AA241)/$K241,2))</f>
        <v/>
      </c>
      <c r="X241" s="27" t="str">
        <f aca="false">IF($A241="","",ROUND(SUM(N241:W241),2))</f>
        <v/>
      </c>
      <c r="Y241" s="27" t="str">
        <f aca="false">IF($A241="","",ROUND($J241-X241,2))</f>
        <v/>
      </c>
      <c r="Z241" s="43" t="str">
        <f aca="false">IF($A241="","",IF($AA241=0,"⚠ 工时分配表无此人当月记录",IF($AB241&gt;1,"⚠ 工时分配表存在重复行","√ 正常")))</f>
        <v/>
      </c>
      <c r="AA241" s="47" t="n">
        <f aca="false">IF($A241="",0,IFERROR(MATCH($A241&amp;"|"&amp;$B241,研发人员工时分配表!$W$6:$W$245,0),0))</f>
        <v>0</v>
      </c>
      <c r="AB241" s="47" t="n">
        <f aca="false">IF($A241="",0,COUNTIFS(研发人员工时分配表!$A$6:$A$245,$A241,研发人员工时分配表!$B$6:$B$245,$B241))</f>
        <v>0</v>
      </c>
    </row>
    <row r="242" customFormat="false" ht="18" hidden="false" customHeight="true" outlineLevel="0" collapsed="false">
      <c r="A242" s="36"/>
      <c r="B242" s="36"/>
      <c r="C242" s="43" t="str">
        <f aca="false">IF($B242="","",IFERROR(VLOOKUP($B242,人员名册!$B$4:$G$53,2,0)&amp;"","名册中未登记"))</f>
        <v/>
      </c>
      <c r="D242" s="43" t="str">
        <f aca="false">IF($B242="","",IFERROR(VLOOKUP($B242,人员名册!$B$4:$G$53,5,0)&amp;"",""))</f>
        <v/>
      </c>
      <c r="E242" s="25"/>
      <c r="F242" s="25"/>
      <c r="G242" s="25"/>
      <c r="H242" s="25"/>
      <c r="I242" s="25"/>
      <c r="J242" s="27" t="str">
        <f aca="false">IF($A242="","",ROUND(SUM(E242:I242),2))</f>
        <v/>
      </c>
      <c r="K242" s="45" t="n">
        <f aca="false">IF(OR($A242="",$AA242=0),0,INDEX(研发人员工时分配表!$F$6:$F$245,$AA242))</f>
        <v>0</v>
      </c>
      <c r="L242" s="45" t="n">
        <f aca="false">IF(OR($A242="",$AA242=0),0,INDEX(研发人员工时分配表!$R$6:$R$245,$AA242))</f>
        <v>0</v>
      </c>
      <c r="M242" s="28" t="str">
        <f aca="false">IF(OR($A242="",$K242=0),"",$L242/$K242)</f>
        <v/>
      </c>
      <c r="N242" s="27" t="str">
        <f aca="false">IF(OR($A242="",$K242=0),"",ROUND($J242*INDEX(研发人员工时分配表!$H$6:$H$245,$AA242)/$K242,2))</f>
        <v/>
      </c>
      <c r="O242" s="27" t="str">
        <f aca="false">IF(OR($A242="",$K242=0),"",ROUND($J242*INDEX(研发人员工时分配表!$I$6:$I$245,$AA242)/$K242,2))</f>
        <v/>
      </c>
      <c r="P242" s="27" t="str">
        <f aca="false">IF(OR($A242="",$K242=0),"",ROUND($J242*INDEX(研发人员工时分配表!$J$6:$J$245,$AA242)/$K242,2))</f>
        <v/>
      </c>
      <c r="Q242" s="27" t="str">
        <f aca="false">IF(OR($A242="",$K242=0),"",ROUND($J242*INDEX(研发人员工时分配表!$K$6:$K$245,$AA242)/$K242,2))</f>
        <v/>
      </c>
      <c r="R242" s="27" t="str">
        <f aca="false">IF(OR($A242="",$K242=0),"",ROUND($J242*INDEX(研发人员工时分配表!$L$6:$L$245,$AA242)/$K242,2))</f>
        <v/>
      </c>
      <c r="S242" s="27" t="str">
        <f aca="false">IF(OR($A242="",$K242=0),"",ROUND($J242*INDEX(研发人员工时分配表!$M$6:$M$245,$AA242)/$K242,2))</f>
        <v/>
      </c>
      <c r="T242" s="27" t="str">
        <f aca="false">IF(OR($A242="",$K242=0),"",ROUND($J242*INDEX(研发人员工时分配表!$N$6:$N$245,$AA242)/$K242,2))</f>
        <v/>
      </c>
      <c r="U242" s="27" t="str">
        <f aca="false">IF(OR($A242="",$K242=0),"",ROUND($J242*INDEX(研发人员工时分配表!$O$6:$O$245,$AA242)/$K242,2))</f>
        <v/>
      </c>
      <c r="V242" s="27" t="str">
        <f aca="false">IF(OR($A242="",$K242=0),"",ROUND($J242*INDEX(研发人员工时分配表!$P$6:$P$245,$AA242)/$K242,2))</f>
        <v/>
      </c>
      <c r="W242" s="27" t="str">
        <f aca="false">IF(OR($A242="",$K242=0),"",ROUND($J242*INDEX(研发人员工时分配表!$Q$6:$Q$245,$AA242)/$K242,2))</f>
        <v/>
      </c>
      <c r="X242" s="27" t="str">
        <f aca="false">IF($A242="","",ROUND(SUM(N242:W242),2))</f>
        <v/>
      </c>
      <c r="Y242" s="27" t="str">
        <f aca="false">IF($A242="","",ROUND($J242-X242,2))</f>
        <v/>
      </c>
      <c r="Z242" s="43" t="str">
        <f aca="false">IF($A242="","",IF($AA242=0,"⚠ 工时分配表无此人当月记录",IF($AB242&gt;1,"⚠ 工时分配表存在重复行","√ 正常")))</f>
        <v/>
      </c>
      <c r="AA242" s="47" t="n">
        <f aca="false">IF($A242="",0,IFERROR(MATCH($A242&amp;"|"&amp;$B242,研发人员工时分配表!$W$6:$W$245,0),0))</f>
        <v>0</v>
      </c>
      <c r="AB242" s="47" t="n">
        <f aca="false">IF($A242="",0,COUNTIFS(研发人员工时分配表!$A$6:$A$245,$A242,研发人员工时分配表!$B$6:$B$245,$B242))</f>
        <v>0</v>
      </c>
    </row>
    <row r="243" customFormat="false" ht="18" hidden="false" customHeight="true" outlineLevel="0" collapsed="false">
      <c r="A243" s="36"/>
      <c r="B243" s="36"/>
      <c r="C243" s="43" t="str">
        <f aca="false">IF($B243="","",IFERROR(VLOOKUP($B243,人员名册!$B$4:$G$53,2,0)&amp;"","名册中未登记"))</f>
        <v/>
      </c>
      <c r="D243" s="43" t="str">
        <f aca="false">IF($B243="","",IFERROR(VLOOKUP($B243,人员名册!$B$4:$G$53,5,0)&amp;"",""))</f>
        <v/>
      </c>
      <c r="E243" s="25"/>
      <c r="F243" s="25"/>
      <c r="G243" s="25"/>
      <c r="H243" s="25"/>
      <c r="I243" s="25"/>
      <c r="J243" s="27" t="str">
        <f aca="false">IF($A243="","",ROUND(SUM(E243:I243),2))</f>
        <v/>
      </c>
      <c r="K243" s="45" t="n">
        <f aca="false">IF(OR($A243="",$AA243=0),0,INDEX(研发人员工时分配表!$F$6:$F$245,$AA243))</f>
        <v>0</v>
      </c>
      <c r="L243" s="45" t="n">
        <f aca="false">IF(OR($A243="",$AA243=0),0,INDEX(研发人员工时分配表!$R$6:$R$245,$AA243))</f>
        <v>0</v>
      </c>
      <c r="M243" s="28" t="str">
        <f aca="false">IF(OR($A243="",$K243=0),"",$L243/$K243)</f>
        <v/>
      </c>
      <c r="N243" s="27" t="str">
        <f aca="false">IF(OR($A243="",$K243=0),"",ROUND($J243*INDEX(研发人员工时分配表!$H$6:$H$245,$AA243)/$K243,2))</f>
        <v/>
      </c>
      <c r="O243" s="27" t="str">
        <f aca="false">IF(OR($A243="",$K243=0),"",ROUND($J243*INDEX(研发人员工时分配表!$I$6:$I$245,$AA243)/$K243,2))</f>
        <v/>
      </c>
      <c r="P243" s="27" t="str">
        <f aca="false">IF(OR($A243="",$K243=0),"",ROUND($J243*INDEX(研发人员工时分配表!$J$6:$J$245,$AA243)/$K243,2))</f>
        <v/>
      </c>
      <c r="Q243" s="27" t="str">
        <f aca="false">IF(OR($A243="",$K243=0),"",ROUND($J243*INDEX(研发人员工时分配表!$K$6:$K$245,$AA243)/$K243,2))</f>
        <v/>
      </c>
      <c r="R243" s="27" t="str">
        <f aca="false">IF(OR($A243="",$K243=0),"",ROUND($J243*INDEX(研发人员工时分配表!$L$6:$L$245,$AA243)/$K243,2))</f>
        <v/>
      </c>
      <c r="S243" s="27" t="str">
        <f aca="false">IF(OR($A243="",$K243=0),"",ROUND($J243*INDEX(研发人员工时分配表!$M$6:$M$245,$AA243)/$K243,2))</f>
        <v/>
      </c>
      <c r="T243" s="27" t="str">
        <f aca="false">IF(OR($A243="",$K243=0),"",ROUND($J243*INDEX(研发人员工时分配表!$N$6:$N$245,$AA243)/$K243,2))</f>
        <v/>
      </c>
      <c r="U243" s="27" t="str">
        <f aca="false">IF(OR($A243="",$K243=0),"",ROUND($J243*INDEX(研发人员工时分配表!$O$6:$O$245,$AA243)/$K243,2))</f>
        <v/>
      </c>
      <c r="V243" s="27" t="str">
        <f aca="false">IF(OR($A243="",$K243=0),"",ROUND($J243*INDEX(研发人员工时分配表!$P$6:$P$245,$AA243)/$K243,2))</f>
        <v/>
      </c>
      <c r="W243" s="27" t="str">
        <f aca="false">IF(OR($A243="",$K243=0),"",ROUND($J243*INDEX(研发人员工时分配表!$Q$6:$Q$245,$AA243)/$K243,2))</f>
        <v/>
      </c>
      <c r="X243" s="27" t="str">
        <f aca="false">IF($A243="","",ROUND(SUM(N243:W243),2))</f>
        <v/>
      </c>
      <c r="Y243" s="27" t="str">
        <f aca="false">IF($A243="","",ROUND($J243-X243,2))</f>
        <v/>
      </c>
      <c r="Z243" s="43" t="str">
        <f aca="false">IF($A243="","",IF($AA243=0,"⚠ 工时分配表无此人当月记录",IF($AB243&gt;1,"⚠ 工时分配表存在重复行","√ 正常")))</f>
        <v/>
      </c>
      <c r="AA243" s="47" t="n">
        <f aca="false">IF($A243="",0,IFERROR(MATCH($A243&amp;"|"&amp;$B243,研发人员工时分配表!$W$6:$W$245,0),0))</f>
        <v>0</v>
      </c>
      <c r="AB243" s="47" t="n">
        <f aca="false">IF($A243="",0,COUNTIFS(研发人员工时分配表!$A$6:$A$245,$A243,研发人员工时分配表!$B$6:$B$245,$B243))</f>
        <v>0</v>
      </c>
    </row>
    <row r="244" customFormat="false" ht="18" hidden="false" customHeight="true" outlineLevel="0" collapsed="false">
      <c r="A244" s="36"/>
      <c r="B244" s="36"/>
      <c r="C244" s="43" t="str">
        <f aca="false">IF($B244="","",IFERROR(VLOOKUP($B244,人员名册!$B$4:$G$53,2,0)&amp;"","名册中未登记"))</f>
        <v/>
      </c>
      <c r="D244" s="43" t="str">
        <f aca="false">IF($B244="","",IFERROR(VLOOKUP($B244,人员名册!$B$4:$G$53,5,0)&amp;"",""))</f>
        <v/>
      </c>
      <c r="E244" s="25"/>
      <c r="F244" s="25"/>
      <c r="G244" s="25"/>
      <c r="H244" s="25"/>
      <c r="I244" s="25"/>
      <c r="J244" s="27" t="str">
        <f aca="false">IF($A244="","",ROUND(SUM(E244:I244),2))</f>
        <v/>
      </c>
      <c r="K244" s="45" t="n">
        <f aca="false">IF(OR($A244="",$AA244=0),0,INDEX(研发人员工时分配表!$F$6:$F$245,$AA244))</f>
        <v>0</v>
      </c>
      <c r="L244" s="45" t="n">
        <f aca="false">IF(OR($A244="",$AA244=0),0,INDEX(研发人员工时分配表!$R$6:$R$245,$AA244))</f>
        <v>0</v>
      </c>
      <c r="M244" s="28" t="str">
        <f aca="false">IF(OR($A244="",$K244=0),"",$L244/$K244)</f>
        <v/>
      </c>
      <c r="N244" s="27" t="str">
        <f aca="false">IF(OR($A244="",$K244=0),"",ROUND($J244*INDEX(研发人员工时分配表!$H$6:$H$245,$AA244)/$K244,2))</f>
        <v/>
      </c>
      <c r="O244" s="27" t="str">
        <f aca="false">IF(OR($A244="",$K244=0),"",ROUND($J244*INDEX(研发人员工时分配表!$I$6:$I$245,$AA244)/$K244,2))</f>
        <v/>
      </c>
      <c r="P244" s="27" t="str">
        <f aca="false">IF(OR($A244="",$K244=0),"",ROUND($J244*INDEX(研发人员工时分配表!$J$6:$J$245,$AA244)/$K244,2))</f>
        <v/>
      </c>
      <c r="Q244" s="27" t="str">
        <f aca="false">IF(OR($A244="",$K244=0),"",ROUND($J244*INDEX(研发人员工时分配表!$K$6:$K$245,$AA244)/$K244,2))</f>
        <v/>
      </c>
      <c r="R244" s="27" t="str">
        <f aca="false">IF(OR($A244="",$K244=0),"",ROUND($J244*INDEX(研发人员工时分配表!$L$6:$L$245,$AA244)/$K244,2))</f>
        <v/>
      </c>
      <c r="S244" s="27" t="str">
        <f aca="false">IF(OR($A244="",$K244=0),"",ROUND($J244*INDEX(研发人员工时分配表!$M$6:$M$245,$AA244)/$K244,2))</f>
        <v/>
      </c>
      <c r="T244" s="27" t="str">
        <f aca="false">IF(OR($A244="",$K244=0),"",ROUND($J244*INDEX(研发人员工时分配表!$N$6:$N$245,$AA244)/$K244,2))</f>
        <v/>
      </c>
      <c r="U244" s="27" t="str">
        <f aca="false">IF(OR($A244="",$K244=0),"",ROUND($J244*INDEX(研发人员工时分配表!$O$6:$O$245,$AA244)/$K244,2))</f>
        <v/>
      </c>
      <c r="V244" s="27" t="str">
        <f aca="false">IF(OR($A244="",$K244=0),"",ROUND($J244*INDEX(研发人员工时分配表!$P$6:$P$245,$AA244)/$K244,2))</f>
        <v/>
      </c>
      <c r="W244" s="27" t="str">
        <f aca="false">IF(OR($A244="",$K244=0),"",ROUND($J244*INDEX(研发人员工时分配表!$Q$6:$Q$245,$AA244)/$K244,2))</f>
        <v/>
      </c>
      <c r="X244" s="27" t="str">
        <f aca="false">IF($A244="","",ROUND(SUM(N244:W244),2))</f>
        <v/>
      </c>
      <c r="Y244" s="27" t="str">
        <f aca="false">IF($A244="","",ROUND($J244-X244,2))</f>
        <v/>
      </c>
      <c r="Z244" s="43" t="str">
        <f aca="false">IF($A244="","",IF($AA244=0,"⚠ 工时分配表无此人当月记录",IF($AB244&gt;1,"⚠ 工时分配表存在重复行","√ 正常")))</f>
        <v/>
      </c>
      <c r="AA244" s="47" t="n">
        <f aca="false">IF($A244="",0,IFERROR(MATCH($A244&amp;"|"&amp;$B244,研发人员工时分配表!$W$6:$W$245,0),0))</f>
        <v>0</v>
      </c>
      <c r="AB244" s="47" t="n">
        <f aca="false">IF($A244="",0,COUNTIFS(研发人员工时分配表!$A$6:$A$245,$A244,研发人员工时分配表!$B$6:$B$245,$B244))</f>
        <v>0</v>
      </c>
    </row>
    <row r="245" customFormat="false" ht="18" hidden="false" customHeight="true" outlineLevel="0" collapsed="false">
      <c r="A245" s="36"/>
      <c r="B245" s="36"/>
      <c r="C245" s="43" t="str">
        <f aca="false">IF($B245="","",IFERROR(VLOOKUP($B245,人员名册!$B$4:$G$53,2,0)&amp;"","名册中未登记"))</f>
        <v/>
      </c>
      <c r="D245" s="43" t="str">
        <f aca="false">IF($B245="","",IFERROR(VLOOKUP($B245,人员名册!$B$4:$G$53,5,0)&amp;"",""))</f>
        <v/>
      </c>
      <c r="E245" s="25"/>
      <c r="F245" s="25"/>
      <c r="G245" s="25"/>
      <c r="H245" s="25"/>
      <c r="I245" s="25"/>
      <c r="J245" s="27" t="str">
        <f aca="false">IF($A245="","",ROUND(SUM(E245:I245),2))</f>
        <v/>
      </c>
      <c r="K245" s="45" t="n">
        <f aca="false">IF(OR($A245="",$AA245=0),0,INDEX(研发人员工时分配表!$F$6:$F$245,$AA245))</f>
        <v>0</v>
      </c>
      <c r="L245" s="45" t="n">
        <f aca="false">IF(OR($A245="",$AA245=0),0,INDEX(研发人员工时分配表!$R$6:$R$245,$AA245))</f>
        <v>0</v>
      </c>
      <c r="M245" s="28" t="str">
        <f aca="false">IF(OR($A245="",$K245=0),"",$L245/$K245)</f>
        <v/>
      </c>
      <c r="N245" s="27" t="str">
        <f aca="false">IF(OR($A245="",$K245=0),"",ROUND($J245*INDEX(研发人员工时分配表!$H$6:$H$245,$AA245)/$K245,2))</f>
        <v/>
      </c>
      <c r="O245" s="27" t="str">
        <f aca="false">IF(OR($A245="",$K245=0),"",ROUND($J245*INDEX(研发人员工时分配表!$I$6:$I$245,$AA245)/$K245,2))</f>
        <v/>
      </c>
      <c r="P245" s="27" t="str">
        <f aca="false">IF(OR($A245="",$K245=0),"",ROUND($J245*INDEX(研发人员工时分配表!$J$6:$J$245,$AA245)/$K245,2))</f>
        <v/>
      </c>
      <c r="Q245" s="27" t="str">
        <f aca="false">IF(OR($A245="",$K245=0),"",ROUND($J245*INDEX(研发人员工时分配表!$K$6:$K$245,$AA245)/$K245,2))</f>
        <v/>
      </c>
      <c r="R245" s="27" t="str">
        <f aca="false">IF(OR($A245="",$K245=0),"",ROUND($J245*INDEX(研发人员工时分配表!$L$6:$L$245,$AA245)/$K245,2))</f>
        <v/>
      </c>
      <c r="S245" s="27" t="str">
        <f aca="false">IF(OR($A245="",$K245=0),"",ROUND($J245*INDEX(研发人员工时分配表!$M$6:$M$245,$AA245)/$K245,2))</f>
        <v/>
      </c>
      <c r="T245" s="27" t="str">
        <f aca="false">IF(OR($A245="",$K245=0),"",ROUND($J245*INDEX(研发人员工时分配表!$N$6:$N$245,$AA245)/$K245,2))</f>
        <v/>
      </c>
      <c r="U245" s="27" t="str">
        <f aca="false">IF(OR($A245="",$K245=0),"",ROUND($J245*INDEX(研发人员工时分配表!$O$6:$O$245,$AA245)/$K245,2))</f>
        <v/>
      </c>
      <c r="V245" s="27" t="str">
        <f aca="false">IF(OR($A245="",$K245=0),"",ROUND($J245*INDEX(研发人员工时分配表!$P$6:$P$245,$AA245)/$K245,2))</f>
        <v/>
      </c>
      <c r="W245" s="27" t="str">
        <f aca="false">IF(OR($A245="",$K245=0),"",ROUND($J245*INDEX(研发人员工时分配表!$Q$6:$Q$245,$AA245)/$K245,2))</f>
        <v/>
      </c>
      <c r="X245" s="27" t="str">
        <f aca="false">IF($A245="","",ROUND(SUM(N245:W245),2))</f>
        <v/>
      </c>
      <c r="Y245" s="27" t="str">
        <f aca="false">IF($A245="","",ROUND($J245-X245,2))</f>
        <v/>
      </c>
      <c r="Z245" s="43" t="str">
        <f aca="false">IF($A245="","",IF($AA245=0,"⚠ 工时分配表无此人当月记录",IF($AB245&gt;1,"⚠ 工时分配表存在重复行","√ 正常")))</f>
        <v/>
      </c>
      <c r="AA245" s="47" t="n">
        <f aca="false">IF($A245="",0,IFERROR(MATCH($A245&amp;"|"&amp;$B245,研发人员工时分配表!$W$6:$W$245,0),0))</f>
        <v>0</v>
      </c>
      <c r="AB245" s="47" t="n">
        <f aca="false">IF($A245="",0,COUNTIFS(研发人员工时分配表!$A$6:$A$245,$A245,研发人员工时分配表!$B$6:$B$245,$B245))</f>
        <v>0</v>
      </c>
    </row>
  </sheetData>
  <autoFilter ref="A5:Z245"/>
  <mergeCells count="20">
    <mergeCell ref="A1:B1"/>
    <mergeCell ref="C1:Z1"/>
    <mergeCell ref="A2:Z2"/>
    <mergeCell ref="A3:A5"/>
    <mergeCell ref="B3:B5"/>
    <mergeCell ref="C3:C5"/>
    <mergeCell ref="D3:D5"/>
    <mergeCell ref="E3:E5"/>
    <mergeCell ref="F3:F5"/>
    <mergeCell ref="G3:G5"/>
    <mergeCell ref="H3:H5"/>
    <mergeCell ref="I3:I5"/>
    <mergeCell ref="J3:J5"/>
    <mergeCell ref="K3:K5"/>
    <mergeCell ref="L3:L5"/>
    <mergeCell ref="M3:M5"/>
    <mergeCell ref="N3:W3"/>
    <mergeCell ref="X3:X5"/>
    <mergeCell ref="Y3:Y5"/>
    <mergeCell ref="Z3:Z5"/>
  </mergeCells>
  <conditionalFormatting sqref="Z6:Z245">
    <cfRule type="expression" priority="2" aboveAverage="0" equalAverage="0" bottom="0" percent="0" rank="0" text="" dxfId="0">
      <formula>LEFT($Z6,1)="⚠"</formula>
    </cfRule>
  </conditionalFormatting>
  <dataValidations count="2">
    <dataValidation allowBlank="true" errorStyle="stop" operator="between" showDropDown="false" showErrorMessage="false" showInputMessage="false" sqref="A6:A245" type="list">
      <formula1>"2026-01,2026-02,2026-03,2026-04,2026-05,2026-06,2026-07,2026-08,2026-09,2026-10,2026-11,2026-12"</formula1>
      <formula2>0</formula2>
    </dataValidation>
    <dataValidation allowBlank="true" errorStyle="stop" operator="between" showDropDown="false" showErrorMessage="false" showInputMessage="false" sqref="B6:B245" type="list">
      <formula1>人员工号列表</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V2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2" min="1" style="0" width="11"/>
    <col collapsed="false" customWidth="true" hidden="false" outlineLevel="0" max="3" min="3" style="0" width="24"/>
    <col collapsed="false" customWidth="true" hidden="false" outlineLevel="0" max="4" min="4" style="0" width="11"/>
    <col collapsed="false" customWidth="true" hidden="false" outlineLevel="0" max="5" min="5" style="0" width="12"/>
    <col collapsed="false" customWidth="true" hidden="false" outlineLevel="0" max="6" min="6" style="0" width="13"/>
    <col collapsed="false" customWidth="true" hidden="false" outlineLevel="0" max="7" min="7" style="0" width="14"/>
    <col collapsed="false" customWidth="true" hidden="false" outlineLevel="0" max="17" min="8" style="0" width="9"/>
    <col collapsed="false" customWidth="true" hidden="false" outlineLevel="0" max="18" min="18" style="0" width="11"/>
    <col collapsed="false" customWidth="true" hidden="false" outlineLevel="0" max="20" min="19" style="0" width="10"/>
    <col collapsed="false" customWidth="true" hidden="false" outlineLevel="0" max="21" min="21" style="0" width="22"/>
    <col collapsed="false" customWidth="true" hidden="true" outlineLevel="0" max="22" min="22" style="0" width="13"/>
  </cols>
  <sheetData>
    <row r="1" customFormat="false" ht="43.5" hidden="false" customHeight="true" outlineLevel="0" collapsed="false">
      <c r="A1" s="1" t="s">
        <v>0</v>
      </c>
      <c r="B1" s="1"/>
      <c r="C1" s="2" t="str">
        <f aca="false">IF(使用说明!$B$2="","",使用说明!$B$2&amp;"    ")&amp;"七、《仪器、设备工时分配表》（研发部门按月填报，2026年度）"</f>
        <v>七、《仪器、设备工时分配表》（研发部门按月填报，2026年度）</v>
      </c>
      <c r="D1" s="2"/>
      <c r="E1" s="2"/>
      <c r="F1" s="2"/>
      <c r="G1" s="2"/>
      <c r="H1" s="2"/>
      <c r="I1" s="2"/>
      <c r="J1" s="2"/>
      <c r="K1" s="2"/>
      <c r="L1" s="2"/>
      <c r="M1" s="2"/>
      <c r="N1" s="2"/>
      <c r="O1" s="2"/>
      <c r="P1" s="2"/>
      <c r="Q1" s="2"/>
      <c r="R1" s="2"/>
      <c r="S1" s="2"/>
      <c r="T1" s="2"/>
      <c r="U1" s="2"/>
    </row>
    <row r="2" customFormat="false" ht="30" hidden="false" customHeight="true" outlineLevel="0" collapsed="false">
      <c r="A2" s="17" t="s">
        <v>252</v>
      </c>
      <c r="B2" s="17"/>
      <c r="C2" s="17"/>
      <c r="D2" s="17"/>
      <c r="E2" s="17"/>
      <c r="F2" s="17"/>
      <c r="G2" s="17"/>
      <c r="H2" s="17"/>
      <c r="I2" s="17"/>
      <c r="J2" s="17"/>
      <c r="K2" s="17"/>
      <c r="L2" s="17"/>
      <c r="M2" s="17"/>
      <c r="N2" s="17"/>
      <c r="O2" s="17"/>
      <c r="P2" s="17"/>
      <c r="Q2" s="17"/>
      <c r="R2" s="17"/>
      <c r="S2" s="17"/>
      <c r="T2" s="17"/>
      <c r="U2" s="17"/>
    </row>
    <row r="3" customFormat="false" ht="25.5" hidden="false" customHeight="true" outlineLevel="0" collapsed="false">
      <c r="A3" s="18" t="s">
        <v>224</v>
      </c>
      <c r="B3" s="18" t="s">
        <v>181</v>
      </c>
      <c r="C3" s="18" t="s">
        <v>182</v>
      </c>
      <c r="D3" s="18" t="s">
        <v>183</v>
      </c>
      <c r="E3" s="18" t="s">
        <v>185</v>
      </c>
      <c r="F3" s="18" t="s">
        <v>253</v>
      </c>
      <c r="G3" s="18" t="s">
        <v>254</v>
      </c>
      <c r="H3" s="18" t="s">
        <v>255</v>
      </c>
      <c r="I3" s="18"/>
      <c r="J3" s="18"/>
      <c r="K3" s="18"/>
      <c r="L3" s="18"/>
      <c r="M3" s="18"/>
      <c r="N3" s="18"/>
      <c r="O3" s="18"/>
      <c r="P3" s="18"/>
      <c r="Q3" s="18"/>
      <c r="R3" s="18" t="s">
        <v>256</v>
      </c>
      <c r="S3" s="18" t="s">
        <v>229</v>
      </c>
      <c r="T3" s="18" t="s">
        <v>257</v>
      </c>
      <c r="U3" s="18" t="s">
        <v>116</v>
      </c>
    </row>
    <row r="4" customFormat="false" ht="18" hidden="false" customHeight="true" outlineLevel="0" collapsed="false">
      <c r="A4" s="18"/>
      <c r="B4" s="18"/>
      <c r="C4" s="18"/>
      <c r="D4" s="18"/>
      <c r="E4" s="18"/>
      <c r="F4" s="18"/>
      <c r="G4" s="18"/>
      <c r="H4" s="40" t="str">
        <f aca="false">项目清单!$B$4</f>
        <v>RD01</v>
      </c>
      <c r="I4" s="40" t="str">
        <f aca="false">项目清单!$B$5</f>
        <v>RD02</v>
      </c>
      <c r="J4" s="40" t="str">
        <f aca="false">项目清单!$B$6</f>
        <v>RD03</v>
      </c>
      <c r="K4" s="40" t="str">
        <f aca="false">项目清单!$B$7</f>
        <v>RD04</v>
      </c>
      <c r="L4" s="40" t="str">
        <f aca="false">项目清单!$B$8</f>
        <v>RD05</v>
      </c>
      <c r="M4" s="40" t="str">
        <f aca="false">项目清单!$B$9</f>
        <v>RD06</v>
      </c>
      <c r="N4" s="40" t="str">
        <f aca="false">项目清单!$B$10</f>
        <v>RD07</v>
      </c>
      <c r="O4" s="40" t="str">
        <f aca="false">项目清单!$B$11</f>
        <v>RD08</v>
      </c>
      <c r="P4" s="40" t="str">
        <f aca="false">项目清单!$B$12</f>
        <v>RD09</v>
      </c>
      <c r="Q4" s="40" t="str">
        <f aca="false">项目清单!$B$13</f>
        <v>RD10</v>
      </c>
      <c r="R4" s="18"/>
      <c r="S4" s="18"/>
      <c r="T4" s="18"/>
      <c r="U4" s="18"/>
    </row>
    <row r="5" customFormat="false" ht="33.75" hidden="false" customHeight="true" outlineLevel="0" collapsed="false">
      <c r="A5" s="18"/>
      <c r="B5" s="18"/>
      <c r="C5" s="18"/>
      <c r="D5" s="18"/>
      <c r="E5" s="18"/>
      <c r="F5" s="18"/>
      <c r="G5" s="18"/>
      <c r="H5" s="41" t="str">
        <f aca="false">IF(H4="","",IFERROR(VLOOKUP(H4,项目清单!$B$4:$C$13,2,0)&amp;"",""))</f>
        <v>高回弹低压缩永久变形3C用聚氨酯泡棉开发</v>
      </c>
      <c r="I5" s="41" t="str">
        <f aca="false">IF(I4="","",IFERROR(VLOOKUP(I4,项目清单!$B$4:$C$13,2,0)&amp;"",""))</f>
        <v>动力电池模组用高阻燃缓冲泡棉研发</v>
      </c>
      <c r="J5" s="41" t="str">
        <f aca="false">IF(J4="","",IFERROR(VLOOKUP(J4,项目清单!$B$4:$C$13,2,0)&amp;"",""))</f>
        <v>泡棉与PET基材无溶剂贴合工艺开发</v>
      </c>
      <c r="K5" s="41" t="str">
        <f aca="false">IF(K4="","",IFERROR(VLOOKUP(K4,项目清单!$B$4:$C$13,2,0)&amp;"",""))</f>
        <v>超薄泡棉高精度分切及毛边控制技术研究</v>
      </c>
      <c r="L5" s="41" t="str">
        <f aca="false">IF(L4="","",IFERROR(VLOOKUP(L4,项目清单!$B$4:$C$13,2,0)&amp;"",""))</f>
        <v>新能源汽车电池包用导热缓冲复合材料开发</v>
      </c>
      <c r="M5" s="41" t="str">
        <f aca="false">IF(M4="","",IFERROR(VLOOKUP(M4,项目清单!$B$4:$C$13,2,0)&amp;"",""))</f>
        <v>3C电子用超薄黑色遮光泡棉制备技术</v>
      </c>
      <c r="N5" s="41" t="str">
        <f aca="false">IF(N4="","",IFERROR(VLOOKUP(N4,项目清单!$B$4:$C$13,2,0)&amp;"",""))</f>
        <v>环保型水性胶泡棉贴合技术开发</v>
      </c>
      <c r="O5" s="41" t="str">
        <f aca="false">IF(O4="","",IFERROR(VLOOKUP(O4,项目清单!$B$4:$C$13,2,0)&amp;"",""))</f>
        <v>泡棉模切自动化在线检测技术研究</v>
      </c>
      <c r="P5" s="41" t="str">
        <f aca="false">IF(P4="","",IFERROR(VLOOKUP(P4,项目清单!$B$4:$C$13,2,0)&amp;"",""))</f>
        <v/>
      </c>
      <c r="Q5" s="41" t="str">
        <f aca="false">IF(Q4="","",IFERROR(VLOOKUP(Q4,项目清单!$B$4:$C$13,2,0)&amp;"",""))</f>
        <v/>
      </c>
      <c r="R5" s="18"/>
      <c r="S5" s="18"/>
      <c r="T5" s="18"/>
      <c r="U5" s="18"/>
      <c r="V5" s="42" t="s">
        <v>232</v>
      </c>
    </row>
    <row r="6" customFormat="false" ht="18" hidden="false" customHeight="true" outlineLevel="0" collapsed="false">
      <c r="A6" s="36" t="s">
        <v>100</v>
      </c>
      <c r="B6" s="36" t="s">
        <v>193</v>
      </c>
      <c r="C6" s="48" t="str">
        <f aca="false">IF($B6="","",IFERROR(VLOOKUP($B6,资产台账!$B$4:$N$53,2,0)&amp;"","台账中未登记"))</f>
        <v>（示例）连续发泡生产线</v>
      </c>
      <c r="D6" s="43" t="str">
        <f aca="false">IF($B6="","",IFERROR(VLOOKUP($B6,资产台账!$B$4:$N$53,3,0)&amp;"",""))</f>
        <v>设备</v>
      </c>
      <c r="E6" s="43" t="str">
        <f aca="false">IF($B6="","",IFERROR(VLOOKUP($B6,资产台账!$B$4:$N$53,5,0)&amp;"",""))</f>
        <v>发泡成型</v>
      </c>
      <c r="F6" s="44" t="n">
        <v>320</v>
      </c>
      <c r="G6" s="44" t="n">
        <v>260</v>
      </c>
      <c r="H6" s="44" t="n">
        <v>40</v>
      </c>
      <c r="I6" s="44" t="n">
        <v>20</v>
      </c>
      <c r="J6" s="44"/>
      <c r="K6" s="44"/>
      <c r="L6" s="44"/>
      <c r="M6" s="44"/>
      <c r="N6" s="44"/>
      <c r="O6" s="44"/>
      <c r="P6" s="44"/>
      <c r="Q6" s="44"/>
      <c r="R6" s="45" t="n">
        <f aca="false">IF($A6="","",SUM(H6:Q6))</f>
        <v>60</v>
      </c>
      <c r="S6" s="45" t="n">
        <f aca="false">IF($A6="","",ROUND($F6-$G6-$R6,2))</f>
        <v>0</v>
      </c>
      <c r="T6" s="28" t="n">
        <f aca="false">IF(OR($A6="",$F6=0),"",$R6/$F6)</f>
        <v>0.1875</v>
      </c>
      <c r="U6" s="39" t="s">
        <v>166</v>
      </c>
      <c r="V6" s="0" t="str">
        <f aca="false">IF($A6="","",$A6&amp;"|"&amp;$B6)</f>
        <v>2026-09|SB001</v>
      </c>
    </row>
    <row r="7" customFormat="false" ht="18" hidden="false" customHeight="true" outlineLevel="0" collapsed="false">
      <c r="A7" s="36" t="s">
        <v>100</v>
      </c>
      <c r="B7" s="36" t="s">
        <v>199</v>
      </c>
      <c r="C7" s="48" t="str">
        <f aca="false">IF($B7="","",IFERROR(VLOOKUP($B7,资产台账!$B$4:$N$53,2,0)&amp;"","台账中未登记"))</f>
        <v>（示例）自动贴合复合机</v>
      </c>
      <c r="D7" s="43" t="str">
        <f aca="false">IF($B7="","",IFERROR(VLOOKUP($B7,资产台账!$B$4:$N$53,3,0)&amp;"",""))</f>
        <v>设备</v>
      </c>
      <c r="E7" s="43" t="str">
        <f aca="false">IF($B7="","",IFERROR(VLOOKUP($B7,资产台账!$B$4:$N$53,5,0)&amp;"",""))</f>
        <v>PET贴合</v>
      </c>
      <c r="F7" s="44" t="n">
        <v>300</v>
      </c>
      <c r="G7" s="44" t="n">
        <v>240</v>
      </c>
      <c r="H7" s="44"/>
      <c r="I7" s="44"/>
      <c r="J7" s="44" t="n">
        <v>40</v>
      </c>
      <c r="K7" s="44"/>
      <c r="L7" s="44" t="n">
        <v>20</v>
      </c>
      <c r="M7" s="44"/>
      <c r="N7" s="44"/>
      <c r="O7" s="44"/>
      <c r="P7" s="44"/>
      <c r="Q7" s="44"/>
      <c r="R7" s="45" t="n">
        <f aca="false">IF($A7="","",SUM(H7:Q7))</f>
        <v>60</v>
      </c>
      <c r="S7" s="45" t="n">
        <f aca="false">IF($A7="","",ROUND($F7-$G7-$R7,2))</f>
        <v>0</v>
      </c>
      <c r="T7" s="28" t="n">
        <f aca="false">IF(OR($A7="",$F7=0),"",$R7/$F7)</f>
        <v>0.2</v>
      </c>
      <c r="U7" s="39" t="s">
        <v>166</v>
      </c>
      <c r="V7" s="0" t="str">
        <f aca="false">IF($A7="","",$A7&amp;"|"&amp;$B7)</f>
        <v>2026-09|SB002</v>
      </c>
    </row>
    <row r="8" customFormat="false" ht="18" hidden="false" customHeight="true" outlineLevel="0" collapsed="false">
      <c r="A8" s="36" t="s">
        <v>100</v>
      </c>
      <c r="B8" s="36" t="s">
        <v>203</v>
      </c>
      <c r="C8" s="48" t="str">
        <f aca="false">IF($B8="","",IFERROR(VLOOKUP($B8,资产台账!$B$4:$N$53,2,0)&amp;"","台账中未登记"))</f>
        <v>（示例）高精度分切机</v>
      </c>
      <c r="D8" s="43" t="str">
        <f aca="false">IF($B8="","",IFERROR(VLOOKUP($B8,资产台账!$B$4:$N$53,3,0)&amp;"",""))</f>
        <v>设备</v>
      </c>
      <c r="E8" s="43" t="str">
        <f aca="false">IF($B8="","",IFERROR(VLOOKUP($B8,资产台账!$B$4:$N$53,5,0)&amp;"",""))</f>
        <v>分切</v>
      </c>
      <c r="F8" s="44" t="n">
        <v>280</v>
      </c>
      <c r="G8" s="44" t="n">
        <v>250</v>
      </c>
      <c r="H8" s="44"/>
      <c r="I8" s="44"/>
      <c r="J8" s="44"/>
      <c r="K8" s="44" t="n">
        <v>30</v>
      </c>
      <c r="L8" s="44"/>
      <c r="M8" s="44"/>
      <c r="N8" s="44"/>
      <c r="O8" s="44"/>
      <c r="P8" s="44"/>
      <c r="Q8" s="44"/>
      <c r="R8" s="45" t="n">
        <f aca="false">IF($A8="","",SUM(H8:Q8))</f>
        <v>30</v>
      </c>
      <c r="S8" s="45" t="n">
        <f aca="false">IF($A8="","",ROUND($F8-$G8-$R8,2))</f>
        <v>0</v>
      </c>
      <c r="T8" s="28" t="n">
        <f aca="false">IF(OR($A8="",$F8=0),"",$R8/$F8)</f>
        <v>0.107142857142857</v>
      </c>
      <c r="U8" s="39" t="s">
        <v>166</v>
      </c>
      <c r="V8" s="0" t="str">
        <f aca="false">IF($A8="","",$A8&amp;"|"&amp;$B8)</f>
        <v>2026-09|SB003</v>
      </c>
    </row>
    <row r="9" customFormat="false" ht="18" hidden="false" customHeight="true" outlineLevel="0" collapsed="false">
      <c r="A9" s="36" t="s">
        <v>100</v>
      </c>
      <c r="B9" s="36" t="s">
        <v>212</v>
      </c>
      <c r="C9" s="48" t="str">
        <f aca="false">IF($B9="","",IFERROR(VLOOKUP($B9,资产台账!$B$4:$N$53,2,0)&amp;"","台账中未登记"))</f>
        <v>（示例）租入激光模切设备</v>
      </c>
      <c r="D9" s="43" t="str">
        <f aca="false">IF($B9="","",IFERROR(VLOOKUP($B9,资产台账!$B$4:$N$53,3,0)&amp;"",""))</f>
        <v>设备</v>
      </c>
      <c r="E9" s="43" t="str">
        <f aca="false">IF($B9="","",IFERROR(VLOOKUP($B9,资产台账!$B$4:$N$53,5,0)&amp;"",""))</f>
        <v>模切</v>
      </c>
      <c r="F9" s="44" t="n">
        <v>120</v>
      </c>
      <c r="G9" s="44" t="n">
        <v>0</v>
      </c>
      <c r="H9" s="44"/>
      <c r="I9" s="44" t="n">
        <v>70</v>
      </c>
      <c r="J9" s="44"/>
      <c r="K9" s="44"/>
      <c r="L9" s="44" t="n">
        <v>50</v>
      </c>
      <c r="M9" s="44"/>
      <c r="N9" s="44"/>
      <c r="O9" s="44"/>
      <c r="P9" s="44"/>
      <c r="Q9" s="44"/>
      <c r="R9" s="45" t="n">
        <f aca="false">IF($A9="","",SUM(H9:Q9))</f>
        <v>120</v>
      </c>
      <c r="S9" s="45" t="n">
        <f aca="false">IF($A9="","",ROUND($F9-$G9-$R9,2))</f>
        <v>0</v>
      </c>
      <c r="T9" s="28" t="n">
        <f aca="false">IF(OR($A9="",$F9=0),"",$R9/$F9)</f>
        <v>1</v>
      </c>
      <c r="U9" s="39" t="s">
        <v>166</v>
      </c>
      <c r="V9" s="0" t="str">
        <f aca="false">IF($A9="","",$A9&amp;"|"&amp;$B9)</f>
        <v>2026-09|SB005</v>
      </c>
    </row>
    <row r="10" customFormat="false" ht="18" hidden="false" customHeight="true" outlineLevel="0" collapsed="false">
      <c r="A10" s="36"/>
      <c r="B10" s="36"/>
      <c r="C10" s="48" t="str">
        <f aca="false">IF($B10="","",IFERROR(VLOOKUP($B10,资产台账!$B$4:$N$53,2,0)&amp;"","台账中未登记"))</f>
        <v/>
      </c>
      <c r="D10" s="43" t="str">
        <f aca="false">IF($B10="","",IFERROR(VLOOKUP($B10,资产台账!$B$4:$N$53,3,0)&amp;"",""))</f>
        <v/>
      </c>
      <c r="E10" s="43" t="str">
        <f aca="false">IF($B10="","",IFERROR(VLOOKUP($B10,资产台账!$B$4:$N$53,5,0)&amp;"",""))</f>
        <v/>
      </c>
      <c r="F10" s="44"/>
      <c r="G10" s="44"/>
      <c r="H10" s="44"/>
      <c r="I10" s="44"/>
      <c r="J10" s="44"/>
      <c r="K10" s="44"/>
      <c r="L10" s="44"/>
      <c r="M10" s="44"/>
      <c r="N10" s="44"/>
      <c r="O10" s="44"/>
      <c r="P10" s="44"/>
      <c r="Q10" s="44"/>
      <c r="R10" s="45" t="str">
        <f aca="false">IF($A10="","",SUM(H10:Q10))</f>
        <v/>
      </c>
      <c r="S10" s="45" t="str">
        <f aca="false">IF($A10="","",ROUND($F10-$G10-$R10,2))</f>
        <v/>
      </c>
      <c r="T10" s="28" t="str">
        <f aca="false">IF(OR($A10="",$F10=0),"",$R10/$F10)</f>
        <v/>
      </c>
      <c r="U10" s="35"/>
      <c r="V10" s="0" t="str">
        <f aca="false">IF($A10="","",$A10&amp;"|"&amp;$B10)</f>
        <v/>
      </c>
    </row>
    <row r="11" customFormat="false" ht="18" hidden="false" customHeight="true" outlineLevel="0" collapsed="false">
      <c r="A11" s="36"/>
      <c r="B11" s="36"/>
      <c r="C11" s="48" t="str">
        <f aca="false">IF($B11="","",IFERROR(VLOOKUP($B11,资产台账!$B$4:$N$53,2,0)&amp;"","台账中未登记"))</f>
        <v/>
      </c>
      <c r="D11" s="43" t="str">
        <f aca="false">IF($B11="","",IFERROR(VLOOKUP($B11,资产台账!$B$4:$N$53,3,0)&amp;"",""))</f>
        <v/>
      </c>
      <c r="E11" s="43" t="str">
        <f aca="false">IF($B11="","",IFERROR(VLOOKUP($B11,资产台账!$B$4:$N$53,5,0)&amp;"",""))</f>
        <v/>
      </c>
      <c r="F11" s="44"/>
      <c r="G11" s="44"/>
      <c r="H11" s="44"/>
      <c r="I11" s="44"/>
      <c r="J11" s="44"/>
      <c r="K11" s="44"/>
      <c r="L11" s="44"/>
      <c r="M11" s="44"/>
      <c r="N11" s="44"/>
      <c r="O11" s="44"/>
      <c r="P11" s="44"/>
      <c r="Q11" s="44"/>
      <c r="R11" s="45" t="str">
        <f aca="false">IF($A11="","",SUM(H11:Q11))</f>
        <v/>
      </c>
      <c r="S11" s="45" t="str">
        <f aca="false">IF($A11="","",ROUND($F11-$G11-$R11,2))</f>
        <v/>
      </c>
      <c r="T11" s="28" t="str">
        <f aca="false">IF(OR($A11="",$F11=0),"",$R11/$F11)</f>
        <v/>
      </c>
      <c r="U11" s="35"/>
      <c r="V11" s="0" t="str">
        <f aca="false">IF($A11="","",$A11&amp;"|"&amp;$B11)</f>
        <v/>
      </c>
    </row>
    <row r="12" customFormat="false" ht="18" hidden="false" customHeight="true" outlineLevel="0" collapsed="false">
      <c r="A12" s="36"/>
      <c r="B12" s="36"/>
      <c r="C12" s="48" t="str">
        <f aca="false">IF($B12="","",IFERROR(VLOOKUP($B12,资产台账!$B$4:$N$53,2,0)&amp;"","台账中未登记"))</f>
        <v/>
      </c>
      <c r="D12" s="43" t="str">
        <f aca="false">IF($B12="","",IFERROR(VLOOKUP($B12,资产台账!$B$4:$N$53,3,0)&amp;"",""))</f>
        <v/>
      </c>
      <c r="E12" s="43" t="str">
        <f aca="false">IF($B12="","",IFERROR(VLOOKUP($B12,资产台账!$B$4:$N$53,5,0)&amp;"",""))</f>
        <v/>
      </c>
      <c r="F12" s="44"/>
      <c r="G12" s="44"/>
      <c r="H12" s="44"/>
      <c r="I12" s="44"/>
      <c r="J12" s="44"/>
      <c r="K12" s="44"/>
      <c r="L12" s="44"/>
      <c r="M12" s="44"/>
      <c r="N12" s="44"/>
      <c r="O12" s="44"/>
      <c r="P12" s="44"/>
      <c r="Q12" s="44"/>
      <c r="R12" s="45" t="str">
        <f aca="false">IF($A12="","",SUM(H12:Q12))</f>
        <v/>
      </c>
      <c r="S12" s="45" t="str">
        <f aca="false">IF($A12="","",ROUND($F12-$G12-$R12,2))</f>
        <v/>
      </c>
      <c r="T12" s="28" t="str">
        <f aca="false">IF(OR($A12="",$F12=0),"",$R12/$F12)</f>
        <v/>
      </c>
      <c r="U12" s="35"/>
      <c r="V12" s="0" t="str">
        <f aca="false">IF($A12="","",$A12&amp;"|"&amp;$B12)</f>
        <v/>
      </c>
    </row>
    <row r="13" customFormat="false" ht="18" hidden="false" customHeight="true" outlineLevel="0" collapsed="false">
      <c r="A13" s="36"/>
      <c r="B13" s="36"/>
      <c r="C13" s="48" t="str">
        <f aca="false">IF($B13="","",IFERROR(VLOOKUP($B13,资产台账!$B$4:$N$53,2,0)&amp;"","台账中未登记"))</f>
        <v/>
      </c>
      <c r="D13" s="43" t="str">
        <f aca="false">IF($B13="","",IFERROR(VLOOKUP($B13,资产台账!$B$4:$N$53,3,0)&amp;"",""))</f>
        <v/>
      </c>
      <c r="E13" s="43" t="str">
        <f aca="false">IF($B13="","",IFERROR(VLOOKUP($B13,资产台账!$B$4:$N$53,5,0)&amp;"",""))</f>
        <v/>
      </c>
      <c r="F13" s="44"/>
      <c r="G13" s="44"/>
      <c r="H13" s="44"/>
      <c r="I13" s="44"/>
      <c r="J13" s="44"/>
      <c r="K13" s="44"/>
      <c r="L13" s="44"/>
      <c r="M13" s="44"/>
      <c r="N13" s="44"/>
      <c r="O13" s="44"/>
      <c r="P13" s="44"/>
      <c r="Q13" s="44"/>
      <c r="R13" s="45" t="str">
        <f aca="false">IF($A13="","",SUM(H13:Q13))</f>
        <v/>
      </c>
      <c r="S13" s="45" t="str">
        <f aca="false">IF($A13="","",ROUND($F13-$G13-$R13,2))</f>
        <v/>
      </c>
      <c r="T13" s="28" t="str">
        <f aca="false">IF(OR($A13="",$F13=0),"",$R13/$F13)</f>
        <v/>
      </c>
      <c r="U13" s="35"/>
      <c r="V13" s="0" t="str">
        <f aca="false">IF($A13="","",$A13&amp;"|"&amp;$B13)</f>
        <v/>
      </c>
    </row>
    <row r="14" customFormat="false" ht="18" hidden="false" customHeight="true" outlineLevel="0" collapsed="false">
      <c r="A14" s="36"/>
      <c r="B14" s="36"/>
      <c r="C14" s="48" t="str">
        <f aca="false">IF($B14="","",IFERROR(VLOOKUP($B14,资产台账!$B$4:$N$53,2,0)&amp;"","台账中未登记"))</f>
        <v/>
      </c>
      <c r="D14" s="43" t="str">
        <f aca="false">IF($B14="","",IFERROR(VLOOKUP($B14,资产台账!$B$4:$N$53,3,0)&amp;"",""))</f>
        <v/>
      </c>
      <c r="E14" s="43" t="str">
        <f aca="false">IF($B14="","",IFERROR(VLOOKUP($B14,资产台账!$B$4:$N$53,5,0)&amp;"",""))</f>
        <v/>
      </c>
      <c r="F14" s="44"/>
      <c r="G14" s="44"/>
      <c r="H14" s="44"/>
      <c r="I14" s="44"/>
      <c r="J14" s="44"/>
      <c r="K14" s="44"/>
      <c r="L14" s="44"/>
      <c r="M14" s="44"/>
      <c r="N14" s="44"/>
      <c r="O14" s="44"/>
      <c r="P14" s="44"/>
      <c r="Q14" s="44"/>
      <c r="R14" s="45" t="str">
        <f aca="false">IF($A14="","",SUM(H14:Q14))</f>
        <v/>
      </c>
      <c r="S14" s="45" t="str">
        <f aca="false">IF($A14="","",ROUND($F14-$G14-$R14,2))</f>
        <v/>
      </c>
      <c r="T14" s="28" t="str">
        <f aca="false">IF(OR($A14="",$F14=0),"",$R14/$F14)</f>
        <v/>
      </c>
      <c r="U14" s="35"/>
      <c r="V14" s="0" t="str">
        <f aca="false">IF($A14="","",$A14&amp;"|"&amp;$B14)</f>
        <v/>
      </c>
    </row>
    <row r="15" customFormat="false" ht="18" hidden="false" customHeight="true" outlineLevel="0" collapsed="false">
      <c r="A15" s="36"/>
      <c r="B15" s="36"/>
      <c r="C15" s="48" t="str">
        <f aca="false">IF($B15="","",IFERROR(VLOOKUP($B15,资产台账!$B$4:$N$53,2,0)&amp;"","台账中未登记"))</f>
        <v/>
      </c>
      <c r="D15" s="43" t="str">
        <f aca="false">IF($B15="","",IFERROR(VLOOKUP($B15,资产台账!$B$4:$N$53,3,0)&amp;"",""))</f>
        <v/>
      </c>
      <c r="E15" s="43" t="str">
        <f aca="false">IF($B15="","",IFERROR(VLOOKUP($B15,资产台账!$B$4:$N$53,5,0)&amp;"",""))</f>
        <v/>
      </c>
      <c r="F15" s="44"/>
      <c r="G15" s="44"/>
      <c r="H15" s="44"/>
      <c r="I15" s="44"/>
      <c r="J15" s="44"/>
      <c r="K15" s="44"/>
      <c r="L15" s="44"/>
      <c r="M15" s="44"/>
      <c r="N15" s="44"/>
      <c r="O15" s="44"/>
      <c r="P15" s="44"/>
      <c r="Q15" s="44"/>
      <c r="R15" s="45" t="str">
        <f aca="false">IF($A15="","",SUM(H15:Q15))</f>
        <v/>
      </c>
      <c r="S15" s="45" t="str">
        <f aca="false">IF($A15="","",ROUND($F15-$G15-$R15,2))</f>
        <v/>
      </c>
      <c r="T15" s="28" t="str">
        <f aca="false">IF(OR($A15="",$F15=0),"",$R15/$F15)</f>
        <v/>
      </c>
      <c r="U15" s="35"/>
      <c r="V15" s="0" t="str">
        <f aca="false">IF($A15="","",$A15&amp;"|"&amp;$B15)</f>
        <v/>
      </c>
    </row>
    <row r="16" customFormat="false" ht="18" hidden="false" customHeight="true" outlineLevel="0" collapsed="false">
      <c r="A16" s="36"/>
      <c r="B16" s="36"/>
      <c r="C16" s="48" t="str">
        <f aca="false">IF($B16="","",IFERROR(VLOOKUP($B16,资产台账!$B$4:$N$53,2,0)&amp;"","台账中未登记"))</f>
        <v/>
      </c>
      <c r="D16" s="43" t="str">
        <f aca="false">IF($B16="","",IFERROR(VLOOKUP($B16,资产台账!$B$4:$N$53,3,0)&amp;"",""))</f>
        <v/>
      </c>
      <c r="E16" s="43" t="str">
        <f aca="false">IF($B16="","",IFERROR(VLOOKUP($B16,资产台账!$B$4:$N$53,5,0)&amp;"",""))</f>
        <v/>
      </c>
      <c r="F16" s="44"/>
      <c r="G16" s="44"/>
      <c r="H16" s="44"/>
      <c r="I16" s="44"/>
      <c r="J16" s="44"/>
      <c r="K16" s="44"/>
      <c r="L16" s="44"/>
      <c r="M16" s="44"/>
      <c r="N16" s="44"/>
      <c r="O16" s="44"/>
      <c r="P16" s="44"/>
      <c r="Q16" s="44"/>
      <c r="R16" s="45" t="str">
        <f aca="false">IF($A16="","",SUM(H16:Q16))</f>
        <v/>
      </c>
      <c r="S16" s="45" t="str">
        <f aca="false">IF($A16="","",ROUND($F16-$G16-$R16,2))</f>
        <v/>
      </c>
      <c r="T16" s="28" t="str">
        <f aca="false">IF(OR($A16="",$F16=0),"",$R16/$F16)</f>
        <v/>
      </c>
      <c r="U16" s="35"/>
      <c r="V16" s="0" t="str">
        <f aca="false">IF($A16="","",$A16&amp;"|"&amp;$B16)</f>
        <v/>
      </c>
    </row>
    <row r="17" customFormat="false" ht="18" hidden="false" customHeight="true" outlineLevel="0" collapsed="false">
      <c r="A17" s="36"/>
      <c r="B17" s="36"/>
      <c r="C17" s="48" t="str">
        <f aca="false">IF($B17="","",IFERROR(VLOOKUP($B17,资产台账!$B$4:$N$53,2,0)&amp;"","台账中未登记"))</f>
        <v/>
      </c>
      <c r="D17" s="43" t="str">
        <f aca="false">IF($B17="","",IFERROR(VLOOKUP($B17,资产台账!$B$4:$N$53,3,0)&amp;"",""))</f>
        <v/>
      </c>
      <c r="E17" s="43" t="str">
        <f aca="false">IF($B17="","",IFERROR(VLOOKUP($B17,资产台账!$B$4:$N$53,5,0)&amp;"",""))</f>
        <v/>
      </c>
      <c r="F17" s="44"/>
      <c r="G17" s="44"/>
      <c r="H17" s="44"/>
      <c r="I17" s="44"/>
      <c r="J17" s="44"/>
      <c r="K17" s="44"/>
      <c r="L17" s="44"/>
      <c r="M17" s="44"/>
      <c r="N17" s="44"/>
      <c r="O17" s="44"/>
      <c r="P17" s="44"/>
      <c r="Q17" s="44"/>
      <c r="R17" s="45" t="str">
        <f aca="false">IF($A17="","",SUM(H17:Q17))</f>
        <v/>
      </c>
      <c r="S17" s="45" t="str">
        <f aca="false">IF($A17="","",ROUND($F17-$G17-$R17,2))</f>
        <v/>
      </c>
      <c r="T17" s="28" t="str">
        <f aca="false">IF(OR($A17="",$F17=0),"",$R17/$F17)</f>
        <v/>
      </c>
      <c r="U17" s="35"/>
      <c r="V17" s="0" t="str">
        <f aca="false">IF($A17="","",$A17&amp;"|"&amp;$B17)</f>
        <v/>
      </c>
    </row>
    <row r="18" customFormat="false" ht="18" hidden="false" customHeight="true" outlineLevel="0" collapsed="false">
      <c r="A18" s="36"/>
      <c r="B18" s="36"/>
      <c r="C18" s="48" t="str">
        <f aca="false">IF($B18="","",IFERROR(VLOOKUP($B18,资产台账!$B$4:$N$53,2,0)&amp;"","台账中未登记"))</f>
        <v/>
      </c>
      <c r="D18" s="43" t="str">
        <f aca="false">IF($B18="","",IFERROR(VLOOKUP($B18,资产台账!$B$4:$N$53,3,0)&amp;"",""))</f>
        <v/>
      </c>
      <c r="E18" s="43" t="str">
        <f aca="false">IF($B18="","",IFERROR(VLOOKUP($B18,资产台账!$B$4:$N$53,5,0)&amp;"",""))</f>
        <v/>
      </c>
      <c r="F18" s="44"/>
      <c r="G18" s="44"/>
      <c r="H18" s="44"/>
      <c r="I18" s="44"/>
      <c r="J18" s="44"/>
      <c r="K18" s="44"/>
      <c r="L18" s="44"/>
      <c r="M18" s="44"/>
      <c r="N18" s="44"/>
      <c r="O18" s="44"/>
      <c r="P18" s="44"/>
      <c r="Q18" s="44"/>
      <c r="R18" s="45" t="str">
        <f aca="false">IF($A18="","",SUM(H18:Q18))</f>
        <v/>
      </c>
      <c r="S18" s="45" t="str">
        <f aca="false">IF($A18="","",ROUND($F18-$G18-$R18,2))</f>
        <v/>
      </c>
      <c r="T18" s="28" t="str">
        <f aca="false">IF(OR($A18="",$F18=0),"",$R18/$F18)</f>
        <v/>
      </c>
      <c r="U18" s="35"/>
      <c r="V18" s="0" t="str">
        <f aca="false">IF($A18="","",$A18&amp;"|"&amp;$B18)</f>
        <v/>
      </c>
    </row>
    <row r="19" customFormat="false" ht="18" hidden="false" customHeight="true" outlineLevel="0" collapsed="false">
      <c r="A19" s="36"/>
      <c r="B19" s="36"/>
      <c r="C19" s="48" t="str">
        <f aca="false">IF($B19="","",IFERROR(VLOOKUP($B19,资产台账!$B$4:$N$53,2,0)&amp;"","台账中未登记"))</f>
        <v/>
      </c>
      <c r="D19" s="43" t="str">
        <f aca="false">IF($B19="","",IFERROR(VLOOKUP($B19,资产台账!$B$4:$N$53,3,0)&amp;"",""))</f>
        <v/>
      </c>
      <c r="E19" s="43" t="str">
        <f aca="false">IF($B19="","",IFERROR(VLOOKUP($B19,资产台账!$B$4:$N$53,5,0)&amp;"",""))</f>
        <v/>
      </c>
      <c r="F19" s="44"/>
      <c r="G19" s="44"/>
      <c r="H19" s="44"/>
      <c r="I19" s="44"/>
      <c r="J19" s="44"/>
      <c r="K19" s="44"/>
      <c r="L19" s="44"/>
      <c r="M19" s="44"/>
      <c r="N19" s="44"/>
      <c r="O19" s="44"/>
      <c r="P19" s="44"/>
      <c r="Q19" s="44"/>
      <c r="R19" s="45" t="str">
        <f aca="false">IF($A19="","",SUM(H19:Q19))</f>
        <v/>
      </c>
      <c r="S19" s="45" t="str">
        <f aca="false">IF($A19="","",ROUND($F19-$G19-$R19,2))</f>
        <v/>
      </c>
      <c r="T19" s="28" t="str">
        <f aca="false">IF(OR($A19="",$F19=0),"",$R19/$F19)</f>
        <v/>
      </c>
      <c r="U19" s="35"/>
      <c r="V19" s="0" t="str">
        <f aca="false">IF($A19="","",$A19&amp;"|"&amp;$B19)</f>
        <v/>
      </c>
    </row>
    <row r="20" customFormat="false" ht="18" hidden="false" customHeight="true" outlineLevel="0" collapsed="false">
      <c r="A20" s="36"/>
      <c r="B20" s="36"/>
      <c r="C20" s="48" t="str">
        <f aca="false">IF($B20="","",IFERROR(VLOOKUP($B20,资产台账!$B$4:$N$53,2,0)&amp;"","台账中未登记"))</f>
        <v/>
      </c>
      <c r="D20" s="43" t="str">
        <f aca="false">IF($B20="","",IFERROR(VLOOKUP($B20,资产台账!$B$4:$N$53,3,0)&amp;"",""))</f>
        <v/>
      </c>
      <c r="E20" s="43" t="str">
        <f aca="false">IF($B20="","",IFERROR(VLOOKUP($B20,资产台账!$B$4:$N$53,5,0)&amp;"",""))</f>
        <v/>
      </c>
      <c r="F20" s="44"/>
      <c r="G20" s="44"/>
      <c r="H20" s="44"/>
      <c r="I20" s="44"/>
      <c r="J20" s="44"/>
      <c r="K20" s="44"/>
      <c r="L20" s="44"/>
      <c r="M20" s="44"/>
      <c r="N20" s="44"/>
      <c r="O20" s="44"/>
      <c r="P20" s="44"/>
      <c r="Q20" s="44"/>
      <c r="R20" s="45" t="str">
        <f aca="false">IF($A20="","",SUM(H20:Q20))</f>
        <v/>
      </c>
      <c r="S20" s="45" t="str">
        <f aca="false">IF($A20="","",ROUND($F20-$G20-$R20,2))</f>
        <v/>
      </c>
      <c r="T20" s="28" t="str">
        <f aca="false">IF(OR($A20="",$F20=0),"",$R20/$F20)</f>
        <v/>
      </c>
      <c r="U20" s="35"/>
      <c r="V20" s="0" t="str">
        <f aca="false">IF($A20="","",$A20&amp;"|"&amp;$B20)</f>
        <v/>
      </c>
    </row>
    <row r="21" customFormat="false" ht="18" hidden="false" customHeight="true" outlineLevel="0" collapsed="false">
      <c r="A21" s="36"/>
      <c r="B21" s="36"/>
      <c r="C21" s="48" t="str">
        <f aca="false">IF($B21="","",IFERROR(VLOOKUP($B21,资产台账!$B$4:$N$53,2,0)&amp;"","台账中未登记"))</f>
        <v/>
      </c>
      <c r="D21" s="43" t="str">
        <f aca="false">IF($B21="","",IFERROR(VLOOKUP($B21,资产台账!$B$4:$N$53,3,0)&amp;"",""))</f>
        <v/>
      </c>
      <c r="E21" s="43" t="str">
        <f aca="false">IF($B21="","",IFERROR(VLOOKUP($B21,资产台账!$B$4:$N$53,5,0)&amp;"",""))</f>
        <v/>
      </c>
      <c r="F21" s="44"/>
      <c r="G21" s="44"/>
      <c r="H21" s="44"/>
      <c r="I21" s="44"/>
      <c r="J21" s="44"/>
      <c r="K21" s="44"/>
      <c r="L21" s="44"/>
      <c r="M21" s="44"/>
      <c r="N21" s="44"/>
      <c r="O21" s="44"/>
      <c r="P21" s="44"/>
      <c r="Q21" s="44"/>
      <c r="R21" s="45" t="str">
        <f aca="false">IF($A21="","",SUM(H21:Q21))</f>
        <v/>
      </c>
      <c r="S21" s="45" t="str">
        <f aca="false">IF($A21="","",ROUND($F21-$G21-$R21,2))</f>
        <v/>
      </c>
      <c r="T21" s="28" t="str">
        <f aca="false">IF(OR($A21="",$F21=0),"",$R21/$F21)</f>
        <v/>
      </c>
      <c r="U21" s="35"/>
      <c r="V21" s="0" t="str">
        <f aca="false">IF($A21="","",$A21&amp;"|"&amp;$B21)</f>
        <v/>
      </c>
    </row>
    <row r="22" customFormat="false" ht="18" hidden="false" customHeight="true" outlineLevel="0" collapsed="false">
      <c r="A22" s="36"/>
      <c r="B22" s="36"/>
      <c r="C22" s="48" t="str">
        <f aca="false">IF($B22="","",IFERROR(VLOOKUP($B22,资产台账!$B$4:$N$53,2,0)&amp;"","台账中未登记"))</f>
        <v/>
      </c>
      <c r="D22" s="43" t="str">
        <f aca="false">IF($B22="","",IFERROR(VLOOKUP($B22,资产台账!$B$4:$N$53,3,0)&amp;"",""))</f>
        <v/>
      </c>
      <c r="E22" s="43" t="str">
        <f aca="false">IF($B22="","",IFERROR(VLOOKUP($B22,资产台账!$B$4:$N$53,5,0)&amp;"",""))</f>
        <v/>
      </c>
      <c r="F22" s="44"/>
      <c r="G22" s="44"/>
      <c r="H22" s="44"/>
      <c r="I22" s="44"/>
      <c r="J22" s="44"/>
      <c r="K22" s="44"/>
      <c r="L22" s="44"/>
      <c r="M22" s="44"/>
      <c r="N22" s="44"/>
      <c r="O22" s="44"/>
      <c r="P22" s="44"/>
      <c r="Q22" s="44"/>
      <c r="R22" s="45" t="str">
        <f aca="false">IF($A22="","",SUM(H22:Q22))</f>
        <v/>
      </c>
      <c r="S22" s="45" t="str">
        <f aca="false">IF($A22="","",ROUND($F22-$G22-$R22,2))</f>
        <v/>
      </c>
      <c r="T22" s="28" t="str">
        <f aca="false">IF(OR($A22="",$F22=0),"",$R22/$F22)</f>
        <v/>
      </c>
      <c r="U22" s="35"/>
      <c r="V22" s="0" t="str">
        <f aca="false">IF($A22="","",$A22&amp;"|"&amp;$B22)</f>
        <v/>
      </c>
    </row>
    <row r="23" customFormat="false" ht="18" hidden="false" customHeight="true" outlineLevel="0" collapsed="false">
      <c r="A23" s="36"/>
      <c r="B23" s="36"/>
      <c r="C23" s="48" t="str">
        <f aca="false">IF($B23="","",IFERROR(VLOOKUP($B23,资产台账!$B$4:$N$53,2,0)&amp;"","台账中未登记"))</f>
        <v/>
      </c>
      <c r="D23" s="43" t="str">
        <f aca="false">IF($B23="","",IFERROR(VLOOKUP($B23,资产台账!$B$4:$N$53,3,0)&amp;"",""))</f>
        <v/>
      </c>
      <c r="E23" s="43" t="str">
        <f aca="false">IF($B23="","",IFERROR(VLOOKUP($B23,资产台账!$B$4:$N$53,5,0)&amp;"",""))</f>
        <v/>
      </c>
      <c r="F23" s="44"/>
      <c r="G23" s="44"/>
      <c r="H23" s="44"/>
      <c r="I23" s="44"/>
      <c r="J23" s="44"/>
      <c r="K23" s="44"/>
      <c r="L23" s="44"/>
      <c r="M23" s="44"/>
      <c r="N23" s="44"/>
      <c r="O23" s="44"/>
      <c r="P23" s="44"/>
      <c r="Q23" s="44"/>
      <c r="R23" s="45" t="str">
        <f aca="false">IF($A23="","",SUM(H23:Q23))</f>
        <v/>
      </c>
      <c r="S23" s="45" t="str">
        <f aca="false">IF($A23="","",ROUND($F23-$G23-$R23,2))</f>
        <v/>
      </c>
      <c r="T23" s="28" t="str">
        <f aca="false">IF(OR($A23="",$F23=0),"",$R23/$F23)</f>
        <v/>
      </c>
      <c r="U23" s="35"/>
      <c r="V23" s="0" t="str">
        <f aca="false">IF($A23="","",$A23&amp;"|"&amp;$B23)</f>
        <v/>
      </c>
    </row>
    <row r="24" customFormat="false" ht="18" hidden="false" customHeight="true" outlineLevel="0" collapsed="false">
      <c r="A24" s="36"/>
      <c r="B24" s="36"/>
      <c r="C24" s="48" t="str">
        <f aca="false">IF($B24="","",IFERROR(VLOOKUP($B24,资产台账!$B$4:$N$53,2,0)&amp;"","台账中未登记"))</f>
        <v/>
      </c>
      <c r="D24" s="43" t="str">
        <f aca="false">IF($B24="","",IFERROR(VLOOKUP($B24,资产台账!$B$4:$N$53,3,0)&amp;"",""))</f>
        <v/>
      </c>
      <c r="E24" s="43" t="str">
        <f aca="false">IF($B24="","",IFERROR(VLOOKUP($B24,资产台账!$B$4:$N$53,5,0)&amp;"",""))</f>
        <v/>
      </c>
      <c r="F24" s="44"/>
      <c r="G24" s="44"/>
      <c r="H24" s="44"/>
      <c r="I24" s="44"/>
      <c r="J24" s="44"/>
      <c r="K24" s="44"/>
      <c r="L24" s="44"/>
      <c r="M24" s="44"/>
      <c r="N24" s="44"/>
      <c r="O24" s="44"/>
      <c r="P24" s="44"/>
      <c r="Q24" s="44"/>
      <c r="R24" s="45" t="str">
        <f aca="false">IF($A24="","",SUM(H24:Q24))</f>
        <v/>
      </c>
      <c r="S24" s="45" t="str">
        <f aca="false">IF($A24="","",ROUND($F24-$G24-$R24,2))</f>
        <v/>
      </c>
      <c r="T24" s="28" t="str">
        <f aca="false">IF(OR($A24="",$F24=0),"",$R24/$F24)</f>
        <v/>
      </c>
      <c r="U24" s="35"/>
      <c r="V24" s="0" t="str">
        <f aca="false">IF($A24="","",$A24&amp;"|"&amp;$B24)</f>
        <v/>
      </c>
    </row>
    <row r="25" customFormat="false" ht="18" hidden="false" customHeight="true" outlineLevel="0" collapsed="false">
      <c r="A25" s="36"/>
      <c r="B25" s="36"/>
      <c r="C25" s="48" t="str">
        <f aca="false">IF($B25="","",IFERROR(VLOOKUP($B25,资产台账!$B$4:$N$53,2,0)&amp;"","台账中未登记"))</f>
        <v/>
      </c>
      <c r="D25" s="43" t="str">
        <f aca="false">IF($B25="","",IFERROR(VLOOKUP($B25,资产台账!$B$4:$N$53,3,0)&amp;"",""))</f>
        <v/>
      </c>
      <c r="E25" s="43" t="str">
        <f aca="false">IF($B25="","",IFERROR(VLOOKUP($B25,资产台账!$B$4:$N$53,5,0)&amp;"",""))</f>
        <v/>
      </c>
      <c r="F25" s="44"/>
      <c r="G25" s="44"/>
      <c r="H25" s="44"/>
      <c r="I25" s="44"/>
      <c r="J25" s="44"/>
      <c r="K25" s="44"/>
      <c r="L25" s="44"/>
      <c r="M25" s="44"/>
      <c r="N25" s="44"/>
      <c r="O25" s="44"/>
      <c r="P25" s="44"/>
      <c r="Q25" s="44"/>
      <c r="R25" s="45" t="str">
        <f aca="false">IF($A25="","",SUM(H25:Q25))</f>
        <v/>
      </c>
      <c r="S25" s="45" t="str">
        <f aca="false">IF($A25="","",ROUND($F25-$G25-$R25,2))</f>
        <v/>
      </c>
      <c r="T25" s="28" t="str">
        <f aca="false">IF(OR($A25="",$F25=0),"",$R25/$F25)</f>
        <v/>
      </c>
      <c r="U25" s="35"/>
      <c r="V25" s="0" t="str">
        <f aca="false">IF($A25="","",$A25&amp;"|"&amp;$B25)</f>
        <v/>
      </c>
    </row>
    <row r="26" customFormat="false" ht="18" hidden="false" customHeight="true" outlineLevel="0" collapsed="false">
      <c r="A26" s="36"/>
      <c r="B26" s="36"/>
      <c r="C26" s="48" t="str">
        <f aca="false">IF($B26="","",IFERROR(VLOOKUP($B26,资产台账!$B$4:$N$53,2,0)&amp;"","台账中未登记"))</f>
        <v/>
      </c>
      <c r="D26" s="43" t="str">
        <f aca="false">IF($B26="","",IFERROR(VLOOKUP($B26,资产台账!$B$4:$N$53,3,0)&amp;"",""))</f>
        <v/>
      </c>
      <c r="E26" s="43" t="str">
        <f aca="false">IF($B26="","",IFERROR(VLOOKUP($B26,资产台账!$B$4:$N$53,5,0)&amp;"",""))</f>
        <v/>
      </c>
      <c r="F26" s="44"/>
      <c r="G26" s="44"/>
      <c r="H26" s="44"/>
      <c r="I26" s="44"/>
      <c r="J26" s="44"/>
      <c r="K26" s="44"/>
      <c r="L26" s="44"/>
      <c r="M26" s="44"/>
      <c r="N26" s="44"/>
      <c r="O26" s="44"/>
      <c r="P26" s="44"/>
      <c r="Q26" s="44"/>
      <c r="R26" s="45" t="str">
        <f aca="false">IF($A26="","",SUM(H26:Q26))</f>
        <v/>
      </c>
      <c r="S26" s="45" t="str">
        <f aca="false">IF($A26="","",ROUND($F26-$G26-$R26,2))</f>
        <v/>
      </c>
      <c r="T26" s="28" t="str">
        <f aca="false">IF(OR($A26="",$F26=0),"",$R26/$F26)</f>
        <v/>
      </c>
      <c r="U26" s="35"/>
      <c r="V26" s="0" t="str">
        <f aca="false">IF($A26="","",$A26&amp;"|"&amp;$B26)</f>
        <v/>
      </c>
    </row>
    <row r="27" customFormat="false" ht="18" hidden="false" customHeight="true" outlineLevel="0" collapsed="false">
      <c r="A27" s="36"/>
      <c r="B27" s="36"/>
      <c r="C27" s="48" t="str">
        <f aca="false">IF($B27="","",IFERROR(VLOOKUP($B27,资产台账!$B$4:$N$53,2,0)&amp;"","台账中未登记"))</f>
        <v/>
      </c>
      <c r="D27" s="43" t="str">
        <f aca="false">IF($B27="","",IFERROR(VLOOKUP($B27,资产台账!$B$4:$N$53,3,0)&amp;"",""))</f>
        <v/>
      </c>
      <c r="E27" s="43" t="str">
        <f aca="false">IF($B27="","",IFERROR(VLOOKUP($B27,资产台账!$B$4:$N$53,5,0)&amp;"",""))</f>
        <v/>
      </c>
      <c r="F27" s="44"/>
      <c r="G27" s="44"/>
      <c r="H27" s="44"/>
      <c r="I27" s="44"/>
      <c r="J27" s="44"/>
      <c r="K27" s="44"/>
      <c r="L27" s="44"/>
      <c r="M27" s="44"/>
      <c r="N27" s="44"/>
      <c r="O27" s="44"/>
      <c r="P27" s="44"/>
      <c r="Q27" s="44"/>
      <c r="R27" s="45" t="str">
        <f aca="false">IF($A27="","",SUM(H27:Q27))</f>
        <v/>
      </c>
      <c r="S27" s="45" t="str">
        <f aca="false">IF($A27="","",ROUND($F27-$G27-$R27,2))</f>
        <v/>
      </c>
      <c r="T27" s="28" t="str">
        <f aca="false">IF(OR($A27="",$F27=0),"",$R27/$F27)</f>
        <v/>
      </c>
      <c r="U27" s="35"/>
      <c r="V27" s="0" t="str">
        <f aca="false">IF($A27="","",$A27&amp;"|"&amp;$B27)</f>
        <v/>
      </c>
    </row>
    <row r="28" customFormat="false" ht="18" hidden="false" customHeight="true" outlineLevel="0" collapsed="false">
      <c r="A28" s="36"/>
      <c r="B28" s="36"/>
      <c r="C28" s="48" t="str">
        <f aca="false">IF($B28="","",IFERROR(VLOOKUP($B28,资产台账!$B$4:$N$53,2,0)&amp;"","台账中未登记"))</f>
        <v/>
      </c>
      <c r="D28" s="43" t="str">
        <f aca="false">IF($B28="","",IFERROR(VLOOKUP($B28,资产台账!$B$4:$N$53,3,0)&amp;"",""))</f>
        <v/>
      </c>
      <c r="E28" s="43" t="str">
        <f aca="false">IF($B28="","",IFERROR(VLOOKUP($B28,资产台账!$B$4:$N$53,5,0)&amp;"",""))</f>
        <v/>
      </c>
      <c r="F28" s="44"/>
      <c r="G28" s="44"/>
      <c r="H28" s="44"/>
      <c r="I28" s="44"/>
      <c r="J28" s="44"/>
      <c r="K28" s="44"/>
      <c r="L28" s="44"/>
      <c r="M28" s="44"/>
      <c r="N28" s="44"/>
      <c r="O28" s="44"/>
      <c r="P28" s="44"/>
      <c r="Q28" s="44"/>
      <c r="R28" s="45" t="str">
        <f aca="false">IF($A28="","",SUM(H28:Q28))</f>
        <v/>
      </c>
      <c r="S28" s="45" t="str">
        <f aca="false">IF($A28="","",ROUND($F28-$G28-$R28,2))</f>
        <v/>
      </c>
      <c r="T28" s="28" t="str">
        <f aca="false">IF(OR($A28="",$F28=0),"",$R28/$F28)</f>
        <v/>
      </c>
      <c r="U28" s="35"/>
      <c r="V28" s="0" t="str">
        <f aca="false">IF($A28="","",$A28&amp;"|"&amp;$B28)</f>
        <v/>
      </c>
    </row>
    <row r="29" customFormat="false" ht="18" hidden="false" customHeight="true" outlineLevel="0" collapsed="false">
      <c r="A29" s="36"/>
      <c r="B29" s="36"/>
      <c r="C29" s="48" t="str">
        <f aca="false">IF($B29="","",IFERROR(VLOOKUP($B29,资产台账!$B$4:$N$53,2,0)&amp;"","台账中未登记"))</f>
        <v/>
      </c>
      <c r="D29" s="43" t="str">
        <f aca="false">IF($B29="","",IFERROR(VLOOKUP($B29,资产台账!$B$4:$N$53,3,0)&amp;"",""))</f>
        <v/>
      </c>
      <c r="E29" s="43" t="str">
        <f aca="false">IF($B29="","",IFERROR(VLOOKUP($B29,资产台账!$B$4:$N$53,5,0)&amp;"",""))</f>
        <v/>
      </c>
      <c r="F29" s="44"/>
      <c r="G29" s="44"/>
      <c r="H29" s="44"/>
      <c r="I29" s="44"/>
      <c r="J29" s="44"/>
      <c r="K29" s="44"/>
      <c r="L29" s="44"/>
      <c r="M29" s="44"/>
      <c r="N29" s="44"/>
      <c r="O29" s="44"/>
      <c r="P29" s="44"/>
      <c r="Q29" s="44"/>
      <c r="R29" s="45" t="str">
        <f aca="false">IF($A29="","",SUM(H29:Q29))</f>
        <v/>
      </c>
      <c r="S29" s="45" t="str">
        <f aca="false">IF($A29="","",ROUND($F29-$G29-$R29,2))</f>
        <v/>
      </c>
      <c r="T29" s="28" t="str">
        <f aca="false">IF(OR($A29="",$F29=0),"",$R29/$F29)</f>
        <v/>
      </c>
      <c r="U29" s="35"/>
      <c r="V29" s="0" t="str">
        <f aca="false">IF($A29="","",$A29&amp;"|"&amp;$B29)</f>
        <v/>
      </c>
    </row>
    <row r="30" customFormat="false" ht="18" hidden="false" customHeight="true" outlineLevel="0" collapsed="false">
      <c r="A30" s="36"/>
      <c r="B30" s="36"/>
      <c r="C30" s="48" t="str">
        <f aca="false">IF($B30="","",IFERROR(VLOOKUP($B30,资产台账!$B$4:$N$53,2,0)&amp;"","台账中未登记"))</f>
        <v/>
      </c>
      <c r="D30" s="43" t="str">
        <f aca="false">IF($B30="","",IFERROR(VLOOKUP($B30,资产台账!$B$4:$N$53,3,0)&amp;"",""))</f>
        <v/>
      </c>
      <c r="E30" s="43" t="str">
        <f aca="false">IF($B30="","",IFERROR(VLOOKUP($B30,资产台账!$B$4:$N$53,5,0)&amp;"",""))</f>
        <v/>
      </c>
      <c r="F30" s="44"/>
      <c r="G30" s="44"/>
      <c r="H30" s="44"/>
      <c r="I30" s="44"/>
      <c r="J30" s="44"/>
      <c r="K30" s="44"/>
      <c r="L30" s="44"/>
      <c r="M30" s="44"/>
      <c r="N30" s="44"/>
      <c r="O30" s="44"/>
      <c r="P30" s="44"/>
      <c r="Q30" s="44"/>
      <c r="R30" s="45" t="str">
        <f aca="false">IF($A30="","",SUM(H30:Q30))</f>
        <v/>
      </c>
      <c r="S30" s="45" t="str">
        <f aca="false">IF($A30="","",ROUND($F30-$G30-$R30,2))</f>
        <v/>
      </c>
      <c r="T30" s="28" t="str">
        <f aca="false">IF(OR($A30="",$F30=0),"",$R30/$F30)</f>
        <v/>
      </c>
      <c r="U30" s="35"/>
      <c r="V30" s="0" t="str">
        <f aca="false">IF($A30="","",$A30&amp;"|"&amp;$B30)</f>
        <v/>
      </c>
    </row>
    <row r="31" customFormat="false" ht="18" hidden="false" customHeight="true" outlineLevel="0" collapsed="false">
      <c r="A31" s="36"/>
      <c r="B31" s="36"/>
      <c r="C31" s="48" t="str">
        <f aca="false">IF($B31="","",IFERROR(VLOOKUP($B31,资产台账!$B$4:$N$53,2,0)&amp;"","台账中未登记"))</f>
        <v/>
      </c>
      <c r="D31" s="43" t="str">
        <f aca="false">IF($B31="","",IFERROR(VLOOKUP($B31,资产台账!$B$4:$N$53,3,0)&amp;"",""))</f>
        <v/>
      </c>
      <c r="E31" s="43" t="str">
        <f aca="false">IF($B31="","",IFERROR(VLOOKUP($B31,资产台账!$B$4:$N$53,5,0)&amp;"",""))</f>
        <v/>
      </c>
      <c r="F31" s="44"/>
      <c r="G31" s="44"/>
      <c r="H31" s="44"/>
      <c r="I31" s="44"/>
      <c r="J31" s="44"/>
      <c r="K31" s="44"/>
      <c r="L31" s="44"/>
      <c r="M31" s="44"/>
      <c r="N31" s="44"/>
      <c r="O31" s="44"/>
      <c r="P31" s="44"/>
      <c r="Q31" s="44"/>
      <c r="R31" s="45" t="str">
        <f aca="false">IF($A31="","",SUM(H31:Q31))</f>
        <v/>
      </c>
      <c r="S31" s="45" t="str">
        <f aca="false">IF($A31="","",ROUND($F31-$G31-$R31,2))</f>
        <v/>
      </c>
      <c r="T31" s="28" t="str">
        <f aca="false">IF(OR($A31="",$F31=0),"",$R31/$F31)</f>
        <v/>
      </c>
      <c r="U31" s="35"/>
      <c r="V31" s="0" t="str">
        <f aca="false">IF($A31="","",$A31&amp;"|"&amp;$B31)</f>
        <v/>
      </c>
    </row>
    <row r="32" customFormat="false" ht="18" hidden="false" customHeight="true" outlineLevel="0" collapsed="false">
      <c r="A32" s="36"/>
      <c r="B32" s="36"/>
      <c r="C32" s="48" t="str">
        <f aca="false">IF($B32="","",IFERROR(VLOOKUP($B32,资产台账!$B$4:$N$53,2,0)&amp;"","台账中未登记"))</f>
        <v/>
      </c>
      <c r="D32" s="43" t="str">
        <f aca="false">IF($B32="","",IFERROR(VLOOKUP($B32,资产台账!$B$4:$N$53,3,0)&amp;"",""))</f>
        <v/>
      </c>
      <c r="E32" s="43" t="str">
        <f aca="false">IF($B32="","",IFERROR(VLOOKUP($B32,资产台账!$B$4:$N$53,5,0)&amp;"",""))</f>
        <v/>
      </c>
      <c r="F32" s="44"/>
      <c r="G32" s="44"/>
      <c r="H32" s="44"/>
      <c r="I32" s="44"/>
      <c r="J32" s="44"/>
      <c r="K32" s="44"/>
      <c r="L32" s="44"/>
      <c r="M32" s="44"/>
      <c r="N32" s="44"/>
      <c r="O32" s="44"/>
      <c r="P32" s="44"/>
      <c r="Q32" s="44"/>
      <c r="R32" s="45" t="str">
        <f aca="false">IF($A32="","",SUM(H32:Q32))</f>
        <v/>
      </c>
      <c r="S32" s="45" t="str">
        <f aca="false">IF($A32="","",ROUND($F32-$G32-$R32,2))</f>
        <v/>
      </c>
      <c r="T32" s="28" t="str">
        <f aca="false">IF(OR($A32="",$F32=0),"",$R32/$F32)</f>
        <v/>
      </c>
      <c r="U32" s="35"/>
      <c r="V32" s="0" t="str">
        <f aca="false">IF($A32="","",$A32&amp;"|"&amp;$B32)</f>
        <v/>
      </c>
    </row>
    <row r="33" customFormat="false" ht="18" hidden="false" customHeight="true" outlineLevel="0" collapsed="false">
      <c r="A33" s="36"/>
      <c r="B33" s="36"/>
      <c r="C33" s="48" t="str">
        <f aca="false">IF($B33="","",IFERROR(VLOOKUP($B33,资产台账!$B$4:$N$53,2,0)&amp;"","台账中未登记"))</f>
        <v/>
      </c>
      <c r="D33" s="43" t="str">
        <f aca="false">IF($B33="","",IFERROR(VLOOKUP($B33,资产台账!$B$4:$N$53,3,0)&amp;"",""))</f>
        <v/>
      </c>
      <c r="E33" s="43" t="str">
        <f aca="false">IF($B33="","",IFERROR(VLOOKUP($B33,资产台账!$B$4:$N$53,5,0)&amp;"",""))</f>
        <v/>
      </c>
      <c r="F33" s="44"/>
      <c r="G33" s="44"/>
      <c r="H33" s="44"/>
      <c r="I33" s="44"/>
      <c r="J33" s="44"/>
      <c r="K33" s="44"/>
      <c r="L33" s="44"/>
      <c r="M33" s="44"/>
      <c r="N33" s="44"/>
      <c r="O33" s="44"/>
      <c r="P33" s="44"/>
      <c r="Q33" s="44"/>
      <c r="R33" s="45" t="str">
        <f aca="false">IF($A33="","",SUM(H33:Q33))</f>
        <v/>
      </c>
      <c r="S33" s="45" t="str">
        <f aca="false">IF($A33="","",ROUND($F33-$G33-$R33,2))</f>
        <v/>
      </c>
      <c r="T33" s="28" t="str">
        <f aca="false">IF(OR($A33="",$F33=0),"",$R33/$F33)</f>
        <v/>
      </c>
      <c r="U33" s="35"/>
      <c r="V33" s="0" t="str">
        <f aca="false">IF($A33="","",$A33&amp;"|"&amp;$B33)</f>
        <v/>
      </c>
    </row>
    <row r="34" customFormat="false" ht="18" hidden="false" customHeight="true" outlineLevel="0" collapsed="false">
      <c r="A34" s="36"/>
      <c r="B34" s="36"/>
      <c r="C34" s="48" t="str">
        <f aca="false">IF($B34="","",IFERROR(VLOOKUP($B34,资产台账!$B$4:$N$53,2,0)&amp;"","台账中未登记"))</f>
        <v/>
      </c>
      <c r="D34" s="43" t="str">
        <f aca="false">IF($B34="","",IFERROR(VLOOKUP($B34,资产台账!$B$4:$N$53,3,0)&amp;"",""))</f>
        <v/>
      </c>
      <c r="E34" s="43" t="str">
        <f aca="false">IF($B34="","",IFERROR(VLOOKUP($B34,资产台账!$B$4:$N$53,5,0)&amp;"",""))</f>
        <v/>
      </c>
      <c r="F34" s="44"/>
      <c r="G34" s="44"/>
      <c r="H34" s="44"/>
      <c r="I34" s="44"/>
      <c r="J34" s="44"/>
      <c r="K34" s="44"/>
      <c r="L34" s="44"/>
      <c r="M34" s="44"/>
      <c r="N34" s="44"/>
      <c r="O34" s="44"/>
      <c r="P34" s="44"/>
      <c r="Q34" s="44"/>
      <c r="R34" s="45" t="str">
        <f aca="false">IF($A34="","",SUM(H34:Q34))</f>
        <v/>
      </c>
      <c r="S34" s="45" t="str">
        <f aca="false">IF($A34="","",ROUND($F34-$G34-$R34,2))</f>
        <v/>
      </c>
      <c r="T34" s="28" t="str">
        <f aca="false">IF(OR($A34="",$F34=0),"",$R34/$F34)</f>
        <v/>
      </c>
      <c r="U34" s="35"/>
      <c r="V34" s="0" t="str">
        <f aca="false">IF($A34="","",$A34&amp;"|"&amp;$B34)</f>
        <v/>
      </c>
    </row>
    <row r="35" customFormat="false" ht="18" hidden="false" customHeight="true" outlineLevel="0" collapsed="false">
      <c r="A35" s="36"/>
      <c r="B35" s="36"/>
      <c r="C35" s="48" t="str">
        <f aca="false">IF($B35="","",IFERROR(VLOOKUP($B35,资产台账!$B$4:$N$53,2,0)&amp;"","台账中未登记"))</f>
        <v/>
      </c>
      <c r="D35" s="43" t="str">
        <f aca="false">IF($B35="","",IFERROR(VLOOKUP($B35,资产台账!$B$4:$N$53,3,0)&amp;"",""))</f>
        <v/>
      </c>
      <c r="E35" s="43" t="str">
        <f aca="false">IF($B35="","",IFERROR(VLOOKUP($B35,资产台账!$B$4:$N$53,5,0)&amp;"",""))</f>
        <v/>
      </c>
      <c r="F35" s="44"/>
      <c r="G35" s="44"/>
      <c r="H35" s="44"/>
      <c r="I35" s="44"/>
      <c r="J35" s="44"/>
      <c r="K35" s="44"/>
      <c r="L35" s="44"/>
      <c r="M35" s="44"/>
      <c r="N35" s="44"/>
      <c r="O35" s="44"/>
      <c r="P35" s="44"/>
      <c r="Q35" s="44"/>
      <c r="R35" s="45" t="str">
        <f aca="false">IF($A35="","",SUM(H35:Q35))</f>
        <v/>
      </c>
      <c r="S35" s="45" t="str">
        <f aca="false">IF($A35="","",ROUND($F35-$G35-$R35,2))</f>
        <v/>
      </c>
      <c r="T35" s="28" t="str">
        <f aca="false">IF(OR($A35="",$F35=0),"",$R35/$F35)</f>
        <v/>
      </c>
      <c r="U35" s="35"/>
      <c r="V35" s="0" t="str">
        <f aca="false">IF($A35="","",$A35&amp;"|"&amp;$B35)</f>
        <v/>
      </c>
    </row>
    <row r="36" customFormat="false" ht="18" hidden="false" customHeight="true" outlineLevel="0" collapsed="false">
      <c r="A36" s="36"/>
      <c r="B36" s="36"/>
      <c r="C36" s="48" t="str">
        <f aca="false">IF($B36="","",IFERROR(VLOOKUP($B36,资产台账!$B$4:$N$53,2,0)&amp;"","台账中未登记"))</f>
        <v/>
      </c>
      <c r="D36" s="43" t="str">
        <f aca="false">IF($B36="","",IFERROR(VLOOKUP($B36,资产台账!$B$4:$N$53,3,0)&amp;"",""))</f>
        <v/>
      </c>
      <c r="E36" s="43" t="str">
        <f aca="false">IF($B36="","",IFERROR(VLOOKUP($B36,资产台账!$B$4:$N$53,5,0)&amp;"",""))</f>
        <v/>
      </c>
      <c r="F36" s="44"/>
      <c r="G36" s="44"/>
      <c r="H36" s="44"/>
      <c r="I36" s="44"/>
      <c r="J36" s="44"/>
      <c r="K36" s="44"/>
      <c r="L36" s="44"/>
      <c r="M36" s="44"/>
      <c r="N36" s="44"/>
      <c r="O36" s="44"/>
      <c r="P36" s="44"/>
      <c r="Q36" s="44"/>
      <c r="R36" s="45" t="str">
        <f aca="false">IF($A36="","",SUM(H36:Q36))</f>
        <v/>
      </c>
      <c r="S36" s="45" t="str">
        <f aca="false">IF($A36="","",ROUND($F36-$G36-$R36,2))</f>
        <v/>
      </c>
      <c r="T36" s="28" t="str">
        <f aca="false">IF(OR($A36="",$F36=0),"",$R36/$F36)</f>
        <v/>
      </c>
      <c r="U36" s="35"/>
      <c r="V36" s="0" t="str">
        <f aca="false">IF($A36="","",$A36&amp;"|"&amp;$B36)</f>
        <v/>
      </c>
    </row>
    <row r="37" customFormat="false" ht="18" hidden="false" customHeight="true" outlineLevel="0" collapsed="false">
      <c r="A37" s="36"/>
      <c r="B37" s="36"/>
      <c r="C37" s="48" t="str">
        <f aca="false">IF($B37="","",IFERROR(VLOOKUP($B37,资产台账!$B$4:$N$53,2,0)&amp;"","台账中未登记"))</f>
        <v/>
      </c>
      <c r="D37" s="43" t="str">
        <f aca="false">IF($B37="","",IFERROR(VLOOKUP($B37,资产台账!$B$4:$N$53,3,0)&amp;"",""))</f>
        <v/>
      </c>
      <c r="E37" s="43" t="str">
        <f aca="false">IF($B37="","",IFERROR(VLOOKUP($B37,资产台账!$B$4:$N$53,5,0)&amp;"",""))</f>
        <v/>
      </c>
      <c r="F37" s="44"/>
      <c r="G37" s="44"/>
      <c r="H37" s="44"/>
      <c r="I37" s="44"/>
      <c r="J37" s="44"/>
      <c r="K37" s="44"/>
      <c r="L37" s="44"/>
      <c r="M37" s="44"/>
      <c r="N37" s="44"/>
      <c r="O37" s="44"/>
      <c r="P37" s="44"/>
      <c r="Q37" s="44"/>
      <c r="R37" s="45" t="str">
        <f aca="false">IF($A37="","",SUM(H37:Q37))</f>
        <v/>
      </c>
      <c r="S37" s="45" t="str">
        <f aca="false">IF($A37="","",ROUND($F37-$G37-$R37,2))</f>
        <v/>
      </c>
      <c r="T37" s="28" t="str">
        <f aca="false">IF(OR($A37="",$F37=0),"",$R37/$F37)</f>
        <v/>
      </c>
      <c r="U37" s="35"/>
      <c r="V37" s="0" t="str">
        <f aca="false">IF($A37="","",$A37&amp;"|"&amp;$B37)</f>
        <v/>
      </c>
    </row>
    <row r="38" customFormat="false" ht="18" hidden="false" customHeight="true" outlineLevel="0" collapsed="false">
      <c r="A38" s="36"/>
      <c r="B38" s="36"/>
      <c r="C38" s="48" t="str">
        <f aca="false">IF($B38="","",IFERROR(VLOOKUP($B38,资产台账!$B$4:$N$53,2,0)&amp;"","台账中未登记"))</f>
        <v/>
      </c>
      <c r="D38" s="43" t="str">
        <f aca="false">IF($B38="","",IFERROR(VLOOKUP($B38,资产台账!$B$4:$N$53,3,0)&amp;"",""))</f>
        <v/>
      </c>
      <c r="E38" s="43" t="str">
        <f aca="false">IF($B38="","",IFERROR(VLOOKUP($B38,资产台账!$B$4:$N$53,5,0)&amp;"",""))</f>
        <v/>
      </c>
      <c r="F38" s="44"/>
      <c r="G38" s="44"/>
      <c r="H38" s="44"/>
      <c r="I38" s="44"/>
      <c r="J38" s="44"/>
      <c r="K38" s="44"/>
      <c r="L38" s="44"/>
      <c r="M38" s="44"/>
      <c r="N38" s="44"/>
      <c r="O38" s="44"/>
      <c r="P38" s="44"/>
      <c r="Q38" s="44"/>
      <c r="R38" s="45" t="str">
        <f aca="false">IF($A38="","",SUM(H38:Q38))</f>
        <v/>
      </c>
      <c r="S38" s="45" t="str">
        <f aca="false">IF($A38="","",ROUND($F38-$G38-$R38,2))</f>
        <v/>
      </c>
      <c r="T38" s="28" t="str">
        <f aca="false">IF(OR($A38="",$F38=0),"",$R38/$F38)</f>
        <v/>
      </c>
      <c r="U38" s="35"/>
      <c r="V38" s="0" t="str">
        <f aca="false">IF($A38="","",$A38&amp;"|"&amp;$B38)</f>
        <v/>
      </c>
    </row>
    <row r="39" customFormat="false" ht="18" hidden="false" customHeight="true" outlineLevel="0" collapsed="false">
      <c r="A39" s="36"/>
      <c r="B39" s="36"/>
      <c r="C39" s="48" t="str">
        <f aca="false">IF($B39="","",IFERROR(VLOOKUP($B39,资产台账!$B$4:$N$53,2,0)&amp;"","台账中未登记"))</f>
        <v/>
      </c>
      <c r="D39" s="43" t="str">
        <f aca="false">IF($B39="","",IFERROR(VLOOKUP($B39,资产台账!$B$4:$N$53,3,0)&amp;"",""))</f>
        <v/>
      </c>
      <c r="E39" s="43" t="str">
        <f aca="false">IF($B39="","",IFERROR(VLOOKUP($B39,资产台账!$B$4:$N$53,5,0)&amp;"",""))</f>
        <v/>
      </c>
      <c r="F39" s="44"/>
      <c r="G39" s="44"/>
      <c r="H39" s="44"/>
      <c r="I39" s="44"/>
      <c r="J39" s="44"/>
      <c r="K39" s="44"/>
      <c r="L39" s="44"/>
      <c r="M39" s="44"/>
      <c r="N39" s="44"/>
      <c r="O39" s="44"/>
      <c r="P39" s="44"/>
      <c r="Q39" s="44"/>
      <c r="R39" s="45" t="str">
        <f aca="false">IF($A39="","",SUM(H39:Q39))</f>
        <v/>
      </c>
      <c r="S39" s="45" t="str">
        <f aca="false">IF($A39="","",ROUND($F39-$G39-$R39,2))</f>
        <v/>
      </c>
      <c r="T39" s="28" t="str">
        <f aca="false">IF(OR($A39="",$F39=0),"",$R39/$F39)</f>
        <v/>
      </c>
      <c r="U39" s="35"/>
      <c r="V39" s="0" t="str">
        <f aca="false">IF($A39="","",$A39&amp;"|"&amp;$B39)</f>
        <v/>
      </c>
    </row>
    <row r="40" customFormat="false" ht="18" hidden="false" customHeight="true" outlineLevel="0" collapsed="false">
      <c r="A40" s="36"/>
      <c r="B40" s="36"/>
      <c r="C40" s="48" t="str">
        <f aca="false">IF($B40="","",IFERROR(VLOOKUP($B40,资产台账!$B$4:$N$53,2,0)&amp;"","台账中未登记"))</f>
        <v/>
      </c>
      <c r="D40" s="43" t="str">
        <f aca="false">IF($B40="","",IFERROR(VLOOKUP($B40,资产台账!$B$4:$N$53,3,0)&amp;"",""))</f>
        <v/>
      </c>
      <c r="E40" s="43" t="str">
        <f aca="false">IF($B40="","",IFERROR(VLOOKUP($B40,资产台账!$B$4:$N$53,5,0)&amp;"",""))</f>
        <v/>
      </c>
      <c r="F40" s="44"/>
      <c r="G40" s="44"/>
      <c r="H40" s="44"/>
      <c r="I40" s="44"/>
      <c r="J40" s="44"/>
      <c r="K40" s="44"/>
      <c r="L40" s="44"/>
      <c r="M40" s="44"/>
      <c r="N40" s="44"/>
      <c r="O40" s="44"/>
      <c r="P40" s="44"/>
      <c r="Q40" s="44"/>
      <c r="R40" s="45" t="str">
        <f aca="false">IF($A40="","",SUM(H40:Q40))</f>
        <v/>
      </c>
      <c r="S40" s="45" t="str">
        <f aca="false">IF($A40="","",ROUND($F40-$G40-$R40,2))</f>
        <v/>
      </c>
      <c r="T40" s="28" t="str">
        <f aca="false">IF(OR($A40="",$F40=0),"",$R40/$F40)</f>
        <v/>
      </c>
      <c r="U40" s="35"/>
      <c r="V40" s="0" t="str">
        <f aca="false">IF($A40="","",$A40&amp;"|"&amp;$B40)</f>
        <v/>
      </c>
    </row>
    <row r="41" customFormat="false" ht="18" hidden="false" customHeight="true" outlineLevel="0" collapsed="false">
      <c r="A41" s="36"/>
      <c r="B41" s="36"/>
      <c r="C41" s="48" t="str">
        <f aca="false">IF($B41="","",IFERROR(VLOOKUP($B41,资产台账!$B$4:$N$53,2,0)&amp;"","台账中未登记"))</f>
        <v/>
      </c>
      <c r="D41" s="43" t="str">
        <f aca="false">IF($B41="","",IFERROR(VLOOKUP($B41,资产台账!$B$4:$N$53,3,0)&amp;"",""))</f>
        <v/>
      </c>
      <c r="E41" s="43" t="str">
        <f aca="false">IF($B41="","",IFERROR(VLOOKUP($B41,资产台账!$B$4:$N$53,5,0)&amp;"",""))</f>
        <v/>
      </c>
      <c r="F41" s="44"/>
      <c r="G41" s="44"/>
      <c r="H41" s="44"/>
      <c r="I41" s="44"/>
      <c r="J41" s="44"/>
      <c r="K41" s="44"/>
      <c r="L41" s="44"/>
      <c r="M41" s="44"/>
      <c r="N41" s="44"/>
      <c r="O41" s="44"/>
      <c r="P41" s="44"/>
      <c r="Q41" s="44"/>
      <c r="R41" s="45" t="str">
        <f aca="false">IF($A41="","",SUM(H41:Q41))</f>
        <v/>
      </c>
      <c r="S41" s="45" t="str">
        <f aca="false">IF($A41="","",ROUND($F41-$G41-$R41,2))</f>
        <v/>
      </c>
      <c r="T41" s="28" t="str">
        <f aca="false">IF(OR($A41="",$F41=0),"",$R41/$F41)</f>
        <v/>
      </c>
      <c r="U41" s="35"/>
      <c r="V41" s="0" t="str">
        <f aca="false">IF($A41="","",$A41&amp;"|"&amp;$B41)</f>
        <v/>
      </c>
    </row>
    <row r="42" customFormat="false" ht="18" hidden="false" customHeight="true" outlineLevel="0" collapsed="false">
      <c r="A42" s="36"/>
      <c r="B42" s="36"/>
      <c r="C42" s="48" t="str">
        <f aca="false">IF($B42="","",IFERROR(VLOOKUP($B42,资产台账!$B$4:$N$53,2,0)&amp;"","台账中未登记"))</f>
        <v/>
      </c>
      <c r="D42" s="43" t="str">
        <f aca="false">IF($B42="","",IFERROR(VLOOKUP($B42,资产台账!$B$4:$N$53,3,0)&amp;"",""))</f>
        <v/>
      </c>
      <c r="E42" s="43" t="str">
        <f aca="false">IF($B42="","",IFERROR(VLOOKUP($B42,资产台账!$B$4:$N$53,5,0)&amp;"",""))</f>
        <v/>
      </c>
      <c r="F42" s="44"/>
      <c r="G42" s="44"/>
      <c r="H42" s="44"/>
      <c r="I42" s="44"/>
      <c r="J42" s="44"/>
      <c r="K42" s="44"/>
      <c r="L42" s="44"/>
      <c r="M42" s="44"/>
      <c r="N42" s="44"/>
      <c r="O42" s="44"/>
      <c r="P42" s="44"/>
      <c r="Q42" s="44"/>
      <c r="R42" s="45" t="str">
        <f aca="false">IF($A42="","",SUM(H42:Q42))</f>
        <v/>
      </c>
      <c r="S42" s="45" t="str">
        <f aca="false">IF($A42="","",ROUND($F42-$G42-$R42,2))</f>
        <v/>
      </c>
      <c r="T42" s="28" t="str">
        <f aca="false">IF(OR($A42="",$F42=0),"",$R42/$F42)</f>
        <v/>
      </c>
      <c r="U42" s="35"/>
      <c r="V42" s="0" t="str">
        <f aca="false">IF($A42="","",$A42&amp;"|"&amp;$B42)</f>
        <v/>
      </c>
    </row>
    <row r="43" customFormat="false" ht="18" hidden="false" customHeight="true" outlineLevel="0" collapsed="false">
      <c r="A43" s="36"/>
      <c r="B43" s="36"/>
      <c r="C43" s="48" t="str">
        <f aca="false">IF($B43="","",IFERROR(VLOOKUP($B43,资产台账!$B$4:$N$53,2,0)&amp;"","台账中未登记"))</f>
        <v/>
      </c>
      <c r="D43" s="43" t="str">
        <f aca="false">IF($B43="","",IFERROR(VLOOKUP($B43,资产台账!$B$4:$N$53,3,0)&amp;"",""))</f>
        <v/>
      </c>
      <c r="E43" s="43" t="str">
        <f aca="false">IF($B43="","",IFERROR(VLOOKUP($B43,资产台账!$B$4:$N$53,5,0)&amp;"",""))</f>
        <v/>
      </c>
      <c r="F43" s="44"/>
      <c r="G43" s="44"/>
      <c r="H43" s="44"/>
      <c r="I43" s="44"/>
      <c r="J43" s="44"/>
      <c r="K43" s="44"/>
      <c r="L43" s="44"/>
      <c r="M43" s="44"/>
      <c r="N43" s="44"/>
      <c r="O43" s="44"/>
      <c r="P43" s="44"/>
      <c r="Q43" s="44"/>
      <c r="R43" s="45" t="str">
        <f aca="false">IF($A43="","",SUM(H43:Q43))</f>
        <v/>
      </c>
      <c r="S43" s="45" t="str">
        <f aca="false">IF($A43="","",ROUND($F43-$G43-$R43,2))</f>
        <v/>
      </c>
      <c r="T43" s="28" t="str">
        <f aca="false">IF(OR($A43="",$F43=0),"",$R43/$F43)</f>
        <v/>
      </c>
      <c r="U43" s="35"/>
      <c r="V43" s="0" t="str">
        <f aca="false">IF($A43="","",$A43&amp;"|"&amp;$B43)</f>
        <v/>
      </c>
    </row>
    <row r="44" customFormat="false" ht="18" hidden="false" customHeight="true" outlineLevel="0" collapsed="false">
      <c r="A44" s="36"/>
      <c r="B44" s="36"/>
      <c r="C44" s="48" t="str">
        <f aca="false">IF($B44="","",IFERROR(VLOOKUP($B44,资产台账!$B$4:$N$53,2,0)&amp;"","台账中未登记"))</f>
        <v/>
      </c>
      <c r="D44" s="43" t="str">
        <f aca="false">IF($B44="","",IFERROR(VLOOKUP($B44,资产台账!$B$4:$N$53,3,0)&amp;"",""))</f>
        <v/>
      </c>
      <c r="E44" s="43" t="str">
        <f aca="false">IF($B44="","",IFERROR(VLOOKUP($B44,资产台账!$B$4:$N$53,5,0)&amp;"",""))</f>
        <v/>
      </c>
      <c r="F44" s="44"/>
      <c r="G44" s="44"/>
      <c r="H44" s="44"/>
      <c r="I44" s="44"/>
      <c r="J44" s="44"/>
      <c r="K44" s="44"/>
      <c r="L44" s="44"/>
      <c r="M44" s="44"/>
      <c r="N44" s="44"/>
      <c r="O44" s="44"/>
      <c r="P44" s="44"/>
      <c r="Q44" s="44"/>
      <c r="R44" s="45" t="str">
        <f aca="false">IF($A44="","",SUM(H44:Q44))</f>
        <v/>
      </c>
      <c r="S44" s="45" t="str">
        <f aca="false">IF($A44="","",ROUND($F44-$G44-$R44,2))</f>
        <v/>
      </c>
      <c r="T44" s="28" t="str">
        <f aca="false">IF(OR($A44="",$F44=0),"",$R44/$F44)</f>
        <v/>
      </c>
      <c r="U44" s="35"/>
      <c r="V44" s="0" t="str">
        <f aca="false">IF($A44="","",$A44&amp;"|"&amp;$B44)</f>
        <v/>
      </c>
    </row>
    <row r="45" customFormat="false" ht="18" hidden="false" customHeight="true" outlineLevel="0" collapsed="false">
      <c r="A45" s="36"/>
      <c r="B45" s="36"/>
      <c r="C45" s="48" t="str">
        <f aca="false">IF($B45="","",IFERROR(VLOOKUP($B45,资产台账!$B$4:$N$53,2,0)&amp;"","台账中未登记"))</f>
        <v/>
      </c>
      <c r="D45" s="43" t="str">
        <f aca="false">IF($B45="","",IFERROR(VLOOKUP($B45,资产台账!$B$4:$N$53,3,0)&amp;"",""))</f>
        <v/>
      </c>
      <c r="E45" s="43" t="str">
        <f aca="false">IF($B45="","",IFERROR(VLOOKUP($B45,资产台账!$B$4:$N$53,5,0)&amp;"",""))</f>
        <v/>
      </c>
      <c r="F45" s="44"/>
      <c r="G45" s="44"/>
      <c r="H45" s="44"/>
      <c r="I45" s="44"/>
      <c r="J45" s="44"/>
      <c r="K45" s="44"/>
      <c r="L45" s="44"/>
      <c r="M45" s="44"/>
      <c r="N45" s="44"/>
      <c r="O45" s="44"/>
      <c r="P45" s="44"/>
      <c r="Q45" s="44"/>
      <c r="R45" s="45" t="str">
        <f aca="false">IF($A45="","",SUM(H45:Q45))</f>
        <v/>
      </c>
      <c r="S45" s="45" t="str">
        <f aca="false">IF($A45="","",ROUND($F45-$G45-$R45,2))</f>
        <v/>
      </c>
      <c r="T45" s="28" t="str">
        <f aca="false">IF(OR($A45="",$F45=0),"",$R45/$F45)</f>
        <v/>
      </c>
      <c r="U45" s="35"/>
      <c r="V45" s="0" t="str">
        <f aca="false">IF($A45="","",$A45&amp;"|"&amp;$B45)</f>
        <v/>
      </c>
    </row>
    <row r="46" customFormat="false" ht="18" hidden="false" customHeight="true" outlineLevel="0" collapsed="false">
      <c r="A46" s="36"/>
      <c r="B46" s="36"/>
      <c r="C46" s="48" t="str">
        <f aca="false">IF($B46="","",IFERROR(VLOOKUP($B46,资产台账!$B$4:$N$53,2,0)&amp;"","台账中未登记"))</f>
        <v/>
      </c>
      <c r="D46" s="43" t="str">
        <f aca="false">IF($B46="","",IFERROR(VLOOKUP($B46,资产台账!$B$4:$N$53,3,0)&amp;"",""))</f>
        <v/>
      </c>
      <c r="E46" s="43" t="str">
        <f aca="false">IF($B46="","",IFERROR(VLOOKUP($B46,资产台账!$B$4:$N$53,5,0)&amp;"",""))</f>
        <v/>
      </c>
      <c r="F46" s="44"/>
      <c r="G46" s="44"/>
      <c r="H46" s="44"/>
      <c r="I46" s="44"/>
      <c r="J46" s="44"/>
      <c r="K46" s="44"/>
      <c r="L46" s="44"/>
      <c r="M46" s="44"/>
      <c r="N46" s="44"/>
      <c r="O46" s="44"/>
      <c r="P46" s="44"/>
      <c r="Q46" s="44"/>
      <c r="R46" s="45" t="str">
        <f aca="false">IF($A46="","",SUM(H46:Q46))</f>
        <v/>
      </c>
      <c r="S46" s="45" t="str">
        <f aca="false">IF($A46="","",ROUND($F46-$G46-$R46,2))</f>
        <v/>
      </c>
      <c r="T46" s="28" t="str">
        <f aca="false">IF(OR($A46="",$F46=0),"",$R46/$F46)</f>
        <v/>
      </c>
      <c r="U46" s="35"/>
      <c r="V46" s="0" t="str">
        <f aca="false">IF($A46="","",$A46&amp;"|"&amp;$B46)</f>
        <v/>
      </c>
    </row>
    <row r="47" customFormat="false" ht="18" hidden="false" customHeight="true" outlineLevel="0" collapsed="false">
      <c r="A47" s="36"/>
      <c r="B47" s="36"/>
      <c r="C47" s="48" t="str">
        <f aca="false">IF($B47="","",IFERROR(VLOOKUP($B47,资产台账!$B$4:$N$53,2,0)&amp;"","台账中未登记"))</f>
        <v/>
      </c>
      <c r="D47" s="43" t="str">
        <f aca="false">IF($B47="","",IFERROR(VLOOKUP($B47,资产台账!$B$4:$N$53,3,0)&amp;"",""))</f>
        <v/>
      </c>
      <c r="E47" s="43" t="str">
        <f aca="false">IF($B47="","",IFERROR(VLOOKUP($B47,资产台账!$B$4:$N$53,5,0)&amp;"",""))</f>
        <v/>
      </c>
      <c r="F47" s="44"/>
      <c r="G47" s="44"/>
      <c r="H47" s="44"/>
      <c r="I47" s="44"/>
      <c r="J47" s="44"/>
      <c r="K47" s="44"/>
      <c r="L47" s="44"/>
      <c r="M47" s="44"/>
      <c r="N47" s="44"/>
      <c r="O47" s="44"/>
      <c r="P47" s="44"/>
      <c r="Q47" s="44"/>
      <c r="R47" s="45" t="str">
        <f aca="false">IF($A47="","",SUM(H47:Q47))</f>
        <v/>
      </c>
      <c r="S47" s="45" t="str">
        <f aca="false">IF($A47="","",ROUND($F47-$G47-$R47,2))</f>
        <v/>
      </c>
      <c r="T47" s="28" t="str">
        <f aca="false">IF(OR($A47="",$F47=0),"",$R47/$F47)</f>
        <v/>
      </c>
      <c r="U47" s="35"/>
      <c r="V47" s="0" t="str">
        <f aca="false">IF($A47="","",$A47&amp;"|"&amp;$B47)</f>
        <v/>
      </c>
    </row>
    <row r="48" customFormat="false" ht="18" hidden="false" customHeight="true" outlineLevel="0" collapsed="false">
      <c r="A48" s="36"/>
      <c r="B48" s="36"/>
      <c r="C48" s="48" t="str">
        <f aca="false">IF($B48="","",IFERROR(VLOOKUP($B48,资产台账!$B$4:$N$53,2,0)&amp;"","台账中未登记"))</f>
        <v/>
      </c>
      <c r="D48" s="43" t="str">
        <f aca="false">IF($B48="","",IFERROR(VLOOKUP($B48,资产台账!$B$4:$N$53,3,0)&amp;"",""))</f>
        <v/>
      </c>
      <c r="E48" s="43" t="str">
        <f aca="false">IF($B48="","",IFERROR(VLOOKUP($B48,资产台账!$B$4:$N$53,5,0)&amp;"",""))</f>
        <v/>
      </c>
      <c r="F48" s="44"/>
      <c r="G48" s="44"/>
      <c r="H48" s="44"/>
      <c r="I48" s="44"/>
      <c r="J48" s="44"/>
      <c r="K48" s="44"/>
      <c r="L48" s="44"/>
      <c r="M48" s="44"/>
      <c r="N48" s="44"/>
      <c r="O48" s="44"/>
      <c r="P48" s="44"/>
      <c r="Q48" s="44"/>
      <c r="R48" s="45" t="str">
        <f aca="false">IF($A48="","",SUM(H48:Q48))</f>
        <v/>
      </c>
      <c r="S48" s="45" t="str">
        <f aca="false">IF($A48="","",ROUND($F48-$G48-$R48,2))</f>
        <v/>
      </c>
      <c r="T48" s="28" t="str">
        <f aca="false">IF(OR($A48="",$F48=0),"",$R48/$F48)</f>
        <v/>
      </c>
      <c r="U48" s="35"/>
      <c r="V48" s="0" t="str">
        <f aca="false">IF($A48="","",$A48&amp;"|"&amp;$B48)</f>
        <v/>
      </c>
    </row>
    <row r="49" customFormat="false" ht="18" hidden="false" customHeight="true" outlineLevel="0" collapsed="false">
      <c r="A49" s="36"/>
      <c r="B49" s="36"/>
      <c r="C49" s="48" t="str">
        <f aca="false">IF($B49="","",IFERROR(VLOOKUP($B49,资产台账!$B$4:$N$53,2,0)&amp;"","台账中未登记"))</f>
        <v/>
      </c>
      <c r="D49" s="43" t="str">
        <f aca="false">IF($B49="","",IFERROR(VLOOKUP($B49,资产台账!$B$4:$N$53,3,0)&amp;"",""))</f>
        <v/>
      </c>
      <c r="E49" s="43" t="str">
        <f aca="false">IF($B49="","",IFERROR(VLOOKUP($B49,资产台账!$B$4:$N$53,5,0)&amp;"",""))</f>
        <v/>
      </c>
      <c r="F49" s="44"/>
      <c r="G49" s="44"/>
      <c r="H49" s="44"/>
      <c r="I49" s="44"/>
      <c r="J49" s="44"/>
      <c r="K49" s="44"/>
      <c r="L49" s="44"/>
      <c r="M49" s="44"/>
      <c r="N49" s="44"/>
      <c r="O49" s="44"/>
      <c r="P49" s="44"/>
      <c r="Q49" s="44"/>
      <c r="R49" s="45" t="str">
        <f aca="false">IF($A49="","",SUM(H49:Q49))</f>
        <v/>
      </c>
      <c r="S49" s="45" t="str">
        <f aca="false">IF($A49="","",ROUND($F49-$G49-$R49,2))</f>
        <v/>
      </c>
      <c r="T49" s="28" t="str">
        <f aca="false">IF(OR($A49="",$F49=0),"",$R49/$F49)</f>
        <v/>
      </c>
      <c r="U49" s="35"/>
      <c r="V49" s="0" t="str">
        <f aca="false">IF($A49="","",$A49&amp;"|"&amp;$B49)</f>
        <v/>
      </c>
    </row>
    <row r="50" customFormat="false" ht="18" hidden="false" customHeight="true" outlineLevel="0" collapsed="false">
      <c r="A50" s="36"/>
      <c r="B50" s="36"/>
      <c r="C50" s="48" t="str">
        <f aca="false">IF($B50="","",IFERROR(VLOOKUP($B50,资产台账!$B$4:$N$53,2,0)&amp;"","台账中未登记"))</f>
        <v/>
      </c>
      <c r="D50" s="43" t="str">
        <f aca="false">IF($B50="","",IFERROR(VLOOKUP($B50,资产台账!$B$4:$N$53,3,0)&amp;"",""))</f>
        <v/>
      </c>
      <c r="E50" s="43" t="str">
        <f aca="false">IF($B50="","",IFERROR(VLOOKUP($B50,资产台账!$B$4:$N$53,5,0)&amp;"",""))</f>
        <v/>
      </c>
      <c r="F50" s="44"/>
      <c r="G50" s="44"/>
      <c r="H50" s="44"/>
      <c r="I50" s="44"/>
      <c r="J50" s="44"/>
      <c r="K50" s="44"/>
      <c r="L50" s="44"/>
      <c r="M50" s="44"/>
      <c r="N50" s="44"/>
      <c r="O50" s="44"/>
      <c r="P50" s="44"/>
      <c r="Q50" s="44"/>
      <c r="R50" s="45" t="str">
        <f aca="false">IF($A50="","",SUM(H50:Q50))</f>
        <v/>
      </c>
      <c r="S50" s="45" t="str">
        <f aca="false">IF($A50="","",ROUND($F50-$G50-$R50,2))</f>
        <v/>
      </c>
      <c r="T50" s="28" t="str">
        <f aca="false">IF(OR($A50="",$F50=0),"",$R50/$F50)</f>
        <v/>
      </c>
      <c r="U50" s="35"/>
      <c r="V50" s="0" t="str">
        <f aca="false">IF($A50="","",$A50&amp;"|"&amp;$B50)</f>
        <v/>
      </c>
    </row>
    <row r="51" customFormat="false" ht="18" hidden="false" customHeight="true" outlineLevel="0" collapsed="false">
      <c r="A51" s="36"/>
      <c r="B51" s="36"/>
      <c r="C51" s="48" t="str">
        <f aca="false">IF($B51="","",IFERROR(VLOOKUP($B51,资产台账!$B$4:$N$53,2,0)&amp;"","台账中未登记"))</f>
        <v/>
      </c>
      <c r="D51" s="43" t="str">
        <f aca="false">IF($B51="","",IFERROR(VLOOKUP($B51,资产台账!$B$4:$N$53,3,0)&amp;"",""))</f>
        <v/>
      </c>
      <c r="E51" s="43" t="str">
        <f aca="false">IF($B51="","",IFERROR(VLOOKUP($B51,资产台账!$B$4:$N$53,5,0)&amp;"",""))</f>
        <v/>
      </c>
      <c r="F51" s="44"/>
      <c r="G51" s="44"/>
      <c r="H51" s="44"/>
      <c r="I51" s="44"/>
      <c r="J51" s="44"/>
      <c r="K51" s="44"/>
      <c r="L51" s="44"/>
      <c r="M51" s="44"/>
      <c r="N51" s="44"/>
      <c r="O51" s="44"/>
      <c r="P51" s="44"/>
      <c r="Q51" s="44"/>
      <c r="R51" s="45" t="str">
        <f aca="false">IF($A51="","",SUM(H51:Q51))</f>
        <v/>
      </c>
      <c r="S51" s="45" t="str">
        <f aca="false">IF($A51="","",ROUND($F51-$G51-$R51,2))</f>
        <v/>
      </c>
      <c r="T51" s="28" t="str">
        <f aca="false">IF(OR($A51="",$F51=0),"",$R51/$F51)</f>
        <v/>
      </c>
      <c r="U51" s="35"/>
      <c r="V51" s="0" t="str">
        <f aca="false">IF($A51="","",$A51&amp;"|"&amp;$B51)</f>
        <v/>
      </c>
    </row>
    <row r="52" customFormat="false" ht="18" hidden="false" customHeight="true" outlineLevel="0" collapsed="false">
      <c r="A52" s="36"/>
      <c r="B52" s="36"/>
      <c r="C52" s="48" t="str">
        <f aca="false">IF($B52="","",IFERROR(VLOOKUP($B52,资产台账!$B$4:$N$53,2,0)&amp;"","台账中未登记"))</f>
        <v/>
      </c>
      <c r="D52" s="43" t="str">
        <f aca="false">IF($B52="","",IFERROR(VLOOKUP($B52,资产台账!$B$4:$N$53,3,0)&amp;"",""))</f>
        <v/>
      </c>
      <c r="E52" s="43" t="str">
        <f aca="false">IF($B52="","",IFERROR(VLOOKUP($B52,资产台账!$B$4:$N$53,5,0)&amp;"",""))</f>
        <v/>
      </c>
      <c r="F52" s="44"/>
      <c r="G52" s="44"/>
      <c r="H52" s="44"/>
      <c r="I52" s="44"/>
      <c r="J52" s="44"/>
      <c r="K52" s="44"/>
      <c r="L52" s="44"/>
      <c r="M52" s="44"/>
      <c r="N52" s="44"/>
      <c r="O52" s="44"/>
      <c r="P52" s="44"/>
      <c r="Q52" s="44"/>
      <c r="R52" s="45" t="str">
        <f aca="false">IF($A52="","",SUM(H52:Q52))</f>
        <v/>
      </c>
      <c r="S52" s="45" t="str">
        <f aca="false">IF($A52="","",ROUND($F52-$G52-$R52,2))</f>
        <v/>
      </c>
      <c r="T52" s="28" t="str">
        <f aca="false">IF(OR($A52="",$F52=0),"",$R52/$F52)</f>
        <v/>
      </c>
      <c r="U52" s="35"/>
      <c r="V52" s="0" t="str">
        <f aca="false">IF($A52="","",$A52&amp;"|"&amp;$B52)</f>
        <v/>
      </c>
    </row>
    <row r="53" customFormat="false" ht="18" hidden="false" customHeight="true" outlineLevel="0" collapsed="false">
      <c r="A53" s="36"/>
      <c r="B53" s="36"/>
      <c r="C53" s="48" t="str">
        <f aca="false">IF($B53="","",IFERROR(VLOOKUP($B53,资产台账!$B$4:$N$53,2,0)&amp;"","台账中未登记"))</f>
        <v/>
      </c>
      <c r="D53" s="43" t="str">
        <f aca="false">IF($B53="","",IFERROR(VLOOKUP($B53,资产台账!$B$4:$N$53,3,0)&amp;"",""))</f>
        <v/>
      </c>
      <c r="E53" s="43" t="str">
        <f aca="false">IF($B53="","",IFERROR(VLOOKUP($B53,资产台账!$B$4:$N$53,5,0)&amp;"",""))</f>
        <v/>
      </c>
      <c r="F53" s="44"/>
      <c r="G53" s="44"/>
      <c r="H53" s="44"/>
      <c r="I53" s="44"/>
      <c r="J53" s="44"/>
      <c r="K53" s="44"/>
      <c r="L53" s="44"/>
      <c r="M53" s="44"/>
      <c r="N53" s="44"/>
      <c r="O53" s="44"/>
      <c r="P53" s="44"/>
      <c r="Q53" s="44"/>
      <c r="R53" s="45" t="str">
        <f aca="false">IF($A53="","",SUM(H53:Q53))</f>
        <v/>
      </c>
      <c r="S53" s="45" t="str">
        <f aca="false">IF($A53="","",ROUND($F53-$G53-$R53,2))</f>
        <v/>
      </c>
      <c r="T53" s="28" t="str">
        <f aca="false">IF(OR($A53="",$F53=0),"",$R53/$F53)</f>
        <v/>
      </c>
      <c r="U53" s="35"/>
      <c r="V53" s="0" t="str">
        <f aca="false">IF($A53="","",$A53&amp;"|"&amp;$B53)</f>
        <v/>
      </c>
    </row>
    <row r="54" customFormat="false" ht="18" hidden="false" customHeight="true" outlineLevel="0" collapsed="false">
      <c r="A54" s="36"/>
      <c r="B54" s="36"/>
      <c r="C54" s="48" t="str">
        <f aca="false">IF($B54="","",IFERROR(VLOOKUP($B54,资产台账!$B$4:$N$53,2,0)&amp;"","台账中未登记"))</f>
        <v/>
      </c>
      <c r="D54" s="43" t="str">
        <f aca="false">IF($B54="","",IFERROR(VLOOKUP($B54,资产台账!$B$4:$N$53,3,0)&amp;"",""))</f>
        <v/>
      </c>
      <c r="E54" s="43" t="str">
        <f aca="false">IF($B54="","",IFERROR(VLOOKUP($B54,资产台账!$B$4:$N$53,5,0)&amp;"",""))</f>
        <v/>
      </c>
      <c r="F54" s="44"/>
      <c r="G54" s="44"/>
      <c r="H54" s="44"/>
      <c r="I54" s="44"/>
      <c r="J54" s="44"/>
      <c r="K54" s="44"/>
      <c r="L54" s="44"/>
      <c r="M54" s="44"/>
      <c r="N54" s="44"/>
      <c r="O54" s="44"/>
      <c r="P54" s="44"/>
      <c r="Q54" s="44"/>
      <c r="R54" s="45" t="str">
        <f aca="false">IF($A54="","",SUM(H54:Q54))</f>
        <v/>
      </c>
      <c r="S54" s="45" t="str">
        <f aca="false">IF($A54="","",ROUND($F54-$G54-$R54,2))</f>
        <v/>
      </c>
      <c r="T54" s="28" t="str">
        <f aca="false">IF(OR($A54="",$F54=0),"",$R54/$F54)</f>
        <v/>
      </c>
      <c r="U54" s="35"/>
      <c r="V54" s="0" t="str">
        <f aca="false">IF($A54="","",$A54&amp;"|"&amp;$B54)</f>
        <v/>
      </c>
    </row>
    <row r="55" customFormat="false" ht="18" hidden="false" customHeight="true" outlineLevel="0" collapsed="false">
      <c r="A55" s="36"/>
      <c r="B55" s="36"/>
      <c r="C55" s="48" t="str">
        <f aca="false">IF($B55="","",IFERROR(VLOOKUP($B55,资产台账!$B$4:$N$53,2,0)&amp;"","台账中未登记"))</f>
        <v/>
      </c>
      <c r="D55" s="43" t="str">
        <f aca="false">IF($B55="","",IFERROR(VLOOKUP($B55,资产台账!$B$4:$N$53,3,0)&amp;"",""))</f>
        <v/>
      </c>
      <c r="E55" s="43" t="str">
        <f aca="false">IF($B55="","",IFERROR(VLOOKUP($B55,资产台账!$B$4:$N$53,5,0)&amp;"",""))</f>
        <v/>
      </c>
      <c r="F55" s="44"/>
      <c r="G55" s="44"/>
      <c r="H55" s="44"/>
      <c r="I55" s="44"/>
      <c r="J55" s="44"/>
      <c r="K55" s="44"/>
      <c r="L55" s="44"/>
      <c r="M55" s="44"/>
      <c r="N55" s="44"/>
      <c r="O55" s="44"/>
      <c r="P55" s="44"/>
      <c r="Q55" s="44"/>
      <c r="R55" s="45" t="str">
        <f aca="false">IF($A55="","",SUM(H55:Q55))</f>
        <v/>
      </c>
      <c r="S55" s="45" t="str">
        <f aca="false">IF($A55="","",ROUND($F55-$G55-$R55,2))</f>
        <v/>
      </c>
      <c r="T55" s="28" t="str">
        <f aca="false">IF(OR($A55="",$F55=0),"",$R55/$F55)</f>
        <v/>
      </c>
      <c r="U55" s="35"/>
      <c r="V55" s="0" t="str">
        <f aca="false">IF($A55="","",$A55&amp;"|"&amp;$B55)</f>
        <v/>
      </c>
    </row>
    <row r="56" customFormat="false" ht="18" hidden="false" customHeight="true" outlineLevel="0" collapsed="false">
      <c r="A56" s="36"/>
      <c r="B56" s="36"/>
      <c r="C56" s="48" t="str">
        <f aca="false">IF($B56="","",IFERROR(VLOOKUP($B56,资产台账!$B$4:$N$53,2,0)&amp;"","台账中未登记"))</f>
        <v/>
      </c>
      <c r="D56" s="43" t="str">
        <f aca="false">IF($B56="","",IFERROR(VLOOKUP($B56,资产台账!$B$4:$N$53,3,0)&amp;"",""))</f>
        <v/>
      </c>
      <c r="E56" s="43" t="str">
        <f aca="false">IF($B56="","",IFERROR(VLOOKUP($B56,资产台账!$B$4:$N$53,5,0)&amp;"",""))</f>
        <v/>
      </c>
      <c r="F56" s="44"/>
      <c r="G56" s="44"/>
      <c r="H56" s="44"/>
      <c r="I56" s="44"/>
      <c r="J56" s="44"/>
      <c r="K56" s="44"/>
      <c r="L56" s="44"/>
      <c r="M56" s="44"/>
      <c r="N56" s="44"/>
      <c r="O56" s="44"/>
      <c r="P56" s="44"/>
      <c r="Q56" s="44"/>
      <c r="R56" s="45" t="str">
        <f aca="false">IF($A56="","",SUM(H56:Q56))</f>
        <v/>
      </c>
      <c r="S56" s="45" t="str">
        <f aca="false">IF($A56="","",ROUND($F56-$G56-$R56,2))</f>
        <v/>
      </c>
      <c r="T56" s="28" t="str">
        <f aca="false">IF(OR($A56="",$F56=0),"",$R56/$F56)</f>
        <v/>
      </c>
      <c r="U56" s="35"/>
      <c r="V56" s="0" t="str">
        <f aca="false">IF($A56="","",$A56&amp;"|"&amp;$B56)</f>
        <v/>
      </c>
    </row>
    <row r="57" customFormat="false" ht="18" hidden="false" customHeight="true" outlineLevel="0" collapsed="false">
      <c r="A57" s="36"/>
      <c r="B57" s="36"/>
      <c r="C57" s="48" t="str">
        <f aca="false">IF($B57="","",IFERROR(VLOOKUP($B57,资产台账!$B$4:$N$53,2,0)&amp;"","台账中未登记"))</f>
        <v/>
      </c>
      <c r="D57" s="43" t="str">
        <f aca="false">IF($B57="","",IFERROR(VLOOKUP($B57,资产台账!$B$4:$N$53,3,0)&amp;"",""))</f>
        <v/>
      </c>
      <c r="E57" s="43" t="str">
        <f aca="false">IF($B57="","",IFERROR(VLOOKUP($B57,资产台账!$B$4:$N$53,5,0)&amp;"",""))</f>
        <v/>
      </c>
      <c r="F57" s="44"/>
      <c r="G57" s="44"/>
      <c r="H57" s="44"/>
      <c r="I57" s="44"/>
      <c r="J57" s="44"/>
      <c r="K57" s="44"/>
      <c r="L57" s="44"/>
      <c r="M57" s="44"/>
      <c r="N57" s="44"/>
      <c r="O57" s="44"/>
      <c r="P57" s="44"/>
      <c r="Q57" s="44"/>
      <c r="R57" s="45" t="str">
        <f aca="false">IF($A57="","",SUM(H57:Q57))</f>
        <v/>
      </c>
      <c r="S57" s="45" t="str">
        <f aca="false">IF($A57="","",ROUND($F57-$G57-$R57,2))</f>
        <v/>
      </c>
      <c r="T57" s="28" t="str">
        <f aca="false">IF(OR($A57="",$F57=0),"",$R57/$F57)</f>
        <v/>
      </c>
      <c r="U57" s="35"/>
      <c r="V57" s="0" t="str">
        <f aca="false">IF($A57="","",$A57&amp;"|"&amp;$B57)</f>
        <v/>
      </c>
    </row>
    <row r="58" customFormat="false" ht="18" hidden="false" customHeight="true" outlineLevel="0" collapsed="false">
      <c r="A58" s="36"/>
      <c r="B58" s="36"/>
      <c r="C58" s="48" t="str">
        <f aca="false">IF($B58="","",IFERROR(VLOOKUP($B58,资产台账!$B$4:$N$53,2,0)&amp;"","台账中未登记"))</f>
        <v/>
      </c>
      <c r="D58" s="43" t="str">
        <f aca="false">IF($B58="","",IFERROR(VLOOKUP($B58,资产台账!$B$4:$N$53,3,0)&amp;"",""))</f>
        <v/>
      </c>
      <c r="E58" s="43" t="str">
        <f aca="false">IF($B58="","",IFERROR(VLOOKUP($B58,资产台账!$B$4:$N$53,5,0)&amp;"",""))</f>
        <v/>
      </c>
      <c r="F58" s="44"/>
      <c r="G58" s="44"/>
      <c r="H58" s="44"/>
      <c r="I58" s="44"/>
      <c r="J58" s="44"/>
      <c r="K58" s="44"/>
      <c r="L58" s="44"/>
      <c r="M58" s="44"/>
      <c r="N58" s="44"/>
      <c r="O58" s="44"/>
      <c r="P58" s="44"/>
      <c r="Q58" s="44"/>
      <c r="R58" s="45" t="str">
        <f aca="false">IF($A58="","",SUM(H58:Q58))</f>
        <v/>
      </c>
      <c r="S58" s="45" t="str">
        <f aca="false">IF($A58="","",ROUND($F58-$G58-$R58,2))</f>
        <v/>
      </c>
      <c r="T58" s="28" t="str">
        <f aca="false">IF(OR($A58="",$F58=0),"",$R58/$F58)</f>
        <v/>
      </c>
      <c r="U58" s="35"/>
      <c r="V58" s="0" t="str">
        <f aca="false">IF($A58="","",$A58&amp;"|"&amp;$B58)</f>
        <v/>
      </c>
    </row>
    <row r="59" customFormat="false" ht="18" hidden="false" customHeight="true" outlineLevel="0" collapsed="false">
      <c r="A59" s="36"/>
      <c r="B59" s="36"/>
      <c r="C59" s="48" t="str">
        <f aca="false">IF($B59="","",IFERROR(VLOOKUP($B59,资产台账!$B$4:$N$53,2,0)&amp;"","台账中未登记"))</f>
        <v/>
      </c>
      <c r="D59" s="43" t="str">
        <f aca="false">IF($B59="","",IFERROR(VLOOKUP($B59,资产台账!$B$4:$N$53,3,0)&amp;"",""))</f>
        <v/>
      </c>
      <c r="E59" s="43" t="str">
        <f aca="false">IF($B59="","",IFERROR(VLOOKUP($B59,资产台账!$B$4:$N$53,5,0)&amp;"",""))</f>
        <v/>
      </c>
      <c r="F59" s="44"/>
      <c r="G59" s="44"/>
      <c r="H59" s="44"/>
      <c r="I59" s="44"/>
      <c r="J59" s="44"/>
      <c r="K59" s="44"/>
      <c r="L59" s="44"/>
      <c r="M59" s="44"/>
      <c r="N59" s="44"/>
      <c r="O59" s="44"/>
      <c r="P59" s="44"/>
      <c r="Q59" s="44"/>
      <c r="R59" s="45" t="str">
        <f aca="false">IF($A59="","",SUM(H59:Q59))</f>
        <v/>
      </c>
      <c r="S59" s="45" t="str">
        <f aca="false">IF($A59="","",ROUND($F59-$G59-$R59,2))</f>
        <v/>
      </c>
      <c r="T59" s="28" t="str">
        <f aca="false">IF(OR($A59="",$F59=0),"",$R59/$F59)</f>
        <v/>
      </c>
      <c r="U59" s="35"/>
      <c r="V59" s="0" t="str">
        <f aca="false">IF($A59="","",$A59&amp;"|"&amp;$B59)</f>
        <v/>
      </c>
    </row>
    <row r="60" customFormat="false" ht="18" hidden="false" customHeight="true" outlineLevel="0" collapsed="false">
      <c r="A60" s="36"/>
      <c r="B60" s="36"/>
      <c r="C60" s="48" t="str">
        <f aca="false">IF($B60="","",IFERROR(VLOOKUP($B60,资产台账!$B$4:$N$53,2,0)&amp;"","台账中未登记"))</f>
        <v/>
      </c>
      <c r="D60" s="43" t="str">
        <f aca="false">IF($B60="","",IFERROR(VLOOKUP($B60,资产台账!$B$4:$N$53,3,0)&amp;"",""))</f>
        <v/>
      </c>
      <c r="E60" s="43" t="str">
        <f aca="false">IF($B60="","",IFERROR(VLOOKUP($B60,资产台账!$B$4:$N$53,5,0)&amp;"",""))</f>
        <v/>
      </c>
      <c r="F60" s="44"/>
      <c r="G60" s="44"/>
      <c r="H60" s="44"/>
      <c r="I60" s="44"/>
      <c r="J60" s="44"/>
      <c r="K60" s="44"/>
      <c r="L60" s="44"/>
      <c r="M60" s="44"/>
      <c r="N60" s="44"/>
      <c r="O60" s="44"/>
      <c r="P60" s="44"/>
      <c r="Q60" s="44"/>
      <c r="R60" s="45" t="str">
        <f aca="false">IF($A60="","",SUM(H60:Q60))</f>
        <v/>
      </c>
      <c r="S60" s="45" t="str">
        <f aca="false">IF($A60="","",ROUND($F60-$G60-$R60,2))</f>
        <v/>
      </c>
      <c r="T60" s="28" t="str">
        <f aca="false">IF(OR($A60="",$F60=0),"",$R60/$F60)</f>
        <v/>
      </c>
      <c r="U60" s="35"/>
      <c r="V60" s="0" t="str">
        <f aca="false">IF($A60="","",$A60&amp;"|"&amp;$B60)</f>
        <v/>
      </c>
    </row>
    <row r="61" customFormat="false" ht="18" hidden="false" customHeight="true" outlineLevel="0" collapsed="false">
      <c r="A61" s="36"/>
      <c r="B61" s="36"/>
      <c r="C61" s="48" t="str">
        <f aca="false">IF($B61="","",IFERROR(VLOOKUP($B61,资产台账!$B$4:$N$53,2,0)&amp;"","台账中未登记"))</f>
        <v/>
      </c>
      <c r="D61" s="43" t="str">
        <f aca="false">IF($B61="","",IFERROR(VLOOKUP($B61,资产台账!$B$4:$N$53,3,0)&amp;"",""))</f>
        <v/>
      </c>
      <c r="E61" s="43" t="str">
        <f aca="false">IF($B61="","",IFERROR(VLOOKUP($B61,资产台账!$B$4:$N$53,5,0)&amp;"",""))</f>
        <v/>
      </c>
      <c r="F61" s="44"/>
      <c r="G61" s="44"/>
      <c r="H61" s="44"/>
      <c r="I61" s="44"/>
      <c r="J61" s="44"/>
      <c r="K61" s="44"/>
      <c r="L61" s="44"/>
      <c r="M61" s="44"/>
      <c r="N61" s="44"/>
      <c r="O61" s="44"/>
      <c r="P61" s="44"/>
      <c r="Q61" s="44"/>
      <c r="R61" s="45" t="str">
        <f aca="false">IF($A61="","",SUM(H61:Q61))</f>
        <v/>
      </c>
      <c r="S61" s="45" t="str">
        <f aca="false">IF($A61="","",ROUND($F61-$G61-$R61,2))</f>
        <v/>
      </c>
      <c r="T61" s="28" t="str">
        <f aca="false">IF(OR($A61="",$F61=0),"",$R61/$F61)</f>
        <v/>
      </c>
      <c r="U61" s="35"/>
      <c r="V61" s="0" t="str">
        <f aca="false">IF($A61="","",$A61&amp;"|"&amp;$B61)</f>
        <v/>
      </c>
    </row>
    <row r="62" customFormat="false" ht="18" hidden="false" customHeight="true" outlineLevel="0" collapsed="false">
      <c r="A62" s="36"/>
      <c r="B62" s="36"/>
      <c r="C62" s="48" t="str">
        <f aca="false">IF($B62="","",IFERROR(VLOOKUP($B62,资产台账!$B$4:$N$53,2,0)&amp;"","台账中未登记"))</f>
        <v/>
      </c>
      <c r="D62" s="43" t="str">
        <f aca="false">IF($B62="","",IFERROR(VLOOKUP($B62,资产台账!$B$4:$N$53,3,0)&amp;"",""))</f>
        <v/>
      </c>
      <c r="E62" s="43" t="str">
        <f aca="false">IF($B62="","",IFERROR(VLOOKUP($B62,资产台账!$B$4:$N$53,5,0)&amp;"",""))</f>
        <v/>
      </c>
      <c r="F62" s="44"/>
      <c r="G62" s="44"/>
      <c r="H62" s="44"/>
      <c r="I62" s="44"/>
      <c r="J62" s="44"/>
      <c r="K62" s="44"/>
      <c r="L62" s="44"/>
      <c r="M62" s="44"/>
      <c r="N62" s="44"/>
      <c r="O62" s="44"/>
      <c r="P62" s="44"/>
      <c r="Q62" s="44"/>
      <c r="R62" s="45" t="str">
        <f aca="false">IF($A62="","",SUM(H62:Q62))</f>
        <v/>
      </c>
      <c r="S62" s="45" t="str">
        <f aca="false">IF($A62="","",ROUND($F62-$G62-$R62,2))</f>
        <v/>
      </c>
      <c r="T62" s="28" t="str">
        <f aca="false">IF(OR($A62="",$F62=0),"",$R62/$F62)</f>
        <v/>
      </c>
      <c r="U62" s="35"/>
      <c r="V62" s="0" t="str">
        <f aca="false">IF($A62="","",$A62&amp;"|"&amp;$B62)</f>
        <v/>
      </c>
    </row>
    <row r="63" customFormat="false" ht="18" hidden="false" customHeight="true" outlineLevel="0" collapsed="false">
      <c r="A63" s="36"/>
      <c r="B63" s="36"/>
      <c r="C63" s="48" t="str">
        <f aca="false">IF($B63="","",IFERROR(VLOOKUP($B63,资产台账!$B$4:$N$53,2,0)&amp;"","台账中未登记"))</f>
        <v/>
      </c>
      <c r="D63" s="43" t="str">
        <f aca="false">IF($B63="","",IFERROR(VLOOKUP($B63,资产台账!$B$4:$N$53,3,0)&amp;"",""))</f>
        <v/>
      </c>
      <c r="E63" s="43" t="str">
        <f aca="false">IF($B63="","",IFERROR(VLOOKUP($B63,资产台账!$B$4:$N$53,5,0)&amp;"",""))</f>
        <v/>
      </c>
      <c r="F63" s="44"/>
      <c r="G63" s="44"/>
      <c r="H63" s="44"/>
      <c r="I63" s="44"/>
      <c r="J63" s="44"/>
      <c r="K63" s="44"/>
      <c r="L63" s="44"/>
      <c r="M63" s="44"/>
      <c r="N63" s="44"/>
      <c r="O63" s="44"/>
      <c r="P63" s="44"/>
      <c r="Q63" s="44"/>
      <c r="R63" s="45" t="str">
        <f aca="false">IF($A63="","",SUM(H63:Q63))</f>
        <v/>
      </c>
      <c r="S63" s="45" t="str">
        <f aca="false">IF($A63="","",ROUND($F63-$G63-$R63,2))</f>
        <v/>
      </c>
      <c r="T63" s="28" t="str">
        <f aca="false">IF(OR($A63="",$F63=0),"",$R63/$F63)</f>
        <v/>
      </c>
      <c r="U63" s="35"/>
      <c r="V63" s="0" t="str">
        <f aca="false">IF($A63="","",$A63&amp;"|"&amp;$B63)</f>
        <v/>
      </c>
    </row>
    <row r="64" customFormat="false" ht="18" hidden="false" customHeight="true" outlineLevel="0" collapsed="false">
      <c r="A64" s="36"/>
      <c r="B64" s="36"/>
      <c r="C64" s="48" t="str">
        <f aca="false">IF($B64="","",IFERROR(VLOOKUP($B64,资产台账!$B$4:$N$53,2,0)&amp;"","台账中未登记"))</f>
        <v/>
      </c>
      <c r="D64" s="43" t="str">
        <f aca="false">IF($B64="","",IFERROR(VLOOKUP($B64,资产台账!$B$4:$N$53,3,0)&amp;"",""))</f>
        <v/>
      </c>
      <c r="E64" s="43" t="str">
        <f aca="false">IF($B64="","",IFERROR(VLOOKUP($B64,资产台账!$B$4:$N$53,5,0)&amp;"",""))</f>
        <v/>
      </c>
      <c r="F64" s="44"/>
      <c r="G64" s="44"/>
      <c r="H64" s="44"/>
      <c r="I64" s="44"/>
      <c r="J64" s="44"/>
      <c r="K64" s="44"/>
      <c r="L64" s="44"/>
      <c r="M64" s="44"/>
      <c r="N64" s="44"/>
      <c r="O64" s="44"/>
      <c r="P64" s="44"/>
      <c r="Q64" s="44"/>
      <c r="R64" s="45" t="str">
        <f aca="false">IF($A64="","",SUM(H64:Q64))</f>
        <v/>
      </c>
      <c r="S64" s="45" t="str">
        <f aca="false">IF($A64="","",ROUND($F64-$G64-$R64,2))</f>
        <v/>
      </c>
      <c r="T64" s="28" t="str">
        <f aca="false">IF(OR($A64="",$F64=0),"",$R64/$F64)</f>
        <v/>
      </c>
      <c r="U64" s="35"/>
      <c r="V64" s="0" t="str">
        <f aca="false">IF($A64="","",$A64&amp;"|"&amp;$B64)</f>
        <v/>
      </c>
    </row>
    <row r="65" customFormat="false" ht="18" hidden="false" customHeight="true" outlineLevel="0" collapsed="false">
      <c r="A65" s="36"/>
      <c r="B65" s="36"/>
      <c r="C65" s="48" t="str">
        <f aca="false">IF($B65="","",IFERROR(VLOOKUP($B65,资产台账!$B$4:$N$53,2,0)&amp;"","台账中未登记"))</f>
        <v/>
      </c>
      <c r="D65" s="43" t="str">
        <f aca="false">IF($B65="","",IFERROR(VLOOKUP($B65,资产台账!$B$4:$N$53,3,0)&amp;"",""))</f>
        <v/>
      </c>
      <c r="E65" s="43" t="str">
        <f aca="false">IF($B65="","",IFERROR(VLOOKUP($B65,资产台账!$B$4:$N$53,5,0)&amp;"",""))</f>
        <v/>
      </c>
      <c r="F65" s="44"/>
      <c r="G65" s="44"/>
      <c r="H65" s="44"/>
      <c r="I65" s="44"/>
      <c r="J65" s="44"/>
      <c r="K65" s="44"/>
      <c r="L65" s="44"/>
      <c r="M65" s="44"/>
      <c r="N65" s="44"/>
      <c r="O65" s="44"/>
      <c r="P65" s="44"/>
      <c r="Q65" s="44"/>
      <c r="R65" s="45" t="str">
        <f aca="false">IF($A65="","",SUM(H65:Q65))</f>
        <v/>
      </c>
      <c r="S65" s="45" t="str">
        <f aca="false">IF($A65="","",ROUND($F65-$G65-$R65,2))</f>
        <v/>
      </c>
      <c r="T65" s="28" t="str">
        <f aca="false">IF(OR($A65="",$F65=0),"",$R65/$F65)</f>
        <v/>
      </c>
      <c r="U65" s="35"/>
      <c r="V65" s="0" t="str">
        <f aca="false">IF($A65="","",$A65&amp;"|"&amp;$B65)</f>
        <v/>
      </c>
    </row>
    <row r="66" customFormat="false" ht="18" hidden="false" customHeight="true" outlineLevel="0" collapsed="false">
      <c r="A66" s="36"/>
      <c r="B66" s="36"/>
      <c r="C66" s="48" t="str">
        <f aca="false">IF($B66="","",IFERROR(VLOOKUP($B66,资产台账!$B$4:$N$53,2,0)&amp;"","台账中未登记"))</f>
        <v/>
      </c>
      <c r="D66" s="43" t="str">
        <f aca="false">IF($B66="","",IFERROR(VLOOKUP($B66,资产台账!$B$4:$N$53,3,0)&amp;"",""))</f>
        <v/>
      </c>
      <c r="E66" s="43" t="str">
        <f aca="false">IF($B66="","",IFERROR(VLOOKUP($B66,资产台账!$B$4:$N$53,5,0)&amp;"",""))</f>
        <v/>
      </c>
      <c r="F66" s="44"/>
      <c r="G66" s="44"/>
      <c r="H66" s="44"/>
      <c r="I66" s="44"/>
      <c r="J66" s="44"/>
      <c r="K66" s="44"/>
      <c r="L66" s="44"/>
      <c r="M66" s="44"/>
      <c r="N66" s="44"/>
      <c r="O66" s="44"/>
      <c r="P66" s="44"/>
      <c r="Q66" s="44"/>
      <c r="R66" s="45" t="str">
        <f aca="false">IF($A66="","",SUM(H66:Q66))</f>
        <v/>
      </c>
      <c r="S66" s="45" t="str">
        <f aca="false">IF($A66="","",ROUND($F66-$G66-$R66,2))</f>
        <v/>
      </c>
      <c r="T66" s="28" t="str">
        <f aca="false">IF(OR($A66="",$F66=0),"",$R66/$F66)</f>
        <v/>
      </c>
      <c r="U66" s="35"/>
      <c r="V66" s="0" t="str">
        <f aca="false">IF($A66="","",$A66&amp;"|"&amp;$B66)</f>
        <v/>
      </c>
    </row>
    <row r="67" customFormat="false" ht="18" hidden="false" customHeight="true" outlineLevel="0" collapsed="false">
      <c r="A67" s="36"/>
      <c r="B67" s="36"/>
      <c r="C67" s="48" t="str">
        <f aca="false">IF($B67="","",IFERROR(VLOOKUP($B67,资产台账!$B$4:$N$53,2,0)&amp;"","台账中未登记"))</f>
        <v/>
      </c>
      <c r="D67" s="43" t="str">
        <f aca="false">IF($B67="","",IFERROR(VLOOKUP($B67,资产台账!$B$4:$N$53,3,0)&amp;"",""))</f>
        <v/>
      </c>
      <c r="E67" s="43" t="str">
        <f aca="false">IF($B67="","",IFERROR(VLOOKUP($B67,资产台账!$B$4:$N$53,5,0)&amp;"",""))</f>
        <v/>
      </c>
      <c r="F67" s="44"/>
      <c r="G67" s="44"/>
      <c r="H67" s="44"/>
      <c r="I67" s="44"/>
      <c r="J67" s="44"/>
      <c r="K67" s="44"/>
      <c r="L67" s="44"/>
      <c r="M67" s="44"/>
      <c r="N67" s="44"/>
      <c r="O67" s="44"/>
      <c r="P67" s="44"/>
      <c r="Q67" s="44"/>
      <c r="R67" s="45" t="str">
        <f aca="false">IF($A67="","",SUM(H67:Q67))</f>
        <v/>
      </c>
      <c r="S67" s="45" t="str">
        <f aca="false">IF($A67="","",ROUND($F67-$G67-$R67,2))</f>
        <v/>
      </c>
      <c r="T67" s="28" t="str">
        <f aca="false">IF(OR($A67="",$F67=0),"",$R67/$F67)</f>
        <v/>
      </c>
      <c r="U67" s="35"/>
      <c r="V67" s="0" t="str">
        <f aca="false">IF($A67="","",$A67&amp;"|"&amp;$B67)</f>
        <v/>
      </c>
    </row>
    <row r="68" customFormat="false" ht="18" hidden="false" customHeight="true" outlineLevel="0" collapsed="false">
      <c r="A68" s="36"/>
      <c r="B68" s="36"/>
      <c r="C68" s="48" t="str">
        <f aca="false">IF($B68="","",IFERROR(VLOOKUP($B68,资产台账!$B$4:$N$53,2,0)&amp;"","台账中未登记"))</f>
        <v/>
      </c>
      <c r="D68" s="43" t="str">
        <f aca="false">IF($B68="","",IFERROR(VLOOKUP($B68,资产台账!$B$4:$N$53,3,0)&amp;"",""))</f>
        <v/>
      </c>
      <c r="E68" s="43" t="str">
        <f aca="false">IF($B68="","",IFERROR(VLOOKUP($B68,资产台账!$B$4:$N$53,5,0)&amp;"",""))</f>
        <v/>
      </c>
      <c r="F68" s="44"/>
      <c r="G68" s="44"/>
      <c r="H68" s="44"/>
      <c r="I68" s="44"/>
      <c r="J68" s="44"/>
      <c r="K68" s="44"/>
      <c r="L68" s="44"/>
      <c r="M68" s="44"/>
      <c r="N68" s="44"/>
      <c r="O68" s="44"/>
      <c r="P68" s="44"/>
      <c r="Q68" s="44"/>
      <c r="R68" s="45" t="str">
        <f aca="false">IF($A68="","",SUM(H68:Q68))</f>
        <v/>
      </c>
      <c r="S68" s="45" t="str">
        <f aca="false">IF($A68="","",ROUND($F68-$G68-$R68,2))</f>
        <v/>
      </c>
      <c r="T68" s="28" t="str">
        <f aca="false">IF(OR($A68="",$F68=0),"",$R68/$F68)</f>
        <v/>
      </c>
      <c r="U68" s="35"/>
      <c r="V68" s="0" t="str">
        <f aca="false">IF($A68="","",$A68&amp;"|"&amp;$B68)</f>
        <v/>
      </c>
    </row>
    <row r="69" customFormat="false" ht="18" hidden="false" customHeight="true" outlineLevel="0" collapsed="false">
      <c r="A69" s="36"/>
      <c r="B69" s="36"/>
      <c r="C69" s="48" t="str">
        <f aca="false">IF($B69="","",IFERROR(VLOOKUP($B69,资产台账!$B$4:$N$53,2,0)&amp;"","台账中未登记"))</f>
        <v/>
      </c>
      <c r="D69" s="43" t="str">
        <f aca="false">IF($B69="","",IFERROR(VLOOKUP($B69,资产台账!$B$4:$N$53,3,0)&amp;"",""))</f>
        <v/>
      </c>
      <c r="E69" s="43" t="str">
        <f aca="false">IF($B69="","",IFERROR(VLOOKUP($B69,资产台账!$B$4:$N$53,5,0)&amp;"",""))</f>
        <v/>
      </c>
      <c r="F69" s="44"/>
      <c r="G69" s="44"/>
      <c r="H69" s="44"/>
      <c r="I69" s="44"/>
      <c r="J69" s="44"/>
      <c r="K69" s="44"/>
      <c r="L69" s="44"/>
      <c r="M69" s="44"/>
      <c r="N69" s="44"/>
      <c r="O69" s="44"/>
      <c r="P69" s="44"/>
      <c r="Q69" s="44"/>
      <c r="R69" s="45" t="str">
        <f aca="false">IF($A69="","",SUM(H69:Q69))</f>
        <v/>
      </c>
      <c r="S69" s="45" t="str">
        <f aca="false">IF($A69="","",ROUND($F69-$G69-$R69,2))</f>
        <v/>
      </c>
      <c r="T69" s="28" t="str">
        <f aca="false">IF(OR($A69="",$F69=0),"",$R69/$F69)</f>
        <v/>
      </c>
      <c r="U69" s="35"/>
      <c r="V69" s="0" t="str">
        <f aca="false">IF($A69="","",$A69&amp;"|"&amp;$B69)</f>
        <v/>
      </c>
    </row>
    <row r="70" customFormat="false" ht="18" hidden="false" customHeight="true" outlineLevel="0" collapsed="false">
      <c r="A70" s="36"/>
      <c r="B70" s="36"/>
      <c r="C70" s="48" t="str">
        <f aca="false">IF($B70="","",IFERROR(VLOOKUP($B70,资产台账!$B$4:$N$53,2,0)&amp;"","台账中未登记"))</f>
        <v/>
      </c>
      <c r="D70" s="43" t="str">
        <f aca="false">IF($B70="","",IFERROR(VLOOKUP($B70,资产台账!$B$4:$N$53,3,0)&amp;"",""))</f>
        <v/>
      </c>
      <c r="E70" s="43" t="str">
        <f aca="false">IF($B70="","",IFERROR(VLOOKUP($B70,资产台账!$B$4:$N$53,5,0)&amp;"",""))</f>
        <v/>
      </c>
      <c r="F70" s="44"/>
      <c r="G70" s="44"/>
      <c r="H70" s="44"/>
      <c r="I70" s="44"/>
      <c r="J70" s="44"/>
      <c r="K70" s="44"/>
      <c r="L70" s="44"/>
      <c r="M70" s="44"/>
      <c r="N70" s="44"/>
      <c r="O70" s="44"/>
      <c r="P70" s="44"/>
      <c r="Q70" s="44"/>
      <c r="R70" s="45" t="str">
        <f aca="false">IF($A70="","",SUM(H70:Q70))</f>
        <v/>
      </c>
      <c r="S70" s="45" t="str">
        <f aca="false">IF($A70="","",ROUND($F70-$G70-$R70,2))</f>
        <v/>
      </c>
      <c r="T70" s="28" t="str">
        <f aca="false">IF(OR($A70="",$F70=0),"",$R70/$F70)</f>
        <v/>
      </c>
      <c r="U70" s="35"/>
      <c r="V70" s="0" t="str">
        <f aca="false">IF($A70="","",$A70&amp;"|"&amp;$B70)</f>
        <v/>
      </c>
    </row>
    <row r="71" customFormat="false" ht="18" hidden="false" customHeight="true" outlineLevel="0" collapsed="false">
      <c r="A71" s="36"/>
      <c r="B71" s="36"/>
      <c r="C71" s="48" t="str">
        <f aca="false">IF($B71="","",IFERROR(VLOOKUP($B71,资产台账!$B$4:$N$53,2,0)&amp;"","台账中未登记"))</f>
        <v/>
      </c>
      <c r="D71" s="43" t="str">
        <f aca="false">IF($B71="","",IFERROR(VLOOKUP($B71,资产台账!$B$4:$N$53,3,0)&amp;"",""))</f>
        <v/>
      </c>
      <c r="E71" s="43" t="str">
        <f aca="false">IF($B71="","",IFERROR(VLOOKUP($B71,资产台账!$B$4:$N$53,5,0)&amp;"",""))</f>
        <v/>
      </c>
      <c r="F71" s="44"/>
      <c r="G71" s="44"/>
      <c r="H71" s="44"/>
      <c r="I71" s="44"/>
      <c r="J71" s="44"/>
      <c r="K71" s="44"/>
      <c r="L71" s="44"/>
      <c r="M71" s="44"/>
      <c r="N71" s="44"/>
      <c r="O71" s="44"/>
      <c r="P71" s="44"/>
      <c r="Q71" s="44"/>
      <c r="R71" s="45" t="str">
        <f aca="false">IF($A71="","",SUM(H71:Q71))</f>
        <v/>
      </c>
      <c r="S71" s="45" t="str">
        <f aca="false">IF($A71="","",ROUND($F71-$G71-$R71,2))</f>
        <v/>
      </c>
      <c r="T71" s="28" t="str">
        <f aca="false">IF(OR($A71="",$F71=0),"",$R71/$F71)</f>
        <v/>
      </c>
      <c r="U71" s="35"/>
      <c r="V71" s="0" t="str">
        <f aca="false">IF($A71="","",$A71&amp;"|"&amp;$B71)</f>
        <v/>
      </c>
    </row>
    <row r="72" customFormat="false" ht="18" hidden="false" customHeight="true" outlineLevel="0" collapsed="false">
      <c r="A72" s="36"/>
      <c r="B72" s="36"/>
      <c r="C72" s="48" t="str">
        <f aca="false">IF($B72="","",IFERROR(VLOOKUP($B72,资产台账!$B$4:$N$53,2,0)&amp;"","台账中未登记"))</f>
        <v/>
      </c>
      <c r="D72" s="43" t="str">
        <f aca="false">IF($B72="","",IFERROR(VLOOKUP($B72,资产台账!$B$4:$N$53,3,0)&amp;"",""))</f>
        <v/>
      </c>
      <c r="E72" s="43" t="str">
        <f aca="false">IF($B72="","",IFERROR(VLOOKUP($B72,资产台账!$B$4:$N$53,5,0)&amp;"",""))</f>
        <v/>
      </c>
      <c r="F72" s="44"/>
      <c r="G72" s="44"/>
      <c r="H72" s="44"/>
      <c r="I72" s="44"/>
      <c r="J72" s="44"/>
      <c r="K72" s="44"/>
      <c r="L72" s="44"/>
      <c r="M72" s="44"/>
      <c r="N72" s="44"/>
      <c r="O72" s="44"/>
      <c r="P72" s="44"/>
      <c r="Q72" s="44"/>
      <c r="R72" s="45" t="str">
        <f aca="false">IF($A72="","",SUM(H72:Q72))</f>
        <v/>
      </c>
      <c r="S72" s="45" t="str">
        <f aca="false">IF($A72="","",ROUND($F72-$G72-$R72,2))</f>
        <v/>
      </c>
      <c r="T72" s="28" t="str">
        <f aca="false">IF(OR($A72="",$F72=0),"",$R72/$F72)</f>
        <v/>
      </c>
      <c r="U72" s="35"/>
      <c r="V72" s="0" t="str">
        <f aca="false">IF($A72="","",$A72&amp;"|"&amp;$B72)</f>
        <v/>
      </c>
    </row>
    <row r="73" customFormat="false" ht="18" hidden="false" customHeight="true" outlineLevel="0" collapsed="false">
      <c r="A73" s="36"/>
      <c r="B73" s="36"/>
      <c r="C73" s="48" t="str">
        <f aca="false">IF($B73="","",IFERROR(VLOOKUP($B73,资产台账!$B$4:$N$53,2,0)&amp;"","台账中未登记"))</f>
        <v/>
      </c>
      <c r="D73" s="43" t="str">
        <f aca="false">IF($B73="","",IFERROR(VLOOKUP($B73,资产台账!$B$4:$N$53,3,0)&amp;"",""))</f>
        <v/>
      </c>
      <c r="E73" s="43" t="str">
        <f aca="false">IF($B73="","",IFERROR(VLOOKUP($B73,资产台账!$B$4:$N$53,5,0)&amp;"",""))</f>
        <v/>
      </c>
      <c r="F73" s="44"/>
      <c r="G73" s="44"/>
      <c r="H73" s="44"/>
      <c r="I73" s="44"/>
      <c r="J73" s="44"/>
      <c r="K73" s="44"/>
      <c r="L73" s="44"/>
      <c r="M73" s="44"/>
      <c r="N73" s="44"/>
      <c r="O73" s="44"/>
      <c r="P73" s="44"/>
      <c r="Q73" s="44"/>
      <c r="R73" s="45" t="str">
        <f aca="false">IF($A73="","",SUM(H73:Q73))</f>
        <v/>
      </c>
      <c r="S73" s="45" t="str">
        <f aca="false">IF($A73="","",ROUND($F73-$G73-$R73,2))</f>
        <v/>
      </c>
      <c r="T73" s="28" t="str">
        <f aca="false">IF(OR($A73="",$F73=0),"",$R73/$F73)</f>
        <v/>
      </c>
      <c r="U73" s="35"/>
      <c r="V73" s="0" t="str">
        <f aca="false">IF($A73="","",$A73&amp;"|"&amp;$B73)</f>
        <v/>
      </c>
    </row>
    <row r="74" customFormat="false" ht="18" hidden="false" customHeight="true" outlineLevel="0" collapsed="false">
      <c r="A74" s="36"/>
      <c r="B74" s="36"/>
      <c r="C74" s="48" t="str">
        <f aca="false">IF($B74="","",IFERROR(VLOOKUP($B74,资产台账!$B$4:$N$53,2,0)&amp;"","台账中未登记"))</f>
        <v/>
      </c>
      <c r="D74" s="43" t="str">
        <f aca="false">IF($B74="","",IFERROR(VLOOKUP($B74,资产台账!$B$4:$N$53,3,0)&amp;"",""))</f>
        <v/>
      </c>
      <c r="E74" s="43" t="str">
        <f aca="false">IF($B74="","",IFERROR(VLOOKUP($B74,资产台账!$B$4:$N$53,5,0)&amp;"",""))</f>
        <v/>
      </c>
      <c r="F74" s="44"/>
      <c r="G74" s="44"/>
      <c r="H74" s="44"/>
      <c r="I74" s="44"/>
      <c r="J74" s="44"/>
      <c r="K74" s="44"/>
      <c r="L74" s="44"/>
      <c r="M74" s="44"/>
      <c r="N74" s="44"/>
      <c r="O74" s="44"/>
      <c r="P74" s="44"/>
      <c r="Q74" s="44"/>
      <c r="R74" s="45" t="str">
        <f aca="false">IF($A74="","",SUM(H74:Q74))</f>
        <v/>
      </c>
      <c r="S74" s="45" t="str">
        <f aca="false">IF($A74="","",ROUND($F74-$G74-$R74,2))</f>
        <v/>
      </c>
      <c r="T74" s="28" t="str">
        <f aca="false">IF(OR($A74="",$F74=0),"",$R74/$F74)</f>
        <v/>
      </c>
      <c r="U74" s="35"/>
      <c r="V74" s="0" t="str">
        <f aca="false">IF($A74="","",$A74&amp;"|"&amp;$B74)</f>
        <v/>
      </c>
    </row>
    <row r="75" customFormat="false" ht="18" hidden="false" customHeight="true" outlineLevel="0" collapsed="false">
      <c r="A75" s="36"/>
      <c r="B75" s="36"/>
      <c r="C75" s="48" t="str">
        <f aca="false">IF($B75="","",IFERROR(VLOOKUP($B75,资产台账!$B$4:$N$53,2,0)&amp;"","台账中未登记"))</f>
        <v/>
      </c>
      <c r="D75" s="43" t="str">
        <f aca="false">IF($B75="","",IFERROR(VLOOKUP($B75,资产台账!$B$4:$N$53,3,0)&amp;"",""))</f>
        <v/>
      </c>
      <c r="E75" s="43" t="str">
        <f aca="false">IF($B75="","",IFERROR(VLOOKUP($B75,资产台账!$B$4:$N$53,5,0)&amp;"",""))</f>
        <v/>
      </c>
      <c r="F75" s="44"/>
      <c r="G75" s="44"/>
      <c r="H75" s="44"/>
      <c r="I75" s="44"/>
      <c r="J75" s="44"/>
      <c r="K75" s="44"/>
      <c r="L75" s="44"/>
      <c r="M75" s="44"/>
      <c r="N75" s="44"/>
      <c r="O75" s="44"/>
      <c r="P75" s="44"/>
      <c r="Q75" s="44"/>
      <c r="R75" s="45" t="str">
        <f aca="false">IF($A75="","",SUM(H75:Q75))</f>
        <v/>
      </c>
      <c r="S75" s="45" t="str">
        <f aca="false">IF($A75="","",ROUND($F75-$G75-$R75,2))</f>
        <v/>
      </c>
      <c r="T75" s="28" t="str">
        <f aca="false">IF(OR($A75="",$F75=0),"",$R75/$F75)</f>
        <v/>
      </c>
      <c r="U75" s="35"/>
      <c r="V75" s="0" t="str">
        <f aca="false">IF($A75="","",$A75&amp;"|"&amp;$B75)</f>
        <v/>
      </c>
    </row>
    <row r="76" customFormat="false" ht="18" hidden="false" customHeight="true" outlineLevel="0" collapsed="false">
      <c r="A76" s="36"/>
      <c r="B76" s="36"/>
      <c r="C76" s="48" t="str">
        <f aca="false">IF($B76="","",IFERROR(VLOOKUP($B76,资产台账!$B$4:$N$53,2,0)&amp;"","台账中未登记"))</f>
        <v/>
      </c>
      <c r="D76" s="43" t="str">
        <f aca="false">IF($B76="","",IFERROR(VLOOKUP($B76,资产台账!$B$4:$N$53,3,0)&amp;"",""))</f>
        <v/>
      </c>
      <c r="E76" s="43" t="str">
        <f aca="false">IF($B76="","",IFERROR(VLOOKUP($B76,资产台账!$B$4:$N$53,5,0)&amp;"",""))</f>
        <v/>
      </c>
      <c r="F76" s="44"/>
      <c r="G76" s="44"/>
      <c r="H76" s="44"/>
      <c r="I76" s="44"/>
      <c r="J76" s="44"/>
      <c r="K76" s="44"/>
      <c r="L76" s="44"/>
      <c r="M76" s="44"/>
      <c r="N76" s="44"/>
      <c r="O76" s="44"/>
      <c r="P76" s="44"/>
      <c r="Q76" s="44"/>
      <c r="R76" s="45" t="str">
        <f aca="false">IF($A76="","",SUM(H76:Q76))</f>
        <v/>
      </c>
      <c r="S76" s="45" t="str">
        <f aca="false">IF($A76="","",ROUND($F76-$G76-$R76,2))</f>
        <v/>
      </c>
      <c r="T76" s="28" t="str">
        <f aca="false">IF(OR($A76="",$F76=0),"",$R76/$F76)</f>
        <v/>
      </c>
      <c r="U76" s="35"/>
      <c r="V76" s="0" t="str">
        <f aca="false">IF($A76="","",$A76&amp;"|"&amp;$B76)</f>
        <v/>
      </c>
    </row>
    <row r="77" customFormat="false" ht="18" hidden="false" customHeight="true" outlineLevel="0" collapsed="false">
      <c r="A77" s="36"/>
      <c r="B77" s="36"/>
      <c r="C77" s="48" t="str">
        <f aca="false">IF($B77="","",IFERROR(VLOOKUP($B77,资产台账!$B$4:$N$53,2,0)&amp;"","台账中未登记"))</f>
        <v/>
      </c>
      <c r="D77" s="43" t="str">
        <f aca="false">IF($B77="","",IFERROR(VLOOKUP($B77,资产台账!$B$4:$N$53,3,0)&amp;"",""))</f>
        <v/>
      </c>
      <c r="E77" s="43" t="str">
        <f aca="false">IF($B77="","",IFERROR(VLOOKUP($B77,资产台账!$B$4:$N$53,5,0)&amp;"",""))</f>
        <v/>
      </c>
      <c r="F77" s="44"/>
      <c r="G77" s="44"/>
      <c r="H77" s="44"/>
      <c r="I77" s="44"/>
      <c r="J77" s="44"/>
      <c r="K77" s="44"/>
      <c r="L77" s="44"/>
      <c r="M77" s="44"/>
      <c r="N77" s="44"/>
      <c r="O77" s="44"/>
      <c r="P77" s="44"/>
      <c r="Q77" s="44"/>
      <c r="R77" s="45" t="str">
        <f aca="false">IF($A77="","",SUM(H77:Q77))</f>
        <v/>
      </c>
      <c r="S77" s="45" t="str">
        <f aca="false">IF($A77="","",ROUND($F77-$G77-$R77,2))</f>
        <v/>
      </c>
      <c r="T77" s="28" t="str">
        <f aca="false">IF(OR($A77="",$F77=0),"",$R77/$F77)</f>
        <v/>
      </c>
      <c r="U77" s="35"/>
      <c r="V77" s="0" t="str">
        <f aca="false">IF($A77="","",$A77&amp;"|"&amp;$B77)</f>
        <v/>
      </c>
    </row>
    <row r="78" customFormat="false" ht="18" hidden="false" customHeight="true" outlineLevel="0" collapsed="false">
      <c r="A78" s="36"/>
      <c r="B78" s="36"/>
      <c r="C78" s="48" t="str">
        <f aca="false">IF($B78="","",IFERROR(VLOOKUP($B78,资产台账!$B$4:$N$53,2,0)&amp;"","台账中未登记"))</f>
        <v/>
      </c>
      <c r="D78" s="43" t="str">
        <f aca="false">IF($B78="","",IFERROR(VLOOKUP($B78,资产台账!$B$4:$N$53,3,0)&amp;"",""))</f>
        <v/>
      </c>
      <c r="E78" s="43" t="str">
        <f aca="false">IF($B78="","",IFERROR(VLOOKUP($B78,资产台账!$B$4:$N$53,5,0)&amp;"",""))</f>
        <v/>
      </c>
      <c r="F78" s="44"/>
      <c r="G78" s="44"/>
      <c r="H78" s="44"/>
      <c r="I78" s="44"/>
      <c r="J78" s="44"/>
      <c r="K78" s="44"/>
      <c r="L78" s="44"/>
      <c r="M78" s="44"/>
      <c r="N78" s="44"/>
      <c r="O78" s="44"/>
      <c r="P78" s="44"/>
      <c r="Q78" s="44"/>
      <c r="R78" s="45" t="str">
        <f aca="false">IF($A78="","",SUM(H78:Q78))</f>
        <v/>
      </c>
      <c r="S78" s="45" t="str">
        <f aca="false">IF($A78="","",ROUND($F78-$G78-$R78,2))</f>
        <v/>
      </c>
      <c r="T78" s="28" t="str">
        <f aca="false">IF(OR($A78="",$F78=0),"",$R78/$F78)</f>
        <v/>
      </c>
      <c r="U78" s="35"/>
      <c r="V78" s="0" t="str">
        <f aca="false">IF($A78="","",$A78&amp;"|"&amp;$B78)</f>
        <v/>
      </c>
    </row>
    <row r="79" customFormat="false" ht="18" hidden="false" customHeight="true" outlineLevel="0" collapsed="false">
      <c r="A79" s="36"/>
      <c r="B79" s="36"/>
      <c r="C79" s="48" t="str">
        <f aca="false">IF($B79="","",IFERROR(VLOOKUP($B79,资产台账!$B$4:$N$53,2,0)&amp;"","台账中未登记"))</f>
        <v/>
      </c>
      <c r="D79" s="43" t="str">
        <f aca="false">IF($B79="","",IFERROR(VLOOKUP($B79,资产台账!$B$4:$N$53,3,0)&amp;"",""))</f>
        <v/>
      </c>
      <c r="E79" s="43" t="str">
        <f aca="false">IF($B79="","",IFERROR(VLOOKUP($B79,资产台账!$B$4:$N$53,5,0)&amp;"",""))</f>
        <v/>
      </c>
      <c r="F79" s="44"/>
      <c r="G79" s="44"/>
      <c r="H79" s="44"/>
      <c r="I79" s="44"/>
      <c r="J79" s="44"/>
      <c r="K79" s="44"/>
      <c r="L79" s="44"/>
      <c r="M79" s="44"/>
      <c r="N79" s="44"/>
      <c r="O79" s="44"/>
      <c r="P79" s="44"/>
      <c r="Q79" s="44"/>
      <c r="R79" s="45" t="str">
        <f aca="false">IF($A79="","",SUM(H79:Q79))</f>
        <v/>
      </c>
      <c r="S79" s="45" t="str">
        <f aca="false">IF($A79="","",ROUND($F79-$G79-$R79,2))</f>
        <v/>
      </c>
      <c r="T79" s="28" t="str">
        <f aca="false">IF(OR($A79="",$F79=0),"",$R79/$F79)</f>
        <v/>
      </c>
      <c r="U79" s="35"/>
      <c r="V79" s="0" t="str">
        <f aca="false">IF($A79="","",$A79&amp;"|"&amp;$B79)</f>
        <v/>
      </c>
    </row>
    <row r="80" customFormat="false" ht="18" hidden="false" customHeight="true" outlineLevel="0" collapsed="false">
      <c r="A80" s="36"/>
      <c r="B80" s="36"/>
      <c r="C80" s="48" t="str">
        <f aca="false">IF($B80="","",IFERROR(VLOOKUP($B80,资产台账!$B$4:$N$53,2,0)&amp;"","台账中未登记"))</f>
        <v/>
      </c>
      <c r="D80" s="43" t="str">
        <f aca="false">IF($B80="","",IFERROR(VLOOKUP($B80,资产台账!$B$4:$N$53,3,0)&amp;"",""))</f>
        <v/>
      </c>
      <c r="E80" s="43" t="str">
        <f aca="false">IF($B80="","",IFERROR(VLOOKUP($B80,资产台账!$B$4:$N$53,5,0)&amp;"",""))</f>
        <v/>
      </c>
      <c r="F80" s="44"/>
      <c r="G80" s="44"/>
      <c r="H80" s="44"/>
      <c r="I80" s="44"/>
      <c r="J80" s="44"/>
      <c r="K80" s="44"/>
      <c r="L80" s="44"/>
      <c r="M80" s="44"/>
      <c r="N80" s="44"/>
      <c r="O80" s="44"/>
      <c r="P80" s="44"/>
      <c r="Q80" s="44"/>
      <c r="R80" s="45" t="str">
        <f aca="false">IF($A80="","",SUM(H80:Q80))</f>
        <v/>
      </c>
      <c r="S80" s="45" t="str">
        <f aca="false">IF($A80="","",ROUND($F80-$G80-$R80,2))</f>
        <v/>
      </c>
      <c r="T80" s="28" t="str">
        <f aca="false">IF(OR($A80="",$F80=0),"",$R80/$F80)</f>
        <v/>
      </c>
      <c r="U80" s="35"/>
      <c r="V80" s="0" t="str">
        <f aca="false">IF($A80="","",$A80&amp;"|"&amp;$B80)</f>
        <v/>
      </c>
    </row>
    <row r="81" customFormat="false" ht="18" hidden="false" customHeight="true" outlineLevel="0" collapsed="false">
      <c r="A81" s="36"/>
      <c r="B81" s="36"/>
      <c r="C81" s="48" t="str">
        <f aca="false">IF($B81="","",IFERROR(VLOOKUP($B81,资产台账!$B$4:$N$53,2,0)&amp;"","台账中未登记"))</f>
        <v/>
      </c>
      <c r="D81" s="43" t="str">
        <f aca="false">IF($B81="","",IFERROR(VLOOKUP($B81,资产台账!$B$4:$N$53,3,0)&amp;"",""))</f>
        <v/>
      </c>
      <c r="E81" s="43" t="str">
        <f aca="false">IF($B81="","",IFERROR(VLOOKUP($B81,资产台账!$B$4:$N$53,5,0)&amp;"",""))</f>
        <v/>
      </c>
      <c r="F81" s="44"/>
      <c r="G81" s="44"/>
      <c r="H81" s="44"/>
      <c r="I81" s="44"/>
      <c r="J81" s="44"/>
      <c r="K81" s="44"/>
      <c r="L81" s="44"/>
      <c r="M81" s="44"/>
      <c r="N81" s="44"/>
      <c r="O81" s="44"/>
      <c r="P81" s="44"/>
      <c r="Q81" s="44"/>
      <c r="R81" s="45" t="str">
        <f aca="false">IF($A81="","",SUM(H81:Q81))</f>
        <v/>
      </c>
      <c r="S81" s="45" t="str">
        <f aca="false">IF($A81="","",ROUND($F81-$G81-$R81,2))</f>
        <v/>
      </c>
      <c r="T81" s="28" t="str">
        <f aca="false">IF(OR($A81="",$F81=0),"",$R81/$F81)</f>
        <v/>
      </c>
      <c r="U81" s="35"/>
      <c r="V81" s="0" t="str">
        <f aca="false">IF($A81="","",$A81&amp;"|"&amp;$B81)</f>
        <v/>
      </c>
    </row>
    <row r="82" customFormat="false" ht="18" hidden="false" customHeight="true" outlineLevel="0" collapsed="false">
      <c r="A82" s="36"/>
      <c r="B82" s="36"/>
      <c r="C82" s="48" t="str">
        <f aca="false">IF($B82="","",IFERROR(VLOOKUP($B82,资产台账!$B$4:$N$53,2,0)&amp;"","台账中未登记"))</f>
        <v/>
      </c>
      <c r="D82" s="43" t="str">
        <f aca="false">IF($B82="","",IFERROR(VLOOKUP($B82,资产台账!$B$4:$N$53,3,0)&amp;"",""))</f>
        <v/>
      </c>
      <c r="E82" s="43" t="str">
        <f aca="false">IF($B82="","",IFERROR(VLOOKUP($B82,资产台账!$B$4:$N$53,5,0)&amp;"",""))</f>
        <v/>
      </c>
      <c r="F82" s="44"/>
      <c r="G82" s="44"/>
      <c r="H82" s="44"/>
      <c r="I82" s="44"/>
      <c r="J82" s="44"/>
      <c r="K82" s="44"/>
      <c r="L82" s="44"/>
      <c r="M82" s="44"/>
      <c r="N82" s="44"/>
      <c r="O82" s="44"/>
      <c r="P82" s="44"/>
      <c r="Q82" s="44"/>
      <c r="R82" s="45" t="str">
        <f aca="false">IF($A82="","",SUM(H82:Q82))</f>
        <v/>
      </c>
      <c r="S82" s="45" t="str">
        <f aca="false">IF($A82="","",ROUND($F82-$G82-$R82,2))</f>
        <v/>
      </c>
      <c r="T82" s="28" t="str">
        <f aca="false">IF(OR($A82="",$F82=0),"",$R82/$F82)</f>
        <v/>
      </c>
      <c r="U82" s="35"/>
      <c r="V82" s="0" t="str">
        <f aca="false">IF($A82="","",$A82&amp;"|"&amp;$B82)</f>
        <v/>
      </c>
    </row>
    <row r="83" customFormat="false" ht="18" hidden="false" customHeight="true" outlineLevel="0" collapsed="false">
      <c r="A83" s="36"/>
      <c r="B83" s="36"/>
      <c r="C83" s="48" t="str">
        <f aca="false">IF($B83="","",IFERROR(VLOOKUP($B83,资产台账!$B$4:$N$53,2,0)&amp;"","台账中未登记"))</f>
        <v/>
      </c>
      <c r="D83" s="43" t="str">
        <f aca="false">IF($B83="","",IFERROR(VLOOKUP($B83,资产台账!$B$4:$N$53,3,0)&amp;"",""))</f>
        <v/>
      </c>
      <c r="E83" s="43" t="str">
        <f aca="false">IF($B83="","",IFERROR(VLOOKUP($B83,资产台账!$B$4:$N$53,5,0)&amp;"",""))</f>
        <v/>
      </c>
      <c r="F83" s="44"/>
      <c r="G83" s="44"/>
      <c r="H83" s="44"/>
      <c r="I83" s="44"/>
      <c r="J83" s="44"/>
      <c r="K83" s="44"/>
      <c r="L83" s="44"/>
      <c r="M83" s="44"/>
      <c r="N83" s="44"/>
      <c r="O83" s="44"/>
      <c r="P83" s="44"/>
      <c r="Q83" s="44"/>
      <c r="R83" s="45" t="str">
        <f aca="false">IF($A83="","",SUM(H83:Q83))</f>
        <v/>
      </c>
      <c r="S83" s="45" t="str">
        <f aca="false">IF($A83="","",ROUND($F83-$G83-$R83,2))</f>
        <v/>
      </c>
      <c r="T83" s="28" t="str">
        <f aca="false">IF(OR($A83="",$F83=0),"",$R83/$F83)</f>
        <v/>
      </c>
      <c r="U83" s="35"/>
      <c r="V83" s="0" t="str">
        <f aca="false">IF($A83="","",$A83&amp;"|"&amp;$B83)</f>
        <v/>
      </c>
    </row>
    <row r="84" customFormat="false" ht="18" hidden="false" customHeight="true" outlineLevel="0" collapsed="false">
      <c r="A84" s="36"/>
      <c r="B84" s="36"/>
      <c r="C84" s="48" t="str">
        <f aca="false">IF($B84="","",IFERROR(VLOOKUP($B84,资产台账!$B$4:$N$53,2,0)&amp;"","台账中未登记"))</f>
        <v/>
      </c>
      <c r="D84" s="43" t="str">
        <f aca="false">IF($B84="","",IFERROR(VLOOKUP($B84,资产台账!$B$4:$N$53,3,0)&amp;"",""))</f>
        <v/>
      </c>
      <c r="E84" s="43" t="str">
        <f aca="false">IF($B84="","",IFERROR(VLOOKUP($B84,资产台账!$B$4:$N$53,5,0)&amp;"",""))</f>
        <v/>
      </c>
      <c r="F84" s="44"/>
      <c r="G84" s="44"/>
      <c r="H84" s="44"/>
      <c r="I84" s="44"/>
      <c r="J84" s="44"/>
      <c r="K84" s="44"/>
      <c r="L84" s="44"/>
      <c r="M84" s="44"/>
      <c r="N84" s="44"/>
      <c r="O84" s="44"/>
      <c r="P84" s="44"/>
      <c r="Q84" s="44"/>
      <c r="R84" s="45" t="str">
        <f aca="false">IF($A84="","",SUM(H84:Q84))</f>
        <v/>
      </c>
      <c r="S84" s="45" t="str">
        <f aca="false">IF($A84="","",ROUND($F84-$G84-$R84,2))</f>
        <v/>
      </c>
      <c r="T84" s="28" t="str">
        <f aca="false">IF(OR($A84="",$F84=0),"",$R84/$F84)</f>
        <v/>
      </c>
      <c r="U84" s="35"/>
      <c r="V84" s="0" t="str">
        <f aca="false">IF($A84="","",$A84&amp;"|"&amp;$B84)</f>
        <v/>
      </c>
    </row>
    <row r="85" customFormat="false" ht="18" hidden="false" customHeight="true" outlineLevel="0" collapsed="false">
      <c r="A85" s="36"/>
      <c r="B85" s="36"/>
      <c r="C85" s="48" t="str">
        <f aca="false">IF($B85="","",IFERROR(VLOOKUP($B85,资产台账!$B$4:$N$53,2,0)&amp;"","台账中未登记"))</f>
        <v/>
      </c>
      <c r="D85" s="43" t="str">
        <f aca="false">IF($B85="","",IFERROR(VLOOKUP($B85,资产台账!$B$4:$N$53,3,0)&amp;"",""))</f>
        <v/>
      </c>
      <c r="E85" s="43" t="str">
        <f aca="false">IF($B85="","",IFERROR(VLOOKUP($B85,资产台账!$B$4:$N$53,5,0)&amp;"",""))</f>
        <v/>
      </c>
      <c r="F85" s="44"/>
      <c r="G85" s="44"/>
      <c r="H85" s="44"/>
      <c r="I85" s="44"/>
      <c r="J85" s="44"/>
      <c r="K85" s="44"/>
      <c r="L85" s="44"/>
      <c r="M85" s="44"/>
      <c r="N85" s="44"/>
      <c r="O85" s="44"/>
      <c r="P85" s="44"/>
      <c r="Q85" s="44"/>
      <c r="R85" s="45" t="str">
        <f aca="false">IF($A85="","",SUM(H85:Q85))</f>
        <v/>
      </c>
      <c r="S85" s="45" t="str">
        <f aca="false">IF($A85="","",ROUND($F85-$G85-$R85,2))</f>
        <v/>
      </c>
      <c r="T85" s="28" t="str">
        <f aca="false">IF(OR($A85="",$F85=0),"",$R85/$F85)</f>
        <v/>
      </c>
      <c r="U85" s="35"/>
      <c r="V85" s="0" t="str">
        <f aca="false">IF($A85="","",$A85&amp;"|"&amp;$B85)</f>
        <v/>
      </c>
    </row>
    <row r="86" customFormat="false" ht="18" hidden="false" customHeight="true" outlineLevel="0" collapsed="false">
      <c r="A86" s="36"/>
      <c r="B86" s="36"/>
      <c r="C86" s="48" t="str">
        <f aca="false">IF($B86="","",IFERROR(VLOOKUP($B86,资产台账!$B$4:$N$53,2,0)&amp;"","台账中未登记"))</f>
        <v/>
      </c>
      <c r="D86" s="43" t="str">
        <f aca="false">IF($B86="","",IFERROR(VLOOKUP($B86,资产台账!$B$4:$N$53,3,0)&amp;"",""))</f>
        <v/>
      </c>
      <c r="E86" s="43" t="str">
        <f aca="false">IF($B86="","",IFERROR(VLOOKUP($B86,资产台账!$B$4:$N$53,5,0)&amp;"",""))</f>
        <v/>
      </c>
      <c r="F86" s="44"/>
      <c r="G86" s="44"/>
      <c r="H86" s="44"/>
      <c r="I86" s="44"/>
      <c r="J86" s="44"/>
      <c r="K86" s="44"/>
      <c r="L86" s="44"/>
      <c r="M86" s="44"/>
      <c r="N86" s="44"/>
      <c r="O86" s="44"/>
      <c r="P86" s="44"/>
      <c r="Q86" s="44"/>
      <c r="R86" s="45" t="str">
        <f aca="false">IF($A86="","",SUM(H86:Q86))</f>
        <v/>
      </c>
      <c r="S86" s="45" t="str">
        <f aca="false">IF($A86="","",ROUND($F86-$G86-$R86,2))</f>
        <v/>
      </c>
      <c r="T86" s="28" t="str">
        <f aca="false">IF(OR($A86="",$F86=0),"",$R86/$F86)</f>
        <v/>
      </c>
      <c r="U86" s="35"/>
      <c r="V86" s="0" t="str">
        <f aca="false">IF($A86="","",$A86&amp;"|"&amp;$B86)</f>
        <v/>
      </c>
    </row>
    <row r="87" customFormat="false" ht="18" hidden="false" customHeight="true" outlineLevel="0" collapsed="false">
      <c r="A87" s="36"/>
      <c r="B87" s="36"/>
      <c r="C87" s="48" t="str">
        <f aca="false">IF($B87="","",IFERROR(VLOOKUP($B87,资产台账!$B$4:$N$53,2,0)&amp;"","台账中未登记"))</f>
        <v/>
      </c>
      <c r="D87" s="43" t="str">
        <f aca="false">IF($B87="","",IFERROR(VLOOKUP($B87,资产台账!$B$4:$N$53,3,0)&amp;"",""))</f>
        <v/>
      </c>
      <c r="E87" s="43" t="str">
        <f aca="false">IF($B87="","",IFERROR(VLOOKUP($B87,资产台账!$B$4:$N$53,5,0)&amp;"",""))</f>
        <v/>
      </c>
      <c r="F87" s="44"/>
      <c r="G87" s="44"/>
      <c r="H87" s="44"/>
      <c r="I87" s="44"/>
      <c r="J87" s="44"/>
      <c r="K87" s="44"/>
      <c r="L87" s="44"/>
      <c r="M87" s="44"/>
      <c r="N87" s="44"/>
      <c r="O87" s="44"/>
      <c r="P87" s="44"/>
      <c r="Q87" s="44"/>
      <c r="R87" s="45" t="str">
        <f aca="false">IF($A87="","",SUM(H87:Q87))</f>
        <v/>
      </c>
      <c r="S87" s="45" t="str">
        <f aca="false">IF($A87="","",ROUND($F87-$G87-$R87,2))</f>
        <v/>
      </c>
      <c r="T87" s="28" t="str">
        <f aca="false">IF(OR($A87="",$F87=0),"",$R87/$F87)</f>
        <v/>
      </c>
      <c r="U87" s="35"/>
      <c r="V87" s="0" t="str">
        <f aca="false">IF($A87="","",$A87&amp;"|"&amp;$B87)</f>
        <v/>
      </c>
    </row>
    <row r="88" customFormat="false" ht="18" hidden="false" customHeight="true" outlineLevel="0" collapsed="false">
      <c r="A88" s="36"/>
      <c r="B88" s="36"/>
      <c r="C88" s="48" t="str">
        <f aca="false">IF($B88="","",IFERROR(VLOOKUP($B88,资产台账!$B$4:$N$53,2,0)&amp;"","台账中未登记"))</f>
        <v/>
      </c>
      <c r="D88" s="43" t="str">
        <f aca="false">IF($B88="","",IFERROR(VLOOKUP($B88,资产台账!$B$4:$N$53,3,0)&amp;"",""))</f>
        <v/>
      </c>
      <c r="E88" s="43" t="str">
        <f aca="false">IF($B88="","",IFERROR(VLOOKUP($B88,资产台账!$B$4:$N$53,5,0)&amp;"",""))</f>
        <v/>
      </c>
      <c r="F88" s="44"/>
      <c r="G88" s="44"/>
      <c r="H88" s="44"/>
      <c r="I88" s="44"/>
      <c r="J88" s="44"/>
      <c r="K88" s="44"/>
      <c r="L88" s="44"/>
      <c r="M88" s="44"/>
      <c r="N88" s="44"/>
      <c r="O88" s="44"/>
      <c r="P88" s="44"/>
      <c r="Q88" s="44"/>
      <c r="R88" s="45" t="str">
        <f aca="false">IF($A88="","",SUM(H88:Q88))</f>
        <v/>
      </c>
      <c r="S88" s="45" t="str">
        <f aca="false">IF($A88="","",ROUND($F88-$G88-$R88,2))</f>
        <v/>
      </c>
      <c r="T88" s="28" t="str">
        <f aca="false">IF(OR($A88="",$F88=0),"",$R88/$F88)</f>
        <v/>
      </c>
      <c r="U88" s="35"/>
      <c r="V88" s="0" t="str">
        <f aca="false">IF($A88="","",$A88&amp;"|"&amp;$B88)</f>
        <v/>
      </c>
    </row>
    <row r="89" customFormat="false" ht="18" hidden="false" customHeight="true" outlineLevel="0" collapsed="false">
      <c r="A89" s="36"/>
      <c r="B89" s="36"/>
      <c r="C89" s="48" t="str">
        <f aca="false">IF($B89="","",IFERROR(VLOOKUP($B89,资产台账!$B$4:$N$53,2,0)&amp;"","台账中未登记"))</f>
        <v/>
      </c>
      <c r="D89" s="43" t="str">
        <f aca="false">IF($B89="","",IFERROR(VLOOKUP($B89,资产台账!$B$4:$N$53,3,0)&amp;"",""))</f>
        <v/>
      </c>
      <c r="E89" s="43" t="str">
        <f aca="false">IF($B89="","",IFERROR(VLOOKUP($B89,资产台账!$B$4:$N$53,5,0)&amp;"",""))</f>
        <v/>
      </c>
      <c r="F89" s="44"/>
      <c r="G89" s="44"/>
      <c r="H89" s="44"/>
      <c r="I89" s="44"/>
      <c r="J89" s="44"/>
      <c r="K89" s="44"/>
      <c r="L89" s="44"/>
      <c r="M89" s="44"/>
      <c r="N89" s="44"/>
      <c r="O89" s="44"/>
      <c r="P89" s="44"/>
      <c r="Q89" s="44"/>
      <c r="R89" s="45" t="str">
        <f aca="false">IF($A89="","",SUM(H89:Q89))</f>
        <v/>
      </c>
      <c r="S89" s="45" t="str">
        <f aca="false">IF($A89="","",ROUND($F89-$G89-$R89,2))</f>
        <v/>
      </c>
      <c r="T89" s="28" t="str">
        <f aca="false">IF(OR($A89="",$F89=0),"",$R89/$F89)</f>
        <v/>
      </c>
      <c r="U89" s="35"/>
      <c r="V89" s="0" t="str">
        <f aca="false">IF($A89="","",$A89&amp;"|"&amp;$B89)</f>
        <v/>
      </c>
    </row>
    <row r="90" customFormat="false" ht="18" hidden="false" customHeight="true" outlineLevel="0" collapsed="false">
      <c r="A90" s="36"/>
      <c r="B90" s="36"/>
      <c r="C90" s="48" t="str">
        <f aca="false">IF($B90="","",IFERROR(VLOOKUP($B90,资产台账!$B$4:$N$53,2,0)&amp;"","台账中未登记"))</f>
        <v/>
      </c>
      <c r="D90" s="43" t="str">
        <f aca="false">IF($B90="","",IFERROR(VLOOKUP($B90,资产台账!$B$4:$N$53,3,0)&amp;"",""))</f>
        <v/>
      </c>
      <c r="E90" s="43" t="str">
        <f aca="false">IF($B90="","",IFERROR(VLOOKUP($B90,资产台账!$B$4:$N$53,5,0)&amp;"",""))</f>
        <v/>
      </c>
      <c r="F90" s="44"/>
      <c r="G90" s="44"/>
      <c r="H90" s="44"/>
      <c r="I90" s="44"/>
      <c r="J90" s="44"/>
      <c r="K90" s="44"/>
      <c r="L90" s="44"/>
      <c r="M90" s="44"/>
      <c r="N90" s="44"/>
      <c r="O90" s="44"/>
      <c r="P90" s="44"/>
      <c r="Q90" s="44"/>
      <c r="R90" s="45" t="str">
        <f aca="false">IF($A90="","",SUM(H90:Q90))</f>
        <v/>
      </c>
      <c r="S90" s="45" t="str">
        <f aca="false">IF($A90="","",ROUND($F90-$G90-$R90,2))</f>
        <v/>
      </c>
      <c r="T90" s="28" t="str">
        <f aca="false">IF(OR($A90="",$F90=0),"",$R90/$F90)</f>
        <v/>
      </c>
      <c r="U90" s="35"/>
      <c r="V90" s="0" t="str">
        <f aca="false">IF($A90="","",$A90&amp;"|"&amp;$B90)</f>
        <v/>
      </c>
    </row>
    <row r="91" customFormat="false" ht="18" hidden="false" customHeight="true" outlineLevel="0" collapsed="false">
      <c r="A91" s="36"/>
      <c r="B91" s="36"/>
      <c r="C91" s="48" t="str">
        <f aca="false">IF($B91="","",IFERROR(VLOOKUP($B91,资产台账!$B$4:$N$53,2,0)&amp;"","台账中未登记"))</f>
        <v/>
      </c>
      <c r="D91" s="43" t="str">
        <f aca="false">IF($B91="","",IFERROR(VLOOKUP($B91,资产台账!$B$4:$N$53,3,0)&amp;"",""))</f>
        <v/>
      </c>
      <c r="E91" s="43" t="str">
        <f aca="false">IF($B91="","",IFERROR(VLOOKUP($B91,资产台账!$B$4:$N$53,5,0)&amp;"",""))</f>
        <v/>
      </c>
      <c r="F91" s="44"/>
      <c r="G91" s="44"/>
      <c r="H91" s="44"/>
      <c r="I91" s="44"/>
      <c r="J91" s="44"/>
      <c r="K91" s="44"/>
      <c r="L91" s="44"/>
      <c r="M91" s="44"/>
      <c r="N91" s="44"/>
      <c r="O91" s="44"/>
      <c r="P91" s="44"/>
      <c r="Q91" s="44"/>
      <c r="R91" s="45" t="str">
        <f aca="false">IF($A91="","",SUM(H91:Q91))</f>
        <v/>
      </c>
      <c r="S91" s="45" t="str">
        <f aca="false">IF($A91="","",ROUND($F91-$G91-$R91,2))</f>
        <v/>
      </c>
      <c r="T91" s="28" t="str">
        <f aca="false">IF(OR($A91="",$F91=0),"",$R91/$F91)</f>
        <v/>
      </c>
      <c r="U91" s="35"/>
      <c r="V91" s="0" t="str">
        <f aca="false">IF($A91="","",$A91&amp;"|"&amp;$B91)</f>
        <v/>
      </c>
    </row>
    <row r="92" customFormat="false" ht="18" hidden="false" customHeight="true" outlineLevel="0" collapsed="false">
      <c r="A92" s="36"/>
      <c r="B92" s="36"/>
      <c r="C92" s="48" t="str">
        <f aca="false">IF($B92="","",IFERROR(VLOOKUP($B92,资产台账!$B$4:$N$53,2,0)&amp;"","台账中未登记"))</f>
        <v/>
      </c>
      <c r="D92" s="43" t="str">
        <f aca="false">IF($B92="","",IFERROR(VLOOKUP($B92,资产台账!$B$4:$N$53,3,0)&amp;"",""))</f>
        <v/>
      </c>
      <c r="E92" s="43" t="str">
        <f aca="false">IF($B92="","",IFERROR(VLOOKUP($B92,资产台账!$B$4:$N$53,5,0)&amp;"",""))</f>
        <v/>
      </c>
      <c r="F92" s="44"/>
      <c r="G92" s="44"/>
      <c r="H92" s="44"/>
      <c r="I92" s="44"/>
      <c r="J92" s="44"/>
      <c r="K92" s="44"/>
      <c r="L92" s="44"/>
      <c r="M92" s="44"/>
      <c r="N92" s="44"/>
      <c r="O92" s="44"/>
      <c r="P92" s="44"/>
      <c r="Q92" s="44"/>
      <c r="R92" s="45" t="str">
        <f aca="false">IF($A92="","",SUM(H92:Q92))</f>
        <v/>
      </c>
      <c r="S92" s="45" t="str">
        <f aca="false">IF($A92="","",ROUND($F92-$G92-$R92,2))</f>
        <v/>
      </c>
      <c r="T92" s="28" t="str">
        <f aca="false">IF(OR($A92="",$F92=0),"",$R92/$F92)</f>
        <v/>
      </c>
      <c r="U92" s="35"/>
      <c r="V92" s="0" t="str">
        <f aca="false">IF($A92="","",$A92&amp;"|"&amp;$B92)</f>
        <v/>
      </c>
    </row>
    <row r="93" customFormat="false" ht="18" hidden="false" customHeight="true" outlineLevel="0" collapsed="false">
      <c r="A93" s="36"/>
      <c r="B93" s="36"/>
      <c r="C93" s="48" t="str">
        <f aca="false">IF($B93="","",IFERROR(VLOOKUP($B93,资产台账!$B$4:$N$53,2,0)&amp;"","台账中未登记"))</f>
        <v/>
      </c>
      <c r="D93" s="43" t="str">
        <f aca="false">IF($B93="","",IFERROR(VLOOKUP($B93,资产台账!$B$4:$N$53,3,0)&amp;"",""))</f>
        <v/>
      </c>
      <c r="E93" s="43" t="str">
        <f aca="false">IF($B93="","",IFERROR(VLOOKUP($B93,资产台账!$B$4:$N$53,5,0)&amp;"",""))</f>
        <v/>
      </c>
      <c r="F93" s="44"/>
      <c r="G93" s="44"/>
      <c r="H93" s="44"/>
      <c r="I93" s="44"/>
      <c r="J93" s="44"/>
      <c r="K93" s="44"/>
      <c r="L93" s="44"/>
      <c r="M93" s="44"/>
      <c r="N93" s="44"/>
      <c r="O93" s="44"/>
      <c r="P93" s="44"/>
      <c r="Q93" s="44"/>
      <c r="R93" s="45" t="str">
        <f aca="false">IF($A93="","",SUM(H93:Q93))</f>
        <v/>
      </c>
      <c r="S93" s="45" t="str">
        <f aca="false">IF($A93="","",ROUND($F93-$G93-$R93,2))</f>
        <v/>
      </c>
      <c r="T93" s="28" t="str">
        <f aca="false">IF(OR($A93="",$F93=0),"",$R93/$F93)</f>
        <v/>
      </c>
      <c r="U93" s="35"/>
      <c r="V93" s="0" t="str">
        <f aca="false">IF($A93="","",$A93&amp;"|"&amp;$B93)</f>
        <v/>
      </c>
    </row>
    <row r="94" customFormat="false" ht="18" hidden="false" customHeight="true" outlineLevel="0" collapsed="false">
      <c r="A94" s="36"/>
      <c r="B94" s="36"/>
      <c r="C94" s="48" t="str">
        <f aca="false">IF($B94="","",IFERROR(VLOOKUP($B94,资产台账!$B$4:$N$53,2,0)&amp;"","台账中未登记"))</f>
        <v/>
      </c>
      <c r="D94" s="43" t="str">
        <f aca="false">IF($B94="","",IFERROR(VLOOKUP($B94,资产台账!$B$4:$N$53,3,0)&amp;"",""))</f>
        <v/>
      </c>
      <c r="E94" s="43" t="str">
        <f aca="false">IF($B94="","",IFERROR(VLOOKUP($B94,资产台账!$B$4:$N$53,5,0)&amp;"",""))</f>
        <v/>
      </c>
      <c r="F94" s="44"/>
      <c r="G94" s="44"/>
      <c r="H94" s="44"/>
      <c r="I94" s="44"/>
      <c r="J94" s="44"/>
      <c r="K94" s="44"/>
      <c r="L94" s="44"/>
      <c r="M94" s="44"/>
      <c r="N94" s="44"/>
      <c r="O94" s="44"/>
      <c r="P94" s="44"/>
      <c r="Q94" s="44"/>
      <c r="R94" s="45" t="str">
        <f aca="false">IF($A94="","",SUM(H94:Q94))</f>
        <v/>
      </c>
      <c r="S94" s="45" t="str">
        <f aca="false">IF($A94="","",ROUND($F94-$G94-$R94,2))</f>
        <v/>
      </c>
      <c r="T94" s="28" t="str">
        <f aca="false">IF(OR($A94="",$F94=0),"",$R94/$F94)</f>
        <v/>
      </c>
      <c r="U94" s="35"/>
      <c r="V94" s="0" t="str">
        <f aca="false">IF($A94="","",$A94&amp;"|"&amp;$B94)</f>
        <v/>
      </c>
    </row>
    <row r="95" customFormat="false" ht="18" hidden="false" customHeight="true" outlineLevel="0" collapsed="false">
      <c r="A95" s="36"/>
      <c r="B95" s="36"/>
      <c r="C95" s="48" t="str">
        <f aca="false">IF($B95="","",IFERROR(VLOOKUP($B95,资产台账!$B$4:$N$53,2,0)&amp;"","台账中未登记"))</f>
        <v/>
      </c>
      <c r="D95" s="43" t="str">
        <f aca="false">IF($B95="","",IFERROR(VLOOKUP($B95,资产台账!$B$4:$N$53,3,0)&amp;"",""))</f>
        <v/>
      </c>
      <c r="E95" s="43" t="str">
        <f aca="false">IF($B95="","",IFERROR(VLOOKUP($B95,资产台账!$B$4:$N$53,5,0)&amp;"",""))</f>
        <v/>
      </c>
      <c r="F95" s="44"/>
      <c r="G95" s="44"/>
      <c r="H95" s="44"/>
      <c r="I95" s="44"/>
      <c r="J95" s="44"/>
      <c r="K95" s="44"/>
      <c r="L95" s="44"/>
      <c r="M95" s="44"/>
      <c r="N95" s="44"/>
      <c r="O95" s="44"/>
      <c r="P95" s="44"/>
      <c r="Q95" s="44"/>
      <c r="R95" s="45" t="str">
        <f aca="false">IF($A95="","",SUM(H95:Q95))</f>
        <v/>
      </c>
      <c r="S95" s="45" t="str">
        <f aca="false">IF($A95="","",ROUND($F95-$G95-$R95,2))</f>
        <v/>
      </c>
      <c r="T95" s="28" t="str">
        <f aca="false">IF(OR($A95="",$F95=0),"",$R95/$F95)</f>
        <v/>
      </c>
      <c r="U95" s="35"/>
      <c r="V95" s="0" t="str">
        <f aca="false">IF($A95="","",$A95&amp;"|"&amp;$B95)</f>
        <v/>
      </c>
    </row>
    <row r="96" customFormat="false" ht="18" hidden="false" customHeight="true" outlineLevel="0" collapsed="false">
      <c r="A96" s="36"/>
      <c r="B96" s="36"/>
      <c r="C96" s="48" t="str">
        <f aca="false">IF($B96="","",IFERROR(VLOOKUP($B96,资产台账!$B$4:$N$53,2,0)&amp;"","台账中未登记"))</f>
        <v/>
      </c>
      <c r="D96" s="43" t="str">
        <f aca="false">IF($B96="","",IFERROR(VLOOKUP($B96,资产台账!$B$4:$N$53,3,0)&amp;"",""))</f>
        <v/>
      </c>
      <c r="E96" s="43" t="str">
        <f aca="false">IF($B96="","",IFERROR(VLOOKUP($B96,资产台账!$B$4:$N$53,5,0)&amp;"",""))</f>
        <v/>
      </c>
      <c r="F96" s="44"/>
      <c r="G96" s="44"/>
      <c r="H96" s="44"/>
      <c r="I96" s="44"/>
      <c r="J96" s="44"/>
      <c r="K96" s="44"/>
      <c r="L96" s="44"/>
      <c r="M96" s="44"/>
      <c r="N96" s="44"/>
      <c r="O96" s="44"/>
      <c r="P96" s="44"/>
      <c r="Q96" s="44"/>
      <c r="R96" s="45" t="str">
        <f aca="false">IF($A96="","",SUM(H96:Q96))</f>
        <v/>
      </c>
      <c r="S96" s="45" t="str">
        <f aca="false">IF($A96="","",ROUND($F96-$G96-$R96,2))</f>
        <v/>
      </c>
      <c r="T96" s="28" t="str">
        <f aca="false">IF(OR($A96="",$F96=0),"",$R96/$F96)</f>
        <v/>
      </c>
      <c r="U96" s="35"/>
      <c r="V96" s="0" t="str">
        <f aca="false">IF($A96="","",$A96&amp;"|"&amp;$B96)</f>
        <v/>
      </c>
    </row>
    <row r="97" customFormat="false" ht="18" hidden="false" customHeight="true" outlineLevel="0" collapsed="false">
      <c r="A97" s="36"/>
      <c r="B97" s="36"/>
      <c r="C97" s="48" t="str">
        <f aca="false">IF($B97="","",IFERROR(VLOOKUP($B97,资产台账!$B$4:$N$53,2,0)&amp;"","台账中未登记"))</f>
        <v/>
      </c>
      <c r="D97" s="43" t="str">
        <f aca="false">IF($B97="","",IFERROR(VLOOKUP($B97,资产台账!$B$4:$N$53,3,0)&amp;"",""))</f>
        <v/>
      </c>
      <c r="E97" s="43" t="str">
        <f aca="false">IF($B97="","",IFERROR(VLOOKUP($B97,资产台账!$B$4:$N$53,5,0)&amp;"",""))</f>
        <v/>
      </c>
      <c r="F97" s="44"/>
      <c r="G97" s="44"/>
      <c r="H97" s="44"/>
      <c r="I97" s="44"/>
      <c r="J97" s="44"/>
      <c r="K97" s="44"/>
      <c r="L97" s="44"/>
      <c r="M97" s="44"/>
      <c r="N97" s="44"/>
      <c r="O97" s="44"/>
      <c r="P97" s="44"/>
      <c r="Q97" s="44"/>
      <c r="R97" s="45" t="str">
        <f aca="false">IF($A97="","",SUM(H97:Q97))</f>
        <v/>
      </c>
      <c r="S97" s="45" t="str">
        <f aca="false">IF($A97="","",ROUND($F97-$G97-$R97,2))</f>
        <v/>
      </c>
      <c r="T97" s="28" t="str">
        <f aca="false">IF(OR($A97="",$F97=0),"",$R97/$F97)</f>
        <v/>
      </c>
      <c r="U97" s="35"/>
      <c r="V97" s="0" t="str">
        <f aca="false">IF($A97="","",$A97&amp;"|"&amp;$B97)</f>
        <v/>
      </c>
    </row>
    <row r="98" customFormat="false" ht="18" hidden="false" customHeight="true" outlineLevel="0" collapsed="false">
      <c r="A98" s="36"/>
      <c r="B98" s="36"/>
      <c r="C98" s="48" t="str">
        <f aca="false">IF($B98="","",IFERROR(VLOOKUP($B98,资产台账!$B$4:$N$53,2,0)&amp;"","台账中未登记"))</f>
        <v/>
      </c>
      <c r="D98" s="43" t="str">
        <f aca="false">IF($B98="","",IFERROR(VLOOKUP($B98,资产台账!$B$4:$N$53,3,0)&amp;"",""))</f>
        <v/>
      </c>
      <c r="E98" s="43" t="str">
        <f aca="false">IF($B98="","",IFERROR(VLOOKUP($B98,资产台账!$B$4:$N$53,5,0)&amp;"",""))</f>
        <v/>
      </c>
      <c r="F98" s="44"/>
      <c r="G98" s="44"/>
      <c r="H98" s="44"/>
      <c r="I98" s="44"/>
      <c r="J98" s="44"/>
      <c r="K98" s="44"/>
      <c r="L98" s="44"/>
      <c r="M98" s="44"/>
      <c r="N98" s="44"/>
      <c r="O98" s="44"/>
      <c r="P98" s="44"/>
      <c r="Q98" s="44"/>
      <c r="R98" s="45" t="str">
        <f aca="false">IF($A98="","",SUM(H98:Q98))</f>
        <v/>
      </c>
      <c r="S98" s="45" t="str">
        <f aca="false">IF($A98="","",ROUND($F98-$G98-$R98,2))</f>
        <v/>
      </c>
      <c r="T98" s="28" t="str">
        <f aca="false">IF(OR($A98="",$F98=0),"",$R98/$F98)</f>
        <v/>
      </c>
      <c r="U98" s="35"/>
      <c r="V98" s="0" t="str">
        <f aca="false">IF($A98="","",$A98&amp;"|"&amp;$B98)</f>
        <v/>
      </c>
    </row>
    <row r="99" customFormat="false" ht="18" hidden="false" customHeight="true" outlineLevel="0" collapsed="false">
      <c r="A99" s="36"/>
      <c r="B99" s="36"/>
      <c r="C99" s="48" t="str">
        <f aca="false">IF($B99="","",IFERROR(VLOOKUP($B99,资产台账!$B$4:$N$53,2,0)&amp;"","台账中未登记"))</f>
        <v/>
      </c>
      <c r="D99" s="43" t="str">
        <f aca="false">IF($B99="","",IFERROR(VLOOKUP($B99,资产台账!$B$4:$N$53,3,0)&amp;"",""))</f>
        <v/>
      </c>
      <c r="E99" s="43" t="str">
        <f aca="false">IF($B99="","",IFERROR(VLOOKUP($B99,资产台账!$B$4:$N$53,5,0)&amp;"",""))</f>
        <v/>
      </c>
      <c r="F99" s="44"/>
      <c r="G99" s="44"/>
      <c r="H99" s="44"/>
      <c r="I99" s="44"/>
      <c r="J99" s="44"/>
      <c r="K99" s="44"/>
      <c r="L99" s="44"/>
      <c r="M99" s="44"/>
      <c r="N99" s="44"/>
      <c r="O99" s="44"/>
      <c r="P99" s="44"/>
      <c r="Q99" s="44"/>
      <c r="R99" s="45" t="str">
        <f aca="false">IF($A99="","",SUM(H99:Q99))</f>
        <v/>
      </c>
      <c r="S99" s="45" t="str">
        <f aca="false">IF($A99="","",ROUND($F99-$G99-$R99,2))</f>
        <v/>
      </c>
      <c r="T99" s="28" t="str">
        <f aca="false">IF(OR($A99="",$F99=0),"",$R99/$F99)</f>
        <v/>
      </c>
      <c r="U99" s="35"/>
      <c r="V99" s="0" t="str">
        <f aca="false">IF($A99="","",$A99&amp;"|"&amp;$B99)</f>
        <v/>
      </c>
    </row>
    <row r="100" customFormat="false" ht="18" hidden="false" customHeight="true" outlineLevel="0" collapsed="false">
      <c r="A100" s="36"/>
      <c r="B100" s="36"/>
      <c r="C100" s="48" t="str">
        <f aca="false">IF($B100="","",IFERROR(VLOOKUP($B100,资产台账!$B$4:$N$53,2,0)&amp;"","台账中未登记"))</f>
        <v/>
      </c>
      <c r="D100" s="43" t="str">
        <f aca="false">IF($B100="","",IFERROR(VLOOKUP($B100,资产台账!$B$4:$N$53,3,0)&amp;"",""))</f>
        <v/>
      </c>
      <c r="E100" s="43" t="str">
        <f aca="false">IF($B100="","",IFERROR(VLOOKUP($B100,资产台账!$B$4:$N$53,5,0)&amp;"",""))</f>
        <v/>
      </c>
      <c r="F100" s="44"/>
      <c r="G100" s="44"/>
      <c r="H100" s="44"/>
      <c r="I100" s="44"/>
      <c r="J100" s="44"/>
      <c r="K100" s="44"/>
      <c r="L100" s="44"/>
      <c r="M100" s="44"/>
      <c r="N100" s="44"/>
      <c r="O100" s="44"/>
      <c r="P100" s="44"/>
      <c r="Q100" s="44"/>
      <c r="R100" s="45" t="str">
        <f aca="false">IF($A100="","",SUM(H100:Q100))</f>
        <v/>
      </c>
      <c r="S100" s="45" t="str">
        <f aca="false">IF($A100="","",ROUND($F100-$G100-$R100,2))</f>
        <v/>
      </c>
      <c r="T100" s="28" t="str">
        <f aca="false">IF(OR($A100="",$F100=0),"",$R100/$F100)</f>
        <v/>
      </c>
      <c r="U100" s="35"/>
      <c r="V100" s="0" t="str">
        <f aca="false">IF($A100="","",$A100&amp;"|"&amp;$B100)</f>
        <v/>
      </c>
    </row>
    <row r="101" customFormat="false" ht="18" hidden="false" customHeight="true" outlineLevel="0" collapsed="false">
      <c r="A101" s="36"/>
      <c r="B101" s="36"/>
      <c r="C101" s="48" t="str">
        <f aca="false">IF($B101="","",IFERROR(VLOOKUP($B101,资产台账!$B$4:$N$53,2,0)&amp;"","台账中未登记"))</f>
        <v/>
      </c>
      <c r="D101" s="43" t="str">
        <f aca="false">IF($B101="","",IFERROR(VLOOKUP($B101,资产台账!$B$4:$N$53,3,0)&amp;"",""))</f>
        <v/>
      </c>
      <c r="E101" s="43" t="str">
        <f aca="false">IF($B101="","",IFERROR(VLOOKUP($B101,资产台账!$B$4:$N$53,5,0)&amp;"",""))</f>
        <v/>
      </c>
      <c r="F101" s="44"/>
      <c r="G101" s="44"/>
      <c r="H101" s="44"/>
      <c r="I101" s="44"/>
      <c r="J101" s="44"/>
      <c r="K101" s="44"/>
      <c r="L101" s="44"/>
      <c r="M101" s="44"/>
      <c r="N101" s="44"/>
      <c r="O101" s="44"/>
      <c r="P101" s="44"/>
      <c r="Q101" s="44"/>
      <c r="R101" s="45" t="str">
        <f aca="false">IF($A101="","",SUM(H101:Q101))</f>
        <v/>
      </c>
      <c r="S101" s="45" t="str">
        <f aca="false">IF($A101="","",ROUND($F101-$G101-$R101,2))</f>
        <v/>
      </c>
      <c r="T101" s="28" t="str">
        <f aca="false">IF(OR($A101="",$F101=0),"",$R101/$F101)</f>
        <v/>
      </c>
      <c r="U101" s="35"/>
      <c r="V101" s="0" t="str">
        <f aca="false">IF($A101="","",$A101&amp;"|"&amp;$B101)</f>
        <v/>
      </c>
    </row>
    <row r="102" customFormat="false" ht="18" hidden="false" customHeight="true" outlineLevel="0" collapsed="false">
      <c r="A102" s="36"/>
      <c r="B102" s="36"/>
      <c r="C102" s="48" t="str">
        <f aca="false">IF($B102="","",IFERROR(VLOOKUP($B102,资产台账!$B$4:$N$53,2,0)&amp;"","台账中未登记"))</f>
        <v/>
      </c>
      <c r="D102" s="43" t="str">
        <f aca="false">IF($B102="","",IFERROR(VLOOKUP($B102,资产台账!$B$4:$N$53,3,0)&amp;"",""))</f>
        <v/>
      </c>
      <c r="E102" s="43" t="str">
        <f aca="false">IF($B102="","",IFERROR(VLOOKUP($B102,资产台账!$B$4:$N$53,5,0)&amp;"",""))</f>
        <v/>
      </c>
      <c r="F102" s="44"/>
      <c r="G102" s="44"/>
      <c r="H102" s="44"/>
      <c r="I102" s="44"/>
      <c r="J102" s="44"/>
      <c r="K102" s="44"/>
      <c r="L102" s="44"/>
      <c r="M102" s="44"/>
      <c r="N102" s="44"/>
      <c r="O102" s="44"/>
      <c r="P102" s="44"/>
      <c r="Q102" s="44"/>
      <c r="R102" s="45" t="str">
        <f aca="false">IF($A102="","",SUM(H102:Q102))</f>
        <v/>
      </c>
      <c r="S102" s="45" t="str">
        <f aca="false">IF($A102="","",ROUND($F102-$G102-$R102,2))</f>
        <v/>
      </c>
      <c r="T102" s="28" t="str">
        <f aca="false">IF(OR($A102="",$F102=0),"",$R102/$F102)</f>
        <v/>
      </c>
      <c r="U102" s="35"/>
      <c r="V102" s="0" t="str">
        <f aca="false">IF($A102="","",$A102&amp;"|"&amp;$B102)</f>
        <v/>
      </c>
    </row>
    <row r="103" customFormat="false" ht="18" hidden="false" customHeight="true" outlineLevel="0" collapsed="false">
      <c r="A103" s="36"/>
      <c r="B103" s="36"/>
      <c r="C103" s="48" t="str">
        <f aca="false">IF($B103="","",IFERROR(VLOOKUP($B103,资产台账!$B$4:$N$53,2,0)&amp;"","台账中未登记"))</f>
        <v/>
      </c>
      <c r="D103" s="43" t="str">
        <f aca="false">IF($B103="","",IFERROR(VLOOKUP($B103,资产台账!$B$4:$N$53,3,0)&amp;"",""))</f>
        <v/>
      </c>
      <c r="E103" s="43" t="str">
        <f aca="false">IF($B103="","",IFERROR(VLOOKUP($B103,资产台账!$B$4:$N$53,5,0)&amp;"",""))</f>
        <v/>
      </c>
      <c r="F103" s="44"/>
      <c r="G103" s="44"/>
      <c r="H103" s="44"/>
      <c r="I103" s="44"/>
      <c r="J103" s="44"/>
      <c r="K103" s="44"/>
      <c r="L103" s="44"/>
      <c r="M103" s="44"/>
      <c r="N103" s="44"/>
      <c r="O103" s="44"/>
      <c r="P103" s="44"/>
      <c r="Q103" s="44"/>
      <c r="R103" s="45" t="str">
        <f aca="false">IF($A103="","",SUM(H103:Q103))</f>
        <v/>
      </c>
      <c r="S103" s="45" t="str">
        <f aca="false">IF($A103="","",ROUND($F103-$G103-$R103,2))</f>
        <v/>
      </c>
      <c r="T103" s="28" t="str">
        <f aca="false">IF(OR($A103="",$F103=0),"",$R103/$F103)</f>
        <v/>
      </c>
      <c r="U103" s="35"/>
      <c r="V103" s="0" t="str">
        <f aca="false">IF($A103="","",$A103&amp;"|"&amp;$B103)</f>
        <v/>
      </c>
    </row>
    <row r="104" customFormat="false" ht="18" hidden="false" customHeight="true" outlineLevel="0" collapsed="false">
      <c r="A104" s="36"/>
      <c r="B104" s="36"/>
      <c r="C104" s="48" t="str">
        <f aca="false">IF($B104="","",IFERROR(VLOOKUP($B104,资产台账!$B$4:$N$53,2,0)&amp;"","台账中未登记"))</f>
        <v/>
      </c>
      <c r="D104" s="43" t="str">
        <f aca="false">IF($B104="","",IFERROR(VLOOKUP($B104,资产台账!$B$4:$N$53,3,0)&amp;"",""))</f>
        <v/>
      </c>
      <c r="E104" s="43" t="str">
        <f aca="false">IF($B104="","",IFERROR(VLOOKUP($B104,资产台账!$B$4:$N$53,5,0)&amp;"",""))</f>
        <v/>
      </c>
      <c r="F104" s="44"/>
      <c r="G104" s="44"/>
      <c r="H104" s="44"/>
      <c r="I104" s="44"/>
      <c r="J104" s="44"/>
      <c r="K104" s="44"/>
      <c r="L104" s="44"/>
      <c r="M104" s="44"/>
      <c r="N104" s="44"/>
      <c r="O104" s="44"/>
      <c r="P104" s="44"/>
      <c r="Q104" s="44"/>
      <c r="R104" s="45" t="str">
        <f aca="false">IF($A104="","",SUM(H104:Q104))</f>
        <v/>
      </c>
      <c r="S104" s="45" t="str">
        <f aca="false">IF($A104="","",ROUND($F104-$G104-$R104,2))</f>
        <v/>
      </c>
      <c r="T104" s="28" t="str">
        <f aca="false">IF(OR($A104="",$F104=0),"",$R104/$F104)</f>
        <v/>
      </c>
      <c r="U104" s="35"/>
      <c r="V104" s="0" t="str">
        <f aca="false">IF($A104="","",$A104&amp;"|"&amp;$B104)</f>
        <v/>
      </c>
    </row>
    <row r="105" customFormat="false" ht="18" hidden="false" customHeight="true" outlineLevel="0" collapsed="false">
      <c r="A105" s="36"/>
      <c r="B105" s="36"/>
      <c r="C105" s="48" t="str">
        <f aca="false">IF($B105="","",IFERROR(VLOOKUP($B105,资产台账!$B$4:$N$53,2,0)&amp;"","台账中未登记"))</f>
        <v/>
      </c>
      <c r="D105" s="43" t="str">
        <f aca="false">IF($B105="","",IFERROR(VLOOKUP($B105,资产台账!$B$4:$N$53,3,0)&amp;"",""))</f>
        <v/>
      </c>
      <c r="E105" s="43" t="str">
        <f aca="false">IF($B105="","",IFERROR(VLOOKUP($B105,资产台账!$B$4:$N$53,5,0)&amp;"",""))</f>
        <v/>
      </c>
      <c r="F105" s="44"/>
      <c r="G105" s="44"/>
      <c r="H105" s="44"/>
      <c r="I105" s="44"/>
      <c r="J105" s="44"/>
      <c r="K105" s="44"/>
      <c r="L105" s="44"/>
      <c r="M105" s="44"/>
      <c r="N105" s="44"/>
      <c r="O105" s="44"/>
      <c r="P105" s="44"/>
      <c r="Q105" s="44"/>
      <c r="R105" s="45" t="str">
        <f aca="false">IF($A105="","",SUM(H105:Q105))</f>
        <v/>
      </c>
      <c r="S105" s="45" t="str">
        <f aca="false">IF($A105="","",ROUND($F105-$G105-$R105,2))</f>
        <v/>
      </c>
      <c r="T105" s="28" t="str">
        <f aca="false">IF(OR($A105="",$F105=0),"",$R105/$F105)</f>
        <v/>
      </c>
      <c r="U105" s="35"/>
      <c r="V105" s="0" t="str">
        <f aca="false">IF($A105="","",$A105&amp;"|"&amp;$B105)</f>
        <v/>
      </c>
    </row>
    <row r="106" customFormat="false" ht="18" hidden="false" customHeight="true" outlineLevel="0" collapsed="false">
      <c r="A106" s="36"/>
      <c r="B106" s="36"/>
      <c r="C106" s="48" t="str">
        <f aca="false">IF($B106="","",IFERROR(VLOOKUP($B106,资产台账!$B$4:$N$53,2,0)&amp;"","台账中未登记"))</f>
        <v/>
      </c>
      <c r="D106" s="43" t="str">
        <f aca="false">IF($B106="","",IFERROR(VLOOKUP($B106,资产台账!$B$4:$N$53,3,0)&amp;"",""))</f>
        <v/>
      </c>
      <c r="E106" s="43" t="str">
        <f aca="false">IF($B106="","",IFERROR(VLOOKUP($B106,资产台账!$B$4:$N$53,5,0)&amp;"",""))</f>
        <v/>
      </c>
      <c r="F106" s="44"/>
      <c r="G106" s="44"/>
      <c r="H106" s="44"/>
      <c r="I106" s="44"/>
      <c r="J106" s="44"/>
      <c r="K106" s="44"/>
      <c r="L106" s="44"/>
      <c r="M106" s="44"/>
      <c r="N106" s="44"/>
      <c r="O106" s="44"/>
      <c r="P106" s="44"/>
      <c r="Q106" s="44"/>
      <c r="R106" s="45" t="str">
        <f aca="false">IF($A106="","",SUM(H106:Q106))</f>
        <v/>
      </c>
      <c r="S106" s="45" t="str">
        <f aca="false">IF($A106="","",ROUND($F106-$G106-$R106,2))</f>
        <v/>
      </c>
      <c r="T106" s="28" t="str">
        <f aca="false">IF(OR($A106="",$F106=0),"",$R106/$F106)</f>
        <v/>
      </c>
      <c r="U106" s="35"/>
      <c r="V106" s="0" t="str">
        <f aca="false">IF($A106="","",$A106&amp;"|"&amp;$B106)</f>
        <v/>
      </c>
    </row>
    <row r="107" customFormat="false" ht="18" hidden="false" customHeight="true" outlineLevel="0" collapsed="false">
      <c r="A107" s="36"/>
      <c r="B107" s="36"/>
      <c r="C107" s="48" t="str">
        <f aca="false">IF($B107="","",IFERROR(VLOOKUP($B107,资产台账!$B$4:$N$53,2,0)&amp;"","台账中未登记"))</f>
        <v/>
      </c>
      <c r="D107" s="43" t="str">
        <f aca="false">IF($B107="","",IFERROR(VLOOKUP($B107,资产台账!$B$4:$N$53,3,0)&amp;"",""))</f>
        <v/>
      </c>
      <c r="E107" s="43" t="str">
        <f aca="false">IF($B107="","",IFERROR(VLOOKUP($B107,资产台账!$B$4:$N$53,5,0)&amp;"",""))</f>
        <v/>
      </c>
      <c r="F107" s="44"/>
      <c r="G107" s="44"/>
      <c r="H107" s="44"/>
      <c r="I107" s="44"/>
      <c r="J107" s="44"/>
      <c r="K107" s="44"/>
      <c r="L107" s="44"/>
      <c r="M107" s="44"/>
      <c r="N107" s="44"/>
      <c r="O107" s="44"/>
      <c r="P107" s="44"/>
      <c r="Q107" s="44"/>
      <c r="R107" s="45" t="str">
        <f aca="false">IF($A107="","",SUM(H107:Q107))</f>
        <v/>
      </c>
      <c r="S107" s="45" t="str">
        <f aca="false">IF($A107="","",ROUND($F107-$G107-$R107,2))</f>
        <v/>
      </c>
      <c r="T107" s="28" t="str">
        <f aca="false">IF(OR($A107="",$F107=0),"",$R107/$F107)</f>
        <v/>
      </c>
      <c r="U107" s="35"/>
      <c r="V107" s="0" t="str">
        <f aca="false">IF($A107="","",$A107&amp;"|"&amp;$B107)</f>
        <v/>
      </c>
    </row>
    <row r="108" customFormat="false" ht="18" hidden="false" customHeight="true" outlineLevel="0" collapsed="false">
      <c r="A108" s="36"/>
      <c r="B108" s="36"/>
      <c r="C108" s="48" t="str">
        <f aca="false">IF($B108="","",IFERROR(VLOOKUP($B108,资产台账!$B$4:$N$53,2,0)&amp;"","台账中未登记"))</f>
        <v/>
      </c>
      <c r="D108" s="43" t="str">
        <f aca="false">IF($B108="","",IFERROR(VLOOKUP($B108,资产台账!$B$4:$N$53,3,0)&amp;"",""))</f>
        <v/>
      </c>
      <c r="E108" s="43" t="str">
        <f aca="false">IF($B108="","",IFERROR(VLOOKUP($B108,资产台账!$B$4:$N$53,5,0)&amp;"",""))</f>
        <v/>
      </c>
      <c r="F108" s="44"/>
      <c r="G108" s="44"/>
      <c r="H108" s="44"/>
      <c r="I108" s="44"/>
      <c r="J108" s="44"/>
      <c r="K108" s="44"/>
      <c r="L108" s="44"/>
      <c r="M108" s="44"/>
      <c r="N108" s="44"/>
      <c r="O108" s="44"/>
      <c r="P108" s="44"/>
      <c r="Q108" s="44"/>
      <c r="R108" s="45" t="str">
        <f aca="false">IF($A108="","",SUM(H108:Q108))</f>
        <v/>
      </c>
      <c r="S108" s="45" t="str">
        <f aca="false">IF($A108="","",ROUND($F108-$G108-$R108,2))</f>
        <v/>
      </c>
      <c r="T108" s="28" t="str">
        <f aca="false">IF(OR($A108="",$F108=0),"",$R108/$F108)</f>
        <v/>
      </c>
      <c r="U108" s="35"/>
      <c r="V108" s="0" t="str">
        <f aca="false">IF($A108="","",$A108&amp;"|"&amp;$B108)</f>
        <v/>
      </c>
    </row>
    <row r="109" customFormat="false" ht="18" hidden="false" customHeight="true" outlineLevel="0" collapsed="false">
      <c r="A109" s="36"/>
      <c r="B109" s="36"/>
      <c r="C109" s="48" t="str">
        <f aca="false">IF($B109="","",IFERROR(VLOOKUP($B109,资产台账!$B$4:$N$53,2,0)&amp;"","台账中未登记"))</f>
        <v/>
      </c>
      <c r="D109" s="43" t="str">
        <f aca="false">IF($B109="","",IFERROR(VLOOKUP($B109,资产台账!$B$4:$N$53,3,0)&amp;"",""))</f>
        <v/>
      </c>
      <c r="E109" s="43" t="str">
        <f aca="false">IF($B109="","",IFERROR(VLOOKUP($B109,资产台账!$B$4:$N$53,5,0)&amp;"",""))</f>
        <v/>
      </c>
      <c r="F109" s="44"/>
      <c r="G109" s="44"/>
      <c r="H109" s="44"/>
      <c r="I109" s="44"/>
      <c r="J109" s="44"/>
      <c r="K109" s="44"/>
      <c r="L109" s="44"/>
      <c r="M109" s="44"/>
      <c r="N109" s="44"/>
      <c r="O109" s="44"/>
      <c r="P109" s="44"/>
      <c r="Q109" s="44"/>
      <c r="R109" s="45" t="str">
        <f aca="false">IF($A109="","",SUM(H109:Q109))</f>
        <v/>
      </c>
      <c r="S109" s="45" t="str">
        <f aca="false">IF($A109="","",ROUND($F109-$G109-$R109,2))</f>
        <v/>
      </c>
      <c r="T109" s="28" t="str">
        <f aca="false">IF(OR($A109="",$F109=0),"",$R109/$F109)</f>
        <v/>
      </c>
      <c r="U109" s="35"/>
      <c r="V109" s="0" t="str">
        <f aca="false">IF($A109="","",$A109&amp;"|"&amp;$B109)</f>
        <v/>
      </c>
    </row>
    <row r="110" customFormat="false" ht="18" hidden="false" customHeight="true" outlineLevel="0" collapsed="false">
      <c r="A110" s="36"/>
      <c r="B110" s="36"/>
      <c r="C110" s="48" t="str">
        <f aca="false">IF($B110="","",IFERROR(VLOOKUP($B110,资产台账!$B$4:$N$53,2,0)&amp;"","台账中未登记"))</f>
        <v/>
      </c>
      <c r="D110" s="43" t="str">
        <f aca="false">IF($B110="","",IFERROR(VLOOKUP($B110,资产台账!$B$4:$N$53,3,0)&amp;"",""))</f>
        <v/>
      </c>
      <c r="E110" s="43" t="str">
        <f aca="false">IF($B110="","",IFERROR(VLOOKUP($B110,资产台账!$B$4:$N$53,5,0)&amp;"",""))</f>
        <v/>
      </c>
      <c r="F110" s="44"/>
      <c r="G110" s="44"/>
      <c r="H110" s="44"/>
      <c r="I110" s="44"/>
      <c r="J110" s="44"/>
      <c r="K110" s="44"/>
      <c r="L110" s="44"/>
      <c r="M110" s="44"/>
      <c r="N110" s="44"/>
      <c r="O110" s="44"/>
      <c r="P110" s="44"/>
      <c r="Q110" s="44"/>
      <c r="R110" s="45" t="str">
        <f aca="false">IF($A110="","",SUM(H110:Q110))</f>
        <v/>
      </c>
      <c r="S110" s="45" t="str">
        <f aca="false">IF($A110="","",ROUND($F110-$G110-$R110,2))</f>
        <v/>
      </c>
      <c r="T110" s="28" t="str">
        <f aca="false">IF(OR($A110="",$F110=0),"",$R110/$F110)</f>
        <v/>
      </c>
      <c r="U110" s="35"/>
      <c r="V110" s="0" t="str">
        <f aca="false">IF($A110="","",$A110&amp;"|"&amp;$B110)</f>
        <v/>
      </c>
    </row>
    <row r="111" customFormat="false" ht="18" hidden="false" customHeight="true" outlineLevel="0" collapsed="false">
      <c r="A111" s="36"/>
      <c r="B111" s="36"/>
      <c r="C111" s="48" t="str">
        <f aca="false">IF($B111="","",IFERROR(VLOOKUP($B111,资产台账!$B$4:$N$53,2,0)&amp;"","台账中未登记"))</f>
        <v/>
      </c>
      <c r="D111" s="43" t="str">
        <f aca="false">IF($B111="","",IFERROR(VLOOKUP($B111,资产台账!$B$4:$N$53,3,0)&amp;"",""))</f>
        <v/>
      </c>
      <c r="E111" s="43" t="str">
        <f aca="false">IF($B111="","",IFERROR(VLOOKUP($B111,资产台账!$B$4:$N$53,5,0)&amp;"",""))</f>
        <v/>
      </c>
      <c r="F111" s="44"/>
      <c r="G111" s="44"/>
      <c r="H111" s="44"/>
      <c r="I111" s="44"/>
      <c r="J111" s="44"/>
      <c r="K111" s="44"/>
      <c r="L111" s="44"/>
      <c r="M111" s="44"/>
      <c r="N111" s="44"/>
      <c r="O111" s="44"/>
      <c r="P111" s="44"/>
      <c r="Q111" s="44"/>
      <c r="R111" s="45" t="str">
        <f aca="false">IF($A111="","",SUM(H111:Q111))</f>
        <v/>
      </c>
      <c r="S111" s="45" t="str">
        <f aca="false">IF($A111="","",ROUND($F111-$G111-$R111,2))</f>
        <v/>
      </c>
      <c r="T111" s="28" t="str">
        <f aca="false">IF(OR($A111="",$F111=0),"",$R111/$F111)</f>
        <v/>
      </c>
      <c r="U111" s="35"/>
      <c r="V111" s="0" t="str">
        <f aca="false">IF($A111="","",$A111&amp;"|"&amp;$B111)</f>
        <v/>
      </c>
    </row>
    <row r="112" customFormat="false" ht="18" hidden="false" customHeight="true" outlineLevel="0" collapsed="false">
      <c r="A112" s="36"/>
      <c r="B112" s="36"/>
      <c r="C112" s="48" t="str">
        <f aca="false">IF($B112="","",IFERROR(VLOOKUP($B112,资产台账!$B$4:$N$53,2,0)&amp;"","台账中未登记"))</f>
        <v/>
      </c>
      <c r="D112" s="43" t="str">
        <f aca="false">IF($B112="","",IFERROR(VLOOKUP($B112,资产台账!$B$4:$N$53,3,0)&amp;"",""))</f>
        <v/>
      </c>
      <c r="E112" s="43" t="str">
        <f aca="false">IF($B112="","",IFERROR(VLOOKUP($B112,资产台账!$B$4:$N$53,5,0)&amp;"",""))</f>
        <v/>
      </c>
      <c r="F112" s="44"/>
      <c r="G112" s="44"/>
      <c r="H112" s="44"/>
      <c r="I112" s="44"/>
      <c r="J112" s="44"/>
      <c r="K112" s="44"/>
      <c r="L112" s="44"/>
      <c r="M112" s="44"/>
      <c r="N112" s="44"/>
      <c r="O112" s="44"/>
      <c r="P112" s="44"/>
      <c r="Q112" s="44"/>
      <c r="R112" s="45" t="str">
        <f aca="false">IF($A112="","",SUM(H112:Q112))</f>
        <v/>
      </c>
      <c r="S112" s="45" t="str">
        <f aca="false">IF($A112="","",ROUND($F112-$G112-$R112,2))</f>
        <v/>
      </c>
      <c r="T112" s="28" t="str">
        <f aca="false">IF(OR($A112="",$F112=0),"",$R112/$F112)</f>
        <v/>
      </c>
      <c r="U112" s="35"/>
      <c r="V112" s="0" t="str">
        <f aca="false">IF($A112="","",$A112&amp;"|"&amp;$B112)</f>
        <v/>
      </c>
    </row>
    <row r="113" customFormat="false" ht="18" hidden="false" customHeight="true" outlineLevel="0" collapsed="false">
      <c r="A113" s="36"/>
      <c r="B113" s="36"/>
      <c r="C113" s="48" t="str">
        <f aca="false">IF($B113="","",IFERROR(VLOOKUP($B113,资产台账!$B$4:$N$53,2,0)&amp;"","台账中未登记"))</f>
        <v/>
      </c>
      <c r="D113" s="43" t="str">
        <f aca="false">IF($B113="","",IFERROR(VLOOKUP($B113,资产台账!$B$4:$N$53,3,0)&amp;"",""))</f>
        <v/>
      </c>
      <c r="E113" s="43" t="str">
        <f aca="false">IF($B113="","",IFERROR(VLOOKUP($B113,资产台账!$B$4:$N$53,5,0)&amp;"",""))</f>
        <v/>
      </c>
      <c r="F113" s="44"/>
      <c r="G113" s="44"/>
      <c r="H113" s="44"/>
      <c r="I113" s="44"/>
      <c r="J113" s="44"/>
      <c r="K113" s="44"/>
      <c r="L113" s="44"/>
      <c r="M113" s="44"/>
      <c r="N113" s="44"/>
      <c r="O113" s="44"/>
      <c r="P113" s="44"/>
      <c r="Q113" s="44"/>
      <c r="R113" s="45" t="str">
        <f aca="false">IF($A113="","",SUM(H113:Q113))</f>
        <v/>
      </c>
      <c r="S113" s="45" t="str">
        <f aca="false">IF($A113="","",ROUND($F113-$G113-$R113,2))</f>
        <v/>
      </c>
      <c r="T113" s="28" t="str">
        <f aca="false">IF(OR($A113="",$F113=0),"",$R113/$F113)</f>
        <v/>
      </c>
      <c r="U113" s="35"/>
      <c r="V113" s="0" t="str">
        <f aca="false">IF($A113="","",$A113&amp;"|"&amp;$B113)</f>
        <v/>
      </c>
    </row>
    <row r="114" customFormat="false" ht="18" hidden="false" customHeight="true" outlineLevel="0" collapsed="false">
      <c r="A114" s="36"/>
      <c r="B114" s="36"/>
      <c r="C114" s="48" t="str">
        <f aca="false">IF($B114="","",IFERROR(VLOOKUP($B114,资产台账!$B$4:$N$53,2,0)&amp;"","台账中未登记"))</f>
        <v/>
      </c>
      <c r="D114" s="43" t="str">
        <f aca="false">IF($B114="","",IFERROR(VLOOKUP($B114,资产台账!$B$4:$N$53,3,0)&amp;"",""))</f>
        <v/>
      </c>
      <c r="E114" s="43" t="str">
        <f aca="false">IF($B114="","",IFERROR(VLOOKUP($B114,资产台账!$B$4:$N$53,5,0)&amp;"",""))</f>
        <v/>
      </c>
      <c r="F114" s="44"/>
      <c r="G114" s="44"/>
      <c r="H114" s="44"/>
      <c r="I114" s="44"/>
      <c r="J114" s="44"/>
      <c r="K114" s="44"/>
      <c r="L114" s="44"/>
      <c r="M114" s="44"/>
      <c r="N114" s="44"/>
      <c r="O114" s="44"/>
      <c r="P114" s="44"/>
      <c r="Q114" s="44"/>
      <c r="R114" s="45" t="str">
        <f aca="false">IF($A114="","",SUM(H114:Q114))</f>
        <v/>
      </c>
      <c r="S114" s="45" t="str">
        <f aca="false">IF($A114="","",ROUND($F114-$G114-$R114,2))</f>
        <v/>
      </c>
      <c r="T114" s="28" t="str">
        <f aca="false">IF(OR($A114="",$F114=0),"",$R114/$F114)</f>
        <v/>
      </c>
      <c r="U114" s="35"/>
      <c r="V114" s="0" t="str">
        <f aca="false">IF($A114="","",$A114&amp;"|"&amp;$B114)</f>
        <v/>
      </c>
    </row>
    <row r="115" customFormat="false" ht="18" hidden="false" customHeight="true" outlineLevel="0" collapsed="false">
      <c r="A115" s="36"/>
      <c r="B115" s="36"/>
      <c r="C115" s="48" t="str">
        <f aca="false">IF($B115="","",IFERROR(VLOOKUP($B115,资产台账!$B$4:$N$53,2,0)&amp;"","台账中未登记"))</f>
        <v/>
      </c>
      <c r="D115" s="43" t="str">
        <f aca="false">IF($B115="","",IFERROR(VLOOKUP($B115,资产台账!$B$4:$N$53,3,0)&amp;"",""))</f>
        <v/>
      </c>
      <c r="E115" s="43" t="str">
        <f aca="false">IF($B115="","",IFERROR(VLOOKUP($B115,资产台账!$B$4:$N$53,5,0)&amp;"",""))</f>
        <v/>
      </c>
      <c r="F115" s="44"/>
      <c r="G115" s="44"/>
      <c r="H115" s="44"/>
      <c r="I115" s="44"/>
      <c r="J115" s="44"/>
      <c r="K115" s="44"/>
      <c r="L115" s="44"/>
      <c r="M115" s="44"/>
      <c r="N115" s="44"/>
      <c r="O115" s="44"/>
      <c r="P115" s="44"/>
      <c r="Q115" s="44"/>
      <c r="R115" s="45" t="str">
        <f aca="false">IF($A115="","",SUM(H115:Q115))</f>
        <v/>
      </c>
      <c r="S115" s="45" t="str">
        <f aca="false">IF($A115="","",ROUND($F115-$G115-$R115,2))</f>
        <v/>
      </c>
      <c r="T115" s="28" t="str">
        <f aca="false">IF(OR($A115="",$F115=0),"",$R115/$F115)</f>
        <v/>
      </c>
      <c r="U115" s="35"/>
      <c r="V115" s="0" t="str">
        <f aca="false">IF($A115="","",$A115&amp;"|"&amp;$B115)</f>
        <v/>
      </c>
    </row>
    <row r="116" customFormat="false" ht="18" hidden="false" customHeight="true" outlineLevel="0" collapsed="false">
      <c r="A116" s="36"/>
      <c r="B116" s="36"/>
      <c r="C116" s="48" t="str">
        <f aca="false">IF($B116="","",IFERROR(VLOOKUP($B116,资产台账!$B$4:$N$53,2,0)&amp;"","台账中未登记"))</f>
        <v/>
      </c>
      <c r="D116" s="43" t="str">
        <f aca="false">IF($B116="","",IFERROR(VLOOKUP($B116,资产台账!$B$4:$N$53,3,0)&amp;"",""))</f>
        <v/>
      </c>
      <c r="E116" s="43" t="str">
        <f aca="false">IF($B116="","",IFERROR(VLOOKUP($B116,资产台账!$B$4:$N$53,5,0)&amp;"",""))</f>
        <v/>
      </c>
      <c r="F116" s="44"/>
      <c r="G116" s="44"/>
      <c r="H116" s="44"/>
      <c r="I116" s="44"/>
      <c r="J116" s="44"/>
      <c r="K116" s="44"/>
      <c r="L116" s="44"/>
      <c r="M116" s="44"/>
      <c r="N116" s="44"/>
      <c r="O116" s="44"/>
      <c r="P116" s="44"/>
      <c r="Q116" s="44"/>
      <c r="R116" s="45" t="str">
        <f aca="false">IF($A116="","",SUM(H116:Q116))</f>
        <v/>
      </c>
      <c r="S116" s="45" t="str">
        <f aca="false">IF($A116="","",ROUND($F116-$G116-$R116,2))</f>
        <v/>
      </c>
      <c r="T116" s="28" t="str">
        <f aca="false">IF(OR($A116="",$F116=0),"",$R116/$F116)</f>
        <v/>
      </c>
      <c r="U116" s="35"/>
      <c r="V116" s="0" t="str">
        <f aca="false">IF($A116="","",$A116&amp;"|"&amp;$B116)</f>
        <v/>
      </c>
    </row>
    <row r="117" customFormat="false" ht="18" hidden="false" customHeight="true" outlineLevel="0" collapsed="false">
      <c r="A117" s="36"/>
      <c r="B117" s="36"/>
      <c r="C117" s="48" t="str">
        <f aca="false">IF($B117="","",IFERROR(VLOOKUP($B117,资产台账!$B$4:$N$53,2,0)&amp;"","台账中未登记"))</f>
        <v/>
      </c>
      <c r="D117" s="43" t="str">
        <f aca="false">IF($B117="","",IFERROR(VLOOKUP($B117,资产台账!$B$4:$N$53,3,0)&amp;"",""))</f>
        <v/>
      </c>
      <c r="E117" s="43" t="str">
        <f aca="false">IF($B117="","",IFERROR(VLOOKUP($B117,资产台账!$B$4:$N$53,5,0)&amp;"",""))</f>
        <v/>
      </c>
      <c r="F117" s="44"/>
      <c r="G117" s="44"/>
      <c r="H117" s="44"/>
      <c r="I117" s="44"/>
      <c r="J117" s="44"/>
      <c r="K117" s="44"/>
      <c r="L117" s="44"/>
      <c r="M117" s="44"/>
      <c r="N117" s="44"/>
      <c r="O117" s="44"/>
      <c r="P117" s="44"/>
      <c r="Q117" s="44"/>
      <c r="R117" s="45" t="str">
        <f aca="false">IF($A117="","",SUM(H117:Q117))</f>
        <v/>
      </c>
      <c r="S117" s="45" t="str">
        <f aca="false">IF($A117="","",ROUND($F117-$G117-$R117,2))</f>
        <v/>
      </c>
      <c r="T117" s="28" t="str">
        <f aca="false">IF(OR($A117="",$F117=0),"",$R117/$F117)</f>
        <v/>
      </c>
      <c r="U117" s="35"/>
      <c r="V117" s="0" t="str">
        <f aca="false">IF($A117="","",$A117&amp;"|"&amp;$B117)</f>
        <v/>
      </c>
    </row>
    <row r="118" customFormat="false" ht="18" hidden="false" customHeight="true" outlineLevel="0" collapsed="false">
      <c r="A118" s="36"/>
      <c r="B118" s="36"/>
      <c r="C118" s="48" t="str">
        <f aca="false">IF($B118="","",IFERROR(VLOOKUP($B118,资产台账!$B$4:$N$53,2,0)&amp;"","台账中未登记"))</f>
        <v/>
      </c>
      <c r="D118" s="43" t="str">
        <f aca="false">IF($B118="","",IFERROR(VLOOKUP($B118,资产台账!$B$4:$N$53,3,0)&amp;"",""))</f>
        <v/>
      </c>
      <c r="E118" s="43" t="str">
        <f aca="false">IF($B118="","",IFERROR(VLOOKUP($B118,资产台账!$B$4:$N$53,5,0)&amp;"",""))</f>
        <v/>
      </c>
      <c r="F118" s="44"/>
      <c r="G118" s="44"/>
      <c r="H118" s="44"/>
      <c r="I118" s="44"/>
      <c r="J118" s="44"/>
      <c r="K118" s="44"/>
      <c r="L118" s="44"/>
      <c r="M118" s="44"/>
      <c r="N118" s="44"/>
      <c r="O118" s="44"/>
      <c r="P118" s="44"/>
      <c r="Q118" s="44"/>
      <c r="R118" s="45" t="str">
        <f aca="false">IF($A118="","",SUM(H118:Q118))</f>
        <v/>
      </c>
      <c r="S118" s="45" t="str">
        <f aca="false">IF($A118="","",ROUND($F118-$G118-$R118,2))</f>
        <v/>
      </c>
      <c r="T118" s="28" t="str">
        <f aca="false">IF(OR($A118="",$F118=0),"",$R118/$F118)</f>
        <v/>
      </c>
      <c r="U118" s="35"/>
      <c r="V118" s="0" t="str">
        <f aca="false">IF($A118="","",$A118&amp;"|"&amp;$B118)</f>
        <v/>
      </c>
    </row>
    <row r="119" customFormat="false" ht="18" hidden="false" customHeight="true" outlineLevel="0" collapsed="false">
      <c r="A119" s="36"/>
      <c r="B119" s="36"/>
      <c r="C119" s="48" t="str">
        <f aca="false">IF($B119="","",IFERROR(VLOOKUP($B119,资产台账!$B$4:$N$53,2,0)&amp;"","台账中未登记"))</f>
        <v/>
      </c>
      <c r="D119" s="43" t="str">
        <f aca="false">IF($B119="","",IFERROR(VLOOKUP($B119,资产台账!$B$4:$N$53,3,0)&amp;"",""))</f>
        <v/>
      </c>
      <c r="E119" s="43" t="str">
        <f aca="false">IF($B119="","",IFERROR(VLOOKUP($B119,资产台账!$B$4:$N$53,5,0)&amp;"",""))</f>
        <v/>
      </c>
      <c r="F119" s="44"/>
      <c r="G119" s="44"/>
      <c r="H119" s="44"/>
      <c r="I119" s="44"/>
      <c r="J119" s="44"/>
      <c r="K119" s="44"/>
      <c r="L119" s="44"/>
      <c r="M119" s="44"/>
      <c r="N119" s="44"/>
      <c r="O119" s="44"/>
      <c r="P119" s="44"/>
      <c r="Q119" s="44"/>
      <c r="R119" s="45" t="str">
        <f aca="false">IF($A119="","",SUM(H119:Q119))</f>
        <v/>
      </c>
      <c r="S119" s="45" t="str">
        <f aca="false">IF($A119="","",ROUND($F119-$G119-$R119,2))</f>
        <v/>
      </c>
      <c r="T119" s="28" t="str">
        <f aca="false">IF(OR($A119="",$F119=0),"",$R119/$F119)</f>
        <v/>
      </c>
      <c r="U119" s="35"/>
      <c r="V119" s="0" t="str">
        <f aca="false">IF($A119="","",$A119&amp;"|"&amp;$B119)</f>
        <v/>
      </c>
    </row>
    <row r="120" customFormat="false" ht="18" hidden="false" customHeight="true" outlineLevel="0" collapsed="false">
      <c r="A120" s="36"/>
      <c r="B120" s="36"/>
      <c r="C120" s="48" t="str">
        <f aca="false">IF($B120="","",IFERROR(VLOOKUP($B120,资产台账!$B$4:$N$53,2,0)&amp;"","台账中未登记"))</f>
        <v/>
      </c>
      <c r="D120" s="43" t="str">
        <f aca="false">IF($B120="","",IFERROR(VLOOKUP($B120,资产台账!$B$4:$N$53,3,0)&amp;"",""))</f>
        <v/>
      </c>
      <c r="E120" s="43" t="str">
        <f aca="false">IF($B120="","",IFERROR(VLOOKUP($B120,资产台账!$B$4:$N$53,5,0)&amp;"",""))</f>
        <v/>
      </c>
      <c r="F120" s="44"/>
      <c r="G120" s="44"/>
      <c r="H120" s="44"/>
      <c r="I120" s="44"/>
      <c r="J120" s="44"/>
      <c r="K120" s="44"/>
      <c r="L120" s="44"/>
      <c r="M120" s="44"/>
      <c r="N120" s="44"/>
      <c r="O120" s="44"/>
      <c r="P120" s="44"/>
      <c r="Q120" s="44"/>
      <c r="R120" s="45" t="str">
        <f aca="false">IF($A120="","",SUM(H120:Q120))</f>
        <v/>
      </c>
      <c r="S120" s="45" t="str">
        <f aca="false">IF($A120="","",ROUND($F120-$G120-$R120,2))</f>
        <v/>
      </c>
      <c r="T120" s="28" t="str">
        <f aca="false">IF(OR($A120="",$F120=0),"",$R120/$F120)</f>
        <v/>
      </c>
      <c r="U120" s="35"/>
      <c r="V120" s="0" t="str">
        <f aca="false">IF($A120="","",$A120&amp;"|"&amp;$B120)</f>
        <v/>
      </c>
    </row>
    <row r="121" customFormat="false" ht="18" hidden="false" customHeight="true" outlineLevel="0" collapsed="false">
      <c r="A121" s="36"/>
      <c r="B121" s="36"/>
      <c r="C121" s="48" t="str">
        <f aca="false">IF($B121="","",IFERROR(VLOOKUP($B121,资产台账!$B$4:$N$53,2,0)&amp;"","台账中未登记"))</f>
        <v/>
      </c>
      <c r="D121" s="43" t="str">
        <f aca="false">IF($B121="","",IFERROR(VLOOKUP($B121,资产台账!$B$4:$N$53,3,0)&amp;"",""))</f>
        <v/>
      </c>
      <c r="E121" s="43" t="str">
        <f aca="false">IF($B121="","",IFERROR(VLOOKUP($B121,资产台账!$B$4:$N$53,5,0)&amp;"",""))</f>
        <v/>
      </c>
      <c r="F121" s="44"/>
      <c r="G121" s="44"/>
      <c r="H121" s="44"/>
      <c r="I121" s="44"/>
      <c r="J121" s="44"/>
      <c r="K121" s="44"/>
      <c r="L121" s="44"/>
      <c r="M121" s="44"/>
      <c r="N121" s="44"/>
      <c r="O121" s="44"/>
      <c r="P121" s="44"/>
      <c r="Q121" s="44"/>
      <c r="R121" s="45" t="str">
        <f aca="false">IF($A121="","",SUM(H121:Q121))</f>
        <v/>
      </c>
      <c r="S121" s="45" t="str">
        <f aca="false">IF($A121="","",ROUND($F121-$G121-$R121,2))</f>
        <v/>
      </c>
      <c r="T121" s="28" t="str">
        <f aca="false">IF(OR($A121="",$F121=0),"",$R121/$F121)</f>
        <v/>
      </c>
      <c r="U121" s="35"/>
      <c r="V121" s="0" t="str">
        <f aca="false">IF($A121="","",$A121&amp;"|"&amp;$B121)</f>
        <v/>
      </c>
    </row>
    <row r="122" customFormat="false" ht="18" hidden="false" customHeight="true" outlineLevel="0" collapsed="false">
      <c r="A122" s="36"/>
      <c r="B122" s="36"/>
      <c r="C122" s="48" t="str">
        <f aca="false">IF($B122="","",IFERROR(VLOOKUP($B122,资产台账!$B$4:$N$53,2,0)&amp;"","台账中未登记"))</f>
        <v/>
      </c>
      <c r="D122" s="43" t="str">
        <f aca="false">IF($B122="","",IFERROR(VLOOKUP($B122,资产台账!$B$4:$N$53,3,0)&amp;"",""))</f>
        <v/>
      </c>
      <c r="E122" s="43" t="str">
        <f aca="false">IF($B122="","",IFERROR(VLOOKUP($B122,资产台账!$B$4:$N$53,5,0)&amp;"",""))</f>
        <v/>
      </c>
      <c r="F122" s="44"/>
      <c r="G122" s="44"/>
      <c r="H122" s="44"/>
      <c r="I122" s="44"/>
      <c r="J122" s="44"/>
      <c r="K122" s="44"/>
      <c r="L122" s="44"/>
      <c r="M122" s="44"/>
      <c r="N122" s="44"/>
      <c r="O122" s="44"/>
      <c r="P122" s="44"/>
      <c r="Q122" s="44"/>
      <c r="R122" s="45" t="str">
        <f aca="false">IF($A122="","",SUM(H122:Q122))</f>
        <v/>
      </c>
      <c r="S122" s="45" t="str">
        <f aca="false">IF($A122="","",ROUND($F122-$G122-$R122,2))</f>
        <v/>
      </c>
      <c r="T122" s="28" t="str">
        <f aca="false">IF(OR($A122="",$F122=0),"",$R122/$F122)</f>
        <v/>
      </c>
      <c r="U122" s="35"/>
      <c r="V122" s="0" t="str">
        <f aca="false">IF($A122="","",$A122&amp;"|"&amp;$B122)</f>
        <v/>
      </c>
    </row>
    <row r="123" customFormat="false" ht="18" hidden="false" customHeight="true" outlineLevel="0" collapsed="false">
      <c r="A123" s="36"/>
      <c r="B123" s="36"/>
      <c r="C123" s="48" t="str">
        <f aca="false">IF($B123="","",IFERROR(VLOOKUP($B123,资产台账!$B$4:$N$53,2,0)&amp;"","台账中未登记"))</f>
        <v/>
      </c>
      <c r="D123" s="43" t="str">
        <f aca="false">IF($B123="","",IFERROR(VLOOKUP($B123,资产台账!$B$4:$N$53,3,0)&amp;"",""))</f>
        <v/>
      </c>
      <c r="E123" s="43" t="str">
        <f aca="false">IF($B123="","",IFERROR(VLOOKUP($B123,资产台账!$B$4:$N$53,5,0)&amp;"",""))</f>
        <v/>
      </c>
      <c r="F123" s="44"/>
      <c r="G123" s="44"/>
      <c r="H123" s="44"/>
      <c r="I123" s="44"/>
      <c r="J123" s="44"/>
      <c r="K123" s="44"/>
      <c r="L123" s="44"/>
      <c r="M123" s="44"/>
      <c r="N123" s="44"/>
      <c r="O123" s="44"/>
      <c r="P123" s="44"/>
      <c r="Q123" s="44"/>
      <c r="R123" s="45" t="str">
        <f aca="false">IF($A123="","",SUM(H123:Q123))</f>
        <v/>
      </c>
      <c r="S123" s="45" t="str">
        <f aca="false">IF($A123="","",ROUND($F123-$G123-$R123,2))</f>
        <v/>
      </c>
      <c r="T123" s="28" t="str">
        <f aca="false">IF(OR($A123="",$F123=0),"",$R123/$F123)</f>
        <v/>
      </c>
      <c r="U123" s="35"/>
      <c r="V123" s="0" t="str">
        <f aca="false">IF($A123="","",$A123&amp;"|"&amp;$B123)</f>
        <v/>
      </c>
    </row>
    <row r="124" customFormat="false" ht="18" hidden="false" customHeight="true" outlineLevel="0" collapsed="false">
      <c r="A124" s="36"/>
      <c r="B124" s="36"/>
      <c r="C124" s="48" t="str">
        <f aca="false">IF($B124="","",IFERROR(VLOOKUP($B124,资产台账!$B$4:$N$53,2,0)&amp;"","台账中未登记"))</f>
        <v/>
      </c>
      <c r="D124" s="43" t="str">
        <f aca="false">IF($B124="","",IFERROR(VLOOKUP($B124,资产台账!$B$4:$N$53,3,0)&amp;"",""))</f>
        <v/>
      </c>
      <c r="E124" s="43" t="str">
        <f aca="false">IF($B124="","",IFERROR(VLOOKUP($B124,资产台账!$B$4:$N$53,5,0)&amp;"",""))</f>
        <v/>
      </c>
      <c r="F124" s="44"/>
      <c r="G124" s="44"/>
      <c r="H124" s="44"/>
      <c r="I124" s="44"/>
      <c r="J124" s="44"/>
      <c r="K124" s="44"/>
      <c r="L124" s="44"/>
      <c r="M124" s="44"/>
      <c r="N124" s="44"/>
      <c r="O124" s="44"/>
      <c r="P124" s="44"/>
      <c r="Q124" s="44"/>
      <c r="R124" s="45" t="str">
        <f aca="false">IF($A124="","",SUM(H124:Q124))</f>
        <v/>
      </c>
      <c r="S124" s="45" t="str">
        <f aca="false">IF($A124="","",ROUND($F124-$G124-$R124,2))</f>
        <v/>
      </c>
      <c r="T124" s="28" t="str">
        <f aca="false">IF(OR($A124="",$F124=0),"",$R124/$F124)</f>
        <v/>
      </c>
      <c r="U124" s="35"/>
      <c r="V124" s="0" t="str">
        <f aca="false">IF($A124="","",$A124&amp;"|"&amp;$B124)</f>
        <v/>
      </c>
    </row>
    <row r="125" customFormat="false" ht="18" hidden="false" customHeight="true" outlineLevel="0" collapsed="false">
      <c r="A125" s="36"/>
      <c r="B125" s="36"/>
      <c r="C125" s="48" t="str">
        <f aca="false">IF($B125="","",IFERROR(VLOOKUP($B125,资产台账!$B$4:$N$53,2,0)&amp;"","台账中未登记"))</f>
        <v/>
      </c>
      <c r="D125" s="43" t="str">
        <f aca="false">IF($B125="","",IFERROR(VLOOKUP($B125,资产台账!$B$4:$N$53,3,0)&amp;"",""))</f>
        <v/>
      </c>
      <c r="E125" s="43" t="str">
        <f aca="false">IF($B125="","",IFERROR(VLOOKUP($B125,资产台账!$B$4:$N$53,5,0)&amp;"",""))</f>
        <v/>
      </c>
      <c r="F125" s="44"/>
      <c r="G125" s="44"/>
      <c r="H125" s="44"/>
      <c r="I125" s="44"/>
      <c r="J125" s="44"/>
      <c r="K125" s="44"/>
      <c r="L125" s="44"/>
      <c r="M125" s="44"/>
      <c r="N125" s="44"/>
      <c r="O125" s="44"/>
      <c r="P125" s="44"/>
      <c r="Q125" s="44"/>
      <c r="R125" s="45" t="str">
        <f aca="false">IF($A125="","",SUM(H125:Q125))</f>
        <v/>
      </c>
      <c r="S125" s="45" t="str">
        <f aca="false">IF($A125="","",ROUND($F125-$G125-$R125,2))</f>
        <v/>
      </c>
      <c r="T125" s="28" t="str">
        <f aca="false">IF(OR($A125="",$F125=0),"",$R125/$F125)</f>
        <v/>
      </c>
      <c r="U125" s="35"/>
      <c r="V125" s="0" t="str">
        <f aca="false">IF($A125="","",$A125&amp;"|"&amp;$B125)</f>
        <v/>
      </c>
    </row>
    <row r="126" customFormat="false" ht="18" hidden="false" customHeight="true" outlineLevel="0" collapsed="false">
      <c r="A126" s="36"/>
      <c r="B126" s="36"/>
      <c r="C126" s="48" t="str">
        <f aca="false">IF($B126="","",IFERROR(VLOOKUP($B126,资产台账!$B$4:$N$53,2,0)&amp;"","台账中未登记"))</f>
        <v/>
      </c>
      <c r="D126" s="43" t="str">
        <f aca="false">IF($B126="","",IFERROR(VLOOKUP($B126,资产台账!$B$4:$N$53,3,0)&amp;"",""))</f>
        <v/>
      </c>
      <c r="E126" s="43" t="str">
        <f aca="false">IF($B126="","",IFERROR(VLOOKUP($B126,资产台账!$B$4:$N$53,5,0)&amp;"",""))</f>
        <v/>
      </c>
      <c r="F126" s="44"/>
      <c r="G126" s="44"/>
      <c r="H126" s="44"/>
      <c r="I126" s="44"/>
      <c r="J126" s="44"/>
      <c r="K126" s="44"/>
      <c r="L126" s="44"/>
      <c r="M126" s="44"/>
      <c r="N126" s="44"/>
      <c r="O126" s="44"/>
      <c r="P126" s="44"/>
      <c r="Q126" s="44"/>
      <c r="R126" s="45" t="str">
        <f aca="false">IF($A126="","",SUM(H126:Q126))</f>
        <v/>
      </c>
      <c r="S126" s="45" t="str">
        <f aca="false">IF($A126="","",ROUND($F126-$G126-$R126,2))</f>
        <v/>
      </c>
      <c r="T126" s="28" t="str">
        <f aca="false">IF(OR($A126="",$F126=0),"",$R126/$F126)</f>
        <v/>
      </c>
      <c r="U126" s="35"/>
      <c r="V126" s="0" t="str">
        <f aca="false">IF($A126="","",$A126&amp;"|"&amp;$B126)</f>
        <v/>
      </c>
    </row>
    <row r="127" customFormat="false" ht="18" hidden="false" customHeight="true" outlineLevel="0" collapsed="false">
      <c r="A127" s="36"/>
      <c r="B127" s="36"/>
      <c r="C127" s="48" t="str">
        <f aca="false">IF($B127="","",IFERROR(VLOOKUP($B127,资产台账!$B$4:$N$53,2,0)&amp;"","台账中未登记"))</f>
        <v/>
      </c>
      <c r="D127" s="43" t="str">
        <f aca="false">IF($B127="","",IFERROR(VLOOKUP($B127,资产台账!$B$4:$N$53,3,0)&amp;"",""))</f>
        <v/>
      </c>
      <c r="E127" s="43" t="str">
        <f aca="false">IF($B127="","",IFERROR(VLOOKUP($B127,资产台账!$B$4:$N$53,5,0)&amp;"",""))</f>
        <v/>
      </c>
      <c r="F127" s="44"/>
      <c r="G127" s="44"/>
      <c r="H127" s="44"/>
      <c r="I127" s="44"/>
      <c r="J127" s="44"/>
      <c r="K127" s="44"/>
      <c r="L127" s="44"/>
      <c r="M127" s="44"/>
      <c r="N127" s="44"/>
      <c r="O127" s="44"/>
      <c r="P127" s="44"/>
      <c r="Q127" s="44"/>
      <c r="R127" s="45" t="str">
        <f aca="false">IF($A127="","",SUM(H127:Q127))</f>
        <v/>
      </c>
      <c r="S127" s="45" t="str">
        <f aca="false">IF($A127="","",ROUND($F127-$G127-$R127,2))</f>
        <v/>
      </c>
      <c r="T127" s="28" t="str">
        <f aca="false">IF(OR($A127="",$F127=0),"",$R127/$F127)</f>
        <v/>
      </c>
      <c r="U127" s="35"/>
      <c r="V127" s="0" t="str">
        <f aca="false">IF($A127="","",$A127&amp;"|"&amp;$B127)</f>
        <v/>
      </c>
    </row>
    <row r="128" customFormat="false" ht="18" hidden="false" customHeight="true" outlineLevel="0" collapsed="false">
      <c r="A128" s="36"/>
      <c r="B128" s="36"/>
      <c r="C128" s="48" t="str">
        <f aca="false">IF($B128="","",IFERROR(VLOOKUP($B128,资产台账!$B$4:$N$53,2,0)&amp;"","台账中未登记"))</f>
        <v/>
      </c>
      <c r="D128" s="43" t="str">
        <f aca="false">IF($B128="","",IFERROR(VLOOKUP($B128,资产台账!$B$4:$N$53,3,0)&amp;"",""))</f>
        <v/>
      </c>
      <c r="E128" s="43" t="str">
        <f aca="false">IF($B128="","",IFERROR(VLOOKUP($B128,资产台账!$B$4:$N$53,5,0)&amp;"",""))</f>
        <v/>
      </c>
      <c r="F128" s="44"/>
      <c r="G128" s="44"/>
      <c r="H128" s="44"/>
      <c r="I128" s="44"/>
      <c r="J128" s="44"/>
      <c r="K128" s="44"/>
      <c r="L128" s="44"/>
      <c r="M128" s="44"/>
      <c r="N128" s="44"/>
      <c r="O128" s="44"/>
      <c r="P128" s="44"/>
      <c r="Q128" s="44"/>
      <c r="R128" s="45" t="str">
        <f aca="false">IF($A128="","",SUM(H128:Q128))</f>
        <v/>
      </c>
      <c r="S128" s="45" t="str">
        <f aca="false">IF($A128="","",ROUND($F128-$G128-$R128,2))</f>
        <v/>
      </c>
      <c r="T128" s="28" t="str">
        <f aca="false">IF(OR($A128="",$F128=0),"",$R128/$F128)</f>
        <v/>
      </c>
      <c r="U128" s="35"/>
      <c r="V128" s="0" t="str">
        <f aca="false">IF($A128="","",$A128&amp;"|"&amp;$B128)</f>
        <v/>
      </c>
    </row>
    <row r="129" customFormat="false" ht="18" hidden="false" customHeight="true" outlineLevel="0" collapsed="false">
      <c r="A129" s="36"/>
      <c r="B129" s="36"/>
      <c r="C129" s="48" t="str">
        <f aca="false">IF($B129="","",IFERROR(VLOOKUP($B129,资产台账!$B$4:$N$53,2,0)&amp;"","台账中未登记"))</f>
        <v/>
      </c>
      <c r="D129" s="43" t="str">
        <f aca="false">IF($B129="","",IFERROR(VLOOKUP($B129,资产台账!$B$4:$N$53,3,0)&amp;"",""))</f>
        <v/>
      </c>
      <c r="E129" s="43" t="str">
        <f aca="false">IF($B129="","",IFERROR(VLOOKUP($B129,资产台账!$B$4:$N$53,5,0)&amp;"",""))</f>
        <v/>
      </c>
      <c r="F129" s="44"/>
      <c r="G129" s="44"/>
      <c r="H129" s="44"/>
      <c r="I129" s="44"/>
      <c r="J129" s="44"/>
      <c r="K129" s="44"/>
      <c r="L129" s="44"/>
      <c r="M129" s="44"/>
      <c r="N129" s="44"/>
      <c r="O129" s="44"/>
      <c r="P129" s="44"/>
      <c r="Q129" s="44"/>
      <c r="R129" s="45" t="str">
        <f aca="false">IF($A129="","",SUM(H129:Q129))</f>
        <v/>
      </c>
      <c r="S129" s="45" t="str">
        <f aca="false">IF($A129="","",ROUND($F129-$G129-$R129,2))</f>
        <v/>
      </c>
      <c r="T129" s="28" t="str">
        <f aca="false">IF(OR($A129="",$F129=0),"",$R129/$F129)</f>
        <v/>
      </c>
      <c r="U129" s="35"/>
      <c r="V129" s="0" t="str">
        <f aca="false">IF($A129="","",$A129&amp;"|"&amp;$B129)</f>
        <v/>
      </c>
    </row>
    <row r="130" customFormat="false" ht="18" hidden="false" customHeight="true" outlineLevel="0" collapsed="false">
      <c r="A130" s="36"/>
      <c r="B130" s="36"/>
      <c r="C130" s="48" t="str">
        <f aca="false">IF($B130="","",IFERROR(VLOOKUP($B130,资产台账!$B$4:$N$53,2,0)&amp;"","台账中未登记"))</f>
        <v/>
      </c>
      <c r="D130" s="43" t="str">
        <f aca="false">IF($B130="","",IFERROR(VLOOKUP($B130,资产台账!$B$4:$N$53,3,0)&amp;"",""))</f>
        <v/>
      </c>
      <c r="E130" s="43" t="str">
        <f aca="false">IF($B130="","",IFERROR(VLOOKUP($B130,资产台账!$B$4:$N$53,5,0)&amp;"",""))</f>
        <v/>
      </c>
      <c r="F130" s="44"/>
      <c r="G130" s="44"/>
      <c r="H130" s="44"/>
      <c r="I130" s="44"/>
      <c r="J130" s="44"/>
      <c r="K130" s="44"/>
      <c r="L130" s="44"/>
      <c r="M130" s="44"/>
      <c r="N130" s="44"/>
      <c r="O130" s="44"/>
      <c r="P130" s="44"/>
      <c r="Q130" s="44"/>
      <c r="R130" s="45" t="str">
        <f aca="false">IF($A130="","",SUM(H130:Q130))</f>
        <v/>
      </c>
      <c r="S130" s="45" t="str">
        <f aca="false">IF($A130="","",ROUND($F130-$G130-$R130,2))</f>
        <v/>
      </c>
      <c r="T130" s="28" t="str">
        <f aca="false">IF(OR($A130="",$F130=0),"",$R130/$F130)</f>
        <v/>
      </c>
      <c r="U130" s="35"/>
      <c r="V130" s="0" t="str">
        <f aca="false">IF($A130="","",$A130&amp;"|"&amp;$B130)</f>
        <v/>
      </c>
    </row>
    <row r="131" customFormat="false" ht="18" hidden="false" customHeight="true" outlineLevel="0" collapsed="false">
      <c r="A131" s="36"/>
      <c r="B131" s="36"/>
      <c r="C131" s="48" t="str">
        <f aca="false">IF($B131="","",IFERROR(VLOOKUP($B131,资产台账!$B$4:$N$53,2,0)&amp;"","台账中未登记"))</f>
        <v/>
      </c>
      <c r="D131" s="43" t="str">
        <f aca="false">IF($B131="","",IFERROR(VLOOKUP($B131,资产台账!$B$4:$N$53,3,0)&amp;"",""))</f>
        <v/>
      </c>
      <c r="E131" s="43" t="str">
        <f aca="false">IF($B131="","",IFERROR(VLOOKUP($B131,资产台账!$B$4:$N$53,5,0)&amp;"",""))</f>
        <v/>
      </c>
      <c r="F131" s="44"/>
      <c r="G131" s="44"/>
      <c r="H131" s="44"/>
      <c r="I131" s="44"/>
      <c r="J131" s="44"/>
      <c r="K131" s="44"/>
      <c r="L131" s="44"/>
      <c r="M131" s="44"/>
      <c r="N131" s="44"/>
      <c r="O131" s="44"/>
      <c r="P131" s="44"/>
      <c r="Q131" s="44"/>
      <c r="R131" s="45" t="str">
        <f aca="false">IF($A131="","",SUM(H131:Q131))</f>
        <v/>
      </c>
      <c r="S131" s="45" t="str">
        <f aca="false">IF($A131="","",ROUND($F131-$G131-$R131,2))</f>
        <v/>
      </c>
      <c r="T131" s="28" t="str">
        <f aca="false">IF(OR($A131="",$F131=0),"",$R131/$F131)</f>
        <v/>
      </c>
      <c r="U131" s="35"/>
      <c r="V131" s="0" t="str">
        <f aca="false">IF($A131="","",$A131&amp;"|"&amp;$B131)</f>
        <v/>
      </c>
    </row>
    <row r="132" customFormat="false" ht="18" hidden="false" customHeight="true" outlineLevel="0" collapsed="false">
      <c r="A132" s="36"/>
      <c r="B132" s="36"/>
      <c r="C132" s="48" t="str">
        <f aca="false">IF($B132="","",IFERROR(VLOOKUP($B132,资产台账!$B$4:$N$53,2,0)&amp;"","台账中未登记"))</f>
        <v/>
      </c>
      <c r="D132" s="43" t="str">
        <f aca="false">IF($B132="","",IFERROR(VLOOKUP($B132,资产台账!$B$4:$N$53,3,0)&amp;"",""))</f>
        <v/>
      </c>
      <c r="E132" s="43" t="str">
        <f aca="false">IF($B132="","",IFERROR(VLOOKUP($B132,资产台账!$B$4:$N$53,5,0)&amp;"",""))</f>
        <v/>
      </c>
      <c r="F132" s="44"/>
      <c r="G132" s="44"/>
      <c r="H132" s="44"/>
      <c r="I132" s="44"/>
      <c r="J132" s="44"/>
      <c r="K132" s="44"/>
      <c r="L132" s="44"/>
      <c r="M132" s="44"/>
      <c r="N132" s="44"/>
      <c r="O132" s="44"/>
      <c r="P132" s="44"/>
      <c r="Q132" s="44"/>
      <c r="R132" s="45" t="str">
        <f aca="false">IF($A132="","",SUM(H132:Q132))</f>
        <v/>
      </c>
      <c r="S132" s="45" t="str">
        <f aca="false">IF($A132="","",ROUND($F132-$G132-$R132,2))</f>
        <v/>
      </c>
      <c r="T132" s="28" t="str">
        <f aca="false">IF(OR($A132="",$F132=0),"",$R132/$F132)</f>
        <v/>
      </c>
      <c r="U132" s="35"/>
      <c r="V132" s="0" t="str">
        <f aca="false">IF($A132="","",$A132&amp;"|"&amp;$B132)</f>
        <v/>
      </c>
    </row>
    <row r="133" customFormat="false" ht="18" hidden="false" customHeight="true" outlineLevel="0" collapsed="false">
      <c r="A133" s="36"/>
      <c r="B133" s="36"/>
      <c r="C133" s="48" t="str">
        <f aca="false">IF($B133="","",IFERROR(VLOOKUP($B133,资产台账!$B$4:$N$53,2,0)&amp;"","台账中未登记"))</f>
        <v/>
      </c>
      <c r="D133" s="43" t="str">
        <f aca="false">IF($B133="","",IFERROR(VLOOKUP($B133,资产台账!$B$4:$N$53,3,0)&amp;"",""))</f>
        <v/>
      </c>
      <c r="E133" s="43" t="str">
        <f aca="false">IF($B133="","",IFERROR(VLOOKUP($B133,资产台账!$B$4:$N$53,5,0)&amp;"",""))</f>
        <v/>
      </c>
      <c r="F133" s="44"/>
      <c r="G133" s="44"/>
      <c r="H133" s="44"/>
      <c r="I133" s="44"/>
      <c r="J133" s="44"/>
      <c r="K133" s="44"/>
      <c r="L133" s="44"/>
      <c r="M133" s="44"/>
      <c r="N133" s="44"/>
      <c r="O133" s="44"/>
      <c r="P133" s="44"/>
      <c r="Q133" s="44"/>
      <c r="R133" s="45" t="str">
        <f aca="false">IF($A133="","",SUM(H133:Q133))</f>
        <v/>
      </c>
      <c r="S133" s="45" t="str">
        <f aca="false">IF($A133="","",ROUND($F133-$G133-$R133,2))</f>
        <v/>
      </c>
      <c r="T133" s="28" t="str">
        <f aca="false">IF(OR($A133="",$F133=0),"",$R133/$F133)</f>
        <v/>
      </c>
      <c r="U133" s="35"/>
      <c r="V133" s="0" t="str">
        <f aca="false">IF($A133="","",$A133&amp;"|"&amp;$B133)</f>
        <v/>
      </c>
    </row>
    <row r="134" customFormat="false" ht="18" hidden="false" customHeight="true" outlineLevel="0" collapsed="false">
      <c r="A134" s="36"/>
      <c r="B134" s="36"/>
      <c r="C134" s="48" t="str">
        <f aca="false">IF($B134="","",IFERROR(VLOOKUP($B134,资产台账!$B$4:$N$53,2,0)&amp;"","台账中未登记"))</f>
        <v/>
      </c>
      <c r="D134" s="43" t="str">
        <f aca="false">IF($B134="","",IFERROR(VLOOKUP($B134,资产台账!$B$4:$N$53,3,0)&amp;"",""))</f>
        <v/>
      </c>
      <c r="E134" s="43" t="str">
        <f aca="false">IF($B134="","",IFERROR(VLOOKUP($B134,资产台账!$B$4:$N$53,5,0)&amp;"",""))</f>
        <v/>
      </c>
      <c r="F134" s="44"/>
      <c r="G134" s="44"/>
      <c r="H134" s="44"/>
      <c r="I134" s="44"/>
      <c r="J134" s="44"/>
      <c r="K134" s="44"/>
      <c r="L134" s="44"/>
      <c r="M134" s="44"/>
      <c r="N134" s="44"/>
      <c r="O134" s="44"/>
      <c r="P134" s="44"/>
      <c r="Q134" s="44"/>
      <c r="R134" s="45" t="str">
        <f aca="false">IF($A134="","",SUM(H134:Q134))</f>
        <v/>
      </c>
      <c r="S134" s="45" t="str">
        <f aca="false">IF($A134="","",ROUND($F134-$G134-$R134,2))</f>
        <v/>
      </c>
      <c r="T134" s="28" t="str">
        <f aca="false">IF(OR($A134="",$F134=0),"",$R134/$F134)</f>
        <v/>
      </c>
      <c r="U134" s="35"/>
      <c r="V134" s="0" t="str">
        <f aca="false">IF($A134="","",$A134&amp;"|"&amp;$B134)</f>
        <v/>
      </c>
    </row>
    <row r="135" customFormat="false" ht="18" hidden="false" customHeight="true" outlineLevel="0" collapsed="false">
      <c r="A135" s="36"/>
      <c r="B135" s="36"/>
      <c r="C135" s="48" t="str">
        <f aca="false">IF($B135="","",IFERROR(VLOOKUP($B135,资产台账!$B$4:$N$53,2,0)&amp;"","台账中未登记"))</f>
        <v/>
      </c>
      <c r="D135" s="43" t="str">
        <f aca="false">IF($B135="","",IFERROR(VLOOKUP($B135,资产台账!$B$4:$N$53,3,0)&amp;"",""))</f>
        <v/>
      </c>
      <c r="E135" s="43" t="str">
        <f aca="false">IF($B135="","",IFERROR(VLOOKUP($B135,资产台账!$B$4:$N$53,5,0)&amp;"",""))</f>
        <v/>
      </c>
      <c r="F135" s="44"/>
      <c r="G135" s="44"/>
      <c r="H135" s="44"/>
      <c r="I135" s="44"/>
      <c r="J135" s="44"/>
      <c r="K135" s="44"/>
      <c r="L135" s="44"/>
      <c r="M135" s="44"/>
      <c r="N135" s="44"/>
      <c r="O135" s="44"/>
      <c r="P135" s="44"/>
      <c r="Q135" s="44"/>
      <c r="R135" s="45" t="str">
        <f aca="false">IF($A135="","",SUM(H135:Q135))</f>
        <v/>
      </c>
      <c r="S135" s="45" t="str">
        <f aca="false">IF($A135="","",ROUND($F135-$G135-$R135,2))</f>
        <v/>
      </c>
      <c r="T135" s="28" t="str">
        <f aca="false">IF(OR($A135="",$F135=0),"",$R135/$F135)</f>
        <v/>
      </c>
      <c r="U135" s="35"/>
      <c r="V135" s="0" t="str">
        <f aca="false">IF($A135="","",$A135&amp;"|"&amp;$B135)</f>
        <v/>
      </c>
    </row>
    <row r="136" customFormat="false" ht="18" hidden="false" customHeight="true" outlineLevel="0" collapsed="false">
      <c r="A136" s="36"/>
      <c r="B136" s="36"/>
      <c r="C136" s="48" t="str">
        <f aca="false">IF($B136="","",IFERROR(VLOOKUP($B136,资产台账!$B$4:$N$53,2,0)&amp;"","台账中未登记"))</f>
        <v/>
      </c>
      <c r="D136" s="43" t="str">
        <f aca="false">IF($B136="","",IFERROR(VLOOKUP($B136,资产台账!$B$4:$N$53,3,0)&amp;"",""))</f>
        <v/>
      </c>
      <c r="E136" s="43" t="str">
        <f aca="false">IF($B136="","",IFERROR(VLOOKUP($B136,资产台账!$B$4:$N$53,5,0)&amp;"",""))</f>
        <v/>
      </c>
      <c r="F136" s="44"/>
      <c r="G136" s="44"/>
      <c r="H136" s="44"/>
      <c r="I136" s="44"/>
      <c r="J136" s="44"/>
      <c r="K136" s="44"/>
      <c r="L136" s="44"/>
      <c r="M136" s="44"/>
      <c r="N136" s="44"/>
      <c r="O136" s="44"/>
      <c r="P136" s="44"/>
      <c r="Q136" s="44"/>
      <c r="R136" s="45" t="str">
        <f aca="false">IF($A136="","",SUM(H136:Q136))</f>
        <v/>
      </c>
      <c r="S136" s="45" t="str">
        <f aca="false">IF($A136="","",ROUND($F136-$G136-$R136,2))</f>
        <v/>
      </c>
      <c r="T136" s="28" t="str">
        <f aca="false">IF(OR($A136="",$F136=0),"",$R136/$F136)</f>
        <v/>
      </c>
      <c r="U136" s="35"/>
      <c r="V136" s="0" t="str">
        <f aca="false">IF($A136="","",$A136&amp;"|"&amp;$B136)</f>
        <v/>
      </c>
    </row>
    <row r="137" customFormat="false" ht="18" hidden="false" customHeight="true" outlineLevel="0" collapsed="false">
      <c r="A137" s="36"/>
      <c r="B137" s="36"/>
      <c r="C137" s="48" t="str">
        <f aca="false">IF($B137="","",IFERROR(VLOOKUP($B137,资产台账!$B$4:$N$53,2,0)&amp;"","台账中未登记"))</f>
        <v/>
      </c>
      <c r="D137" s="43" t="str">
        <f aca="false">IF($B137="","",IFERROR(VLOOKUP($B137,资产台账!$B$4:$N$53,3,0)&amp;"",""))</f>
        <v/>
      </c>
      <c r="E137" s="43" t="str">
        <f aca="false">IF($B137="","",IFERROR(VLOOKUP($B137,资产台账!$B$4:$N$53,5,0)&amp;"",""))</f>
        <v/>
      </c>
      <c r="F137" s="44"/>
      <c r="G137" s="44"/>
      <c r="H137" s="44"/>
      <c r="I137" s="44"/>
      <c r="J137" s="44"/>
      <c r="K137" s="44"/>
      <c r="L137" s="44"/>
      <c r="M137" s="44"/>
      <c r="N137" s="44"/>
      <c r="O137" s="44"/>
      <c r="P137" s="44"/>
      <c r="Q137" s="44"/>
      <c r="R137" s="45" t="str">
        <f aca="false">IF($A137="","",SUM(H137:Q137))</f>
        <v/>
      </c>
      <c r="S137" s="45" t="str">
        <f aca="false">IF($A137="","",ROUND($F137-$G137-$R137,2))</f>
        <v/>
      </c>
      <c r="T137" s="28" t="str">
        <f aca="false">IF(OR($A137="",$F137=0),"",$R137/$F137)</f>
        <v/>
      </c>
      <c r="U137" s="35"/>
      <c r="V137" s="0" t="str">
        <f aca="false">IF($A137="","",$A137&amp;"|"&amp;$B137)</f>
        <v/>
      </c>
    </row>
    <row r="138" customFormat="false" ht="18" hidden="false" customHeight="true" outlineLevel="0" collapsed="false">
      <c r="A138" s="36"/>
      <c r="B138" s="36"/>
      <c r="C138" s="48" t="str">
        <f aca="false">IF($B138="","",IFERROR(VLOOKUP($B138,资产台账!$B$4:$N$53,2,0)&amp;"","台账中未登记"))</f>
        <v/>
      </c>
      <c r="D138" s="43" t="str">
        <f aca="false">IF($B138="","",IFERROR(VLOOKUP($B138,资产台账!$B$4:$N$53,3,0)&amp;"",""))</f>
        <v/>
      </c>
      <c r="E138" s="43" t="str">
        <f aca="false">IF($B138="","",IFERROR(VLOOKUP($B138,资产台账!$B$4:$N$53,5,0)&amp;"",""))</f>
        <v/>
      </c>
      <c r="F138" s="44"/>
      <c r="G138" s="44"/>
      <c r="H138" s="44"/>
      <c r="I138" s="44"/>
      <c r="J138" s="44"/>
      <c r="K138" s="44"/>
      <c r="L138" s="44"/>
      <c r="M138" s="44"/>
      <c r="N138" s="44"/>
      <c r="O138" s="44"/>
      <c r="P138" s="44"/>
      <c r="Q138" s="44"/>
      <c r="R138" s="45" t="str">
        <f aca="false">IF($A138="","",SUM(H138:Q138))</f>
        <v/>
      </c>
      <c r="S138" s="45" t="str">
        <f aca="false">IF($A138="","",ROUND($F138-$G138-$R138,2))</f>
        <v/>
      </c>
      <c r="T138" s="28" t="str">
        <f aca="false">IF(OR($A138="",$F138=0),"",$R138/$F138)</f>
        <v/>
      </c>
      <c r="U138" s="35"/>
      <c r="V138" s="0" t="str">
        <f aca="false">IF($A138="","",$A138&amp;"|"&amp;$B138)</f>
        <v/>
      </c>
    </row>
    <row r="139" customFormat="false" ht="18" hidden="false" customHeight="true" outlineLevel="0" collapsed="false">
      <c r="A139" s="36"/>
      <c r="B139" s="36"/>
      <c r="C139" s="48" t="str">
        <f aca="false">IF($B139="","",IFERROR(VLOOKUP($B139,资产台账!$B$4:$N$53,2,0)&amp;"","台账中未登记"))</f>
        <v/>
      </c>
      <c r="D139" s="43" t="str">
        <f aca="false">IF($B139="","",IFERROR(VLOOKUP($B139,资产台账!$B$4:$N$53,3,0)&amp;"",""))</f>
        <v/>
      </c>
      <c r="E139" s="43" t="str">
        <f aca="false">IF($B139="","",IFERROR(VLOOKUP($B139,资产台账!$B$4:$N$53,5,0)&amp;"",""))</f>
        <v/>
      </c>
      <c r="F139" s="44"/>
      <c r="G139" s="44"/>
      <c r="H139" s="44"/>
      <c r="I139" s="44"/>
      <c r="J139" s="44"/>
      <c r="K139" s="44"/>
      <c r="L139" s="44"/>
      <c r="M139" s="44"/>
      <c r="N139" s="44"/>
      <c r="O139" s="44"/>
      <c r="P139" s="44"/>
      <c r="Q139" s="44"/>
      <c r="R139" s="45" t="str">
        <f aca="false">IF($A139="","",SUM(H139:Q139))</f>
        <v/>
      </c>
      <c r="S139" s="45" t="str">
        <f aca="false">IF($A139="","",ROUND($F139-$G139-$R139,2))</f>
        <v/>
      </c>
      <c r="T139" s="28" t="str">
        <f aca="false">IF(OR($A139="",$F139=0),"",$R139/$F139)</f>
        <v/>
      </c>
      <c r="U139" s="35"/>
      <c r="V139" s="0" t="str">
        <f aca="false">IF($A139="","",$A139&amp;"|"&amp;$B139)</f>
        <v/>
      </c>
    </row>
    <row r="140" customFormat="false" ht="18" hidden="false" customHeight="true" outlineLevel="0" collapsed="false">
      <c r="A140" s="36"/>
      <c r="B140" s="36"/>
      <c r="C140" s="48" t="str">
        <f aca="false">IF($B140="","",IFERROR(VLOOKUP($B140,资产台账!$B$4:$N$53,2,0)&amp;"","台账中未登记"))</f>
        <v/>
      </c>
      <c r="D140" s="43" t="str">
        <f aca="false">IF($B140="","",IFERROR(VLOOKUP($B140,资产台账!$B$4:$N$53,3,0)&amp;"",""))</f>
        <v/>
      </c>
      <c r="E140" s="43" t="str">
        <f aca="false">IF($B140="","",IFERROR(VLOOKUP($B140,资产台账!$B$4:$N$53,5,0)&amp;"",""))</f>
        <v/>
      </c>
      <c r="F140" s="44"/>
      <c r="G140" s="44"/>
      <c r="H140" s="44"/>
      <c r="I140" s="44"/>
      <c r="J140" s="44"/>
      <c r="K140" s="44"/>
      <c r="L140" s="44"/>
      <c r="M140" s="44"/>
      <c r="N140" s="44"/>
      <c r="O140" s="44"/>
      <c r="P140" s="44"/>
      <c r="Q140" s="44"/>
      <c r="R140" s="45" t="str">
        <f aca="false">IF($A140="","",SUM(H140:Q140))</f>
        <v/>
      </c>
      <c r="S140" s="45" t="str">
        <f aca="false">IF($A140="","",ROUND($F140-$G140-$R140,2))</f>
        <v/>
      </c>
      <c r="T140" s="28" t="str">
        <f aca="false">IF(OR($A140="",$F140=0),"",$R140/$F140)</f>
        <v/>
      </c>
      <c r="U140" s="35"/>
      <c r="V140" s="0" t="str">
        <f aca="false">IF($A140="","",$A140&amp;"|"&amp;$B140)</f>
        <v/>
      </c>
    </row>
    <row r="141" customFormat="false" ht="18" hidden="false" customHeight="true" outlineLevel="0" collapsed="false">
      <c r="A141" s="36"/>
      <c r="B141" s="36"/>
      <c r="C141" s="48" t="str">
        <f aca="false">IF($B141="","",IFERROR(VLOOKUP($B141,资产台账!$B$4:$N$53,2,0)&amp;"","台账中未登记"))</f>
        <v/>
      </c>
      <c r="D141" s="43" t="str">
        <f aca="false">IF($B141="","",IFERROR(VLOOKUP($B141,资产台账!$B$4:$N$53,3,0)&amp;"",""))</f>
        <v/>
      </c>
      <c r="E141" s="43" t="str">
        <f aca="false">IF($B141="","",IFERROR(VLOOKUP($B141,资产台账!$B$4:$N$53,5,0)&amp;"",""))</f>
        <v/>
      </c>
      <c r="F141" s="44"/>
      <c r="G141" s="44"/>
      <c r="H141" s="44"/>
      <c r="I141" s="44"/>
      <c r="J141" s="44"/>
      <c r="K141" s="44"/>
      <c r="L141" s="44"/>
      <c r="M141" s="44"/>
      <c r="N141" s="44"/>
      <c r="O141" s="44"/>
      <c r="P141" s="44"/>
      <c r="Q141" s="44"/>
      <c r="R141" s="45" t="str">
        <f aca="false">IF($A141="","",SUM(H141:Q141))</f>
        <v/>
      </c>
      <c r="S141" s="45" t="str">
        <f aca="false">IF($A141="","",ROUND($F141-$G141-$R141,2))</f>
        <v/>
      </c>
      <c r="T141" s="28" t="str">
        <f aca="false">IF(OR($A141="",$F141=0),"",$R141/$F141)</f>
        <v/>
      </c>
      <c r="U141" s="35"/>
      <c r="V141" s="0" t="str">
        <f aca="false">IF($A141="","",$A141&amp;"|"&amp;$B141)</f>
        <v/>
      </c>
    </row>
    <row r="142" customFormat="false" ht="18" hidden="false" customHeight="true" outlineLevel="0" collapsed="false">
      <c r="A142" s="36"/>
      <c r="B142" s="36"/>
      <c r="C142" s="48" t="str">
        <f aca="false">IF($B142="","",IFERROR(VLOOKUP($B142,资产台账!$B$4:$N$53,2,0)&amp;"","台账中未登记"))</f>
        <v/>
      </c>
      <c r="D142" s="43" t="str">
        <f aca="false">IF($B142="","",IFERROR(VLOOKUP($B142,资产台账!$B$4:$N$53,3,0)&amp;"",""))</f>
        <v/>
      </c>
      <c r="E142" s="43" t="str">
        <f aca="false">IF($B142="","",IFERROR(VLOOKUP($B142,资产台账!$B$4:$N$53,5,0)&amp;"",""))</f>
        <v/>
      </c>
      <c r="F142" s="44"/>
      <c r="G142" s="44"/>
      <c r="H142" s="44"/>
      <c r="I142" s="44"/>
      <c r="J142" s="44"/>
      <c r="K142" s="44"/>
      <c r="L142" s="44"/>
      <c r="M142" s="44"/>
      <c r="N142" s="44"/>
      <c r="O142" s="44"/>
      <c r="P142" s="44"/>
      <c r="Q142" s="44"/>
      <c r="R142" s="45" t="str">
        <f aca="false">IF($A142="","",SUM(H142:Q142))</f>
        <v/>
      </c>
      <c r="S142" s="45" t="str">
        <f aca="false">IF($A142="","",ROUND($F142-$G142-$R142,2))</f>
        <v/>
      </c>
      <c r="T142" s="28" t="str">
        <f aca="false">IF(OR($A142="",$F142=0),"",$R142/$F142)</f>
        <v/>
      </c>
      <c r="U142" s="35"/>
      <c r="V142" s="0" t="str">
        <f aca="false">IF($A142="","",$A142&amp;"|"&amp;$B142)</f>
        <v/>
      </c>
    </row>
    <row r="143" customFormat="false" ht="18" hidden="false" customHeight="true" outlineLevel="0" collapsed="false">
      <c r="A143" s="36"/>
      <c r="B143" s="36"/>
      <c r="C143" s="48" t="str">
        <f aca="false">IF($B143="","",IFERROR(VLOOKUP($B143,资产台账!$B$4:$N$53,2,0)&amp;"","台账中未登记"))</f>
        <v/>
      </c>
      <c r="D143" s="43" t="str">
        <f aca="false">IF($B143="","",IFERROR(VLOOKUP($B143,资产台账!$B$4:$N$53,3,0)&amp;"",""))</f>
        <v/>
      </c>
      <c r="E143" s="43" t="str">
        <f aca="false">IF($B143="","",IFERROR(VLOOKUP($B143,资产台账!$B$4:$N$53,5,0)&amp;"",""))</f>
        <v/>
      </c>
      <c r="F143" s="44"/>
      <c r="G143" s="44"/>
      <c r="H143" s="44"/>
      <c r="I143" s="44"/>
      <c r="J143" s="44"/>
      <c r="K143" s="44"/>
      <c r="L143" s="44"/>
      <c r="M143" s="44"/>
      <c r="N143" s="44"/>
      <c r="O143" s="44"/>
      <c r="P143" s="44"/>
      <c r="Q143" s="44"/>
      <c r="R143" s="45" t="str">
        <f aca="false">IF($A143="","",SUM(H143:Q143))</f>
        <v/>
      </c>
      <c r="S143" s="45" t="str">
        <f aca="false">IF($A143="","",ROUND($F143-$G143-$R143,2))</f>
        <v/>
      </c>
      <c r="T143" s="28" t="str">
        <f aca="false">IF(OR($A143="",$F143=0),"",$R143/$F143)</f>
        <v/>
      </c>
      <c r="U143" s="35"/>
      <c r="V143" s="0" t="str">
        <f aca="false">IF($A143="","",$A143&amp;"|"&amp;$B143)</f>
        <v/>
      </c>
    </row>
    <row r="144" customFormat="false" ht="18" hidden="false" customHeight="true" outlineLevel="0" collapsed="false">
      <c r="A144" s="36"/>
      <c r="B144" s="36"/>
      <c r="C144" s="48" t="str">
        <f aca="false">IF($B144="","",IFERROR(VLOOKUP($B144,资产台账!$B$4:$N$53,2,0)&amp;"","台账中未登记"))</f>
        <v/>
      </c>
      <c r="D144" s="43" t="str">
        <f aca="false">IF($B144="","",IFERROR(VLOOKUP($B144,资产台账!$B$4:$N$53,3,0)&amp;"",""))</f>
        <v/>
      </c>
      <c r="E144" s="43" t="str">
        <f aca="false">IF($B144="","",IFERROR(VLOOKUP($B144,资产台账!$B$4:$N$53,5,0)&amp;"",""))</f>
        <v/>
      </c>
      <c r="F144" s="44"/>
      <c r="G144" s="44"/>
      <c r="H144" s="44"/>
      <c r="I144" s="44"/>
      <c r="J144" s="44"/>
      <c r="K144" s="44"/>
      <c r="L144" s="44"/>
      <c r="M144" s="44"/>
      <c r="N144" s="44"/>
      <c r="O144" s="44"/>
      <c r="P144" s="44"/>
      <c r="Q144" s="44"/>
      <c r="R144" s="45" t="str">
        <f aca="false">IF($A144="","",SUM(H144:Q144))</f>
        <v/>
      </c>
      <c r="S144" s="45" t="str">
        <f aca="false">IF($A144="","",ROUND($F144-$G144-$R144,2))</f>
        <v/>
      </c>
      <c r="T144" s="28" t="str">
        <f aca="false">IF(OR($A144="",$F144=0),"",$R144/$F144)</f>
        <v/>
      </c>
      <c r="U144" s="35"/>
      <c r="V144" s="0" t="str">
        <f aca="false">IF($A144="","",$A144&amp;"|"&amp;$B144)</f>
        <v/>
      </c>
    </row>
    <row r="145" customFormat="false" ht="18" hidden="false" customHeight="true" outlineLevel="0" collapsed="false">
      <c r="A145" s="36"/>
      <c r="B145" s="36"/>
      <c r="C145" s="48" t="str">
        <f aca="false">IF($B145="","",IFERROR(VLOOKUP($B145,资产台账!$B$4:$N$53,2,0)&amp;"","台账中未登记"))</f>
        <v/>
      </c>
      <c r="D145" s="43" t="str">
        <f aca="false">IF($B145="","",IFERROR(VLOOKUP($B145,资产台账!$B$4:$N$53,3,0)&amp;"",""))</f>
        <v/>
      </c>
      <c r="E145" s="43" t="str">
        <f aca="false">IF($B145="","",IFERROR(VLOOKUP($B145,资产台账!$B$4:$N$53,5,0)&amp;"",""))</f>
        <v/>
      </c>
      <c r="F145" s="44"/>
      <c r="G145" s="44"/>
      <c r="H145" s="44"/>
      <c r="I145" s="44"/>
      <c r="J145" s="44"/>
      <c r="K145" s="44"/>
      <c r="L145" s="44"/>
      <c r="M145" s="44"/>
      <c r="N145" s="44"/>
      <c r="O145" s="44"/>
      <c r="P145" s="44"/>
      <c r="Q145" s="44"/>
      <c r="R145" s="45" t="str">
        <f aca="false">IF($A145="","",SUM(H145:Q145))</f>
        <v/>
      </c>
      <c r="S145" s="45" t="str">
        <f aca="false">IF($A145="","",ROUND($F145-$G145-$R145,2))</f>
        <v/>
      </c>
      <c r="T145" s="28" t="str">
        <f aca="false">IF(OR($A145="",$F145=0),"",$R145/$F145)</f>
        <v/>
      </c>
      <c r="U145" s="35"/>
      <c r="V145" s="0" t="str">
        <f aca="false">IF($A145="","",$A145&amp;"|"&amp;$B145)</f>
        <v/>
      </c>
    </row>
    <row r="146" customFormat="false" ht="18" hidden="false" customHeight="true" outlineLevel="0" collapsed="false">
      <c r="A146" s="36"/>
      <c r="B146" s="36"/>
      <c r="C146" s="48" t="str">
        <f aca="false">IF($B146="","",IFERROR(VLOOKUP($B146,资产台账!$B$4:$N$53,2,0)&amp;"","台账中未登记"))</f>
        <v/>
      </c>
      <c r="D146" s="43" t="str">
        <f aca="false">IF($B146="","",IFERROR(VLOOKUP($B146,资产台账!$B$4:$N$53,3,0)&amp;"",""))</f>
        <v/>
      </c>
      <c r="E146" s="43" t="str">
        <f aca="false">IF($B146="","",IFERROR(VLOOKUP($B146,资产台账!$B$4:$N$53,5,0)&amp;"",""))</f>
        <v/>
      </c>
      <c r="F146" s="44"/>
      <c r="G146" s="44"/>
      <c r="H146" s="44"/>
      <c r="I146" s="44"/>
      <c r="J146" s="44"/>
      <c r="K146" s="44"/>
      <c r="L146" s="44"/>
      <c r="M146" s="44"/>
      <c r="N146" s="44"/>
      <c r="O146" s="44"/>
      <c r="P146" s="44"/>
      <c r="Q146" s="44"/>
      <c r="R146" s="45" t="str">
        <f aca="false">IF($A146="","",SUM(H146:Q146))</f>
        <v/>
      </c>
      <c r="S146" s="45" t="str">
        <f aca="false">IF($A146="","",ROUND($F146-$G146-$R146,2))</f>
        <v/>
      </c>
      <c r="T146" s="28" t="str">
        <f aca="false">IF(OR($A146="",$F146=0),"",$R146/$F146)</f>
        <v/>
      </c>
      <c r="U146" s="35"/>
      <c r="V146" s="0" t="str">
        <f aca="false">IF($A146="","",$A146&amp;"|"&amp;$B146)</f>
        <v/>
      </c>
    </row>
    <row r="147" customFormat="false" ht="18" hidden="false" customHeight="true" outlineLevel="0" collapsed="false">
      <c r="A147" s="36"/>
      <c r="B147" s="36"/>
      <c r="C147" s="48" t="str">
        <f aca="false">IF($B147="","",IFERROR(VLOOKUP($B147,资产台账!$B$4:$N$53,2,0)&amp;"","台账中未登记"))</f>
        <v/>
      </c>
      <c r="D147" s="43" t="str">
        <f aca="false">IF($B147="","",IFERROR(VLOOKUP($B147,资产台账!$B$4:$N$53,3,0)&amp;"",""))</f>
        <v/>
      </c>
      <c r="E147" s="43" t="str">
        <f aca="false">IF($B147="","",IFERROR(VLOOKUP($B147,资产台账!$B$4:$N$53,5,0)&amp;"",""))</f>
        <v/>
      </c>
      <c r="F147" s="44"/>
      <c r="G147" s="44"/>
      <c r="H147" s="44"/>
      <c r="I147" s="44"/>
      <c r="J147" s="44"/>
      <c r="K147" s="44"/>
      <c r="L147" s="44"/>
      <c r="M147" s="44"/>
      <c r="N147" s="44"/>
      <c r="O147" s="44"/>
      <c r="P147" s="44"/>
      <c r="Q147" s="44"/>
      <c r="R147" s="45" t="str">
        <f aca="false">IF($A147="","",SUM(H147:Q147))</f>
        <v/>
      </c>
      <c r="S147" s="45" t="str">
        <f aca="false">IF($A147="","",ROUND($F147-$G147-$R147,2))</f>
        <v/>
      </c>
      <c r="T147" s="28" t="str">
        <f aca="false">IF(OR($A147="",$F147=0),"",$R147/$F147)</f>
        <v/>
      </c>
      <c r="U147" s="35"/>
      <c r="V147" s="0" t="str">
        <f aca="false">IF($A147="","",$A147&amp;"|"&amp;$B147)</f>
        <v/>
      </c>
    </row>
    <row r="148" customFormat="false" ht="18" hidden="false" customHeight="true" outlineLevel="0" collapsed="false">
      <c r="A148" s="36"/>
      <c r="B148" s="36"/>
      <c r="C148" s="48" t="str">
        <f aca="false">IF($B148="","",IFERROR(VLOOKUP($B148,资产台账!$B$4:$N$53,2,0)&amp;"","台账中未登记"))</f>
        <v/>
      </c>
      <c r="D148" s="43" t="str">
        <f aca="false">IF($B148="","",IFERROR(VLOOKUP($B148,资产台账!$B$4:$N$53,3,0)&amp;"",""))</f>
        <v/>
      </c>
      <c r="E148" s="43" t="str">
        <f aca="false">IF($B148="","",IFERROR(VLOOKUP($B148,资产台账!$B$4:$N$53,5,0)&amp;"",""))</f>
        <v/>
      </c>
      <c r="F148" s="44"/>
      <c r="G148" s="44"/>
      <c r="H148" s="44"/>
      <c r="I148" s="44"/>
      <c r="J148" s="44"/>
      <c r="K148" s="44"/>
      <c r="L148" s="44"/>
      <c r="M148" s="44"/>
      <c r="N148" s="44"/>
      <c r="O148" s="44"/>
      <c r="P148" s="44"/>
      <c r="Q148" s="44"/>
      <c r="R148" s="45" t="str">
        <f aca="false">IF($A148="","",SUM(H148:Q148))</f>
        <v/>
      </c>
      <c r="S148" s="45" t="str">
        <f aca="false">IF($A148="","",ROUND($F148-$G148-$R148,2))</f>
        <v/>
      </c>
      <c r="T148" s="28" t="str">
        <f aca="false">IF(OR($A148="",$F148=0),"",$R148/$F148)</f>
        <v/>
      </c>
      <c r="U148" s="35"/>
      <c r="V148" s="0" t="str">
        <f aca="false">IF($A148="","",$A148&amp;"|"&amp;$B148)</f>
        <v/>
      </c>
    </row>
    <row r="149" customFormat="false" ht="18" hidden="false" customHeight="true" outlineLevel="0" collapsed="false">
      <c r="A149" s="36"/>
      <c r="B149" s="36"/>
      <c r="C149" s="48" t="str">
        <f aca="false">IF($B149="","",IFERROR(VLOOKUP($B149,资产台账!$B$4:$N$53,2,0)&amp;"","台账中未登记"))</f>
        <v/>
      </c>
      <c r="D149" s="43" t="str">
        <f aca="false">IF($B149="","",IFERROR(VLOOKUP($B149,资产台账!$B$4:$N$53,3,0)&amp;"",""))</f>
        <v/>
      </c>
      <c r="E149" s="43" t="str">
        <f aca="false">IF($B149="","",IFERROR(VLOOKUP($B149,资产台账!$B$4:$N$53,5,0)&amp;"",""))</f>
        <v/>
      </c>
      <c r="F149" s="44"/>
      <c r="G149" s="44"/>
      <c r="H149" s="44"/>
      <c r="I149" s="44"/>
      <c r="J149" s="44"/>
      <c r="K149" s="44"/>
      <c r="L149" s="44"/>
      <c r="M149" s="44"/>
      <c r="N149" s="44"/>
      <c r="O149" s="44"/>
      <c r="P149" s="44"/>
      <c r="Q149" s="44"/>
      <c r="R149" s="45" t="str">
        <f aca="false">IF($A149="","",SUM(H149:Q149))</f>
        <v/>
      </c>
      <c r="S149" s="45" t="str">
        <f aca="false">IF($A149="","",ROUND($F149-$G149-$R149,2))</f>
        <v/>
      </c>
      <c r="T149" s="28" t="str">
        <f aca="false">IF(OR($A149="",$F149=0),"",$R149/$F149)</f>
        <v/>
      </c>
      <c r="U149" s="35"/>
      <c r="V149" s="0" t="str">
        <f aca="false">IF($A149="","",$A149&amp;"|"&amp;$B149)</f>
        <v/>
      </c>
    </row>
    <row r="150" customFormat="false" ht="18" hidden="false" customHeight="true" outlineLevel="0" collapsed="false">
      <c r="A150" s="36"/>
      <c r="B150" s="36"/>
      <c r="C150" s="48" t="str">
        <f aca="false">IF($B150="","",IFERROR(VLOOKUP($B150,资产台账!$B$4:$N$53,2,0)&amp;"","台账中未登记"))</f>
        <v/>
      </c>
      <c r="D150" s="43" t="str">
        <f aca="false">IF($B150="","",IFERROR(VLOOKUP($B150,资产台账!$B$4:$N$53,3,0)&amp;"",""))</f>
        <v/>
      </c>
      <c r="E150" s="43" t="str">
        <f aca="false">IF($B150="","",IFERROR(VLOOKUP($B150,资产台账!$B$4:$N$53,5,0)&amp;"",""))</f>
        <v/>
      </c>
      <c r="F150" s="44"/>
      <c r="G150" s="44"/>
      <c r="H150" s="44"/>
      <c r="I150" s="44"/>
      <c r="J150" s="44"/>
      <c r="K150" s="44"/>
      <c r="L150" s="44"/>
      <c r="M150" s="44"/>
      <c r="N150" s="44"/>
      <c r="O150" s="44"/>
      <c r="P150" s="44"/>
      <c r="Q150" s="44"/>
      <c r="R150" s="45" t="str">
        <f aca="false">IF($A150="","",SUM(H150:Q150))</f>
        <v/>
      </c>
      <c r="S150" s="45" t="str">
        <f aca="false">IF($A150="","",ROUND($F150-$G150-$R150,2))</f>
        <v/>
      </c>
      <c r="T150" s="28" t="str">
        <f aca="false">IF(OR($A150="",$F150=0),"",$R150/$F150)</f>
        <v/>
      </c>
      <c r="U150" s="35"/>
      <c r="V150" s="0" t="str">
        <f aca="false">IF($A150="","",$A150&amp;"|"&amp;$B150)</f>
        <v/>
      </c>
    </row>
    <row r="151" customFormat="false" ht="18" hidden="false" customHeight="true" outlineLevel="0" collapsed="false">
      <c r="A151" s="36"/>
      <c r="B151" s="36"/>
      <c r="C151" s="48" t="str">
        <f aca="false">IF($B151="","",IFERROR(VLOOKUP($B151,资产台账!$B$4:$N$53,2,0)&amp;"","台账中未登记"))</f>
        <v/>
      </c>
      <c r="D151" s="43" t="str">
        <f aca="false">IF($B151="","",IFERROR(VLOOKUP($B151,资产台账!$B$4:$N$53,3,0)&amp;"",""))</f>
        <v/>
      </c>
      <c r="E151" s="43" t="str">
        <f aca="false">IF($B151="","",IFERROR(VLOOKUP($B151,资产台账!$B$4:$N$53,5,0)&amp;"",""))</f>
        <v/>
      </c>
      <c r="F151" s="44"/>
      <c r="G151" s="44"/>
      <c r="H151" s="44"/>
      <c r="I151" s="44"/>
      <c r="J151" s="44"/>
      <c r="K151" s="44"/>
      <c r="L151" s="44"/>
      <c r="M151" s="44"/>
      <c r="N151" s="44"/>
      <c r="O151" s="44"/>
      <c r="P151" s="44"/>
      <c r="Q151" s="44"/>
      <c r="R151" s="45" t="str">
        <f aca="false">IF($A151="","",SUM(H151:Q151))</f>
        <v/>
      </c>
      <c r="S151" s="45" t="str">
        <f aca="false">IF($A151="","",ROUND($F151-$G151-$R151,2))</f>
        <v/>
      </c>
      <c r="T151" s="28" t="str">
        <f aca="false">IF(OR($A151="",$F151=0),"",$R151/$F151)</f>
        <v/>
      </c>
      <c r="U151" s="35"/>
      <c r="V151" s="0" t="str">
        <f aca="false">IF($A151="","",$A151&amp;"|"&amp;$B151)</f>
        <v/>
      </c>
    </row>
    <row r="152" customFormat="false" ht="18" hidden="false" customHeight="true" outlineLevel="0" collapsed="false">
      <c r="A152" s="36"/>
      <c r="B152" s="36"/>
      <c r="C152" s="48" t="str">
        <f aca="false">IF($B152="","",IFERROR(VLOOKUP($B152,资产台账!$B$4:$N$53,2,0)&amp;"","台账中未登记"))</f>
        <v/>
      </c>
      <c r="D152" s="43" t="str">
        <f aca="false">IF($B152="","",IFERROR(VLOOKUP($B152,资产台账!$B$4:$N$53,3,0)&amp;"",""))</f>
        <v/>
      </c>
      <c r="E152" s="43" t="str">
        <f aca="false">IF($B152="","",IFERROR(VLOOKUP($B152,资产台账!$B$4:$N$53,5,0)&amp;"",""))</f>
        <v/>
      </c>
      <c r="F152" s="44"/>
      <c r="G152" s="44"/>
      <c r="H152" s="44"/>
      <c r="I152" s="44"/>
      <c r="J152" s="44"/>
      <c r="K152" s="44"/>
      <c r="L152" s="44"/>
      <c r="M152" s="44"/>
      <c r="N152" s="44"/>
      <c r="O152" s="44"/>
      <c r="P152" s="44"/>
      <c r="Q152" s="44"/>
      <c r="R152" s="45" t="str">
        <f aca="false">IF($A152="","",SUM(H152:Q152))</f>
        <v/>
      </c>
      <c r="S152" s="45" t="str">
        <f aca="false">IF($A152="","",ROUND($F152-$G152-$R152,2))</f>
        <v/>
      </c>
      <c r="T152" s="28" t="str">
        <f aca="false">IF(OR($A152="",$F152=0),"",$R152/$F152)</f>
        <v/>
      </c>
      <c r="U152" s="35"/>
      <c r="V152" s="0" t="str">
        <f aca="false">IF($A152="","",$A152&amp;"|"&amp;$B152)</f>
        <v/>
      </c>
    </row>
    <row r="153" customFormat="false" ht="18" hidden="false" customHeight="true" outlineLevel="0" collapsed="false">
      <c r="A153" s="36"/>
      <c r="B153" s="36"/>
      <c r="C153" s="48" t="str">
        <f aca="false">IF($B153="","",IFERROR(VLOOKUP($B153,资产台账!$B$4:$N$53,2,0)&amp;"","台账中未登记"))</f>
        <v/>
      </c>
      <c r="D153" s="43" t="str">
        <f aca="false">IF($B153="","",IFERROR(VLOOKUP($B153,资产台账!$B$4:$N$53,3,0)&amp;"",""))</f>
        <v/>
      </c>
      <c r="E153" s="43" t="str">
        <f aca="false">IF($B153="","",IFERROR(VLOOKUP($B153,资产台账!$B$4:$N$53,5,0)&amp;"",""))</f>
        <v/>
      </c>
      <c r="F153" s="44"/>
      <c r="G153" s="44"/>
      <c r="H153" s="44"/>
      <c r="I153" s="44"/>
      <c r="J153" s="44"/>
      <c r="K153" s="44"/>
      <c r="L153" s="44"/>
      <c r="M153" s="44"/>
      <c r="N153" s="44"/>
      <c r="O153" s="44"/>
      <c r="P153" s="44"/>
      <c r="Q153" s="44"/>
      <c r="R153" s="45" t="str">
        <f aca="false">IF($A153="","",SUM(H153:Q153))</f>
        <v/>
      </c>
      <c r="S153" s="45" t="str">
        <f aca="false">IF($A153="","",ROUND($F153-$G153-$R153,2))</f>
        <v/>
      </c>
      <c r="T153" s="28" t="str">
        <f aca="false">IF(OR($A153="",$F153=0),"",$R153/$F153)</f>
        <v/>
      </c>
      <c r="U153" s="35"/>
      <c r="V153" s="0" t="str">
        <f aca="false">IF($A153="","",$A153&amp;"|"&amp;$B153)</f>
        <v/>
      </c>
    </row>
    <row r="154" customFormat="false" ht="18" hidden="false" customHeight="true" outlineLevel="0" collapsed="false">
      <c r="A154" s="36"/>
      <c r="B154" s="36"/>
      <c r="C154" s="48" t="str">
        <f aca="false">IF($B154="","",IFERROR(VLOOKUP($B154,资产台账!$B$4:$N$53,2,0)&amp;"","台账中未登记"))</f>
        <v/>
      </c>
      <c r="D154" s="43" t="str">
        <f aca="false">IF($B154="","",IFERROR(VLOOKUP($B154,资产台账!$B$4:$N$53,3,0)&amp;"",""))</f>
        <v/>
      </c>
      <c r="E154" s="43" t="str">
        <f aca="false">IF($B154="","",IFERROR(VLOOKUP($B154,资产台账!$B$4:$N$53,5,0)&amp;"",""))</f>
        <v/>
      </c>
      <c r="F154" s="44"/>
      <c r="G154" s="44"/>
      <c r="H154" s="44"/>
      <c r="I154" s="44"/>
      <c r="J154" s="44"/>
      <c r="K154" s="44"/>
      <c r="L154" s="44"/>
      <c r="M154" s="44"/>
      <c r="N154" s="44"/>
      <c r="O154" s="44"/>
      <c r="P154" s="44"/>
      <c r="Q154" s="44"/>
      <c r="R154" s="45" t="str">
        <f aca="false">IF($A154="","",SUM(H154:Q154))</f>
        <v/>
      </c>
      <c r="S154" s="45" t="str">
        <f aca="false">IF($A154="","",ROUND($F154-$G154-$R154,2))</f>
        <v/>
      </c>
      <c r="T154" s="28" t="str">
        <f aca="false">IF(OR($A154="",$F154=0),"",$R154/$F154)</f>
        <v/>
      </c>
      <c r="U154" s="35"/>
      <c r="V154" s="0" t="str">
        <f aca="false">IF($A154="","",$A154&amp;"|"&amp;$B154)</f>
        <v/>
      </c>
    </row>
    <row r="155" customFormat="false" ht="18" hidden="false" customHeight="true" outlineLevel="0" collapsed="false">
      <c r="A155" s="36"/>
      <c r="B155" s="36"/>
      <c r="C155" s="48" t="str">
        <f aca="false">IF($B155="","",IFERROR(VLOOKUP($B155,资产台账!$B$4:$N$53,2,0)&amp;"","台账中未登记"))</f>
        <v/>
      </c>
      <c r="D155" s="43" t="str">
        <f aca="false">IF($B155="","",IFERROR(VLOOKUP($B155,资产台账!$B$4:$N$53,3,0)&amp;"",""))</f>
        <v/>
      </c>
      <c r="E155" s="43" t="str">
        <f aca="false">IF($B155="","",IFERROR(VLOOKUP($B155,资产台账!$B$4:$N$53,5,0)&amp;"",""))</f>
        <v/>
      </c>
      <c r="F155" s="44"/>
      <c r="G155" s="44"/>
      <c r="H155" s="44"/>
      <c r="I155" s="44"/>
      <c r="J155" s="44"/>
      <c r="K155" s="44"/>
      <c r="L155" s="44"/>
      <c r="M155" s="44"/>
      <c r="N155" s="44"/>
      <c r="O155" s="44"/>
      <c r="P155" s="44"/>
      <c r="Q155" s="44"/>
      <c r="R155" s="45" t="str">
        <f aca="false">IF($A155="","",SUM(H155:Q155))</f>
        <v/>
      </c>
      <c r="S155" s="45" t="str">
        <f aca="false">IF($A155="","",ROUND($F155-$G155-$R155,2))</f>
        <v/>
      </c>
      <c r="T155" s="28" t="str">
        <f aca="false">IF(OR($A155="",$F155=0),"",$R155/$F155)</f>
        <v/>
      </c>
      <c r="U155" s="35"/>
      <c r="V155" s="0" t="str">
        <f aca="false">IF($A155="","",$A155&amp;"|"&amp;$B155)</f>
        <v/>
      </c>
    </row>
    <row r="156" customFormat="false" ht="18" hidden="false" customHeight="true" outlineLevel="0" collapsed="false">
      <c r="A156" s="36"/>
      <c r="B156" s="36"/>
      <c r="C156" s="48" t="str">
        <f aca="false">IF($B156="","",IFERROR(VLOOKUP($B156,资产台账!$B$4:$N$53,2,0)&amp;"","台账中未登记"))</f>
        <v/>
      </c>
      <c r="D156" s="43" t="str">
        <f aca="false">IF($B156="","",IFERROR(VLOOKUP($B156,资产台账!$B$4:$N$53,3,0)&amp;"",""))</f>
        <v/>
      </c>
      <c r="E156" s="43" t="str">
        <f aca="false">IF($B156="","",IFERROR(VLOOKUP($B156,资产台账!$B$4:$N$53,5,0)&amp;"",""))</f>
        <v/>
      </c>
      <c r="F156" s="44"/>
      <c r="G156" s="44"/>
      <c r="H156" s="44"/>
      <c r="I156" s="44"/>
      <c r="J156" s="44"/>
      <c r="K156" s="44"/>
      <c r="L156" s="44"/>
      <c r="M156" s="44"/>
      <c r="N156" s="44"/>
      <c r="O156" s="44"/>
      <c r="P156" s="44"/>
      <c r="Q156" s="44"/>
      <c r="R156" s="45" t="str">
        <f aca="false">IF($A156="","",SUM(H156:Q156))</f>
        <v/>
      </c>
      <c r="S156" s="45" t="str">
        <f aca="false">IF($A156="","",ROUND($F156-$G156-$R156,2))</f>
        <v/>
      </c>
      <c r="T156" s="28" t="str">
        <f aca="false">IF(OR($A156="",$F156=0),"",$R156/$F156)</f>
        <v/>
      </c>
      <c r="U156" s="35"/>
      <c r="V156" s="0" t="str">
        <f aca="false">IF($A156="","",$A156&amp;"|"&amp;$B156)</f>
        <v/>
      </c>
    </row>
    <row r="157" customFormat="false" ht="18" hidden="false" customHeight="true" outlineLevel="0" collapsed="false">
      <c r="A157" s="36"/>
      <c r="B157" s="36"/>
      <c r="C157" s="48" t="str">
        <f aca="false">IF($B157="","",IFERROR(VLOOKUP($B157,资产台账!$B$4:$N$53,2,0)&amp;"","台账中未登记"))</f>
        <v/>
      </c>
      <c r="D157" s="43" t="str">
        <f aca="false">IF($B157="","",IFERROR(VLOOKUP($B157,资产台账!$B$4:$N$53,3,0)&amp;"",""))</f>
        <v/>
      </c>
      <c r="E157" s="43" t="str">
        <f aca="false">IF($B157="","",IFERROR(VLOOKUP($B157,资产台账!$B$4:$N$53,5,0)&amp;"",""))</f>
        <v/>
      </c>
      <c r="F157" s="44"/>
      <c r="G157" s="44"/>
      <c r="H157" s="44"/>
      <c r="I157" s="44"/>
      <c r="J157" s="44"/>
      <c r="K157" s="44"/>
      <c r="L157" s="44"/>
      <c r="M157" s="44"/>
      <c r="N157" s="44"/>
      <c r="O157" s="44"/>
      <c r="P157" s="44"/>
      <c r="Q157" s="44"/>
      <c r="R157" s="45" t="str">
        <f aca="false">IF($A157="","",SUM(H157:Q157))</f>
        <v/>
      </c>
      <c r="S157" s="45" t="str">
        <f aca="false">IF($A157="","",ROUND($F157-$G157-$R157,2))</f>
        <v/>
      </c>
      <c r="T157" s="28" t="str">
        <f aca="false">IF(OR($A157="",$F157=0),"",$R157/$F157)</f>
        <v/>
      </c>
      <c r="U157" s="35"/>
      <c r="V157" s="0" t="str">
        <f aca="false">IF($A157="","",$A157&amp;"|"&amp;$B157)</f>
        <v/>
      </c>
    </row>
    <row r="158" customFormat="false" ht="18" hidden="false" customHeight="true" outlineLevel="0" collapsed="false">
      <c r="A158" s="36"/>
      <c r="B158" s="36"/>
      <c r="C158" s="48" t="str">
        <f aca="false">IF($B158="","",IFERROR(VLOOKUP($B158,资产台账!$B$4:$N$53,2,0)&amp;"","台账中未登记"))</f>
        <v/>
      </c>
      <c r="D158" s="43" t="str">
        <f aca="false">IF($B158="","",IFERROR(VLOOKUP($B158,资产台账!$B$4:$N$53,3,0)&amp;"",""))</f>
        <v/>
      </c>
      <c r="E158" s="43" t="str">
        <f aca="false">IF($B158="","",IFERROR(VLOOKUP($B158,资产台账!$B$4:$N$53,5,0)&amp;"",""))</f>
        <v/>
      </c>
      <c r="F158" s="44"/>
      <c r="G158" s="44"/>
      <c r="H158" s="44"/>
      <c r="I158" s="44"/>
      <c r="J158" s="44"/>
      <c r="K158" s="44"/>
      <c r="L158" s="44"/>
      <c r="M158" s="44"/>
      <c r="N158" s="44"/>
      <c r="O158" s="44"/>
      <c r="P158" s="44"/>
      <c r="Q158" s="44"/>
      <c r="R158" s="45" t="str">
        <f aca="false">IF($A158="","",SUM(H158:Q158))</f>
        <v/>
      </c>
      <c r="S158" s="45" t="str">
        <f aca="false">IF($A158="","",ROUND($F158-$G158-$R158,2))</f>
        <v/>
      </c>
      <c r="T158" s="28" t="str">
        <f aca="false">IF(OR($A158="",$F158=0),"",$R158/$F158)</f>
        <v/>
      </c>
      <c r="U158" s="35"/>
      <c r="V158" s="0" t="str">
        <f aca="false">IF($A158="","",$A158&amp;"|"&amp;$B158)</f>
        <v/>
      </c>
    </row>
    <row r="159" customFormat="false" ht="18" hidden="false" customHeight="true" outlineLevel="0" collapsed="false">
      <c r="A159" s="36"/>
      <c r="B159" s="36"/>
      <c r="C159" s="48" t="str">
        <f aca="false">IF($B159="","",IFERROR(VLOOKUP($B159,资产台账!$B$4:$N$53,2,0)&amp;"","台账中未登记"))</f>
        <v/>
      </c>
      <c r="D159" s="43" t="str">
        <f aca="false">IF($B159="","",IFERROR(VLOOKUP($B159,资产台账!$B$4:$N$53,3,0)&amp;"",""))</f>
        <v/>
      </c>
      <c r="E159" s="43" t="str">
        <f aca="false">IF($B159="","",IFERROR(VLOOKUP($B159,资产台账!$B$4:$N$53,5,0)&amp;"",""))</f>
        <v/>
      </c>
      <c r="F159" s="44"/>
      <c r="G159" s="44"/>
      <c r="H159" s="44"/>
      <c r="I159" s="44"/>
      <c r="J159" s="44"/>
      <c r="K159" s="44"/>
      <c r="L159" s="44"/>
      <c r="M159" s="44"/>
      <c r="N159" s="44"/>
      <c r="O159" s="44"/>
      <c r="P159" s="44"/>
      <c r="Q159" s="44"/>
      <c r="R159" s="45" t="str">
        <f aca="false">IF($A159="","",SUM(H159:Q159))</f>
        <v/>
      </c>
      <c r="S159" s="45" t="str">
        <f aca="false">IF($A159="","",ROUND($F159-$G159-$R159,2))</f>
        <v/>
      </c>
      <c r="T159" s="28" t="str">
        <f aca="false">IF(OR($A159="",$F159=0),"",$R159/$F159)</f>
        <v/>
      </c>
      <c r="U159" s="35"/>
      <c r="V159" s="0" t="str">
        <f aca="false">IF($A159="","",$A159&amp;"|"&amp;$B159)</f>
        <v/>
      </c>
    </row>
    <row r="160" customFormat="false" ht="18" hidden="false" customHeight="true" outlineLevel="0" collapsed="false">
      <c r="A160" s="36"/>
      <c r="B160" s="36"/>
      <c r="C160" s="48" t="str">
        <f aca="false">IF($B160="","",IFERROR(VLOOKUP($B160,资产台账!$B$4:$N$53,2,0)&amp;"","台账中未登记"))</f>
        <v/>
      </c>
      <c r="D160" s="43" t="str">
        <f aca="false">IF($B160="","",IFERROR(VLOOKUP($B160,资产台账!$B$4:$N$53,3,0)&amp;"",""))</f>
        <v/>
      </c>
      <c r="E160" s="43" t="str">
        <f aca="false">IF($B160="","",IFERROR(VLOOKUP($B160,资产台账!$B$4:$N$53,5,0)&amp;"",""))</f>
        <v/>
      </c>
      <c r="F160" s="44"/>
      <c r="G160" s="44"/>
      <c r="H160" s="44"/>
      <c r="I160" s="44"/>
      <c r="J160" s="44"/>
      <c r="K160" s="44"/>
      <c r="L160" s="44"/>
      <c r="M160" s="44"/>
      <c r="N160" s="44"/>
      <c r="O160" s="44"/>
      <c r="P160" s="44"/>
      <c r="Q160" s="44"/>
      <c r="R160" s="45" t="str">
        <f aca="false">IF($A160="","",SUM(H160:Q160))</f>
        <v/>
      </c>
      <c r="S160" s="45" t="str">
        <f aca="false">IF($A160="","",ROUND($F160-$G160-$R160,2))</f>
        <v/>
      </c>
      <c r="T160" s="28" t="str">
        <f aca="false">IF(OR($A160="",$F160=0),"",$R160/$F160)</f>
        <v/>
      </c>
      <c r="U160" s="35"/>
      <c r="V160" s="0" t="str">
        <f aca="false">IF($A160="","",$A160&amp;"|"&amp;$B160)</f>
        <v/>
      </c>
    </row>
    <row r="161" customFormat="false" ht="18" hidden="false" customHeight="true" outlineLevel="0" collapsed="false">
      <c r="A161" s="36"/>
      <c r="B161" s="36"/>
      <c r="C161" s="48" t="str">
        <f aca="false">IF($B161="","",IFERROR(VLOOKUP($B161,资产台账!$B$4:$N$53,2,0)&amp;"","台账中未登记"))</f>
        <v/>
      </c>
      <c r="D161" s="43" t="str">
        <f aca="false">IF($B161="","",IFERROR(VLOOKUP($B161,资产台账!$B$4:$N$53,3,0)&amp;"",""))</f>
        <v/>
      </c>
      <c r="E161" s="43" t="str">
        <f aca="false">IF($B161="","",IFERROR(VLOOKUP($B161,资产台账!$B$4:$N$53,5,0)&amp;"",""))</f>
        <v/>
      </c>
      <c r="F161" s="44"/>
      <c r="G161" s="44"/>
      <c r="H161" s="44"/>
      <c r="I161" s="44"/>
      <c r="J161" s="44"/>
      <c r="K161" s="44"/>
      <c r="L161" s="44"/>
      <c r="M161" s="44"/>
      <c r="N161" s="44"/>
      <c r="O161" s="44"/>
      <c r="P161" s="44"/>
      <c r="Q161" s="44"/>
      <c r="R161" s="45" t="str">
        <f aca="false">IF($A161="","",SUM(H161:Q161))</f>
        <v/>
      </c>
      <c r="S161" s="45" t="str">
        <f aca="false">IF($A161="","",ROUND($F161-$G161-$R161,2))</f>
        <v/>
      </c>
      <c r="T161" s="28" t="str">
        <f aca="false">IF(OR($A161="",$F161=0),"",$R161/$F161)</f>
        <v/>
      </c>
      <c r="U161" s="35"/>
      <c r="V161" s="0" t="str">
        <f aca="false">IF($A161="","",$A161&amp;"|"&amp;$B161)</f>
        <v/>
      </c>
    </row>
    <row r="162" customFormat="false" ht="18" hidden="false" customHeight="true" outlineLevel="0" collapsed="false">
      <c r="A162" s="36"/>
      <c r="B162" s="36"/>
      <c r="C162" s="48" t="str">
        <f aca="false">IF($B162="","",IFERROR(VLOOKUP($B162,资产台账!$B$4:$N$53,2,0)&amp;"","台账中未登记"))</f>
        <v/>
      </c>
      <c r="D162" s="43" t="str">
        <f aca="false">IF($B162="","",IFERROR(VLOOKUP($B162,资产台账!$B$4:$N$53,3,0)&amp;"",""))</f>
        <v/>
      </c>
      <c r="E162" s="43" t="str">
        <f aca="false">IF($B162="","",IFERROR(VLOOKUP($B162,资产台账!$B$4:$N$53,5,0)&amp;"",""))</f>
        <v/>
      </c>
      <c r="F162" s="44"/>
      <c r="G162" s="44"/>
      <c r="H162" s="44"/>
      <c r="I162" s="44"/>
      <c r="J162" s="44"/>
      <c r="K162" s="44"/>
      <c r="L162" s="44"/>
      <c r="M162" s="44"/>
      <c r="N162" s="44"/>
      <c r="O162" s="44"/>
      <c r="P162" s="44"/>
      <c r="Q162" s="44"/>
      <c r="R162" s="45" t="str">
        <f aca="false">IF($A162="","",SUM(H162:Q162))</f>
        <v/>
      </c>
      <c r="S162" s="45" t="str">
        <f aca="false">IF($A162="","",ROUND($F162-$G162-$R162,2))</f>
        <v/>
      </c>
      <c r="T162" s="28" t="str">
        <f aca="false">IF(OR($A162="",$F162=0),"",$R162/$F162)</f>
        <v/>
      </c>
      <c r="U162" s="35"/>
      <c r="V162" s="0" t="str">
        <f aca="false">IF($A162="","",$A162&amp;"|"&amp;$B162)</f>
        <v/>
      </c>
    </row>
    <row r="163" customFormat="false" ht="18" hidden="false" customHeight="true" outlineLevel="0" collapsed="false">
      <c r="A163" s="36"/>
      <c r="B163" s="36"/>
      <c r="C163" s="48" t="str">
        <f aca="false">IF($B163="","",IFERROR(VLOOKUP($B163,资产台账!$B$4:$N$53,2,0)&amp;"","台账中未登记"))</f>
        <v/>
      </c>
      <c r="D163" s="43" t="str">
        <f aca="false">IF($B163="","",IFERROR(VLOOKUP($B163,资产台账!$B$4:$N$53,3,0)&amp;"",""))</f>
        <v/>
      </c>
      <c r="E163" s="43" t="str">
        <f aca="false">IF($B163="","",IFERROR(VLOOKUP($B163,资产台账!$B$4:$N$53,5,0)&amp;"",""))</f>
        <v/>
      </c>
      <c r="F163" s="44"/>
      <c r="G163" s="44"/>
      <c r="H163" s="44"/>
      <c r="I163" s="44"/>
      <c r="J163" s="44"/>
      <c r="K163" s="44"/>
      <c r="L163" s="44"/>
      <c r="M163" s="44"/>
      <c r="N163" s="44"/>
      <c r="O163" s="44"/>
      <c r="P163" s="44"/>
      <c r="Q163" s="44"/>
      <c r="R163" s="45" t="str">
        <f aca="false">IF($A163="","",SUM(H163:Q163))</f>
        <v/>
      </c>
      <c r="S163" s="45" t="str">
        <f aca="false">IF($A163="","",ROUND($F163-$G163-$R163,2))</f>
        <v/>
      </c>
      <c r="T163" s="28" t="str">
        <f aca="false">IF(OR($A163="",$F163=0),"",$R163/$F163)</f>
        <v/>
      </c>
      <c r="U163" s="35"/>
      <c r="V163" s="0" t="str">
        <f aca="false">IF($A163="","",$A163&amp;"|"&amp;$B163)</f>
        <v/>
      </c>
    </row>
    <row r="164" customFormat="false" ht="18" hidden="false" customHeight="true" outlineLevel="0" collapsed="false">
      <c r="A164" s="36"/>
      <c r="B164" s="36"/>
      <c r="C164" s="48" t="str">
        <f aca="false">IF($B164="","",IFERROR(VLOOKUP($B164,资产台账!$B$4:$N$53,2,0)&amp;"","台账中未登记"))</f>
        <v/>
      </c>
      <c r="D164" s="43" t="str">
        <f aca="false">IF($B164="","",IFERROR(VLOOKUP($B164,资产台账!$B$4:$N$53,3,0)&amp;"",""))</f>
        <v/>
      </c>
      <c r="E164" s="43" t="str">
        <f aca="false">IF($B164="","",IFERROR(VLOOKUP($B164,资产台账!$B$4:$N$53,5,0)&amp;"",""))</f>
        <v/>
      </c>
      <c r="F164" s="44"/>
      <c r="G164" s="44"/>
      <c r="H164" s="44"/>
      <c r="I164" s="44"/>
      <c r="J164" s="44"/>
      <c r="K164" s="44"/>
      <c r="L164" s="44"/>
      <c r="M164" s="44"/>
      <c r="N164" s="44"/>
      <c r="O164" s="44"/>
      <c r="P164" s="44"/>
      <c r="Q164" s="44"/>
      <c r="R164" s="45" t="str">
        <f aca="false">IF($A164="","",SUM(H164:Q164))</f>
        <v/>
      </c>
      <c r="S164" s="45" t="str">
        <f aca="false">IF($A164="","",ROUND($F164-$G164-$R164,2))</f>
        <v/>
      </c>
      <c r="T164" s="28" t="str">
        <f aca="false">IF(OR($A164="",$F164=0),"",$R164/$F164)</f>
        <v/>
      </c>
      <c r="U164" s="35"/>
      <c r="V164" s="0" t="str">
        <f aca="false">IF($A164="","",$A164&amp;"|"&amp;$B164)</f>
        <v/>
      </c>
    </row>
    <row r="165" customFormat="false" ht="18" hidden="false" customHeight="true" outlineLevel="0" collapsed="false">
      <c r="A165" s="36"/>
      <c r="B165" s="36"/>
      <c r="C165" s="48" t="str">
        <f aca="false">IF($B165="","",IFERROR(VLOOKUP($B165,资产台账!$B$4:$N$53,2,0)&amp;"","台账中未登记"))</f>
        <v/>
      </c>
      <c r="D165" s="43" t="str">
        <f aca="false">IF($B165="","",IFERROR(VLOOKUP($B165,资产台账!$B$4:$N$53,3,0)&amp;"",""))</f>
        <v/>
      </c>
      <c r="E165" s="43" t="str">
        <f aca="false">IF($B165="","",IFERROR(VLOOKUP($B165,资产台账!$B$4:$N$53,5,0)&amp;"",""))</f>
        <v/>
      </c>
      <c r="F165" s="44"/>
      <c r="G165" s="44"/>
      <c r="H165" s="44"/>
      <c r="I165" s="44"/>
      <c r="J165" s="44"/>
      <c r="K165" s="44"/>
      <c r="L165" s="44"/>
      <c r="M165" s="44"/>
      <c r="N165" s="44"/>
      <c r="O165" s="44"/>
      <c r="P165" s="44"/>
      <c r="Q165" s="44"/>
      <c r="R165" s="45" t="str">
        <f aca="false">IF($A165="","",SUM(H165:Q165))</f>
        <v/>
      </c>
      <c r="S165" s="45" t="str">
        <f aca="false">IF($A165="","",ROUND($F165-$G165-$R165,2))</f>
        <v/>
      </c>
      <c r="T165" s="28" t="str">
        <f aca="false">IF(OR($A165="",$F165=0),"",$R165/$F165)</f>
        <v/>
      </c>
      <c r="U165" s="35"/>
      <c r="V165" s="0" t="str">
        <f aca="false">IF($A165="","",$A165&amp;"|"&amp;$B165)</f>
        <v/>
      </c>
    </row>
    <row r="166" customFormat="false" ht="18" hidden="false" customHeight="true" outlineLevel="0" collapsed="false">
      <c r="A166" s="36"/>
      <c r="B166" s="36"/>
      <c r="C166" s="48" t="str">
        <f aca="false">IF($B166="","",IFERROR(VLOOKUP($B166,资产台账!$B$4:$N$53,2,0)&amp;"","台账中未登记"))</f>
        <v/>
      </c>
      <c r="D166" s="43" t="str">
        <f aca="false">IF($B166="","",IFERROR(VLOOKUP($B166,资产台账!$B$4:$N$53,3,0)&amp;"",""))</f>
        <v/>
      </c>
      <c r="E166" s="43" t="str">
        <f aca="false">IF($B166="","",IFERROR(VLOOKUP($B166,资产台账!$B$4:$N$53,5,0)&amp;"",""))</f>
        <v/>
      </c>
      <c r="F166" s="44"/>
      <c r="G166" s="44"/>
      <c r="H166" s="44"/>
      <c r="I166" s="44"/>
      <c r="J166" s="44"/>
      <c r="K166" s="44"/>
      <c r="L166" s="44"/>
      <c r="M166" s="44"/>
      <c r="N166" s="44"/>
      <c r="O166" s="44"/>
      <c r="P166" s="44"/>
      <c r="Q166" s="44"/>
      <c r="R166" s="45" t="str">
        <f aca="false">IF($A166="","",SUM(H166:Q166))</f>
        <v/>
      </c>
      <c r="S166" s="45" t="str">
        <f aca="false">IF($A166="","",ROUND($F166-$G166-$R166,2))</f>
        <v/>
      </c>
      <c r="T166" s="28" t="str">
        <f aca="false">IF(OR($A166="",$F166=0),"",$R166/$F166)</f>
        <v/>
      </c>
      <c r="U166" s="35"/>
      <c r="V166" s="0" t="str">
        <f aca="false">IF($A166="","",$A166&amp;"|"&amp;$B166)</f>
        <v/>
      </c>
    </row>
    <row r="167" customFormat="false" ht="18" hidden="false" customHeight="true" outlineLevel="0" collapsed="false">
      <c r="A167" s="36"/>
      <c r="B167" s="36"/>
      <c r="C167" s="48" t="str">
        <f aca="false">IF($B167="","",IFERROR(VLOOKUP($B167,资产台账!$B$4:$N$53,2,0)&amp;"","台账中未登记"))</f>
        <v/>
      </c>
      <c r="D167" s="43" t="str">
        <f aca="false">IF($B167="","",IFERROR(VLOOKUP($B167,资产台账!$B$4:$N$53,3,0)&amp;"",""))</f>
        <v/>
      </c>
      <c r="E167" s="43" t="str">
        <f aca="false">IF($B167="","",IFERROR(VLOOKUP($B167,资产台账!$B$4:$N$53,5,0)&amp;"",""))</f>
        <v/>
      </c>
      <c r="F167" s="44"/>
      <c r="G167" s="44"/>
      <c r="H167" s="44"/>
      <c r="I167" s="44"/>
      <c r="J167" s="44"/>
      <c r="K167" s="44"/>
      <c r="L167" s="44"/>
      <c r="M167" s="44"/>
      <c r="N167" s="44"/>
      <c r="O167" s="44"/>
      <c r="P167" s="44"/>
      <c r="Q167" s="44"/>
      <c r="R167" s="45" t="str">
        <f aca="false">IF($A167="","",SUM(H167:Q167))</f>
        <v/>
      </c>
      <c r="S167" s="45" t="str">
        <f aca="false">IF($A167="","",ROUND($F167-$G167-$R167,2))</f>
        <v/>
      </c>
      <c r="T167" s="28" t="str">
        <f aca="false">IF(OR($A167="",$F167=0),"",$R167/$F167)</f>
        <v/>
      </c>
      <c r="U167" s="35"/>
      <c r="V167" s="0" t="str">
        <f aca="false">IF($A167="","",$A167&amp;"|"&amp;$B167)</f>
        <v/>
      </c>
    </row>
    <row r="168" customFormat="false" ht="18" hidden="false" customHeight="true" outlineLevel="0" collapsed="false">
      <c r="A168" s="36"/>
      <c r="B168" s="36"/>
      <c r="C168" s="48" t="str">
        <f aca="false">IF($B168="","",IFERROR(VLOOKUP($B168,资产台账!$B$4:$N$53,2,0)&amp;"","台账中未登记"))</f>
        <v/>
      </c>
      <c r="D168" s="43" t="str">
        <f aca="false">IF($B168="","",IFERROR(VLOOKUP($B168,资产台账!$B$4:$N$53,3,0)&amp;"",""))</f>
        <v/>
      </c>
      <c r="E168" s="43" t="str">
        <f aca="false">IF($B168="","",IFERROR(VLOOKUP($B168,资产台账!$B$4:$N$53,5,0)&amp;"",""))</f>
        <v/>
      </c>
      <c r="F168" s="44"/>
      <c r="G168" s="44"/>
      <c r="H168" s="44"/>
      <c r="I168" s="44"/>
      <c r="J168" s="44"/>
      <c r="K168" s="44"/>
      <c r="L168" s="44"/>
      <c r="M168" s="44"/>
      <c r="N168" s="44"/>
      <c r="O168" s="44"/>
      <c r="P168" s="44"/>
      <c r="Q168" s="44"/>
      <c r="R168" s="45" t="str">
        <f aca="false">IF($A168="","",SUM(H168:Q168))</f>
        <v/>
      </c>
      <c r="S168" s="45" t="str">
        <f aca="false">IF($A168="","",ROUND($F168-$G168-$R168,2))</f>
        <v/>
      </c>
      <c r="T168" s="28" t="str">
        <f aca="false">IF(OR($A168="",$F168=0),"",$R168/$F168)</f>
        <v/>
      </c>
      <c r="U168" s="35"/>
      <c r="V168" s="0" t="str">
        <f aca="false">IF($A168="","",$A168&amp;"|"&amp;$B168)</f>
        <v/>
      </c>
    </row>
    <row r="169" customFormat="false" ht="18" hidden="false" customHeight="true" outlineLevel="0" collapsed="false">
      <c r="A169" s="36"/>
      <c r="B169" s="36"/>
      <c r="C169" s="48" t="str">
        <f aca="false">IF($B169="","",IFERROR(VLOOKUP($B169,资产台账!$B$4:$N$53,2,0)&amp;"","台账中未登记"))</f>
        <v/>
      </c>
      <c r="D169" s="43" t="str">
        <f aca="false">IF($B169="","",IFERROR(VLOOKUP($B169,资产台账!$B$4:$N$53,3,0)&amp;"",""))</f>
        <v/>
      </c>
      <c r="E169" s="43" t="str">
        <f aca="false">IF($B169="","",IFERROR(VLOOKUP($B169,资产台账!$B$4:$N$53,5,0)&amp;"",""))</f>
        <v/>
      </c>
      <c r="F169" s="44"/>
      <c r="G169" s="44"/>
      <c r="H169" s="44"/>
      <c r="I169" s="44"/>
      <c r="J169" s="44"/>
      <c r="K169" s="44"/>
      <c r="L169" s="44"/>
      <c r="M169" s="44"/>
      <c r="N169" s="44"/>
      <c r="O169" s="44"/>
      <c r="P169" s="44"/>
      <c r="Q169" s="44"/>
      <c r="R169" s="45" t="str">
        <f aca="false">IF($A169="","",SUM(H169:Q169))</f>
        <v/>
      </c>
      <c r="S169" s="45" t="str">
        <f aca="false">IF($A169="","",ROUND($F169-$G169-$R169,2))</f>
        <v/>
      </c>
      <c r="T169" s="28" t="str">
        <f aca="false">IF(OR($A169="",$F169=0),"",$R169/$F169)</f>
        <v/>
      </c>
      <c r="U169" s="35"/>
      <c r="V169" s="0" t="str">
        <f aca="false">IF($A169="","",$A169&amp;"|"&amp;$B169)</f>
        <v/>
      </c>
    </row>
    <row r="170" customFormat="false" ht="18" hidden="false" customHeight="true" outlineLevel="0" collapsed="false">
      <c r="A170" s="36"/>
      <c r="B170" s="36"/>
      <c r="C170" s="48" t="str">
        <f aca="false">IF($B170="","",IFERROR(VLOOKUP($B170,资产台账!$B$4:$N$53,2,0)&amp;"","台账中未登记"))</f>
        <v/>
      </c>
      <c r="D170" s="43" t="str">
        <f aca="false">IF($B170="","",IFERROR(VLOOKUP($B170,资产台账!$B$4:$N$53,3,0)&amp;"",""))</f>
        <v/>
      </c>
      <c r="E170" s="43" t="str">
        <f aca="false">IF($B170="","",IFERROR(VLOOKUP($B170,资产台账!$B$4:$N$53,5,0)&amp;"",""))</f>
        <v/>
      </c>
      <c r="F170" s="44"/>
      <c r="G170" s="44"/>
      <c r="H170" s="44"/>
      <c r="I170" s="44"/>
      <c r="J170" s="44"/>
      <c r="K170" s="44"/>
      <c r="L170" s="44"/>
      <c r="M170" s="44"/>
      <c r="N170" s="44"/>
      <c r="O170" s="44"/>
      <c r="P170" s="44"/>
      <c r="Q170" s="44"/>
      <c r="R170" s="45" t="str">
        <f aca="false">IF($A170="","",SUM(H170:Q170))</f>
        <v/>
      </c>
      <c r="S170" s="45" t="str">
        <f aca="false">IF($A170="","",ROUND($F170-$G170-$R170,2))</f>
        <v/>
      </c>
      <c r="T170" s="28" t="str">
        <f aca="false">IF(OR($A170="",$F170=0),"",$R170/$F170)</f>
        <v/>
      </c>
      <c r="U170" s="35"/>
      <c r="V170" s="0" t="str">
        <f aca="false">IF($A170="","",$A170&amp;"|"&amp;$B170)</f>
        <v/>
      </c>
    </row>
    <row r="171" customFormat="false" ht="18" hidden="false" customHeight="true" outlineLevel="0" collapsed="false">
      <c r="A171" s="36"/>
      <c r="B171" s="36"/>
      <c r="C171" s="48" t="str">
        <f aca="false">IF($B171="","",IFERROR(VLOOKUP($B171,资产台账!$B$4:$N$53,2,0)&amp;"","台账中未登记"))</f>
        <v/>
      </c>
      <c r="D171" s="43" t="str">
        <f aca="false">IF($B171="","",IFERROR(VLOOKUP($B171,资产台账!$B$4:$N$53,3,0)&amp;"",""))</f>
        <v/>
      </c>
      <c r="E171" s="43" t="str">
        <f aca="false">IF($B171="","",IFERROR(VLOOKUP($B171,资产台账!$B$4:$N$53,5,0)&amp;"",""))</f>
        <v/>
      </c>
      <c r="F171" s="44"/>
      <c r="G171" s="44"/>
      <c r="H171" s="44"/>
      <c r="I171" s="44"/>
      <c r="J171" s="44"/>
      <c r="K171" s="44"/>
      <c r="L171" s="44"/>
      <c r="M171" s="44"/>
      <c r="N171" s="44"/>
      <c r="O171" s="44"/>
      <c r="P171" s="44"/>
      <c r="Q171" s="44"/>
      <c r="R171" s="45" t="str">
        <f aca="false">IF($A171="","",SUM(H171:Q171))</f>
        <v/>
      </c>
      <c r="S171" s="45" t="str">
        <f aca="false">IF($A171="","",ROUND($F171-$G171-$R171,2))</f>
        <v/>
      </c>
      <c r="T171" s="28" t="str">
        <f aca="false">IF(OR($A171="",$F171=0),"",$R171/$F171)</f>
        <v/>
      </c>
      <c r="U171" s="35"/>
      <c r="V171" s="0" t="str">
        <f aca="false">IF($A171="","",$A171&amp;"|"&amp;$B171)</f>
        <v/>
      </c>
    </row>
    <row r="172" customFormat="false" ht="18" hidden="false" customHeight="true" outlineLevel="0" collapsed="false">
      <c r="A172" s="36"/>
      <c r="B172" s="36"/>
      <c r="C172" s="48" t="str">
        <f aca="false">IF($B172="","",IFERROR(VLOOKUP($B172,资产台账!$B$4:$N$53,2,0)&amp;"","台账中未登记"))</f>
        <v/>
      </c>
      <c r="D172" s="43" t="str">
        <f aca="false">IF($B172="","",IFERROR(VLOOKUP($B172,资产台账!$B$4:$N$53,3,0)&amp;"",""))</f>
        <v/>
      </c>
      <c r="E172" s="43" t="str">
        <f aca="false">IF($B172="","",IFERROR(VLOOKUP($B172,资产台账!$B$4:$N$53,5,0)&amp;"",""))</f>
        <v/>
      </c>
      <c r="F172" s="44"/>
      <c r="G172" s="44"/>
      <c r="H172" s="44"/>
      <c r="I172" s="44"/>
      <c r="J172" s="44"/>
      <c r="K172" s="44"/>
      <c r="L172" s="44"/>
      <c r="M172" s="44"/>
      <c r="N172" s="44"/>
      <c r="O172" s="44"/>
      <c r="P172" s="44"/>
      <c r="Q172" s="44"/>
      <c r="R172" s="45" t="str">
        <f aca="false">IF($A172="","",SUM(H172:Q172))</f>
        <v/>
      </c>
      <c r="S172" s="45" t="str">
        <f aca="false">IF($A172="","",ROUND($F172-$G172-$R172,2))</f>
        <v/>
      </c>
      <c r="T172" s="28" t="str">
        <f aca="false">IF(OR($A172="",$F172=0),"",$R172/$F172)</f>
        <v/>
      </c>
      <c r="U172" s="35"/>
      <c r="V172" s="0" t="str">
        <f aca="false">IF($A172="","",$A172&amp;"|"&amp;$B172)</f>
        <v/>
      </c>
    </row>
    <row r="173" customFormat="false" ht="18" hidden="false" customHeight="true" outlineLevel="0" collapsed="false">
      <c r="A173" s="36"/>
      <c r="B173" s="36"/>
      <c r="C173" s="48" t="str">
        <f aca="false">IF($B173="","",IFERROR(VLOOKUP($B173,资产台账!$B$4:$N$53,2,0)&amp;"","台账中未登记"))</f>
        <v/>
      </c>
      <c r="D173" s="43" t="str">
        <f aca="false">IF($B173="","",IFERROR(VLOOKUP($B173,资产台账!$B$4:$N$53,3,0)&amp;"",""))</f>
        <v/>
      </c>
      <c r="E173" s="43" t="str">
        <f aca="false">IF($B173="","",IFERROR(VLOOKUP($B173,资产台账!$B$4:$N$53,5,0)&amp;"",""))</f>
        <v/>
      </c>
      <c r="F173" s="44"/>
      <c r="G173" s="44"/>
      <c r="H173" s="44"/>
      <c r="I173" s="44"/>
      <c r="J173" s="44"/>
      <c r="K173" s="44"/>
      <c r="L173" s="44"/>
      <c r="M173" s="44"/>
      <c r="N173" s="44"/>
      <c r="O173" s="44"/>
      <c r="P173" s="44"/>
      <c r="Q173" s="44"/>
      <c r="R173" s="45" t="str">
        <f aca="false">IF($A173="","",SUM(H173:Q173))</f>
        <v/>
      </c>
      <c r="S173" s="45" t="str">
        <f aca="false">IF($A173="","",ROUND($F173-$G173-$R173,2))</f>
        <v/>
      </c>
      <c r="T173" s="28" t="str">
        <f aca="false">IF(OR($A173="",$F173=0),"",$R173/$F173)</f>
        <v/>
      </c>
      <c r="U173" s="35"/>
      <c r="V173" s="0" t="str">
        <f aca="false">IF($A173="","",$A173&amp;"|"&amp;$B173)</f>
        <v/>
      </c>
    </row>
    <row r="174" customFormat="false" ht="18" hidden="false" customHeight="true" outlineLevel="0" collapsed="false">
      <c r="A174" s="36"/>
      <c r="B174" s="36"/>
      <c r="C174" s="48" t="str">
        <f aca="false">IF($B174="","",IFERROR(VLOOKUP($B174,资产台账!$B$4:$N$53,2,0)&amp;"","台账中未登记"))</f>
        <v/>
      </c>
      <c r="D174" s="43" t="str">
        <f aca="false">IF($B174="","",IFERROR(VLOOKUP($B174,资产台账!$B$4:$N$53,3,0)&amp;"",""))</f>
        <v/>
      </c>
      <c r="E174" s="43" t="str">
        <f aca="false">IF($B174="","",IFERROR(VLOOKUP($B174,资产台账!$B$4:$N$53,5,0)&amp;"",""))</f>
        <v/>
      </c>
      <c r="F174" s="44"/>
      <c r="G174" s="44"/>
      <c r="H174" s="44"/>
      <c r="I174" s="44"/>
      <c r="J174" s="44"/>
      <c r="K174" s="44"/>
      <c r="L174" s="44"/>
      <c r="M174" s="44"/>
      <c r="N174" s="44"/>
      <c r="O174" s="44"/>
      <c r="P174" s="44"/>
      <c r="Q174" s="44"/>
      <c r="R174" s="45" t="str">
        <f aca="false">IF($A174="","",SUM(H174:Q174))</f>
        <v/>
      </c>
      <c r="S174" s="45" t="str">
        <f aca="false">IF($A174="","",ROUND($F174-$G174-$R174,2))</f>
        <v/>
      </c>
      <c r="T174" s="28" t="str">
        <f aca="false">IF(OR($A174="",$F174=0),"",$R174/$F174)</f>
        <v/>
      </c>
      <c r="U174" s="35"/>
      <c r="V174" s="0" t="str">
        <f aca="false">IF($A174="","",$A174&amp;"|"&amp;$B174)</f>
        <v/>
      </c>
    </row>
    <row r="175" customFormat="false" ht="18" hidden="false" customHeight="true" outlineLevel="0" collapsed="false">
      <c r="A175" s="36"/>
      <c r="B175" s="36"/>
      <c r="C175" s="48" t="str">
        <f aca="false">IF($B175="","",IFERROR(VLOOKUP($B175,资产台账!$B$4:$N$53,2,0)&amp;"","台账中未登记"))</f>
        <v/>
      </c>
      <c r="D175" s="43" t="str">
        <f aca="false">IF($B175="","",IFERROR(VLOOKUP($B175,资产台账!$B$4:$N$53,3,0)&amp;"",""))</f>
        <v/>
      </c>
      <c r="E175" s="43" t="str">
        <f aca="false">IF($B175="","",IFERROR(VLOOKUP($B175,资产台账!$B$4:$N$53,5,0)&amp;"",""))</f>
        <v/>
      </c>
      <c r="F175" s="44"/>
      <c r="G175" s="44"/>
      <c r="H175" s="44"/>
      <c r="I175" s="44"/>
      <c r="J175" s="44"/>
      <c r="K175" s="44"/>
      <c r="L175" s="44"/>
      <c r="M175" s="44"/>
      <c r="N175" s="44"/>
      <c r="O175" s="44"/>
      <c r="P175" s="44"/>
      <c r="Q175" s="44"/>
      <c r="R175" s="45" t="str">
        <f aca="false">IF($A175="","",SUM(H175:Q175))</f>
        <v/>
      </c>
      <c r="S175" s="45" t="str">
        <f aca="false">IF($A175="","",ROUND($F175-$G175-$R175,2))</f>
        <v/>
      </c>
      <c r="T175" s="28" t="str">
        <f aca="false">IF(OR($A175="",$F175=0),"",$R175/$F175)</f>
        <v/>
      </c>
      <c r="U175" s="35"/>
      <c r="V175" s="0" t="str">
        <f aca="false">IF($A175="","",$A175&amp;"|"&amp;$B175)</f>
        <v/>
      </c>
    </row>
    <row r="176" customFormat="false" ht="18" hidden="false" customHeight="true" outlineLevel="0" collapsed="false">
      <c r="A176" s="36"/>
      <c r="B176" s="36"/>
      <c r="C176" s="48" t="str">
        <f aca="false">IF($B176="","",IFERROR(VLOOKUP($B176,资产台账!$B$4:$N$53,2,0)&amp;"","台账中未登记"))</f>
        <v/>
      </c>
      <c r="D176" s="43" t="str">
        <f aca="false">IF($B176="","",IFERROR(VLOOKUP($B176,资产台账!$B$4:$N$53,3,0)&amp;"",""))</f>
        <v/>
      </c>
      <c r="E176" s="43" t="str">
        <f aca="false">IF($B176="","",IFERROR(VLOOKUP($B176,资产台账!$B$4:$N$53,5,0)&amp;"",""))</f>
        <v/>
      </c>
      <c r="F176" s="44"/>
      <c r="G176" s="44"/>
      <c r="H176" s="44"/>
      <c r="I176" s="44"/>
      <c r="J176" s="44"/>
      <c r="K176" s="44"/>
      <c r="L176" s="44"/>
      <c r="M176" s="44"/>
      <c r="N176" s="44"/>
      <c r="O176" s="44"/>
      <c r="P176" s="44"/>
      <c r="Q176" s="44"/>
      <c r="R176" s="45" t="str">
        <f aca="false">IF($A176="","",SUM(H176:Q176))</f>
        <v/>
      </c>
      <c r="S176" s="45" t="str">
        <f aca="false">IF($A176="","",ROUND($F176-$G176-$R176,2))</f>
        <v/>
      </c>
      <c r="T176" s="28" t="str">
        <f aca="false">IF(OR($A176="",$F176=0),"",$R176/$F176)</f>
        <v/>
      </c>
      <c r="U176" s="35"/>
      <c r="V176" s="0" t="str">
        <f aca="false">IF($A176="","",$A176&amp;"|"&amp;$B176)</f>
        <v/>
      </c>
    </row>
    <row r="177" customFormat="false" ht="18" hidden="false" customHeight="true" outlineLevel="0" collapsed="false">
      <c r="A177" s="36"/>
      <c r="B177" s="36"/>
      <c r="C177" s="48" t="str">
        <f aca="false">IF($B177="","",IFERROR(VLOOKUP($B177,资产台账!$B$4:$N$53,2,0)&amp;"","台账中未登记"))</f>
        <v/>
      </c>
      <c r="D177" s="43" t="str">
        <f aca="false">IF($B177="","",IFERROR(VLOOKUP($B177,资产台账!$B$4:$N$53,3,0)&amp;"",""))</f>
        <v/>
      </c>
      <c r="E177" s="43" t="str">
        <f aca="false">IF($B177="","",IFERROR(VLOOKUP($B177,资产台账!$B$4:$N$53,5,0)&amp;"",""))</f>
        <v/>
      </c>
      <c r="F177" s="44"/>
      <c r="G177" s="44"/>
      <c r="H177" s="44"/>
      <c r="I177" s="44"/>
      <c r="J177" s="44"/>
      <c r="K177" s="44"/>
      <c r="L177" s="44"/>
      <c r="M177" s="44"/>
      <c r="N177" s="44"/>
      <c r="O177" s="44"/>
      <c r="P177" s="44"/>
      <c r="Q177" s="44"/>
      <c r="R177" s="45" t="str">
        <f aca="false">IF($A177="","",SUM(H177:Q177))</f>
        <v/>
      </c>
      <c r="S177" s="45" t="str">
        <f aca="false">IF($A177="","",ROUND($F177-$G177-$R177,2))</f>
        <v/>
      </c>
      <c r="T177" s="28" t="str">
        <f aca="false">IF(OR($A177="",$F177=0),"",$R177/$F177)</f>
        <v/>
      </c>
      <c r="U177" s="35"/>
      <c r="V177" s="0" t="str">
        <f aca="false">IF($A177="","",$A177&amp;"|"&amp;$B177)</f>
        <v/>
      </c>
    </row>
    <row r="178" customFormat="false" ht="18" hidden="false" customHeight="true" outlineLevel="0" collapsed="false">
      <c r="A178" s="36"/>
      <c r="B178" s="36"/>
      <c r="C178" s="48" t="str">
        <f aca="false">IF($B178="","",IFERROR(VLOOKUP($B178,资产台账!$B$4:$N$53,2,0)&amp;"","台账中未登记"))</f>
        <v/>
      </c>
      <c r="D178" s="43" t="str">
        <f aca="false">IF($B178="","",IFERROR(VLOOKUP($B178,资产台账!$B$4:$N$53,3,0)&amp;"",""))</f>
        <v/>
      </c>
      <c r="E178" s="43" t="str">
        <f aca="false">IF($B178="","",IFERROR(VLOOKUP($B178,资产台账!$B$4:$N$53,5,0)&amp;"",""))</f>
        <v/>
      </c>
      <c r="F178" s="44"/>
      <c r="G178" s="44"/>
      <c r="H178" s="44"/>
      <c r="I178" s="44"/>
      <c r="J178" s="44"/>
      <c r="K178" s="44"/>
      <c r="L178" s="44"/>
      <c r="M178" s="44"/>
      <c r="N178" s="44"/>
      <c r="O178" s="44"/>
      <c r="P178" s="44"/>
      <c r="Q178" s="44"/>
      <c r="R178" s="45" t="str">
        <f aca="false">IF($A178="","",SUM(H178:Q178))</f>
        <v/>
      </c>
      <c r="S178" s="45" t="str">
        <f aca="false">IF($A178="","",ROUND($F178-$G178-$R178,2))</f>
        <v/>
      </c>
      <c r="T178" s="28" t="str">
        <f aca="false">IF(OR($A178="",$F178=0),"",$R178/$F178)</f>
        <v/>
      </c>
      <c r="U178" s="35"/>
      <c r="V178" s="0" t="str">
        <f aca="false">IF($A178="","",$A178&amp;"|"&amp;$B178)</f>
        <v/>
      </c>
    </row>
    <row r="179" customFormat="false" ht="18" hidden="false" customHeight="true" outlineLevel="0" collapsed="false">
      <c r="A179" s="36"/>
      <c r="B179" s="36"/>
      <c r="C179" s="48" t="str">
        <f aca="false">IF($B179="","",IFERROR(VLOOKUP($B179,资产台账!$B$4:$N$53,2,0)&amp;"","台账中未登记"))</f>
        <v/>
      </c>
      <c r="D179" s="43" t="str">
        <f aca="false">IF($B179="","",IFERROR(VLOOKUP($B179,资产台账!$B$4:$N$53,3,0)&amp;"",""))</f>
        <v/>
      </c>
      <c r="E179" s="43" t="str">
        <f aca="false">IF($B179="","",IFERROR(VLOOKUP($B179,资产台账!$B$4:$N$53,5,0)&amp;"",""))</f>
        <v/>
      </c>
      <c r="F179" s="44"/>
      <c r="G179" s="44"/>
      <c r="H179" s="44"/>
      <c r="I179" s="44"/>
      <c r="J179" s="44"/>
      <c r="K179" s="44"/>
      <c r="L179" s="44"/>
      <c r="M179" s="44"/>
      <c r="N179" s="44"/>
      <c r="O179" s="44"/>
      <c r="P179" s="44"/>
      <c r="Q179" s="44"/>
      <c r="R179" s="45" t="str">
        <f aca="false">IF($A179="","",SUM(H179:Q179))</f>
        <v/>
      </c>
      <c r="S179" s="45" t="str">
        <f aca="false">IF($A179="","",ROUND($F179-$G179-$R179,2))</f>
        <v/>
      </c>
      <c r="T179" s="28" t="str">
        <f aca="false">IF(OR($A179="",$F179=0),"",$R179/$F179)</f>
        <v/>
      </c>
      <c r="U179" s="35"/>
      <c r="V179" s="0" t="str">
        <f aca="false">IF($A179="","",$A179&amp;"|"&amp;$B179)</f>
        <v/>
      </c>
    </row>
    <row r="180" customFormat="false" ht="18" hidden="false" customHeight="true" outlineLevel="0" collapsed="false">
      <c r="A180" s="36"/>
      <c r="B180" s="36"/>
      <c r="C180" s="48" t="str">
        <f aca="false">IF($B180="","",IFERROR(VLOOKUP($B180,资产台账!$B$4:$N$53,2,0)&amp;"","台账中未登记"))</f>
        <v/>
      </c>
      <c r="D180" s="43" t="str">
        <f aca="false">IF($B180="","",IFERROR(VLOOKUP($B180,资产台账!$B$4:$N$53,3,0)&amp;"",""))</f>
        <v/>
      </c>
      <c r="E180" s="43" t="str">
        <f aca="false">IF($B180="","",IFERROR(VLOOKUP($B180,资产台账!$B$4:$N$53,5,0)&amp;"",""))</f>
        <v/>
      </c>
      <c r="F180" s="44"/>
      <c r="G180" s="44"/>
      <c r="H180" s="44"/>
      <c r="I180" s="44"/>
      <c r="J180" s="44"/>
      <c r="K180" s="44"/>
      <c r="L180" s="44"/>
      <c r="M180" s="44"/>
      <c r="N180" s="44"/>
      <c r="O180" s="44"/>
      <c r="P180" s="44"/>
      <c r="Q180" s="44"/>
      <c r="R180" s="45" t="str">
        <f aca="false">IF($A180="","",SUM(H180:Q180))</f>
        <v/>
      </c>
      <c r="S180" s="45" t="str">
        <f aca="false">IF($A180="","",ROUND($F180-$G180-$R180,2))</f>
        <v/>
      </c>
      <c r="T180" s="28" t="str">
        <f aca="false">IF(OR($A180="",$F180=0),"",$R180/$F180)</f>
        <v/>
      </c>
      <c r="U180" s="35"/>
      <c r="V180" s="0" t="str">
        <f aca="false">IF($A180="","",$A180&amp;"|"&amp;$B180)</f>
        <v/>
      </c>
    </row>
    <row r="181" customFormat="false" ht="18" hidden="false" customHeight="true" outlineLevel="0" collapsed="false">
      <c r="A181" s="36"/>
      <c r="B181" s="36"/>
      <c r="C181" s="48" t="str">
        <f aca="false">IF($B181="","",IFERROR(VLOOKUP($B181,资产台账!$B$4:$N$53,2,0)&amp;"","台账中未登记"))</f>
        <v/>
      </c>
      <c r="D181" s="43" t="str">
        <f aca="false">IF($B181="","",IFERROR(VLOOKUP($B181,资产台账!$B$4:$N$53,3,0)&amp;"",""))</f>
        <v/>
      </c>
      <c r="E181" s="43" t="str">
        <f aca="false">IF($B181="","",IFERROR(VLOOKUP($B181,资产台账!$B$4:$N$53,5,0)&amp;"",""))</f>
        <v/>
      </c>
      <c r="F181" s="44"/>
      <c r="G181" s="44"/>
      <c r="H181" s="44"/>
      <c r="I181" s="44"/>
      <c r="J181" s="44"/>
      <c r="K181" s="44"/>
      <c r="L181" s="44"/>
      <c r="M181" s="44"/>
      <c r="N181" s="44"/>
      <c r="O181" s="44"/>
      <c r="P181" s="44"/>
      <c r="Q181" s="44"/>
      <c r="R181" s="45" t="str">
        <f aca="false">IF($A181="","",SUM(H181:Q181))</f>
        <v/>
      </c>
      <c r="S181" s="45" t="str">
        <f aca="false">IF($A181="","",ROUND($F181-$G181-$R181,2))</f>
        <v/>
      </c>
      <c r="T181" s="28" t="str">
        <f aca="false">IF(OR($A181="",$F181=0),"",$R181/$F181)</f>
        <v/>
      </c>
      <c r="U181" s="35"/>
      <c r="V181" s="0" t="str">
        <f aca="false">IF($A181="","",$A181&amp;"|"&amp;$B181)</f>
        <v/>
      </c>
    </row>
    <row r="182" customFormat="false" ht="18" hidden="false" customHeight="true" outlineLevel="0" collapsed="false">
      <c r="A182" s="36"/>
      <c r="B182" s="36"/>
      <c r="C182" s="48" t="str">
        <f aca="false">IF($B182="","",IFERROR(VLOOKUP($B182,资产台账!$B$4:$N$53,2,0)&amp;"","台账中未登记"))</f>
        <v/>
      </c>
      <c r="D182" s="43" t="str">
        <f aca="false">IF($B182="","",IFERROR(VLOOKUP($B182,资产台账!$B$4:$N$53,3,0)&amp;"",""))</f>
        <v/>
      </c>
      <c r="E182" s="43" t="str">
        <f aca="false">IF($B182="","",IFERROR(VLOOKUP($B182,资产台账!$B$4:$N$53,5,0)&amp;"",""))</f>
        <v/>
      </c>
      <c r="F182" s="44"/>
      <c r="G182" s="44"/>
      <c r="H182" s="44"/>
      <c r="I182" s="44"/>
      <c r="J182" s="44"/>
      <c r="K182" s="44"/>
      <c r="L182" s="44"/>
      <c r="M182" s="44"/>
      <c r="N182" s="44"/>
      <c r="O182" s="44"/>
      <c r="P182" s="44"/>
      <c r="Q182" s="44"/>
      <c r="R182" s="45" t="str">
        <f aca="false">IF($A182="","",SUM(H182:Q182))</f>
        <v/>
      </c>
      <c r="S182" s="45" t="str">
        <f aca="false">IF($A182="","",ROUND($F182-$G182-$R182,2))</f>
        <v/>
      </c>
      <c r="T182" s="28" t="str">
        <f aca="false">IF(OR($A182="",$F182=0),"",$R182/$F182)</f>
        <v/>
      </c>
      <c r="U182" s="35"/>
      <c r="V182" s="0" t="str">
        <f aca="false">IF($A182="","",$A182&amp;"|"&amp;$B182)</f>
        <v/>
      </c>
    </row>
    <row r="183" customFormat="false" ht="18" hidden="false" customHeight="true" outlineLevel="0" collapsed="false">
      <c r="A183" s="36"/>
      <c r="B183" s="36"/>
      <c r="C183" s="48" t="str">
        <f aca="false">IF($B183="","",IFERROR(VLOOKUP($B183,资产台账!$B$4:$N$53,2,0)&amp;"","台账中未登记"))</f>
        <v/>
      </c>
      <c r="D183" s="43" t="str">
        <f aca="false">IF($B183="","",IFERROR(VLOOKUP($B183,资产台账!$B$4:$N$53,3,0)&amp;"",""))</f>
        <v/>
      </c>
      <c r="E183" s="43" t="str">
        <f aca="false">IF($B183="","",IFERROR(VLOOKUP($B183,资产台账!$B$4:$N$53,5,0)&amp;"",""))</f>
        <v/>
      </c>
      <c r="F183" s="44"/>
      <c r="G183" s="44"/>
      <c r="H183" s="44"/>
      <c r="I183" s="44"/>
      <c r="J183" s="44"/>
      <c r="K183" s="44"/>
      <c r="L183" s="44"/>
      <c r="M183" s="44"/>
      <c r="N183" s="44"/>
      <c r="O183" s="44"/>
      <c r="P183" s="44"/>
      <c r="Q183" s="44"/>
      <c r="R183" s="45" t="str">
        <f aca="false">IF($A183="","",SUM(H183:Q183))</f>
        <v/>
      </c>
      <c r="S183" s="45" t="str">
        <f aca="false">IF($A183="","",ROUND($F183-$G183-$R183,2))</f>
        <v/>
      </c>
      <c r="T183" s="28" t="str">
        <f aca="false">IF(OR($A183="",$F183=0),"",$R183/$F183)</f>
        <v/>
      </c>
      <c r="U183" s="35"/>
      <c r="V183" s="0" t="str">
        <f aca="false">IF($A183="","",$A183&amp;"|"&amp;$B183)</f>
        <v/>
      </c>
    </row>
    <row r="184" customFormat="false" ht="18" hidden="false" customHeight="true" outlineLevel="0" collapsed="false">
      <c r="A184" s="36"/>
      <c r="B184" s="36"/>
      <c r="C184" s="48" t="str">
        <f aca="false">IF($B184="","",IFERROR(VLOOKUP($B184,资产台账!$B$4:$N$53,2,0)&amp;"","台账中未登记"))</f>
        <v/>
      </c>
      <c r="D184" s="43" t="str">
        <f aca="false">IF($B184="","",IFERROR(VLOOKUP($B184,资产台账!$B$4:$N$53,3,0)&amp;"",""))</f>
        <v/>
      </c>
      <c r="E184" s="43" t="str">
        <f aca="false">IF($B184="","",IFERROR(VLOOKUP($B184,资产台账!$B$4:$N$53,5,0)&amp;"",""))</f>
        <v/>
      </c>
      <c r="F184" s="44"/>
      <c r="G184" s="44"/>
      <c r="H184" s="44"/>
      <c r="I184" s="44"/>
      <c r="J184" s="44"/>
      <c r="K184" s="44"/>
      <c r="L184" s="44"/>
      <c r="M184" s="44"/>
      <c r="N184" s="44"/>
      <c r="O184" s="44"/>
      <c r="P184" s="44"/>
      <c r="Q184" s="44"/>
      <c r="R184" s="45" t="str">
        <f aca="false">IF($A184="","",SUM(H184:Q184))</f>
        <v/>
      </c>
      <c r="S184" s="45" t="str">
        <f aca="false">IF($A184="","",ROUND($F184-$G184-$R184,2))</f>
        <v/>
      </c>
      <c r="T184" s="28" t="str">
        <f aca="false">IF(OR($A184="",$F184=0),"",$R184/$F184)</f>
        <v/>
      </c>
      <c r="U184" s="35"/>
      <c r="V184" s="0" t="str">
        <f aca="false">IF($A184="","",$A184&amp;"|"&amp;$B184)</f>
        <v/>
      </c>
    </row>
    <row r="185" customFormat="false" ht="18" hidden="false" customHeight="true" outlineLevel="0" collapsed="false">
      <c r="A185" s="36"/>
      <c r="B185" s="36"/>
      <c r="C185" s="48" t="str">
        <f aca="false">IF($B185="","",IFERROR(VLOOKUP($B185,资产台账!$B$4:$N$53,2,0)&amp;"","台账中未登记"))</f>
        <v/>
      </c>
      <c r="D185" s="43" t="str">
        <f aca="false">IF($B185="","",IFERROR(VLOOKUP($B185,资产台账!$B$4:$N$53,3,0)&amp;"",""))</f>
        <v/>
      </c>
      <c r="E185" s="43" t="str">
        <f aca="false">IF($B185="","",IFERROR(VLOOKUP($B185,资产台账!$B$4:$N$53,5,0)&amp;"",""))</f>
        <v/>
      </c>
      <c r="F185" s="44"/>
      <c r="G185" s="44"/>
      <c r="H185" s="44"/>
      <c r="I185" s="44"/>
      <c r="J185" s="44"/>
      <c r="K185" s="44"/>
      <c r="L185" s="44"/>
      <c r="M185" s="44"/>
      <c r="N185" s="44"/>
      <c r="O185" s="44"/>
      <c r="P185" s="44"/>
      <c r="Q185" s="44"/>
      <c r="R185" s="45" t="str">
        <f aca="false">IF($A185="","",SUM(H185:Q185))</f>
        <v/>
      </c>
      <c r="S185" s="45" t="str">
        <f aca="false">IF($A185="","",ROUND($F185-$G185-$R185,2))</f>
        <v/>
      </c>
      <c r="T185" s="28" t="str">
        <f aca="false">IF(OR($A185="",$F185=0),"",$R185/$F185)</f>
        <v/>
      </c>
      <c r="U185" s="35"/>
      <c r="V185" s="0" t="str">
        <f aca="false">IF($A185="","",$A185&amp;"|"&amp;$B185)</f>
        <v/>
      </c>
    </row>
    <row r="186" customFormat="false" ht="18" hidden="false" customHeight="true" outlineLevel="0" collapsed="false">
      <c r="A186" s="36"/>
      <c r="B186" s="36"/>
      <c r="C186" s="48" t="str">
        <f aca="false">IF($B186="","",IFERROR(VLOOKUP($B186,资产台账!$B$4:$N$53,2,0)&amp;"","台账中未登记"))</f>
        <v/>
      </c>
      <c r="D186" s="43" t="str">
        <f aca="false">IF($B186="","",IFERROR(VLOOKUP($B186,资产台账!$B$4:$N$53,3,0)&amp;"",""))</f>
        <v/>
      </c>
      <c r="E186" s="43" t="str">
        <f aca="false">IF($B186="","",IFERROR(VLOOKUP($B186,资产台账!$B$4:$N$53,5,0)&amp;"",""))</f>
        <v/>
      </c>
      <c r="F186" s="44"/>
      <c r="G186" s="44"/>
      <c r="H186" s="44"/>
      <c r="I186" s="44"/>
      <c r="J186" s="44"/>
      <c r="K186" s="44"/>
      <c r="L186" s="44"/>
      <c r="M186" s="44"/>
      <c r="N186" s="44"/>
      <c r="O186" s="44"/>
      <c r="P186" s="44"/>
      <c r="Q186" s="44"/>
      <c r="R186" s="45" t="str">
        <f aca="false">IF($A186="","",SUM(H186:Q186))</f>
        <v/>
      </c>
      <c r="S186" s="45" t="str">
        <f aca="false">IF($A186="","",ROUND($F186-$G186-$R186,2))</f>
        <v/>
      </c>
      <c r="T186" s="28" t="str">
        <f aca="false">IF(OR($A186="",$F186=0),"",$R186/$F186)</f>
        <v/>
      </c>
      <c r="U186" s="35"/>
      <c r="V186" s="0" t="str">
        <f aca="false">IF($A186="","",$A186&amp;"|"&amp;$B186)</f>
        <v/>
      </c>
    </row>
    <row r="187" customFormat="false" ht="18" hidden="false" customHeight="true" outlineLevel="0" collapsed="false">
      <c r="A187" s="36"/>
      <c r="B187" s="36"/>
      <c r="C187" s="48" t="str">
        <f aca="false">IF($B187="","",IFERROR(VLOOKUP($B187,资产台账!$B$4:$N$53,2,0)&amp;"","台账中未登记"))</f>
        <v/>
      </c>
      <c r="D187" s="43" t="str">
        <f aca="false">IF($B187="","",IFERROR(VLOOKUP($B187,资产台账!$B$4:$N$53,3,0)&amp;"",""))</f>
        <v/>
      </c>
      <c r="E187" s="43" t="str">
        <f aca="false">IF($B187="","",IFERROR(VLOOKUP($B187,资产台账!$B$4:$N$53,5,0)&amp;"",""))</f>
        <v/>
      </c>
      <c r="F187" s="44"/>
      <c r="G187" s="44"/>
      <c r="H187" s="44"/>
      <c r="I187" s="44"/>
      <c r="J187" s="44"/>
      <c r="K187" s="44"/>
      <c r="L187" s="44"/>
      <c r="M187" s="44"/>
      <c r="N187" s="44"/>
      <c r="O187" s="44"/>
      <c r="P187" s="44"/>
      <c r="Q187" s="44"/>
      <c r="R187" s="45" t="str">
        <f aca="false">IF($A187="","",SUM(H187:Q187))</f>
        <v/>
      </c>
      <c r="S187" s="45" t="str">
        <f aca="false">IF($A187="","",ROUND($F187-$G187-$R187,2))</f>
        <v/>
      </c>
      <c r="T187" s="28" t="str">
        <f aca="false">IF(OR($A187="",$F187=0),"",$R187/$F187)</f>
        <v/>
      </c>
      <c r="U187" s="35"/>
      <c r="V187" s="0" t="str">
        <f aca="false">IF($A187="","",$A187&amp;"|"&amp;$B187)</f>
        <v/>
      </c>
    </row>
    <row r="188" customFormat="false" ht="18" hidden="false" customHeight="true" outlineLevel="0" collapsed="false">
      <c r="A188" s="36"/>
      <c r="B188" s="36"/>
      <c r="C188" s="48" t="str">
        <f aca="false">IF($B188="","",IFERROR(VLOOKUP($B188,资产台账!$B$4:$N$53,2,0)&amp;"","台账中未登记"))</f>
        <v/>
      </c>
      <c r="D188" s="43" t="str">
        <f aca="false">IF($B188="","",IFERROR(VLOOKUP($B188,资产台账!$B$4:$N$53,3,0)&amp;"",""))</f>
        <v/>
      </c>
      <c r="E188" s="43" t="str">
        <f aca="false">IF($B188="","",IFERROR(VLOOKUP($B188,资产台账!$B$4:$N$53,5,0)&amp;"",""))</f>
        <v/>
      </c>
      <c r="F188" s="44"/>
      <c r="G188" s="44"/>
      <c r="H188" s="44"/>
      <c r="I188" s="44"/>
      <c r="J188" s="44"/>
      <c r="K188" s="44"/>
      <c r="L188" s="44"/>
      <c r="M188" s="44"/>
      <c r="N188" s="44"/>
      <c r="O188" s="44"/>
      <c r="P188" s="44"/>
      <c r="Q188" s="44"/>
      <c r="R188" s="45" t="str">
        <f aca="false">IF($A188="","",SUM(H188:Q188))</f>
        <v/>
      </c>
      <c r="S188" s="45" t="str">
        <f aca="false">IF($A188="","",ROUND($F188-$G188-$R188,2))</f>
        <v/>
      </c>
      <c r="T188" s="28" t="str">
        <f aca="false">IF(OR($A188="",$F188=0),"",$R188/$F188)</f>
        <v/>
      </c>
      <c r="U188" s="35"/>
      <c r="V188" s="0" t="str">
        <f aca="false">IF($A188="","",$A188&amp;"|"&amp;$B188)</f>
        <v/>
      </c>
    </row>
    <row r="189" customFormat="false" ht="18" hidden="false" customHeight="true" outlineLevel="0" collapsed="false">
      <c r="A189" s="36"/>
      <c r="B189" s="36"/>
      <c r="C189" s="48" t="str">
        <f aca="false">IF($B189="","",IFERROR(VLOOKUP($B189,资产台账!$B$4:$N$53,2,0)&amp;"","台账中未登记"))</f>
        <v/>
      </c>
      <c r="D189" s="43" t="str">
        <f aca="false">IF($B189="","",IFERROR(VLOOKUP($B189,资产台账!$B$4:$N$53,3,0)&amp;"",""))</f>
        <v/>
      </c>
      <c r="E189" s="43" t="str">
        <f aca="false">IF($B189="","",IFERROR(VLOOKUP($B189,资产台账!$B$4:$N$53,5,0)&amp;"",""))</f>
        <v/>
      </c>
      <c r="F189" s="44"/>
      <c r="G189" s="44"/>
      <c r="H189" s="44"/>
      <c r="I189" s="44"/>
      <c r="J189" s="44"/>
      <c r="K189" s="44"/>
      <c r="L189" s="44"/>
      <c r="M189" s="44"/>
      <c r="N189" s="44"/>
      <c r="O189" s="44"/>
      <c r="P189" s="44"/>
      <c r="Q189" s="44"/>
      <c r="R189" s="45" t="str">
        <f aca="false">IF($A189="","",SUM(H189:Q189))</f>
        <v/>
      </c>
      <c r="S189" s="45" t="str">
        <f aca="false">IF($A189="","",ROUND($F189-$G189-$R189,2))</f>
        <v/>
      </c>
      <c r="T189" s="28" t="str">
        <f aca="false">IF(OR($A189="",$F189=0),"",$R189/$F189)</f>
        <v/>
      </c>
      <c r="U189" s="35"/>
      <c r="V189" s="0" t="str">
        <f aca="false">IF($A189="","",$A189&amp;"|"&amp;$B189)</f>
        <v/>
      </c>
    </row>
    <row r="190" customFormat="false" ht="18" hidden="false" customHeight="true" outlineLevel="0" collapsed="false">
      <c r="A190" s="36"/>
      <c r="B190" s="36"/>
      <c r="C190" s="48" t="str">
        <f aca="false">IF($B190="","",IFERROR(VLOOKUP($B190,资产台账!$B$4:$N$53,2,0)&amp;"","台账中未登记"))</f>
        <v/>
      </c>
      <c r="D190" s="43" t="str">
        <f aca="false">IF($B190="","",IFERROR(VLOOKUP($B190,资产台账!$B$4:$N$53,3,0)&amp;"",""))</f>
        <v/>
      </c>
      <c r="E190" s="43" t="str">
        <f aca="false">IF($B190="","",IFERROR(VLOOKUP($B190,资产台账!$B$4:$N$53,5,0)&amp;"",""))</f>
        <v/>
      </c>
      <c r="F190" s="44"/>
      <c r="G190" s="44"/>
      <c r="H190" s="44"/>
      <c r="I190" s="44"/>
      <c r="J190" s="44"/>
      <c r="K190" s="44"/>
      <c r="L190" s="44"/>
      <c r="M190" s="44"/>
      <c r="N190" s="44"/>
      <c r="O190" s="44"/>
      <c r="P190" s="44"/>
      <c r="Q190" s="44"/>
      <c r="R190" s="45" t="str">
        <f aca="false">IF($A190="","",SUM(H190:Q190))</f>
        <v/>
      </c>
      <c r="S190" s="45" t="str">
        <f aca="false">IF($A190="","",ROUND($F190-$G190-$R190,2))</f>
        <v/>
      </c>
      <c r="T190" s="28" t="str">
        <f aca="false">IF(OR($A190="",$F190=0),"",$R190/$F190)</f>
        <v/>
      </c>
      <c r="U190" s="35"/>
      <c r="V190" s="0" t="str">
        <f aca="false">IF($A190="","",$A190&amp;"|"&amp;$B190)</f>
        <v/>
      </c>
    </row>
    <row r="191" customFormat="false" ht="18" hidden="false" customHeight="true" outlineLevel="0" collapsed="false">
      <c r="A191" s="36"/>
      <c r="B191" s="36"/>
      <c r="C191" s="48" t="str">
        <f aca="false">IF($B191="","",IFERROR(VLOOKUP($B191,资产台账!$B$4:$N$53,2,0)&amp;"","台账中未登记"))</f>
        <v/>
      </c>
      <c r="D191" s="43" t="str">
        <f aca="false">IF($B191="","",IFERROR(VLOOKUP($B191,资产台账!$B$4:$N$53,3,0)&amp;"",""))</f>
        <v/>
      </c>
      <c r="E191" s="43" t="str">
        <f aca="false">IF($B191="","",IFERROR(VLOOKUP($B191,资产台账!$B$4:$N$53,5,0)&amp;"",""))</f>
        <v/>
      </c>
      <c r="F191" s="44"/>
      <c r="G191" s="44"/>
      <c r="H191" s="44"/>
      <c r="I191" s="44"/>
      <c r="J191" s="44"/>
      <c r="K191" s="44"/>
      <c r="L191" s="44"/>
      <c r="M191" s="44"/>
      <c r="N191" s="44"/>
      <c r="O191" s="44"/>
      <c r="P191" s="44"/>
      <c r="Q191" s="44"/>
      <c r="R191" s="45" t="str">
        <f aca="false">IF($A191="","",SUM(H191:Q191))</f>
        <v/>
      </c>
      <c r="S191" s="45" t="str">
        <f aca="false">IF($A191="","",ROUND($F191-$G191-$R191,2))</f>
        <v/>
      </c>
      <c r="T191" s="28" t="str">
        <f aca="false">IF(OR($A191="",$F191=0),"",$R191/$F191)</f>
        <v/>
      </c>
      <c r="U191" s="35"/>
      <c r="V191" s="0" t="str">
        <f aca="false">IF($A191="","",$A191&amp;"|"&amp;$B191)</f>
        <v/>
      </c>
    </row>
    <row r="192" customFormat="false" ht="18" hidden="false" customHeight="true" outlineLevel="0" collapsed="false">
      <c r="A192" s="36"/>
      <c r="B192" s="36"/>
      <c r="C192" s="48" t="str">
        <f aca="false">IF($B192="","",IFERROR(VLOOKUP($B192,资产台账!$B$4:$N$53,2,0)&amp;"","台账中未登记"))</f>
        <v/>
      </c>
      <c r="D192" s="43" t="str">
        <f aca="false">IF($B192="","",IFERROR(VLOOKUP($B192,资产台账!$B$4:$N$53,3,0)&amp;"",""))</f>
        <v/>
      </c>
      <c r="E192" s="43" t="str">
        <f aca="false">IF($B192="","",IFERROR(VLOOKUP($B192,资产台账!$B$4:$N$53,5,0)&amp;"",""))</f>
        <v/>
      </c>
      <c r="F192" s="44"/>
      <c r="G192" s="44"/>
      <c r="H192" s="44"/>
      <c r="I192" s="44"/>
      <c r="J192" s="44"/>
      <c r="K192" s="44"/>
      <c r="L192" s="44"/>
      <c r="M192" s="44"/>
      <c r="N192" s="44"/>
      <c r="O192" s="44"/>
      <c r="P192" s="44"/>
      <c r="Q192" s="44"/>
      <c r="R192" s="45" t="str">
        <f aca="false">IF($A192="","",SUM(H192:Q192))</f>
        <v/>
      </c>
      <c r="S192" s="45" t="str">
        <f aca="false">IF($A192="","",ROUND($F192-$G192-$R192,2))</f>
        <v/>
      </c>
      <c r="T192" s="28" t="str">
        <f aca="false">IF(OR($A192="",$F192=0),"",$R192/$F192)</f>
        <v/>
      </c>
      <c r="U192" s="35"/>
      <c r="V192" s="0" t="str">
        <f aca="false">IF($A192="","",$A192&amp;"|"&amp;$B192)</f>
        <v/>
      </c>
    </row>
    <row r="193" customFormat="false" ht="18" hidden="false" customHeight="true" outlineLevel="0" collapsed="false">
      <c r="A193" s="36"/>
      <c r="B193" s="36"/>
      <c r="C193" s="48" t="str">
        <f aca="false">IF($B193="","",IFERROR(VLOOKUP($B193,资产台账!$B$4:$N$53,2,0)&amp;"","台账中未登记"))</f>
        <v/>
      </c>
      <c r="D193" s="43" t="str">
        <f aca="false">IF($B193="","",IFERROR(VLOOKUP($B193,资产台账!$B$4:$N$53,3,0)&amp;"",""))</f>
        <v/>
      </c>
      <c r="E193" s="43" t="str">
        <f aca="false">IF($B193="","",IFERROR(VLOOKUP($B193,资产台账!$B$4:$N$53,5,0)&amp;"",""))</f>
        <v/>
      </c>
      <c r="F193" s="44"/>
      <c r="G193" s="44"/>
      <c r="H193" s="44"/>
      <c r="I193" s="44"/>
      <c r="J193" s="44"/>
      <c r="K193" s="44"/>
      <c r="L193" s="44"/>
      <c r="M193" s="44"/>
      <c r="N193" s="44"/>
      <c r="O193" s="44"/>
      <c r="P193" s="44"/>
      <c r="Q193" s="44"/>
      <c r="R193" s="45" t="str">
        <f aca="false">IF($A193="","",SUM(H193:Q193))</f>
        <v/>
      </c>
      <c r="S193" s="45" t="str">
        <f aca="false">IF($A193="","",ROUND($F193-$G193-$R193,2))</f>
        <v/>
      </c>
      <c r="T193" s="28" t="str">
        <f aca="false">IF(OR($A193="",$F193=0),"",$R193/$F193)</f>
        <v/>
      </c>
      <c r="U193" s="35"/>
      <c r="V193" s="0" t="str">
        <f aca="false">IF($A193="","",$A193&amp;"|"&amp;$B193)</f>
        <v/>
      </c>
    </row>
    <row r="194" customFormat="false" ht="18" hidden="false" customHeight="true" outlineLevel="0" collapsed="false">
      <c r="A194" s="36"/>
      <c r="B194" s="36"/>
      <c r="C194" s="48" t="str">
        <f aca="false">IF($B194="","",IFERROR(VLOOKUP($B194,资产台账!$B$4:$N$53,2,0)&amp;"","台账中未登记"))</f>
        <v/>
      </c>
      <c r="D194" s="43" t="str">
        <f aca="false">IF($B194="","",IFERROR(VLOOKUP($B194,资产台账!$B$4:$N$53,3,0)&amp;"",""))</f>
        <v/>
      </c>
      <c r="E194" s="43" t="str">
        <f aca="false">IF($B194="","",IFERROR(VLOOKUP($B194,资产台账!$B$4:$N$53,5,0)&amp;"",""))</f>
        <v/>
      </c>
      <c r="F194" s="44"/>
      <c r="G194" s="44"/>
      <c r="H194" s="44"/>
      <c r="I194" s="44"/>
      <c r="J194" s="44"/>
      <c r="K194" s="44"/>
      <c r="L194" s="44"/>
      <c r="M194" s="44"/>
      <c r="N194" s="44"/>
      <c r="O194" s="44"/>
      <c r="P194" s="44"/>
      <c r="Q194" s="44"/>
      <c r="R194" s="45" t="str">
        <f aca="false">IF($A194="","",SUM(H194:Q194))</f>
        <v/>
      </c>
      <c r="S194" s="45" t="str">
        <f aca="false">IF($A194="","",ROUND($F194-$G194-$R194,2))</f>
        <v/>
      </c>
      <c r="T194" s="28" t="str">
        <f aca="false">IF(OR($A194="",$F194=0),"",$R194/$F194)</f>
        <v/>
      </c>
      <c r="U194" s="35"/>
      <c r="V194" s="0" t="str">
        <f aca="false">IF($A194="","",$A194&amp;"|"&amp;$B194)</f>
        <v/>
      </c>
    </row>
    <row r="195" customFormat="false" ht="18" hidden="false" customHeight="true" outlineLevel="0" collapsed="false">
      <c r="A195" s="36"/>
      <c r="B195" s="36"/>
      <c r="C195" s="48" t="str">
        <f aca="false">IF($B195="","",IFERROR(VLOOKUP($B195,资产台账!$B$4:$N$53,2,0)&amp;"","台账中未登记"))</f>
        <v/>
      </c>
      <c r="D195" s="43" t="str">
        <f aca="false">IF($B195="","",IFERROR(VLOOKUP($B195,资产台账!$B$4:$N$53,3,0)&amp;"",""))</f>
        <v/>
      </c>
      <c r="E195" s="43" t="str">
        <f aca="false">IF($B195="","",IFERROR(VLOOKUP($B195,资产台账!$B$4:$N$53,5,0)&amp;"",""))</f>
        <v/>
      </c>
      <c r="F195" s="44"/>
      <c r="G195" s="44"/>
      <c r="H195" s="44"/>
      <c r="I195" s="44"/>
      <c r="J195" s="44"/>
      <c r="K195" s="44"/>
      <c r="L195" s="44"/>
      <c r="M195" s="44"/>
      <c r="N195" s="44"/>
      <c r="O195" s="44"/>
      <c r="P195" s="44"/>
      <c r="Q195" s="44"/>
      <c r="R195" s="45" t="str">
        <f aca="false">IF($A195="","",SUM(H195:Q195))</f>
        <v/>
      </c>
      <c r="S195" s="45" t="str">
        <f aca="false">IF($A195="","",ROUND($F195-$G195-$R195,2))</f>
        <v/>
      </c>
      <c r="T195" s="28" t="str">
        <f aca="false">IF(OR($A195="",$F195=0),"",$R195/$F195)</f>
        <v/>
      </c>
      <c r="U195" s="35"/>
      <c r="V195" s="0" t="str">
        <f aca="false">IF($A195="","",$A195&amp;"|"&amp;$B195)</f>
        <v/>
      </c>
    </row>
    <row r="196" customFormat="false" ht="18" hidden="false" customHeight="true" outlineLevel="0" collapsed="false">
      <c r="A196" s="36"/>
      <c r="B196" s="36"/>
      <c r="C196" s="48" t="str">
        <f aca="false">IF($B196="","",IFERROR(VLOOKUP($B196,资产台账!$B$4:$N$53,2,0)&amp;"","台账中未登记"))</f>
        <v/>
      </c>
      <c r="D196" s="43" t="str">
        <f aca="false">IF($B196="","",IFERROR(VLOOKUP($B196,资产台账!$B$4:$N$53,3,0)&amp;"",""))</f>
        <v/>
      </c>
      <c r="E196" s="43" t="str">
        <f aca="false">IF($B196="","",IFERROR(VLOOKUP($B196,资产台账!$B$4:$N$53,5,0)&amp;"",""))</f>
        <v/>
      </c>
      <c r="F196" s="44"/>
      <c r="G196" s="44"/>
      <c r="H196" s="44"/>
      <c r="I196" s="44"/>
      <c r="J196" s="44"/>
      <c r="K196" s="44"/>
      <c r="L196" s="44"/>
      <c r="M196" s="44"/>
      <c r="N196" s="44"/>
      <c r="O196" s="44"/>
      <c r="P196" s="44"/>
      <c r="Q196" s="44"/>
      <c r="R196" s="45" t="str">
        <f aca="false">IF($A196="","",SUM(H196:Q196))</f>
        <v/>
      </c>
      <c r="S196" s="45" t="str">
        <f aca="false">IF($A196="","",ROUND($F196-$G196-$R196,2))</f>
        <v/>
      </c>
      <c r="T196" s="28" t="str">
        <f aca="false">IF(OR($A196="",$F196=0),"",$R196/$F196)</f>
        <v/>
      </c>
      <c r="U196" s="35"/>
      <c r="V196" s="0" t="str">
        <f aca="false">IF($A196="","",$A196&amp;"|"&amp;$B196)</f>
        <v/>
      </c>
    </row>
    <row r="197" customFormat="false" ht="18" hidden="false" customHeight="true" outlineLevel="0" collapsed="false">
      <c r="A197" s="36"/>
      <c r="B197" s="36"/>
      <c r="C197" s="48" t="str">
        <f aca="false">IF($B197="","",IFERROR(VLOOKUP($B197,资产台账!$B$4:$N$53,2,0)&amp;"","台账中未登记"))</f>
        <v/>
      </c>
      <c r="D197" s="43" t="str">
        <f aca="false">IF($B197="","",IFERROR(VLOOKUP($B197,资产台账!$B$4:$N$53,3,0)&amp;"",""))</f>
        <v/>
      </c>
      <c r="E197" s="43" t="str">
        <f aca="false">IF($B197="","",IFERROR(VLOOKUP($B197,资产台账!$B$4:$N$53,5,0)&amp;"",""))</f>
        <v/>
      </c>
      <c r="F197" s="44"/>
      <c r="G197" s="44"/>
      <c r="H197" s="44"/>
      <c r="I197" s="44"/>
      <c r="J197" s="44"/>
      <c r="K197" s="44"/>
      <c r="L197" s="44"/>
      <c r="M197" s="44"/>
      <c r="N197" s="44"/>
      <c r="O197" s="44"/>
      <c r="P197" s="44"/>
      <c r="Q197" s="44"/>
      <c r="R197" s="45" t="str">
        <f aca="false">IF($A197="","",SUM(H197:Q197))</f>
        <v/>
      </c>
      <c r="S197" s="45" t="str">
        <f aca="false">IF($A197="","",ROUND($F197-$G197-$R197,2))</f>
        <v/>
      </c>
      <c r="T197" s="28" t="str">
        <f aca="false">IF(OR($A197="",$F197=0),"",$R197/$F197)</f>
        <v/>
      </c>
      <c r="U197" s="35"/>
      <c r="V197" s="0" t="str">
        <f aca="false">IF($A197="","",$A197&amp;"|"&amp;$B197)</f>
        <v/>
      </c>
    </row>
    <row r="198" customFormat="false" ht="18" hidden="false" customHeight="true" outlineLevel="0" collapsed="false">
      <c r="A198" s="36"/>
      <c r="B198" s="36"/>
      <c r="C198" s="48" t="str">
        <f aca="false">IF($B198="","",IFERROR(VLOOKUP($B198,资产台账!$B$4:$N$53,2,0)&amp;"","台账中未登记"))</f>
        <v/>
      </c>
      <c r="D198" s="43" t="str">
        <f aca="false">IF($B198="","",IFERROR(VLOOKUP($B198,资产台账!$B$4:$N$53,3,0)&amp;"",""))</f>
        <v/>
      </c>
      <c r="E198" s="43" t="str">
        <f aca="false">IF($B198="","",IFERROR(VLOOKUP($B198,资产台账!$B$4:$N$53,5,0)&amp;"",""))</f>
        <v/>
      </c>
      <c r="F198" s="44"/>
      <c r="G198" s="44"/>
      <c r="H198" s="44"/>
      <c r="I198" s="44"/>
      <c r="J198" s="44"/>
      <c r="K198" s="44"/>
      <c r="L198" s="44"/>
      <c r="M198" s="44"/>
      <c r="N198" s="44"/>
      <c r="O198" s="44"/>
      <c r="P198" s="44"/>
      <c r="Q198" s="44"/>
      <c r="R198" s="45" t="str">
        <f aca="false">IF($A198="","",SUM(H198:Q198))</f>
        <v/>
      </c>
      <c r="S198" s="45" t="str">
        <f aca="false">IF($A198="","",ROUND($F198-$G198-$R198,2))</f>
        <v/>
      </c>
      <c r="T198" s="28" t="str">
        <f aca="false">IF(OR($A198="",$F198=0),"",$R198/$F198)</f>
        <v/>
      </c>
      <c r="U198" s="35"/>
      <c r="V198" s="0" t="str">
        <f aca="false">IF($A198="","",$A198&amp;"|"&amp;$B198)</f>
        <v/>
      </c>
    </row>
    <row r="199" customFormat="false" ht="18" hidden="false" customHeight="true" outlineLevel="0" collapsed="false">
      <c r="A199" s="36"/>
      <c r="B199" s="36"/>
      <c r="C199" s="48" t="str">
        <f aca="false">IF($B199="","",IFERROR(VLOOKUP($B199,资产台账!$B$4:$N$53,2,0)&amp;"","台账中未登记"))</f>
        <v/>
      </c>
      <c r="D199" s="43" t="str">
        <f aca="false">IF($B199="","",IFERROR(VLOOKUP($B199,资产台账!$B$4:$N$53,3,0)&amp;"",""))</f>
        <v/>
      </c>
      <c r="E199" s="43" t="str">
        <f aca="false">IF($B199="","",IFERROR(VLOOKUP($B199,资产台账!$B$4:$N$53,5,0)&amp;"",""))</f>
        <v/>
      </c>
      <c r="F199" s="44"/>
      <c r="G199" s="44"/>
      <c r="H199" s="44"/>
      <c r="I199" s="44"/>
      <c r="J199" s="44"/>
      <c r="K199" s="44"/>
      <c r="L199" s="44"/>
      <c r="M199" s="44"/>
      <c r="N199" s="44"/>
      <c r="O199" s="44"/>
      <c r="P199" s="44"/>
      <c r="Q199" s="44"/>
      <c r="R199" s="45" t="str">
        <f aca="false">IF($A199="","",SUM(H199:Q199))</f>
        <v/>
      </c>
      <c r="S199" s="45" t="str">
        <f aca="false">IF($A199="","",ROUND($F199-$G199-$R199,2))</f>
        <v/>
      </c>
      <c r="T199" s="28" t="str">
        <f aca="false">IF(OR($A199="",$F199=0),"",$R199/$F199)</f>
        <v/>
      </c>
      <c r="U199" s="35"/>
      <c r="V199" s="0" t="str">
        <f aca="false">IF($A199="","",$A199&amp;"|"&amp;$B199)</f>
        <v/>
      </c>
    </row>
    <row r="200" customFormat="false" ht="18" hidden="false" customHeight="true" outlineLevel="0" collapsed="false">
      <c r="A200" s="36"/>
      <c r="B200" s="36"/>
      <c r="C200" s="48" t="str">
        <f aca="false">IF($B200="","",IFERROR(VLOOKUP($B200,资产台账!$B$4:$N$53,2,0)&amp;"","台账中未登记"))</f>
        <v/>
      </c>
      <c r="D200" s="43" t="str">
        <f aca="false">IF($B200="","",IFERROR(VLOOKUP($B200,资产台账!$B$4:$N$53,3,0)&amp;"",""))</f>
        <v/>
      </c>
      <c r="E200" s="43" t="str">
        <f aca="false">IF($B200="","",IFERROR(VLOOKUP($B200,资产台账!$B$4:$N$53,5,0)&amp;"",""))</f>
        <v/>
      </c>
      <c r="F200" s="44"/>
      <c r="G200" s="44"/>
      <c r="H200" s="44"/>
      <c r="I200" s="44"/>
      <c r="J200" s="44"/>
      <c r="K200" s="44"/>
      <c r="L200" s="44"/>
      <c r="M200" s="44"/>
      <c r="N200" s="44"/>
      <c r="O200" s="44"/>
      <c r="P200" s="44"/>
      <c r="Q200" s="44"/>
      <c r="R200" s="45" t="str">
        <f aca="false">IF($A200="","",SUM(H200:Q200))</f>
        <v/>
      </c>
      <c r="S200" s="45" t="str">
        <f aca="false">IF($A200="","",ROUND($F200-$G200-$R200,2))</f>
        <v/>
      </c>
      <c r="T200" s="28" t="str">
        <f aca="false">IF(OR($A200="",$F200=0),"",$R200/$F200)</f>
        <v/>
      </c>
      <c r="U200" s="35"/>
      <c r="V200" s="0" t="str">
        <f aca="false">IF($A200="","",$A200&amp;"|"&amp;$B200)</f>
        <v/>
      </c>
    </row>
    <row r="201" customFormat="false" ht="18" hidden="false" customHeight="true" outlineLevel="0" collapsed="false">
      <c r="A201" s="36"/>
      <c r="B201" s="36"/>
      <c r="C201" s="48" t="str">
        <f aca="false">IF($B201="","",IFERROR(VLOOKUP($B201,资产台账!$B$4:$N$53,2,0)&amp;"","台账中未登记"))</f>
        <v/>
      </c>
      <c r="D201" s="43" t="str">
        <f aca="false">IF($B201="","",IFERROR(VLOOKUP($B201,资产台账!$B$4:$N$53,3,0)&amp;"",""))</f>
        <v/>
      </c>
      <c r="E201" s="43" t="str">
        <f aca="false">IF($B201="","",IFERROR(VLOOKUP($B201,资产台账!$B$4:$N$53,5,0)&amp;"",""))</f>
        <v/>
      </c>
      <c r="F201" s="44"/>
      <c r="G201" s="44"/>
      <c r="H201" s="44"/>
      <c r="I201" s="44"/>
      <c r="J201" s="44"/>
      <c r="K201" s="44"/>
      <c r="L201" s="44"/>
      <c r="M201" s="44"/>
      <c r="N201" s="44"/>
      <c r="O201" s="44"/>
      <c r="P201" s="44"/>
      <c r="Q201" s="44"/>
      <c r="R201" s="45" t="str">
        <f aca="false">IF($A201="","",SUM(H201:Q201))</f>
        <v/>
      </c>
      <c r="S201" s="45" t="str">
        <f aca="false">IF($A201="","",ROUND($F201-$G201-$R201,2))</f>
        <v/>
      </c>
      <c r="T201" s="28" t="str">
        <f aca="false">IF(OR($A201="",$F201=0),"",$R201/$F201)</f>
        <v/>
      </c>
      <c r="U201" s="35"/>
      <c r="V201" s="0" t="str">
        <f aca="false">IF($A201="","",$A201&amp;"|"&amp;$B201)</f>
        <v/>
      </c>
    </row>
    <row r="202" customFormat="false" ht="18" hidden="false" customHeight="true" outlineLevel="0" collapsed="false">
      <c r="A202" s="36"/>
      <c r="B202" s="36"/>
      <c r="C202" s="48" t="str">
        <f aca="false">IF($B202="","",IFERROR(VLOOKUP($B202,资产台账!$B$4:$N$53,2,0)&amp;"","台账中未登记"))</f>
        <v/>
      </c>
      <c r="D202" s="43" t="str">
        <f aca="false">IF($B202="","",IFERROR(VLOOKUP($B202,资产台账!$B$4:$N$53,3,0)&amp;"",""))</f>
        <v/>
      </c>
      <c r="E202" s="43" t="str">
        <f aca="false">IF($B202="","",IFERROR(VLOOKUP($B202,资产台账!$B$4:$N$53,5,0)&amp;"",""))</f>
        <v/>
      </c>
      <c r="F202" s="44"/>
      <c r="G202" s="44"/>
      <c r="H202" s="44"/>
      <c r="I202" s="44"/>
      <c r="J202" s="44"/>
      <c r="K202" s="44"/>
      <c r="L202" s="44"/>
      <c r="M202" s="44"/>
      <c r="N202" s="44"/>
      <c r="O202" s="44"/>
      <c r="P202" s="44"/>
      <c r="Q202" s="44"/>
      <c r="R202" s="45" t="str">
        <f aca="false">IF($A202="","",SUM(H202:Q202))</f>
        <v/>
      </c>
      <c r="S202" s="45" t="str">
        <f aca="false">IF($A202="","",ROUND($F202-$G202-$R202,2))</f>
        <v/>
      </c>
      <c r="T202" s="28" t="str">
        <f aca="false">IF(OR($A202="",$F202=0),"",$R202/$F202)</f>
        <v/>
      </c>
      <c r="U202" s="35"/>
      <c r="V202" s="0" t="str">
        <f aca="false">IF($A202="","",$A202&amp;"|"&amp;$B202)</f>
        <v/>
      </c>
    </row>
    <row r="203" customFormat="false" ht="18" hidden="false" customHeight="true" outlineLevel="0" collapsed="false">
      <c r="A203" s="36"/>
      <c r="B203" s="36"/>
      <c r="C203" s="48" t="str">
        <f aca="false">IF($B203="","",IFERROR(VLOOKUP($B203,资产台账!$B$4:$N$53,2,0)&amp;"","台账中未登记"))</f>
        <v/>
      </c>
      <c r="D203" s="43" t="str">
        <f aca="false">IF($B203="","",IFERROR(VLOOKUP($B203,资产台账!$B$4:$N$53,3,0)&amp;"",""))</f>
        <v/>
      </c>
      <c r="E203" s="43" t="str">
        <f aca="false">IF($B203="","",IFERROR(VLOOKUP($B203,资产台账!$B$4:$N$53,5,0)&amp;"",""))</f>
        <v/>
      </c>
      <c r="F203" s="44"/>
      <c r="G203" s="44"/>
      <c r="H203" s="44"/>
      <c r="I203" s="44"/>
      <c r="J203" s="44"/>
      <c r="K203" s="44"/>
      <c r="L203" s="44"/>
      <c r="M203" s="44"/>
      <c r="N203" s="44"/>
      <c r="O203" s="44"/>
      <c r="P203" s="44"/>
      <c r="Q203" s="44"/>
      <c r="R203" s="45" t="str">
        <f aca="false">IF($A203="","",SUM(H203:Q203))</f>
        <v/>
      </c>
      <c r="S203" s="45" t="str">
        <f aca="false">IF($A203="","",ROUND($F203-$G203-$R203,2))</f>
        <v/>
      </c>
      <c r="T203" s="28" t="str">
        <f aca="false">IF(OR($A203="",$F203=0),"",$R203/$F203)</f>
        <v/>
      </c>
      <c r="U203" s="35"/>
      <c r="V203" s="0" t="str">
        <f aca="false">IF($A203="","",$A203&amp;"|"&amp;$B203)</f>
        <v/>
      </c>
    </row>
    <row r="204" customFormat="false" ht="18" hidden="false" customHeight="true" outlineLevel="0" collapsed="false">
      <c r="A204" s="36"/>
      <c r="B204" s="36"/>
      <c r="C204" s="48" t="str">
        <f aca="false">IF($B204="","",IFERROR(VLOOKUP($B204,资产台账!$B$4:$N$53,2,0)&amp;"","台账中未登记"))</f>
        <v/>
      </c>
      <c r="D204" s="43" t="str">
        <f aca="false">IF($B204="","",IFERROR(VLOOKUP($B204,资产台账!$B$4:$N$53,3,0)&amp;"",""))</f>
        <v/>
      </c>
      <c r="E204" s="43" t="str">
        <f aca="false">IF($B204="","",IFERROR(VLOOKUP($B204,资产台账!$B$4:$N$53,5,0)&amp;"",""))</f>
        <v/>
      </c>
      <c r="F204" s="44"/>
      <c r="G204" s="44"/>
      <c r="H204" s="44"/>
      <c r="I204" s="44"/>
      <c r="J204" s="44"/>
      <c r="K204" s="44"/>
      <c r="L204" s="44"/>
      <c r="M204" s="44"/>
      <c r="N204" s="44"/>
      <c r="O204" s="44"/>
      <c r="P204" s="44"/>
      <c r="Q204" s="44"/>
      <c r="R204" s="45" t="str">
        <f aca="false">IF($A204="","",SUM(H204:Q204))</f>
        <v/>
      </c>
      <c r="S204" s="45" t="str">
        <f aca="false">IF($A204="","",ROUND($F204-$G204-$R204,2))</f>
        <v/>
      </c>
      <c r="T204" s="28" t="str">
        <f aca="false">IF(OR($A204="",$F204=0),"",$R204/$F204)</f>
        <v/>
      </c>
      <c r="U204" s="35"/>
      <c r="V204" s="0" t="str">
        <f aca="false">IF($A204="","",$A204&amp;"|"&amp;$B204)</f>
        <v/>
      </c>
    </row>
    <row r="205" customFormat="false" ht="18" hidden="false" customHeight="true" outlineLevel="0" collapsed="false">
      <c r="A205" s="36"/>
      <c r="B205" s="36"/>
      <c r="C205" s="48" t="str">
        <f aca="false">IF($B205="","",IFERROR(VLOOKUP($B205,资产台账!$B$4:$N$53,2,0)&amp;"","台账中未登记"))</f>
        <v/>
      </c>
      <c r="D205" s="43" t="str">
        <f aca="false">IF($B205="","",IFERROR(VLOOKUP($B205,资产台账!$B$4:$N$53,3,0)&amp;"",""))</f>
        <v/>
      </c>
      <c r="E205" s="43" t="str">
        <f aca="false">IF($B205="","",IFERROR(VLOOKUP($B205,资产台账!$B$4:$N$53,5,0)&amp;"",""))</f>
        <v/>
      </c>
      <c r="F205" s="44"/>
      <c r="G205" s="44"/>
      <c r="H205" s="44"/>
      <c r="I205" s="44"/>
      <c r="J205" s="44"/>
      <c r="K205" s="44"/>
      <c r="L205" s="44"/>
      <c r="M205" s="44"/>
      <c r="N205" s="44"/>
      <c r="O205" s="44"/>
      <c r="P205" s="44"/>
      <c r="Q205" s="44"/>
      <c r="R205" s="45" t="str">
        <f aca="false">IF($A205="","",SUM(H205:Q205))</f>
        <v/>
      </c>
      <c r="S205" s="45" t="str">
        <f aca="false">IF($A205="","",ROUND($F205-$G205-$R205,2))</f>
        <v/>
      </c>
      <c r="T205" s="28" t="str">
        <f aca="false">IF(OR($A205="",$F205=0),"",$R205/$F205)</f>
        <v/>
      </c>
      <c r="U205" s="35"/>
      <c r="V205" s="0" t="str">
        <f aca="false">IF($A205="","",$A205&amp;"|"&amp;$B205)</f>
        <v/>
      </c>
    </row>
    <row r="206" customFormat="false" ht="18" hidden="false" customHeight="true" outlineLevel="0" collapsed="false">
      <c r="A206" s="36"/>
      <c r="B206" s="36"/>
      <c r="C206" s="48" t="str">
        <f aca="false">IF($B206="","",IFERROR(VLOOKUP($B206,资产台账!$B$4:$N$53,2,0)&amp;"","台账中未登记"))</f>
        <v/>
      </c>
      <c r="D206" s="43" t="str">
        <f aca="false">IF($B206="","",IFERROR(VLOOKUP($B206,资产台账!$B$4:$N$53,3,0)&amp;"",""))</f>
        <v/>
      </c>
      <c r="E206" s="43" t="str">
        <f aca="false">IF($B206="","",IFERROR(VLOOKUP($B206,资产台账!$B$4:$N$53,5,0)&amp;"",""))</f>
        <v/>
      </c>
      <c r="F206" s="44"/>
      <c r="G206" s="44"/>
      <c r="H206" s="44"/>
      <c r="I206" s="44"/>
      <c r="J206" s="44"/>
      <c r="K206" s="44"/>
      <c r="L206" s="44"/>
      <c r="M206" s="44"/>
      <c r="N206" s="44"/>
      <c r="O206" s="44"/>
      <c r="P206" s="44"/>
      <c r="Q206" s="44"/>
      <c r="R206" s="45" t="str">
        <f aca="false">IF($A206="","",SUM(H206:Q206))</f>
        <v/>
      </c>
      <c r="S206" s="45" t="str">
        <f aca="false">IF($A206="","",ROUND($F206-$G206-$R206,2))</f>
        <v/>
      </c>
      <c r="T206" s="28" t="str">
        <f aca="false">IF(OR($A206="",$F206=0),"",$R206/$F206)</f>
        <v/>
      </c>
      <c r="U206" s="35"/>
      <c r="V206" s="0" t="str">
        <f aca="false">IF($A206="","",$A206&amp;"|"&amp;$B206)</f>
        <v/>
      </c>
    </row>
    <row r="207" customFormat="false" ht="18" hidden="false" customHeight="true" outlineLevel="0" collapsed="false">
      <c r="A207" s="36"/>
      <c r="B207" s="36"/>
      <c r="C207" s="48" t="str">
        <f aca="false">IF($B207="","",IFERROR(VLOOKUP($B207,资产台账!$B$4:$N$53,2,0)&amp;"","台账中未登记"))</f>
        <v/>
      </c>
      <c r="D207" s="43" t="str">
        <f aca="false">IF($B207="","",IFERROR(VLOOKUP($B207,资产台账!$B$4:$N$53,3,0)&amp;"",""))</f>
        <v/>
      </c>
      <c r="E207" s="43" t="str">
        <f aca="false">IF($B207="","",IFERROR(VLOOKUP($B207,资产台账!$B$4:$N$53,5,0)&amp;"",""))</f>
        <v/>
      </c>
      <c r="F207" s="44"/>
      <c r="G207" s="44"/>
      <c r="H207" s="44"/>
      <c r="I207" s="44"/>
      <c r="J207" s="44"/>
      <c r="K207" s="44"/>
      <c r="L207" s="44"/>
      <c r="M207" s="44"/>
      <c r="N207" s="44"/>
      <c r="O207" s="44"/>
      <c r="P207" s="44"/>
      <c r="Q207" s="44"/>
      <c r="R207" s="45" t="str">
        <f aca="false">IF($A207="","",SUM(H207:Q207))</f>
        <v/>
      </c>
      <c r="S207" s="45" t="str">
        <f aca="false">IF($A207="","",ROUND($F207-$G207-$R207,2))</f>
        <v/>
      </c>
      <c r="T207" s="28" t="str">
        <f aca="false">IF(OR($A207="",$F207=0),"",$R207/$F207)</f>
        <v/>
      </c>
      <c r="U207" s="35"/>
      <c r="V207" s="0" t="str">
        <f aca="false">IF($A207="","",$A207&amp;"|"&amp;$B207)</f>
        <v/>
      </c>
    </row>
    <row r="208" customFormat="false" ht="18" hidden="false" customHeight="true" outlineLevel="0" collapsed="false">
      <c r="A208" s="36"/>
      <c r="B208" s="36"/>
      <c r="C208" s="48" t="str">
        <f aca="false">IF($B208="","",IFERROR(VLOOKUP($B208,资产台账!$B$4:$N$53,2,0)&amp;"","台账中未登记"))</f>
        <v/>
      </c>
      <c r="D208" s="43" t="str">
        <f aca="false">IF($B208="","",IFERROR(VLOOKUP($B208,资产台账!$B$4:$N$53,3,0)&amp;"",""))</f>
        <v/>
      </c>
      <c r="E208" s="43" t="str">
        <f aca="false">IF($B208="","",IFERROR(VLOOKUP($B208,资产台账!$B$4:$N$53,5,0)&amp;"",""))</f>
        <v/>
      </c>
      <c r="F208" s="44"/>
      <c r="G208" s="44"/>
      <c r="H208" s="44"/>
      <c r="I208" s="44"/>
      <c r="J208" s="44"/>
      <c r="K208" s="44"/>
      <c r="L208" s="44"/>
      <c r="M208" s="44"/>
      <c r="N208" s="44"/>
      <c r="O208" s="44"/>
      <c r="P208" s="44"/>
      <c r="Q208" s="44"/>
      <c r="R208" s="45" t="str">
        <f aca="false">IF($A208="","",SUM(H208:Q208))</f>
        <v/>
      </c>
      <c r="S208" s="45" t="str">
        <f aca="false">IF($A208="","",ROUND($F208-$G208-$R208,2))</f>
        <v/>
      </c>
      <c r="T208" s="28" t="str">
        <f aca="false">IF(OR($A208="",$F208=0),"",$R208/$F208)</f>
        <v/>
      </c>
      <c r="U208" s="35"/>
      <c r="V208" s="0" t="str">
        <f aca="false">IF($A208="","",$A208&amp;"|"&amp;$B208)</f>
        <v/>
      </c>
    </row>
    <row r="209" customFormat="false" ht="18" hidden="false" customHeight="true" outlineLevel="0" collapsed="false">
      <c r="A209" s="36"/>
      <c r="B209" s="36"/>
      <c r="C209" s="48" t="str">
        <f aca="false">IF($B209="","",IFERROR(VLOOKUP($B209,资产台账!$B$4:$N$53,2,0)&amp;"","台账中未登记"))</f>
        <v/>
      </c>
      <c r="D209" s="43" t="str">
        <f aca="false">IF($B209="","",IFERROR(VLOOKUP($B209,资产台账!$B$4:$N$53,3,0)&amp;"",""))</f>
        <v/>
      </c>
      <c r="E209" s="43" t="str">
        <f aca="false">IF($B209="","",IFERROR(VLOOKUP($B209,资产台账!$B$4:$N$53,5,0)&amp;"",""))</f>
        <v/>
      </c>
      <c r="F209" s="44"/>
      <c r="G209" s="44"/>
      <c r="H209" s="44"/>
      <c r="I209" s="44"/>
      <c r="J209" s="44"/>
      <c r="K209" s="44"/>
      <c r="L209" s="44"/>
      <c r="M209" s="44"/>
      <c r="N209" s="44"/>
      <c r="O209" s="44"/>
      <c r="P209" s="44"/>
      <c r="Q209" s="44"/>
      <c r="R209" s="45" t="str">
        <f aca="false">IF($A209="","",SUM(H209:Q209))</f>
        <v/>
      </c>
      <c r="S209" s="45" t="str">
        <f aca="false">IF($A209="","",ROUND($F209-$G209-$R209,2))</f>
        <v/>
      </c>
      <c r="T209" s="28" t="str">
        <f aca="false">IF(OR($A209="",$F209=0),"",$R209/$F209)</f>
        <v/>
      </c>
      <c r="U209" s="35"/>
      <c r="V209" s="0" t="str">
        <f aca="false">IF($A209="","",$A209&amp;"|"&amp;$B209)</f>
        <v/>
      </c>
    </row>
    <row r="210" customFormat="false" ht="18" hidden="false" customHeight="true" outlineLevel="0" collapsed="false">
      <c r="A210" s="36"/>
      <c r="B210" s="36"/>
      <c r="C210" s="48" t="str">
        <f aca="false">IF($B210="","",IFERROR(VLOOKUP($B210,资产台账!$B$4:$N$53,2,0)&amp;"","台账中未登记"))</f>
        <v/>
      </c>
      <c r="D210" s="43" t="str">
        <f aca="false">IF($B210="","",IFERROR(VLOOKUP($B210,资产台账!$B$4:$N$53,3,0)&amp;"",""))</f>
        <v/>
      </c>
      <c r="E210" s="43" t="str">
        <f aca="false">IF($B210="","",IFERROR(VLOOKUP($B210,资产台账!$B$4:$N$53,5,0)&amp;"",""))</f>
        <v/>
      </c>
      <c r="F210" s="44"/>
      <c r="G210" s="44"/>
      <c r="H210" s="44"/>
      <c r="I210" s="44"/>
      <c r="J210" s="44"/>
      <c r="K210" s="44"/>
      <c r="L210" s="44"/>
      <c r="M210" s="44"/>
      <c r="N210" s="44"/>
      <c r="O210" s="44"/>
      <c r="P210" s="44"/>
      <c r="Q210" s="44"/>
      <c r="R210" s="45" t="str">
        <f aca="false">IF($A210="","",SUM(H210:Q210))</f>
        <v/>
      </c>
      <c r="S210" s="45" t="str">
        <f aca="false">IF($A210="","",ROUND($F210-$G210-$R210,2))</f>
        <v/>
      </c>
      <c r="T210" s="28" t="str">
        <f aca="false">IF(OR($A210="",$F210=0),"",$R210/$F210)</f>
        <v/>
      </c>
      <c r="U210" s="35"/>
      <c r="V210" s="0" t="str">
        <f aca="false">IF($A210="","",$A210&amp;"|"&amp;$B210)</f>
        <v/>
      </c>
    </row>
    <row r="211" customFormat="false" ht="18" hidden="false" customHeight="true" outlineLevel="0" collapsed="false">
      <c r="A211" s="36"/>
      <c r="B211" s="36"/>
      <c r="C211" s="48" t="str">
        <f aca="false">IF($B211="","",IFERROR(VLOOKUP($B211,资产台账!$B$4:$N$53,2,0)&amp;"","台账中未登记"))</f>
        <v/>
      </c>
      <c r="D211" s="43" t="str">
        <f aca="false">IF($B211="","",IFERROR(VLOOKUP($B211,资产台账!$B$4:$N$53,3,0)&amp;"",""))</f>
        <v/>
      </c>
      <c r="E211" s="43" t="str">
        <f aca="false">IF($B211="","",IFERROR(VLOOKUP($B211,资产台账!$B$4:$N$53,5,0)&amp;"",""))</f>
        <v/>
      </c>
      <c r="F211" s="44"/>
      <c r="G211" s="44"/>
      <c r="H211" s="44"/>
      <c r="I211" s="44"/>
      <c r="J211" s="44"/>
      <c r="K211" s="44"/>
      <c r="L211" s="44"/>
      <c r="M211" s="44"/>
      <c r="N211" s="44"/>
      <c r="O211" s="44"/>
      <c r="P211" s="44"/>
      <c r="Q211" s="44"/>
      <c r="R211" s="45" t="str">
        <f aca="false">IF($A211="","",SUM(H211:Q211))</f>
        <v/>
      </c>
      <c r="S211" s="45" t="str">
        <f aca="false">IF($A211="","",ROUND($F211-$G211-$R211,2))</f>
        <v/>
      </c>
      <c r="T211" s="28" t="str">
        <f aca="false">IF(OR($A211="",$F211=0),"",$R211/$F211)</f>
        <v/>
      </c>
      <c r="U211" s="35"/>
      <c r="V211" s="0" t="str">
        <f aca="false">IF($A211="","",$A211&amp;"|"&amp;$B211)</f>
        <v/>
      </c>
    </row>
    <row r="212" customFormat="false" ht="18" hidden="false" customHeight="true" outlineLevel="0" collapsed="false">
      <c r="A212" s="36"/>
      <c r="B212" s="36"/>
      <c r="C212" s="48" t="str">
        <f aca="false">IF($B212="","",IFERROR(VLOOKUP($B212,资产台账!$B$4:$N$53,2,0)&amp;"","台账中未登记"))</f>
        <v/>
      </c>
      <c r="D212" s="43" t="str">
        <f aca="false">IF($B212="","",IFERROR(VLOOKUP($B212,资产台账!$B$4:$N$53,3,0)&amp;"",""))</f>
        <v/>
      </c>
      <c r="E212" s="43" t="str">
        <f aca="false">IF($B212="","",IFERROR(VLOOKUP($B212,资产台账!$B$4:$N$53,5,0)&amp;"",""))</f>
        <v/>
      </c>
      <c r="F212" s="44"/>
      <c r="G212" s="44"/>
      <c r="H212" s="44"/>
      <c r="I212" s="44"/>
      <c r="J212" s="44"/>
      <c r="K212" s="44"/>
      <c r="L212" s="44"/>
      <c r="M212" s="44"/>
      <c r="N212" s="44"/>
      <c r="O212" s="44"/>
      <c r="P212" s="44"/>
      <c r="Q212" s="44"/>
      <c r="R212" s="45" t="str">
        <f aca="false">IF($A212="","",SUM(H212:Q212))</f>
        <v/>
      </c>
      <c r="S212" s="45" t="str">
        <f aca="false">IF($A212="","",ROUND($F212-$G212-$R212,2))</f>
        <v/>
      </c>
      <c r="T212" s="28" t="str">
        <f aca="false">IF(OR($A212="",$F212=0),"",$R212/$F212)</f>
        <v/>
      </c>
      <c r="U212" s="35"/>
      <c r="V212" s="0" t="str">
        <f aca="false">IF($A212="","",$A212&amp;"|"&amp;$B212)</f>
        <v/>
      </c>
    </row>
    <row r="213" customFormat="false" ht="18" hidden="false" customHeight="true" outlineLevel="0" collapsed="false">
      <c r="A213" s="36"/>
      <c r="B213" s="36"/>
      <c r="C213" s="48" t="str">
        <f aca="false">IF($B213="","",IFERROR(VLOOKUP($B213,资产台账!$B$4:$N$53,2,0)&amp;"","台账中未登记"))</f>
        <v/>
      </c>
      <c r="D213" s="43" t="str">
        <f aca="false">IF($B213="","",IFERROR(VLOOKUP($B213,资产台账!$B$4:$N$53,3,0)&amp;"",""))</f>
        <v/>
      </c>
      <c r="E213" s="43" t="str">
        <f aca="false">IF($B213="","",IFERROR(VLOOKUP($B213,资产台账!$B$4:$N$53,5,0)&amp;"",""))</f>
        <v/>
      </c>
      <c r="F213" s="44"/>
      <c r="G213" s="44"/>
      <c r="H213" s="44"/>
      <c r="I213" s="44"/>
      <c r="J213" s="44"/>
      <c r="K213" s="44"/>
      <c r="L213" s="44"/>
      <c r="M213" s="44"/>
      <c r="N213" s="44"/>
      <c r="O213" s="44"/>
      <c r="P213" s="44"/>
      <c r="Q213" s="44"/>
      <c r="R213" s="45" t="str">
        <f aca="false">IF($A213="","",SUM(H213:Q213))</f>
        <v/>
      </c>
      <c r="S213" s="45" t="str">
        <f aca="false">IF($A213="","",ROUND($F213-$G213-$R213,2))</f>
        <v/>
      </c>
      <c r="T213" s="28" t="str">
        <f aca="false">IF(OR($A213="",$F213=0),"",$R213/$F213)</f>
        <v/>
      </c>
      <c r="U213" s="35"/>
      <c r="V213" s="0" t="str">
        <f aca="false">IF($A213="","",$A213&amp;"|"&amp;$B213)</f>
        <v/>
      </c>
    </row>
    <row r="214" customFormat="false" ht="18" hidden="false" customHeight="true" outlineLevel="0" collapsed="false">
      <c r="A214" s="36"/>
      <c r="B214" s="36"/>
      <c r="C214" s="48" t="str">
        <f aca="false">IF($B214="","",IFERROR(VLOOKUP($B214,资产台账!$B$4:$N$53,2,0)&amp;"","台账中未登记"))</f>
        <v/>
      </c>
      <c r="D214" s="43" t="str">
        <f aca="false">IF($B214="","",IFERROR(VLOOKUP($B214,资产台账!$B$4:$N$53,3,0)&amp;"",""))</f>
        <v/>
      </c>
      <c r="E214" s="43" t="str">
        <f aca="false">IF($B214="","",IFERROR(VLOOKUP($B214,资产台账!$B$4:$N$53,5,0)&amp;"",""))</f>
        <v/>
      </c>
      <c r="F214" s="44"/>
      <c r="G214" s="44"/>
      <c r="H214" s="44"/>
      <c r="I214" s="44"/>
      <c r="J214" s="44"/>
      <c r="K214" s="44"/>
      <c r="L214" s="44"/>
      <c r="M214" s="44"/>
      <c r="N214" s="44"/>
      <c r="O214" s="44"/>
      <c r="P214" s="44"/>
      <c r="Q214" s="44"/>
      <c r="R214" s="45" t="str">
        <f aca="false">IF($A214="","",SUM(H214:Q214))</f>
        <v/>
      </c>
      <c r="S214" s="45" t="str">
        <f aca="false">IF($A214="","",ROUND($F214-$G214-$R214,2))</f>
        <v/>
      </c>
      <c r="T214" s="28" t="str">
        <f aca="false">IF(OR($A214="",$F214=0),"",$R214/$F214)</f>
        <v/>
      </c>
      <c r="U214" s="35"/>
      <c r="V214" s="0" t="str">
        <f aca="false">IF($A214="","",$A214&amp;"|"&amp;$B214)</f>
        <v/>
      </c>
    </row>
    <row r="215" customFormat="false" ht="18" hidden="false" customHeight="true" outlineLevel="0" collapsed="false">
      <c r="A215" s="36"/>
      <c r="B215" s="36"/>
      <c r="C215" s="48" t="str">
        <f aca="false">IF($B215="","",IFERROR(VLOOKUP($B215,资产台账!$B$4:$N$53,2,0)&amp;"","台账中未登记"))</f>
        <v/>
      </c>
      <c r="D215" s="43" t="str">
        <f aca="false">IF($B215="","",IFERROR(VLOOKUP($B215,资产台账!$B$4:$N$53,3,0)&amp;"",""))</f>
        <v/>
      </c>
      <c r="E215" s="43" t="str">
        <f aca="false">IF($B215="","",IFERROR(VLOOKUP($B215,资产台账!$B$4:$N$53,5,0)&amp;"",""))</f>
        <v/>
      </c>
      <c r="F215" s="44"/>
      <c r="G215" s="44"/>
      <c r="H215" s="44"/>
      <c r="I215" s="44"/>
      <c r="J215" s="44"/>
      <c r="K215" s="44"/>
      <c r="L215" s="44"/>
      <c r="M215" s="44"/>
      <c r="N215" s="44"/>
      <c r="O215" s="44"/>
      <c r="P215" s="44"/>
      <c r="Q215" s="44"/>
      <c r="R215" s="45" t="str">
        <f aca="false">IF($A215="","",SUM(H215:Q215))</f>
        <v/>
      </c>
      <c r="S215" s="45" t="str">
        <f aca="false">IF($A215="","",ROUND($F215-$G215-$R215,2))</f>
        <v/>
      </c>
      <c r="T215" s="28" t="str">
        <f aca="false">IF(OR($A215="",$F215=0),"",$R215/$F215)</f>
        <v/>
      </c>
      <c r="U215" s="35"/>
      <c r="V215" s="0" t="str">
        <f aca="false">IF($A215="","",$A215&amp;"|"&amp;$B215)</f>
        <v/>
      </c>
    </row>
    <row r="216" customFormat="false" ht="18" hidden="false" customHeight="true" outlineLevel="0" collapsed="false">
      <c r="A216" s="36"/>
      <c r="B216" s="36"/>
      <c r="C216" s="48" t="str">
        <f aca="false">IF($B216="","",IFERROR(VLOOKUP($B216,资产台账!$B$4:$N$53,2,0)&amp;"","台账中未登记"))</f>
        <v/>
      </c>
      <c r="D216" s="43" t="str">
        <f aca="false">IF($B216="","",IFERROR(VLOOKUP($B216,资产台账!$B$4:$N$53,3,0)&amp;"",""))</f>
        <v/>
      </c>
      <c r="E216" s="43" t="str">
        <f aca="false">IF($B216="","",IFERROR(VLOOKUP($B216,资产台账!$B$4:$N$53,5,0)&amp;"",""))</f>
        <v/>
      </c>
      <c r="F216" s="44"/>
      <c r="G216" s="44"/>
      <c r="H216" s="44"/>
      <c r="I216" s="44"/>
      <c r="J216" s="44"/>
      <c r="K216" s="44"/>
      <c r="L216" s="44"/>
      <c r="M216" s="44"/>
      <c r="N216" s="44"/>
      <c r="O216" s="44"/>
      <c r="P216" s="44"/>
      <c r="Q216" s="44"/>
      <c r="R216" s="45" t="str">
        <f aca="false">IF($A216="","",SUM(H216:Q216))</f>
        <v/>
      </c>
      <c r="S216" s="45" t="str">
        <f aca="false">IF($A216="","",ROUND($F216-$G216-$R216,2))</f>
        <v/>
      </c>
      <c r="T216" s="28" t="str">
        <f aca="false">IF(OR($A216="",$F216=0),"",$R216/$F216)</f>
        <v/>
      </c>
      <c r="U216" s="35"/>
      <c r="V216" s="0" t="str">
        <f aca="false">IF($A216="","",$A216&amp;"|"&amp;$B216)</f>
        <v/>
      </c>
    </row>
    <row r="217" customFormat="false" ht="18" hidden="false" customHeight="true" outlineLevel="0" collapsed="false">
      <c r="A217" s="36"/>
      <c r="B217" s="36"/>
      <c r="C217" s="48" t="str">
        <f aca="false">IF($B217="","",IFERROR(VLOOKUP($B217,资产台账!$B$4:$N$53,2,0)&amp;"","台账中未登记"))</f>
        <v/>
      </c>
      <c r="D217" s="43" t="str">
        <f aca="false">IF($B217="","",IFERROR(VLOOKUP($B217,资产台账!$B$4:$N$53,3,0)&amp;"",""))</f>
        <v/>
      </c>
      <c r="E217" s="43" t="str">
        <f aca="false">IF($B217="","",IFERROR(VLOOKUP($B217,资产台账!$B$4:$N$53,5,0)&amp;"",""))</f>
        <v/>
      </c>
      <c r="F217" s="44"/>
      <c r="G217" s="44"/>
      <c r="H217" s="44"/>
      <c r="I217" s="44"/>
      <c r="J217" s="44"/>
      <c r="K217" s="44"/>
      <c r="L217" s="44"/>
      <c r="M217" s="44"/>
      <c r="N217" s="44"/>
      <c r="O217" s="44"/>
      <c r="P217" s="44"/>
      <c r="Q217" s="44"/>
      <c r="R217" s="45" t="str">
        <f aca="false">IF($A217="","",SUM(H217:Q217))</f>
        <v/>
      </c>
      <c r="S217" s="45" t="str">
        <f aca="false">IF($A217="","",ROUND($F217-$G217-$R217,2))</f>
        <v/>
      </c>
      <c r="T217" s="28" t="str">
        <f aca="false">IF(OR($A217="",$F217=0),"",$R217/$F217)</f>
        <v/>
      </c>
      <c r="U217" s="35"/>
      <c r="V217" s="0" t="str">
        <f aca="false">IF($A217="","",$A217&amp;"|"&amp;$B217)</f>
        <v/>
      </c>
    </row>
    <row r="218" customFormat="false" ht="18" hidden="false" customHeight="true" outlineLevel="0" collapsed="false">
      <c r="A218" s="36"/>
      <c r="B218" s="36"/>
      <c r="C218" s="48" t="str">
        <f aca="false">IF($B218="","",IFERROR(VLOOKUP($B218,资产台账!$B$4:$N$53,2,0)&amp;"","台账中未登记"))</f>
        <v/>
      </c>
      <c r="D218" s="43" t="str">
        <f aca="false">IF($B218="","",IFERROR(VLOOKUP($B218,资产台账!$B$4:$N$53,3,0)&amp;"",""))</f>
        <v/>
      </c>
      <c r="E218" s="43" t="str">
        <f aca="false">IF($B218="","",IFERROR(VLOOKUP($B218,资产台账!$B$4:$N$53,5,0)&amp;"",""))</f>
        <v/>
      </c>
      <c r="F218" s="44"/>
      <c r="G218" s="44"/>
      <c r="H218" s="44"/>
      <c r="I218" s="44"/>
      <c r="J218" s="44"/>
      <c r="K218" s="44"/>
      <c r="L218" s="44"/>
      <c r="M218" s="44"/>
      <c r="N218" s="44"/>
      <c r="O218" s="44"/>
      <c r="P218" s="44"/>
      <c r="Q218" s="44"/>
      <c r="R218" s="45" t="str">
        <f aca="false">IF($A218="","",SUM(H218:Q218))</f>
        <v/>
      </c>
      <c r="S218" s="45" t="str">
        <f aca="false">IF($A218="","",ROUND($F218-$G218-$R218,2))</f>
        <v/>
      </c>
      <c r="T218" s="28" t="str">
        <f aca="false">IF(OR($A218="",$F218=0),"",$R218/$F218)</f>
        <v/>
      </c>
      <c r="U218" s="35"/>
      <c r="V218" s="0" t="str">
        <f aca="false">IF($A218="","",$A218&amp;"|"&amp;$B218)</f>
        <v/>
      </c>
    </row>
    <row r="219" customFormat="false" ht="18" hidden="false" customHeight="true" outlineLevel="0" collapsed="false">
      <c r="A219" s="36"/>
      <c r="B219" s="36"/>
      <c r="C219" s="48" t="str">
        <f aca="false">IF($B219="","",IFERROR(VLOOKUP($B219,资产台账!$B$4:$N$53,2,0)&amp;"","台账中未登记"))</f>
        <v/>
      </c>
      <c r="D219" s="43" t="str">
        <f aca="false">IF($B219="","",IFERROR(VLOOKUP($B219,资产台账!$B$4:$N$53,3,0)&amp;"",""))</f>
        <v/>
      </c>
      <c r="E219" s="43" t="str">
        <f aca="false">IF($B219="","",IFERROR(VLOOKUP($B219,资产台账!$B$4:$N$53,5,0)&amp;"",""))</f>
        <v/>
      </c>
      <c r="F219" s="44"/>
      <c r="G219" s="44"/>
      <c r="H219" s="44"/>
      <c r="I219" s="44"/>
      <c r="J219" s="44"/>
      <c r="K219" s="44"/>
      <c r="L219" s="44"/>
      <c r="M219" s="44"/>
      <c r="N219" s="44"/>
      <c r="O219" s="44"/>
      <c r="P219" s="44"/>
      <c r="Q219" s="44"/>
      <c r="R219" s="45" t="str">
        <f aca="false">IF($A219="","",SUM(H219:Q219))</f>
        <v/>
      </c>
      <c r="S219" s="45" t="str">
        <f aca="false">IF($A219="","",ROUND($F219-$G219-$R219,2))</f>
        <v/>
      </c>
      <c r="T219" s="28" t="str">
        <f aca="false">IF(OR($A219="",$F219=0),"",$R219/$F219)</f>
        <v/>
      </c>
      <c r="U219" s="35"/>
      <c r="V219" s="0" t="str">
        <f aca="false">IF($A219="","",$A219&amp;"|"&amp;$B219)</f>
        <v/>
      </c>
    </row>
    <row r="220" customFormat="false" ht="18" hidden="false" customHeight="true" outlineLevel="0" collapsed="false">
      <c r="A220" s="36"/>
      <c r="B220" s="36"/>
      <c r="C220" s="48" t="str">
        <f aca="false">IF($B220="","",IFERROR(VLOOKUP($B220,资产台账!$B$4:$N$53,2,0)&amp;"","台账中未登记"))</f>
        <v/>
      </c>
      <c r="D220" s="43" t="str">
        <f aca="false">IF($B220="","",IFERROR(VLOOKUP($B220,资产台账!$B$4:$N$53,3,0)&amp;"",""))</f>
        <v/>
      </c>
      <c r="E220" s="43" t="str">
        <f aca="false">IF($B220="","",IFERROR(VLOOKUP($B220,资产台账!$B$4:$N$53,5,0)&amp;"",""))</f>
        <v/>
      </c>
      <c r="F220" s="44"/>
      <c r="G220" s="44"/>
      <c r="H220" s="44"/>
      <c r="I220" s="44"/>
      <c r="J220" s="44"/>
      <c r="K220" s="44"/>
      <c r="L220" s="44"/>
      <c r="M220" s="44"/>
      <c r="N220" s="44"/>
      <c r="O220" s="44"/>
      <c r="P220" s="44"/>
      <c r="Q220" s="44"/>
      <c r="R220" s="45" t="str">
        <f aca="false">IF($A220="","",SUM(H220:Q220))</f>
        <v/>
      </c>
      <c r="S220" s="45" t="str">
        <f aca="false">IF($A220="","",ROUND($F220-$G220-$R220,2))</f>
        <v/>
      </c>
      <c r="T220" s="28" t="str">
        <f aca="false">IF(OR($A220="",$F220=0),"",$R220/$F220)</f>
        <v/>
      </c>
      <c r="U220" s="35"/>
      <c r="V220" s="0" t="str">
        <f aca="false">IF($A220="","",$A220&amp;"|"&amp;$B220)</f>
        <v/>
      </c>
    </row>
    <row r="221" customFormat="false" ht="18" hidden="false" customHeight="true" outlineLevel="0" collapsed="false">
      <c r="A221" s="36"/>
      <c r="B221" s="36"/>
      <c r="C221" s="48" t="str">
        <f aca="false">IF($B221="","",IFERROR(VLOOKUP($B221,资产台账!$B$4:$N$53,2,0)&amp;"","台账中未登记"))</f>
        <v/>
      </c>
      <c r="D221" s="43" t="str">
        <f aca="false">IF($B221="","",IFERROR(VLOOKUP($B221,资产台账!$B$4:$N$53,3,0)&amp;"",""))</f>
        <v/>
      </c>
      <c r="E221" s="43" t="str">
        <f aca="false">IF($B221="","",IFERROR(VLOOKUP($B221,资产台账!$B$4:$N$53,5,0)&amp;"",""))</f>
        <v/>
      </c>
      <c r="F221" s="44"/>
      <c r="G221" s="44"/>
      <c r="H221" s="44"/>
      <c r="I221" s="44"/>
      <c r="J221" s="44"/>
      <c r="K221" s="44"/>
      <c r="L221" s="44"/>
      <c r="M221" s="44"/>
      <c r="N221" s="44"/>
      <c r="O221" s="44"/>
      <c r="P221" s="44"/>
      <c r="Q221" s="44"/>
      <c r="R221" s="45" t="str">
        <f aca="false">IF($A221="","",SUM(H221:Q221))</f>
        <v/>
      </c>
      <c r="S221" s="45" t="str">
        <f aca="false">IF($A221="","",ROUND($F221-$G221-$R221,2))</f>
        <v/>
      </c>
      <c r="T221" s="28" t="str">
        <f aca="false">IF(OR($A221="",$F221=0),"",$R221/$F221)</f>
        <v/>
      </c>
      <c r="U221" s="35"/>
      <c r="V221" s="0" t="str">
        <f aca="false">IF($A221="","",$A221&amp;"|"&amp;$B221)</f>
        <v/>
      </c>
    </row>
    <row r="222" customFormat="false" ht="18" hidden="false" customHeight="true" outlineLevel="0" collapsed="false">
      <c r="A222" s="36"/>
      <c r="B222" s="36"/>
      <c r="C222" s="48" t="str">
        <f aca="false">IF($B222="","",IFERROR(VLOOKUP($B222,资产台账!$B$4:$N$53,2,0)&amp;"","台账中未登记"))</f>
        <v/>
      </c>
      <c r="D222" s="43" t="str">
        <f aca="false">IF($B222="","",IFERROR(VLOOKUP($B222,资产台账!$B$4:$N$53,3,0)&amp;"",""))</f>
        <v/>
      </c>
      <c r="E222" s="43" t="str">
        <f aca="false">IF($B222="","",IFERROR(VLOOKUP($B222,资产台账!$B$4:$N$53,5,0)&amp;"",""))</f>
        <v/>
      </c>
      <c r="F222" s="44"/>
      <c r="G222" s="44"/>
      <c r="H222" s="44"/>
      <c r="I222" s="44"/>
      <c r="J222" s="44"/>
      <c r="K222" s="44"/>
      <c r="L222" s="44"/>
      <c r="M222" s="44"/>
      <c r="N222" s="44"/>
      <c r="O222" s="44"/>
      <c r="P222" s="44"/>
      <c r="Q222" s="44"/>
      <c r="R222" s="45" t="str">
        <f aca="false">IF($A222="","",SUM(H222:Q222))</f>
        <v/>
      </c>
      <c r="S222" s="45" t="str">
        <f aca="false">IF($A222="","",ROUND($F222-$G222-$R222,2))</f>
        <v/>
      </c>
      <c r="T222" s="28" t="str">
        <f aca="false">IF(OR($A222="",$F222=0),"",$R222/$F222)</f>
        <v/>
      </c>
      <c r="U222" s="35"/>
      <c r="V222" s="0" t="str">
        <f aca="false">IF($A222="","",$A222&amp;"|"&amp;$B222)</f>
        <v/>
      </c>
    </row>
    <row r="223" customFormat="false" ht="18" hidden="false" customHeight="true" outlineLevel="0" collapsed="false">
      <c r="A223" s="36"/>
      <c r="B223" s="36"/>
      <c r="C223" s="48" t="str">
        <f aca="false">IF($B223="","",IFERROR(VLOOKUP($B223,资产台账!$B$4:$N$53,2,0)&amp;"","台账中未登记"))</f>
        <v/>
      </c>
      <c r="D223" s="43" t="str">
        <f aca="false">IF($B223="","",IFERROR(VLOOKUP($B223,资产台账!$B$4:$N$53,3,0)&amp;"",""))</f>
        <v/>
      </c>
      <c r="E223" s="43" t="str">
        <f aca="false">IF($B223="","",IFERROR(VLOOKUP($B223,资产台账!$B$4:$N$53,5,0)&amp;"",""))</f>
        <v/>
      </c>
      <c r="F223" s="44"/>
      <c r="G223" s="44"/>
      <c r="H223" s="44"/>
      <c r="I223" s="44"/>
      <c r="J223" s="44"/>
      <c r="K223" s="44"/>
      <c r="L223" s="44"/>
      <c r="M223" s="44"/>
      <c r="N223" s="44"/>
      <c r="O223" s="44"/>
      <c r="P223" s="44"/>
      <c r="Q223" s="44"/>
      <c r="R223" s="45" t="str">
        <f aca="false">IF($A223="","",SUM(H223:Q223))</f>
        <v/>
      </c>
      <c r="S223" s="45" t="str">
        <f aca="false">IF($A223="","",ROUND($F223-$G223-$R223,2))</f>
        <v/>
      </c>
      <c r="T223" s="28" t="str">
        <f aca="false">IF(OR($A223="",$F223=0),"",$R223/$F223)</f>
        <v/>
      </c>
      <c r="U223" s="35"/>
      <c r="V223" s="0" t="str">
        <f aca="false">IF($A223="","",$A223&amp;"|"&amp;$B223)</f>
        <v/>
      </c>
    </row>
    <row r="224" customFormat="false" ht="18" hidden="false" customHeight="true" outlineLevel="0" collapsed="false">
      <c r="A224" s="36"/>
      <c r="B224" s="36"/>
      <c r="C224" s="48" t="str">
        <f aca="false">IF($B224="","",IFERROR(VLOOKUP($B224,资产台账!$B$4:$N$53,2,0)&amp;"","台账中未登记"))</f>
        <v/>
      </c>
      <c r="D224" s="43" t="str">
        <f aca="false">IF($B224="","",IFERROR(VLOOKUP($B224,资产台账!$B$4:$N$53,3,0)&amp;"",""))</f>
        <v/>
      </c>
      <c r="E224" s="43" t="str">
        <f aca="false">IF($B224="","",IFERROR(VLOOKUP($B224,资产台账!$B$4:$N$53,5,0)&amp;"",""))</f>
        <v/>
      </c>
      <c r="F224" s="44"/>
      <c r="G224" s="44"/>
      <c r="H224" s="44"/>
      <c r="I224" s="44"/>
      <c r="J224" s="44"/>
      <c r="K224" s="44"/>
      <c r="L224" s="44"/>
      <c r="M224" s="44"/>
      <c r="N224" s="44"/>
      <c r="O224" s="44"/>
      <c r="P224" s="44"/>
      <c r="Q224" s="44"/>
      <c r="R224" s="45" t="str">
        <f aca="false">IF($A224="","",SUM(H224:Q224))</f>
        <v/>
      </c>
      <c r="S224" s="45" t="str">
        <f aca="false">IF($A224="","",ROUND($F224-$G224-$R224,2))</f>
        <v/>
      </c>
      <c r="T224" s="28" t="str">
        <f aca="false">IF(OR($A224="",$F224=0),"",$R224/$F224)</f>
        <v/>
      </c>
      <c r="U224" s="35"/>
      <c r="V224" s="0" t="str">
        <f aca="false">IF($A224="","",$A224&amp;"|"&amp;$B224)</f>
        <v/>
      </c>
    </row>
    <row r="225" customFormat="false" ht="18" hidden="false" customHeight="true" outlineLevel="0" collapsed="false">
      <c r="A225" s="36"/>
      <c r="B225" s="36"/>
      <c r="C225" s="48" t="str">
        <f aca="false">IF($B225="","",IFERROR(VLOOKUP($B225,资产台账!$B$4:$N$53,2,0)&amp;"","台账中未登记"))</f>
        <v/>
      </c>
      <c r="D225" s="43" t="str">
        <f aca="false">IF($B225="","",IFERROR(VLOOKUP($B225,资产台账!$B$4:$N$53,3,0)&amp;"",""))</f>
        <v/>
      </c>
      <c r="E225" s="43" t="str">
        <f aca="false">IF($B225="","",IFERROR(VLOOKUP($B225,资产台账!$B$4:$N$53,5,0)&amp;"",""))</f>
        <v/>
      </c>
      <c r="F225" s="44"/>
      <c r="G225" s="44"/>
      <c r="H225" s="44"/>
      <c r="I225" s="44"/>
      <c r="J225" s="44"/>
      <c r="K225" s="44"/>
      <c r="L225" s="44"/>
      <c r="M225" s="44"/>
      <c r="N225" s="44"/>
      <c r="O225" s="44"/>
      <c r="P225" s="44"/>
      <c r="Q225" s="44"/>
      <c r="R225" s="45" t="str">
        <f aca="false">IF($A225="","",SUM(H225:Q225))</f>
        <v/>
      </c>
      <c r="S225" s="45" t="str">
        <f aca="false">IF($A225="","",ROUND($F225-$G225-$R225,2))</f>
        <v/>
      </c>
      <c r="T225" s="28" t="str">
        <f aca="false">IF(OR($A225="",$F225=0),"",$R225/$F225)</f>
        <v/>
      </c>
      <c r="U225" s="35"/>
      <c r="V225" s="0" t="str">
        <f aca="false">IF($A225="","",$A225&amp;"|"&amp;$B225)</f>
        <v/>
      </c>
    </row>
    <row r="226" customFormat="false" ht="18" hidden="false" customHeight="true" outlineLevel="0" collapsed="false">
      <c r="A226" s="36"/>
      <c r="B226" s="36"/>
      <c r="C226" s="48" t="str">
        <f aca="false">IF($B226="","",IFERROR(VLOOKUP($B226,资产台账!$B$4:$N$53,2,0)&amp;"","台账中未登记"))</f>
        <v/>
      </c>
      <c r="D226" s="43" t="str">
        <f aca="false">IF($B226="","",IFERROR(VLOOKUP($B226,资产台账!$B$4:$N$53,3,0)&amp;"",""))</f>
        <v/>
      </c>
      <c r="E226" s="43" t="str">
        <f aca="false">IF($B226="","",IFERROR(VLOOKUP($B226,资产台账!$B$4:$N$53,5,0)&amp;"",""))</f>
        <v/>
      </c>
      <c r="F226" s="44"/>
      <c r="G226" s="44"/>
      <c r="H226" s="44"/>
      <c r="I226" s="44"/>
      <c r="J226" s="44"/>
      <c r="K226" s="44"/>
      <c r="L226" s="44"/>
      <c r="M226" s="44"/>
      <c r="N226" s="44"/>
      <c r="O226" s="44"/>
      <c r="P226" s="44"/>
      <c r="Q226" s="44"/>
      <c r="R226" s="45" t="str">
        <f aca="false">IF($A226="","",SUM(H226:Q226))</f>
        <v/>
      </c>
      <c r="S226" s="45" t="str">
        <f aca="false">IF($A226="","",ROUND($F226-$G226-$R226,2))</f>
        <v/>
      </c>
      <c r="T226" s="28" t="str">
        <f aca="false">IF(OR($A226="",$F226=0),"",$R226/$F226)</f>
        <v/>
      </c>
      <c r="U226" s="35"/>
      <c r="V226" s="0" t="str">
        <f aca="false">IF($A226="","",$A226&amp;"|"&amp;$B226)</f>
        <v/>
      </c>
    </row>
    <row r="227" customFormat="false" ht="18" hidden="false" customHeight="true" outlineLevel="0" collapsed="false">
      <c r="A227" s="36"/>
      <c r="B227" s="36"/>
      <c r="C227" s="48" t="str">
        <f aca="false">IF($B227="","",IFERROR(VLOOKUP($B227,资产台账!$B$4:$N$53,2,0)&amp;"","台账中未登记"))</f>
        <v/>
      </c>
      <c r="D227" s="43" t="str">
        <f aca="false">IF($B227="","",IFERROR(VLOOKUP($B227,资产台账!$B$4:$N$53,3,0)&amp;"",""))</f>
        <v/>
      </c>
      <c r="E227" s="43" t="str">
        <f aca="false">IF($B227="","",IFERROR(VLOOKUP($B227,资产台账!$B$4:$N$53,5,0)&amp;"",""))</f>
        <v/>
      </c>
      <c r="F227" s="44"/>
      <c r="G227" s="44"/>
      <c r="H227" s="44"/>
      <c r="I227" s="44"/>
      <c r="J227" s="44"/>
      <c r="K227" s="44"/>
      <c r="L227" s="44"/>
      <c r="M227" s="44"/>
      <c r="N227" s="44"/>
      <c r="O227" s="44"/>
      <c r="P227" s="44"/>
      <c r="Q227" s="44"/>
      <c r="R227" s="45" t="str">
        <f aca="false">IF($A227="","",SUM(H227:Q227))</f>
        <v/>
      </c>
      <c r="S227" s="45" t="str">
        <f aca="false">IF($A227="","",ROUND($F227-$G227-$R227,2))</f>
        <v/>
      </c>
      <c r="T227" s="28" t="str">
        <f aca="false">IF(OR($A227="",$F227=0),"",$R227/$F227)</f>
        <v/>
      </c>
      <c r="U227" s="35"/>
      <c r="V227" s="0" t="str">
        <f aca="false">IF($A227="","",$A227&amp;"|"&amp;$B227)</f>
        <v/>
      </c>
    </row>
    <row r="228" customFormat="false" ht="18" hidden="false" customHeight="true" outlineLevel="0" collapsed="false">
      <c r="A228" s="36"/>
      <c r="B228" s="36"/>
      <c r="C228" s="48" t="str">
        <f aca="false">IF($B228="","",IFERROR(VLOOKUP($B228,资产台账!$B$4:$N$53,2,0)&amp;"","台账中未登记"))</f>
        <v/>
      </c>
      <c r="D228" s="43" t="str">
        <f aca="false">IF($B228="","",IFERROR(VLOOKUP($B228,资产台账!$B$4:$N$53,3,0)&amp;"",""))</f>
        <v/>
      </c>
      <c r="E228" s="43" t="str">
        <f aca="false">IF($B228="","",IFERROR(VLOOKUP($B228,资产台账!$B$4:$N$53,5,0)&amp;"",""))</f>
        <v/>
      </c>
      <c r="F228" s="44"/>
      <c r="G228" s="44"/>
      <c r="H228" s="44"/>
      <c r="I228" s="44"/>
      <c r="J228" s="44"/>
      <c r="K228" s="44"/>
      <c r="L228" s="44"/>
      <c r="M228" s="44"/>
      <c r="N228" s="44"/>
      <c r="O228" s="44"/>
      <c r="P228" s="44"/>
      <c r="Q228" s="44"/>
      <c r="R228" s="45" t="str">
        <f aca="false">IF($A228="","",SUM(H228:Q228))</f>
        <v/>
      </c>
      <c r="S228" s="45" t="str">
        <f aca="false">IF($A228="","",ROUND($F228-$G228-$R228,2))</f>
        <v/>
      </c>
      <c r="T228" s="28" t="str">
        <f aca="false">IF(OR($A228="",$F228=0),"",$R228/$F228)</f>
        <v/>
      </c>
      <c r="U228" s="35"/>
      <c r="V228" s="0" t="str">
        <f aca="false">IF($A228="","",$A228&amp;"|"&amp;$B228)</f>
        <v/>
      </c>
    </row>
    <row r="229" customFormat="false" ht="18" hidden="false" customHeight="true" outlineLevel="0" collapsed="false">
      <c r="A229" s="36"/>
      <c r="B229" s="36"/>
      <c r="C229" s="48" t="str">
        <f aca="false">IF($B229="","",IFERROR(VLOOKUP($B229,资产台账!$B$4:$N$53,2,0)&amp;"","台账中未登记"))</f>
        <v/>
      </c>
      <c r="D229" s="43" t="str">
        <f aca="false">IF($B229="","",IFERROR(VLOOKUP($B229,资产台账!$B$4:$N$53,3,0)&amp;"",""))</f>
        <v/>
      </c>
      <c r="E229" s="43" t="str">
        <f aca="false">IF($B229="","",IFERROR(VLOOKUP($B229,资产台账!$B$4:$N$53,5,0)&amp;"",""))</f>
        <v/>
      </c>
      <c r="F229" s="44"/>
      <c r="G229" s="44"/>
      <c r="H229" s="44"/>
      <c r="I229" s="44"/>
      <c r="J229" s="44"/>
      <c r="K229" s="44"/>
      <c r="L229" s="44"/>
      <c r="M229" s="44"/>
      <c r="N229" s="44"/>
      <c r="O229" s="44"/>
      <c r="P229" s="44"/>
      <c r="Q229" s="44"/>
      <c r="R229" s="45" t="str">
        <f aca="false">IF($A229="","",SUM(H229:Q229))</f>
        <v/>
      </c>
      <c r="S229" s="45" t="str">
        <f aca="false">IF($A229="","",ROUND($F229-$G229-$R229,2))</f>
        <v/>
      </c>
      <c r="T229" s="28" t="str">
        <f aca="false">IF(OR($A229="",$F229=0),"",$R229/$F229)</f>
        <v/>
      </c>
      <c r="U229" s="35"/>
      <c r="V229" s="0" t="str">
        <f aca="false">IF($A229="","",$A229&amp;"|"&amp;$B229)</f>
        <v/>
      </c>
    </row>
    <row r="230" customFormat="false" ht="18" hidden="false" customHeight="true" outlineLevel="0" collapsed="false">
      <c r="A230" s="36"/>
      <c r="B230" s="36"/>
      <c r="C230" s="48" t="str">
        <f aca="false">IF($B230="","",IFERROR(VLOOKUP($B230,资产台账!$B$4:$N$53,2,0)&amp;"","台账中未登记"))</f>
        <v/>
      </c>
      <c r="D230" s="43" t="str">
        <f aca="false">IF($B230="","",IFERROR(VLOOKUP($B230,资产台账!$B$4:$N$53,3,0)&amp;"",""))</f>
        <v/>
      </c>
      <c r="E230" s="43" t="str">
        <f aca="false">IF($B230="","",IFERROR(VLOOKUP($B230,资产台账!$B$4:$N$53,5,0)&amp;"",""))</f>
        <v/>
      </c>
      <c r="F230" s="44"/>
      <c r="G230" s="44"/>
      <c r="H230" s="44"/>
      <c r="I230" s="44"/>
      <c r="J230" s="44"/>
      <c r="K230" s="44"/>
      <c r="L230" s="44"/>
      <c r="M230" s="44"/>
      <c r="N230" s="44"/>
      <c r="O230" s="44"/>
      <c r="P230" s="44"/>
      <c r="Q230" s="44"/>
      <c r="R230" s="45" t="str">
        <f aca="false">IF($A230="","",SUM(H230:Q230))</f>
        <v/>
      </c>
      <c r="S230" s="45" t="str">
        <f aca="false">IF($A230="","",ROUND($F230-$G230-$R230,2))</f>
        <v/>
      </c>
      <c r="T230" s="28" t="str">
        <f aca="false">IF(OR($A230="",$F230=0),"",$R230/$F230)</f>
        <v/>
      </c>
      <c r="U230" s="35"/>
      <c r="V230" s="0" t="str">
        <f aca="false">IF($A230="","",$A230&amp;"|"&amp;$B230)</f>
        <v/>
      </c>
    </row>
    <row r="231" customFormat="false" ht="18" hidden="false" customHeight="true" outlineLevel="0" collapsed="false">
      <c r="A231" s="36"/>
      <c r="B231" s="36"/>
      <c r="C231" s="48" t="str">
        <f aca="false">IF($B231="","",IFERROR(VLOOKUP($B231,资产台账!$B$4:$N$53,2,0)&amp;"","台账中未登记"))</f>
        <v/>
      </c>
      <c r="D231" s="43" t="str">
        <f aca="false">IF($B231="","",IFERROR(VLOOKUP($B231,资产台账!$B$4:$N$53,3,0)&amp;"",""))</f>
        <v/>
      </c>
      <c r="E231" s="43" t="str">
        <f aca="false">IF($B231="","",IFERROR(VLOOKUP($B231,资产台账!$B$4:$N$53,5,0)&amp;"",""))</f>
        <v/>
      </c>
      <c r="F231" s="44"/>
      <c r="G231" s="44"/>
      <c r="H231" s="44"/>
      <c r="I231" s="44"/>
      <c r="J231" s="44"/>
      <c r="K231" s="44"/>
      <c r="L231" s="44"/>
      <c r="M231" s="44"/>
      <c r="N231" s="44"/>
      <c r="O231" s="44"/>
      <c r="P231" s="44"/>
      <c r="Q231" s="44"/>
      <c r="R231" s="45" t="str">
        <f aca="false">IF($A231="","",SUM(H231:Q231))</f>
        <v/>
      </c>
      <c r="S231" s="45" t="str">
        <f aca="false">IF($A231="","",ROUND($F231-$G231-$R231,2))</f>
        <v/>
      </c>
      <c r="T231" s="28" t="str">
        <f aca="false">IF(OR($A231="",$F231=0),"",$R231/$F231)</f>
        <v/>
      </c>
      <c r="U231" s="35"/>
      <c r="V231" s="0" t="str">
        <f aca="false">IF($A231="","",$A231&amp;"|"&amp;$B231)</f>
        <v/>
      </c>
    </row>
    <row r="232" customFormat="false" ht="18" hidden="false" customHeight="true" outlineLevel="0" collapsed="false">
      <c r="A232" s="36"/>
      <c r="B232" s="36"/>
      <c r="C232" s="48" t="str">
        <f aca="false">IF($B232="","",IFERROR(VLOOKUP($B232,资产台账!$B$4:$N$53,2,0)&amp;"","台账中未登记"))</f>
        <v/>
      </c>
      <c r="D232" s="43" t="str">
        <f aca="false">IF($B232="","",IFERROR(VLOOKUP($B232,资产台账!$B$4:$N$53,3,0)&amp;"",""))</f>
        <v/>
      </c>
      <c r="E232" s="43" t="str">
        <f aca="false">IF($B232="","",IFERROR(VLOOKUP($B232,资产台账!$B$4:$N$53,5,0)&amp;"",""))</f>
        <v/>
      </c>
      <c r="F232" s="44"/>
      <c r="G232" s="44"/>
      <c r="H232" s="44"/>
      <c r="I232" s="44"/>
      <c r="J232" s="44"/>
      <c r="K232" s="44"/>
      <c r="L232" s="44"/>
      <c r="M232" s="44"/>
      <c r="N232" s="44"/>
      <c r="O232" s="44"/>
      <c r="P232" s="44"/>
      <c r="Q232" s="44"/>
      <c r="R232" s="45" t="str">
        <f aca="false">IF($A232="","",SUM(H232:Q232))</f>
        <v/>
      </c>
      <c r="S232" s="45" t="str">
        <f aca="false">IF($A232="","",ROUND($F232-$G232-$R232,2))</f>
        <v/>
      </c>
      <c r="T232" s="28" t="str">
        <f aca="false">IF(OR($A232="",$F232=0),"",$R232/$F232)</f>
        <v/>
      </c>
      <c r="U232" s="35"/>
      <c r="V232" s="0" t="str">
        <f aca="false">IF($A232="","",$A232&amp;"|"&amp;$B232)</f>
        <v/>
      </c>
    </row>
    <row r="233" customFormat="false" ht="18" hidden="false" customHeight="true" outlineLevel="0" collapsed="false">
      <c r="A233" s="36"/>
      <c r="B233" s="36"/>
      <c r="C233" s="48" t="str">
        <f aca="false">IF($B233="","",IFERROR(VLOOKUP($B233,资产台账!$B$4:$N$53,2,0)&amp;"","台账中未登记"))</f>
        <v/>
      </c>
      <c r="D233" s="43" t="str">
        <f aca="false">IF($B233="","",IFERROR(VLOOKUP($B233,资产台账!$B$4:$N$53,3,0)&amp;"",""))</f>
        <v/>
      </c>
      <c r="E233" s="43" t="str">
        <f aca="false">IF($B233="","",IFERROR(VLOOKUP($B233,资产台账!$B$4:$N$53,5,0)&amp;"",""))</f>
        <v/>
      </c>
      <c r="F233" s="44"/>
      <c r="G233" s="44"/>
      <c r="H233" s="44"/>
      <c r="I233" s="44"/>
      <c r="J233" s="44"/>
      <c r="K233" s="44"/>
      <c r="L233" s="44"/>
      <c r="M233" s="44"/>
      <c r="N233" s="44"/>
      <c r="O233" s="44"/>
      <c r="P233" s="44"/>
      <c r="Q233" s="44"/>
      <c r="R233" s="45" t="str">
        <f aca="false">IF($A233="","",SUM(H233:Q233))</f>
        <v/>
      </c>
      <c r="S233" s="45" t="str">
        <f aca="false">IF($A233="","",ROUND($F233-$G233-$R233,2))</f>
        <v/>
      </c>
      <c r="T233" s="28" t="str">
        <f aca="false">IF(OR($A233="",$F233=0),"",$R233/$F233)</f>
        <v/>
      </c>
      <c r="U233" s="35"/>
      <c r="V233" s="0" t="str">
        <f aca="false">IF($A233="","",$A233&amp;"|"&amp;$B233)</f>
        <v/>
      </c>
    </row>
    <row r="234" customFormat="false" ht="18" hidden="false" customHeight="true" outlineLevel="0" collapsed="false">
      <c r="A234" s="36"/>
      <c r="B234" s="36"/>
      <c r="C234" s="48" t="str">
        <f aca="false">IF($B234="","",IFERROR(VLOOKUP($B234,资产台账!$B$4:$N$53,2,0)&amp;"","台账中未登记"))</f>
        <v/>
      </c>
      <c r="D234" s="43" t="str">
        <f aca="false">IF($B234="","",IFERROR(VLOOKUP($B234,资产台账!$B$4:$N$53,3,0)&amp;"",""))</f>
        <v/>
      </c>
      <c r="E234" s="43" t="str">
        <f aca="false">IF($B234="","",IFERROR(VLOOKUP($B234,资产台账!$B$4:$N$53,5,0)&amp;"",""))</f>
        <v/>
      </c>
      <c r="F234" s="44"/>
      <c r="G234" s="44"/>
      <c r="H234" s="44"/>
      <c r="I234" s="44"/>
      <c r="J234" s="44"/>
      <c r="K234" s="44"/>
      <c r="L234" s="44"/>
      <c r="M234" s="44"/>
      <c r="N234" s="44"/>
      <c r="O234" s="44"/>
      <c r="P234" s="44"/>
      <c r="Q234" s="44"/>
      <c r="R234" s="45" t="str">
        <f aca="false">IF($A234="","",SUM(H234:Q234))</f>
        <v/>
      </c>
      <c r="S234" s="45" t="str">
        <f aca="false">IF($A234="","",ROUND($F234-$G234-$R234,2))</f>
        <v/>
      </c>
      <c r="T234" s="28" t="str">
        <f aca="false">IF(OR($A234="",$F234=0),"",$R234/$F234)</f>
        <v/>
      </c>
      <c r="U234" s="35"/>
      <c r="V234" s="0" t="str">
        <f aca="false">IF($A234="","",$A234&amp;"|"&amp;$B234)</f>
        <v/>
      </c>
    </row>
    <row r="235" customFormat="false" ht="18" hidden="false" customHeight="true" outlineLevel="0" collapsed="false">
      <c r="A235" s="36"/>
      <c r="B235" s="36"/>
      <c r="C235" s="48" t="str">
        <f aca="false">IF($B235="","",IFERROR(VLOOKUP($B235,资产台账!$B$4:$N$53,2,0)&amp;"","台账中未登记"))</f>
        <v/>
      </c>
      <c r="D235" s="43" t="str">
        <f aca="false">IF($B235="","",IFERROR(VLOOKUP($B235,资产台账!$B$4:$N$53,3,0)&amp;"",""))</f>
        <v/>
      </c>
      <c r="E235" s="43" t="str">
        <f aca="false">IF($B235="","",IFERROR(VLOOKUP($B235,资产台账!$B$4:$N$53,5,0)&amp;"",""))</f>
        <v/>
      </c>
      <c r="F235" s="44"/>
      <c r="G235" s="44"/>
      <c r="H235" s="44"/>
      <c r="I235" s="44"/>
      <c r="J235" s="44"/>
      <c r="K235" s="44"/>
      <c r="L235" s="44"/>
      <c r="M235" s="44"/>
      <c r="N235" s="44"/>
      <c r="O235" s="44"/>
      <c r="P235" s="44"/>
      <c r="Q235" s="44"/>
      <c r="R235" s="45" t="str">
        <f aca="false">IF($A235="","",SUM(H235:Q235))</f>
        <v/>
      </c>
      <c r="S235" s="45" t="str">
        <f aca="false">IF($A235="","",ROUND($F235-$G235-$R235,2))</f>
        <v/>
      </c>
      <c r="T235" s="28" t="str">
        <f aca="false">IF(OR($A235="",$F235=0),"",$R235/$F235)</f>
        <v/>
      </c>
      <c r="U235" s="35"/>
      <c r="V235" s="0" t="str">
        <f aca="false">IF($A235="","",$A235&amp;"|"&amp;$B235)</f>
        <v/>
      </c>
    </row>
    <row r="236" customFormat="false" ht="18" hidden="false" customHeight="true" outlineLevel="0" collapsed="false">
      <c r="A236" s="36"/>
      <c r="B236" s="36"/>
      <c r="C236" s="48" t="str">
        <f aca="false">IF($B236="","",IFERROR(VLOOKUP($B236,资产台账!$B$4:$N$53,2,0)&amp;"","台账中未登记"))</f>
        <v/>
      </c>
      <c r="D236" s="43" t="str">
        <f aca="false">IF($B236="","",IFERROR(VLOOKUP($B236,资产台账!$B$4:$N$53,3,0)&amp;"",""))</f>
        <v/>
      </c>
      <c r="E236" s="43" t="str">
        <f aca="false">IF($B236="","",IFERROR(VLOOKUP($B236,资产台账!$B$4:$N$53,5,0)&amp;"",""))</f>
        <v/>
      </c>
      <c r="F236" s="44"/>
      <c r="G236" s="44"/>
      <c r="H236" s="44"/>
      <c r="I236" s="44"/>
      <c r="J236" s="44"/>
      <c r="K236" s="44"/>
      <c r="L236" s="44"/>
      <c r="M236" s="44"/>
      <c r="N236" s="44"/>
      <c r="O236" s="44"/>
      <c r="P236" s="44"/>
      <c r="Q236" s="44"/>
      <c r="R236" s="45" t="str">
        <f aca="false">IF($A236="","",SUM(H236:Q236))</f>
        <v/>
      </c>
      <c r="S236" s="45" t="str">
        <f aca="false">IF($A236="","",ROUND($F236-$G236-$R236,2))</f>
        <v/>
      </c>
      <c r="T236" s="28" t="str">
        <f aca="false">IF(OR($A236="",$F236=0),"",$R236/$F236)</f>
        <v/>
      </c>
      <c r="U236" s="35"/>
      <c r="V236" s="0" t="str">
        <f aca="false">IF($A236="","",$A236&amp;"|"&amp;$B236)</f>
        <v/>
      </c>
    </row>
    <row r="237" customFormat="false" ht="18" hidden="false" customHeight="true" outlineLevel="0" collapsed="false">
      <c r="A237" s="36"/>
      <c r="B237" s="36"/>
      <c r="C237" s="48" t="str">
        <f aca="false">IF($B237="","",IFERROR(VLOOKUP($B237,资产台账!$B$4:$N$53,2,0)&amp;"","台账中未登记"))</f>
        <v/>
      </c>
      <c r="D237" s="43" t="str">
        <f aca="false">IF($B237="","",IFERROR(VLOOKUP($B237,资产台账!$B$4:$N$53,3,0)&amp;"",""))</f>
        <v/>
      </c>
      <c r="E237" s="43" t="str">
        <f aca="false">IF($B237="","",IFERROR(VLOOKUP($B237,资产台账!$B$4:$N$53,5,0)&amp;"",""))</f>
        <v/>
      </c>
      <c r="F237" s="44"/>
      <c r="G237" s="44"/>
      <c r="H237" s="44"/>
      <c r="I237" s="44"/>
      <c r="J237" s="44"/>
      <c r="K237" s="44"/>
      <c r="L237" s="44"/>
      <c r="M237" s="44"/>
      <c r="N237" s="44"/>
      <c r="O237" s="44"/>
      <c r="P237" s="44"/>
      <c r="Q237" s="44"/>
      <c r="R237" s="45" t="str">
        <f aca="false">IF($A237="","",SUM(H237:Q237))</f>
        <v/>
      </c>
      <c r="S237" s="45" t="str">
        <f aca="false">IF($A237="","",ROUND($F237-$G237-$R237,2))</f>
        <v/>
      </c>
      <c r="T237" s="28" t="str">
        <f aca="false">IF(OR($A237="",$F237=0),"",$R237/$F237)</f>
        <v/>
      </c>
      <c r="U237" s="35"/>
      <c r="V237" s="0" t="str">
        <f aca="false">IF($A237="","",$A237&amp;"|"&amp;$B237)</f>
        <v/>
      </c>
    </row>
    <row r="238" customFormat="false" ht="18" hidden="false" customHeight="true" outlineLevel="0" collapsed="false">
      <c r="A238" s="36"/>
      <c r="B238" s="36"/>
      <c r="C238" s="48" t="str">
        <f aca="false">IF($B238="","",IFERROR(VLOOKUP($B238,资产台账!$B$4:$N$53,2,0)&amp;"","台账中未登记"))</f>
        <v/>
      </c>
      <c r="D238" s="43" t="str">
        <f aca="false">IF($B238="","",IFERROR(VLOOKUP($B238,资产台账!$B$4:$N$53,3,0)&amp;"",""))</f>
        <v/>
      </c>
      <c r="E238" s="43" t="str">
        <f aca="false">IF($B238="","",IFERROR(VLOOKUP($B238,资产台账!$B$4:$N$53,5,0)&amp;"",""))</f>
        <v/>
      </c>
      <c r="F238" s="44"/>
      <c r="G238" s="44"/>
      <c r="H238" s="44"/>
      <c r="I238" s="44"/>
      <c r="J238" s="44"/>
      <c r="K238" s="44"/>
      <c r="L238" s="44"/>
      <c r="M238" s="44"/>
      <c r="N238" s="44"/>
      <c r="O238" s="44"/>
      <c r="P238" s="44"/>
      <c r="Q238" s="44"/>
      <c r="R238" s="45" t="str">
        <f aca="false">IF($A238="","",SUM(H238:Q238))</f>
        <v/>
      </c>
      <c r="S238" s="45" t="str">
        <f aca="false">IF($A238="","",ROUND($F238-$G238-$R238,2))</f>
        <v/>
      </c>
      <c r="T238" s="28" t="str">
        <f aca="false">IF(OR($A238="",$F238=0),"",$R238/$F238)</f>
        <v/>
      </c>
      <c r="U238" s="35"/>
      <c r="V238" s="0" t="str">
        <f aca="false">IF($A238="","",$A238&amp;"|"&amp;$B238)</f>
        <v/>
      </c>
    </row>
    <row r="239" customFormat="false" ht="18" hidden="false" customHeight="true" outlineLevel="0" collapsed="false">
      <c r="A239" s="36"/>
      <c r="B239" s="36"/>
      <c r="C239" s="48" t="str">
        <f aca="false">IF($B239="","",IFERROR(VLOOKUP($B239,资产台账!$B$4:$N$53,2,0)&amp;"","台账中未登记"))</f>
        <v/>
      </c>
      <c r="D239" s="43" t="str">
        <f aca="false">IF($B239="","",IFERROR(VLOOKUP($B239,资产台账!$B$4:$N$53,3,0)&amp;"",""))</f>
        <v/>
      </c>
      <c r="E239" s="43" t="str">
        <f aca="false">IF($B239="","",IFERROR(VLOOKUP($B239,资产台账!$B$4:$N$53,5,0)&amp;"",""))</f>
        <v/>
      </c>
      <c r="F239" s="44"/>
      <c r="G239" s="44"/>
      <c r="H239" s="44"/>
      <c r="I239" s="44"/>
      <c r="J239" s="44"/>
      <c r="K239" s="44"/>
      <c r="L239" s="44"/>
      <c r="M239" s="44"/>
      <c r="N239" s="44"/>
      <c r="O239" s="44"/>
      <c r="P239" s="44"/>
      <c r="Q239" s="44"/>
      <c r="R239" s="45" t="str">
        <f aca="false">IF($A239="","",SUM(H239:Q239))</f>
        <v/>
      </c>
      <c r="S239" s="45" t="str">
        <f aca="false">IF($A239="","",ROUND($F239-$G239-$R239,2))</f>
        <v/>
      </c>
      <c r="T239" s="28" t="str">
        <f aca="false">IF(OR($A239="",$F239=0),"",$R239/$F239)</f>
        <v/>
      </c>
      <c r="U239" s="35"/>
      <c r="V239" s="0" t="str">
        <f aca="false">IF($A239="","",$A239&amp;"|"&amp;$B239)</f>
        <v/>
      </c>
    </row>
    <row r="240" customFormat="false" ht="18" hidden="false" customHeight="true" outlineLevel="0" collapsed="false">
      <c r="A240" s="36"/>
      <c r="B240" s="36"/>
      <c r="C240" s="48" t="str">
        <f aca="false">IF($B240="","",IFERROR(VLOOKUP($B240,资产台账!$B$4:$N$53,2,0)&amp;"","台账中未登记"))</f>
        <v/>
      </c>
      <c r="D240" s="43" t="str">
        <f aca="false">IF($B240="","",IFERROR(VLOOKUP($B240,资产台账!$B$4:$N$53,3,0)&amp;"",""))</f>
        <v/>
      </c>
      <c r="E240" s="43" t="str">
        <f aca="false">IF($B240="","",IFERROR(VLOOKUP($B240,资产台账!$B$4:$N$53,5,0)&amp;"",""))</f>
        <v/>
      </c>
      <c r="F240" s="44"/>
      <c r="G240" s="44"/>
      <c r="H240" s="44"/>
      <c r="I240" s="44"/>
      <c r="J240" s="44"/>
      <c r="K240" s="44"/>
      <c r="L240" s="44"/>
      <c r="M240" s="44"/>
      <c r="N240" s="44"/>
      <c r="O240" s="44"/>
      <c r="P240" s="44"/>
      <c r="Q240" s="44"/>
      <c r="R240" s="45" t="str">
        <f aca="false">IF($A240="","",SUM(H240:Q240))</f>
        <v/>
      </c>
      <c r="S240" s="45" t="str">
        <f aca="false">IF($A240="","",ROUND($F240-$G240-$R240,2))</f>
        <v/>
      </c>
      <c r="T240" s="28" t="str">
        <f aca="false">IF(OR($A240="",$F240=0),"",$R240/$F240)</f>
        <v/>
      </c>
      <c r="U240" s="35"/>
      <c r="V240" s="0" t="str">
        <f aca="false">IF($A240="","",$A240&amp;"|"&amp;$B240)</f>
        <v/>
      </c>
    </row>
    <row r="241" customFormat="false" ht="18" hidden="false" customHeight="true" outlineLevel="0" collapsed="false">
      <c r="A241" s="36"/>
      <c r="B241" s="36"/>
      <c r="C241" s="48" t="str">
        <f aca="false">IF($B241="","",IFERROR(VLOOKUP($B241,资产台账!$B$4:$N$53,2,0)&amp;"","台账中未登记"))</f>
        <v/>
      </c>
      <c r="D241" s="43" t="str">
        <f aca="false">IF($B241="","",IFERROR(VLOOKUP($B241,资产台账!$B$4:$N$53,3,0)&amp;"",""))</f>
        <v/>
      </c>
      <c r="E241" s="43" t="str">
        <f aca="false">IF($B241="","",IFERROR(VLOOKUP($B241,资产台账!$B$4:$N$53,5,0)&amp;"",""))</f>
        <v/>
      </c>
      <c r="F241" s="44"/>
      <c r="G241" s="44"/>
      <c r="H241" s="44"/>
      <c r="I241" s="44"/>
      <c r="J241" s="44"/>
      <c r="K241" s="44"/>
      <c r="L241" s="44"/>
      <c r="M241" s="44"/>
      <c r="N241" s="44"/>
      <c r="O241" s="44"/>
      <c r="P241" s="44"/>
      <c r="Q241" s="44"/>
      <c r="R241" s="45" t="str">
        <f aca="false">IF($A241="","",SUM(H241:Q241))</f>
        <v/>
      </c>
      <c r="S241" s="45" t="str">
        <f aca="false">IF($A241="","",ROUND($F241-$G241-$R241,2))</f>
        <v/>
      </c>
      <c r="T241" s="28" t="str">
        <f aca="false">IF(OR($A241="",$F241=0),"",$R241/$F241)</f>
        <v/>
      </c>
      <c r="U241" s="35"/>
      <c r="V241" s="0" t="str">
        <f aca="false">IF($A241="","",$A241&amp;"|"&amp;$B241)</f>
        <v/>
      </c>
    </row>
    <row r="242" customFormat="false" ht="18" hidden="false" customHeight="true" outlineLevel="0" collapsed="false">
      <c r="A242" s="36"/>
      <c r="B242" s="36"/>
      <c r="C242" s="48" t="str">
        <f aca="false">IF($B242="","",IFERROR(VLOOKUP($B242,资产台账!$B$4:$N$53,2,0)&amp;"","台账中未登记"))</f>
        <v/>
      </c>
      <c r="D242" s="43" t="str">
        <f aca="false">IF($B242="","",IFERROR(VLOOKUP($B242,资产台账!$B$4:$N$53,3,0)&amp;"",""))</f>
        <v/>
      </c>
      <c r="E242" s="43" t="str">
        <f aca="false">IF($B242="","",IFERROR(VLOOKUP($B242,资产台账!$B$4:$N$53,5,0)&amp;"",""))</f>
        <v/>
      </c>
      <c r="F242" s="44"/>
      <c r="G242" s="44"/>
      <c r="H242" s="44"/>
      <c r="I242" s="44"/>
      <c r="J242" s="44"/>
      <c r="K242" s="44"/>
      <c r="L242" s="44"/>
      <c r="M242" s="44"/>
      <c r="N242" s="44"/>
      <c r="O242" s="44"/>
      <c r="P242" s="44"/>
      <c r="Q242" s="44"/>
      <c r="R242" s="45" t="str">
        <f aca="false">IF($A242="","",SUM(H242:Q242))</f>
        <v/>
      </c>
      <c r="S242" s="45" t="str">
        <f aca="false">IF($A242="","",ROUND($F242-$G242-$R242,2))</f>
        <v/>
      </c>
      <c r="T242" s="28" t="str">
        <f aca="false">IF(OR($A242="",$F242=0),"",$R242/$F242)</f>
        <v/>
      </c>
      <c r="U242" s="35"/>
      <c r="V242" s="0" t="str">
        <f aca="false">IF($A242="","",$A242&amp;"|"&amp;$B242)</f>
        <v/>
      </c>
    </row>
    <row r="243" customFormat="false" ht="18" hidden="false" customHeight="true" outlineLevel="0" collapsed="false">
      <c r="A243" s="36"/>
      <c r="B243" s="36"/>
      <c r="C243" s="48" t="str">
        <f aca="false">IF($B243="","",IFERROR(VLOOKUP($B243,资产台账!$B$4:$N$53,2,0)&amp;"","台账中未登记"))</f>
        <v/>
      </c>
      <c r="D243" s="43" t="str">
        <f aca="false">IF($B243="","",IFERROR(VLOOKUP($B243,资产台账!$B$4:$N$53,3,0)&amp;"",""))</f>
        <v/>
      </c>
      <c r="E243" s="43" t="str">
        <f aca="false">IF($B243="","",IFERROR(VLOOKUP($B243,资产台账!$B$4:$N$53,5,0)&amp;"",""))</f>
        <v/>
      </c>
      <c r="F243" s="44"/>
      <c r="G243" s="44"/>
      <c r="H243" s="44"/>
      <c r="I243" s="44"/>
      <c r="J243" s="44"/>
      <c r="K243" s="44"/>
      <c r="L243" s="44"/>
      <c r="M243" s="44"/>
      <c r="N243" s="44"/>
      <c r="O243" s="44"/>
      <c r="P243" s="44"/>
      <c r="Q243" s="44"/>
      <c r="R243" s="45" t="str">
        <f aca="false">IF($A243="","",SUM(H243:Q243))</f>
        <v/>
      </c>
      <c r="S243" s="45" t="str">
        <f aca="false">IF($A243="","",ROUND($F243-$G243-$R243,2))</f>
        <v/>
      </c>
      <c r="T243" s="28" t="str">
        <f aca="false">IF(OR($A243="",$F243=0),"",$R243/$F243)</f>
        <v/>
      </c>
      <c r="U243" s="35"/>
      <c r="V243" s="0" t="str">
        <f aca="false">IF($A243="","",$A243&amp;"|"&amp;$B243)</f>
        <v/>
      </c>
    </row>
    <row r="244" customFormat="false" ht="18" hidden="false" customHeight="true" outlineLevel="0" collapsed="false">
      <c r="A244" s="36"/>
      <c r="B244" s="36"/>
      <c r="C244" s="48" t="str">
        <f aca="false">IF($B244="","",IFERROR(VLOOKUP($B244,资产台账!$B$4:$N$53,2,0)&amp;"","台账中未登记"))</f>
        <v/>
      </c>
      <c r="D244" s="43" t="str">
        <f aca="false">IF($B244="","",IFERROR(VLOOKUP($B244,资产台账!$B$4:$N$53,3,0)&amp;"",""))</f>
        <v/>
      </c>
      <c r="E244" s="43" t="str">
        <f aca="false">IF($B244="","",IFERROR(VLOOKUP($B244,资产台账!$B$4:$N$53,5,0)&amp;"",""))</f>
        <v/>
      </c>
      <c r="F244" s="44"/>
      <c r="G244" s="44"/>
      <c r="H244" s="44"/>
      <c r="I244" s="44"/>
      <c r="J244" s="44"/>
      <c r="K244" s="44"/>
      <c r="L244" s="44"/>
      <c r="M244" s="44"/>
      <c r="N244" s="44"/>
      <c r="O244" s="44"/>
      <c r="P244" s="44"/>
      <c r="Q244" s="44"/>
      <c r="R244" s="45" t="str">
        <f aca="false">IF($A244="","",SUM(H244:Q244))</f>
        <v/>
      </c>
      <c r="S244" s="45" t="str">
        <f aca="false">IF($A244="","",ROUND($F244-$G244-$R244,2))</f>
        <v/>
      </c>
      <c r="T244" s="28" t="str">
        <f aca="false">IF(OR($A244="",$F244=0),"",$R244/$F244)</f>
        <v/>
      </c>
      <c r="U244" s="35"/>
      <c r="V244" s="0" t="str">
        <f aca="false">IF($A244="","",$A244&amp;"|"&amp;$B244)</f>
        <v/>
      </c>
    </row>
    <row r="245" customFormat="false" ht="18" hidden="false" customHeight="true" outlineLevel="0" collapsed="false">
      <c r="A245" s="36"/>
      <c r="B245" s="36"/>
      <c r="C245" s="48" t="str">
        <f aca="false">IF($B245="","",IFERROR(VLOOKUP($B245,资产台账!$B$4:$N$53,2,0)&amp;"","台账中未登记"))</f>
        <v/>
      </c>
      <c r="D245" s="43" t="str">
        <f aca="false">IF($B245="","",IFERROR(VLOOKUP($B245,资产台账!$B$4:$N$53,3,0)&amp;"",""))</f>
        <v/>
      </c>
      <c r="E245" s="43" t="str">
        <f aca="false">IF($B245="","",IFERROR(VLOOKUP($B245,资产台账!$B$4:$N$53,5,0)&amp;"",""))</f>
        <v/>
      </c>
      <c r="F245" s="44"/>
      <c r="G245" s="44"/>
      <c r="H245" s="44"/>
      <c r="I245" s="44"/>
      <c r="J245" s="44"/>
      <c r="K245" s="44"/>
      <c r="L245" s="44"/>
      <c r="M245" s="44"/>
      <c r="N245" s="44"/>
      <c r="O245" s="44"/>
      <c r="P245" s="44"/>
      <c r="Q245" s="44"/>
      <c r="R245" s="45" t="str">
        <f aca="false">IF($A245="","",SUM(H245:Q245))</f>
        <v/>
      </c>
      <c r="S245" s="45" t="str">
        <f aca="false">IF($A245="","",ROUND($F245-$G245-$R245,2))</f>
        <v/>
      </c>
      <c r="T245" s="28" t="str">
        <f aca="false">IF(OR($A245="",$F245=0),"",$R245/$F245)</f>
        <v/>
      </c>
      <c r="U245" s="35"/>
      <c r="V245" s="0" t="str">
        <f aca="false">IF($A245="","",$A245&amp;"|"&amp;$B245)</f>
        <v/>
      </c>
    </row>
  </sheetData>
  <autoFilter ref="A5:U245"/>
  <mergeCells count="15">
    <mergeCell ref="A1:B1"/>
    <mergeCell ref="C1:U1"/>
    <mergeCell ref="A2:U2"/>
    <mergeCell ref="A3:A5"/>
    <mergeCell ref="B3:B5"/>
    <mergeCell ref="C3:C5"/>
    <mergeCell ref="D3:D5"/>
    <mergeCell ref="E3:E5"/>
    <mergeCell ref="F3:F5"/>
    <mergeCell ref="G3:G5"/>
    <mergeCell ref="H3:Q3"/>
    <mergeCell ref="R3:R5"/>
    <mergeCell ref="S3:S5"/>
    <mergeCell ref="T3:T5"/>
    <mergeCell ref="U3:U5"/>
  </mergeCells>
  <conditionalFormatting sqref="S6:S245">
    <cfRule type="expression" priority="2" aboveAverage="0" equalAverage="0" bottom="0" percent="0" rank="0" text="" dxfId="0">
      <formula>AND($A6&lt;&gt;"",$S6&lt;&gt;0)</formula>
    </cfRule>
  </conditionalFormatting>
  <dataValidations count="2">
    <dataValidation allowBlank="true" errorStyle="stop" operator="between" showDropDown="false" showErrorMessage="false" showInputMessage="false" sqref="A6:A245" type="list">
      <formula1>"2026-01,2026-02,2026-03,2026-04,2026-05,2026-06,2026-07,2026-08,2026-09,2026-10,2026-11,2026-12"</formula1>
      <formula2>0</formula2>
    </dataValidation>
    <dataValidation allowBlank="true" errorStyle="stop" operator="between" showDropDown="false" showErrorMessage="false" showInputMessage="false" sqref="B6:B245" type="list">
      <formula1>资产编号列表</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550A"/>
    <pageSetUpPr fitToPage="true"/>
  </sheetPr>
  <dimension ref="A1:X2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2" min="1" style="0" width="11"/>
    <col collapsed="false" customWidth="true" hidden="false" outlineLevel="0" max="3" min="3" style="0" width="24"/>
    <col collapsed="false" customWidth="true" hidden="false" outlineLevel="0" max="5" min="4" style="0" width="11"/>
    <col collapsed="false" customWidth="true" hidden="false" outlineLevel="0" max="6" min="6" style="0" width="14"/>
    <col collapsed="false" customWidth="true" hidden="false" outlineLevel="0" max="7" min="7" style="0" width="13"/>
    <col collapsed="false" customWidth="true" hidden="false" outlineLevel="0" max="8" min="8" style="0" width="12"/>
    <col collapsed="false" customWidth="true" hidden="false" outlineLevel="0" max="9" min="9" style="0" width="13"/>
    <col collapsed="false" customWidth="true" hidden="false" outlineLevel="0" max="19" min="10" style="0" width="12"/>
    <col collapsed="false" customWidth="true" hidden="false" outlineLevel="0" max="20" min="20" style="0" width="13"/>
    <col collapsed="false" customWidth="true" hidden="false" outlineLevel="0" max="21" min="21" style="0" width="15"/>
    <col collapsed="false" customWidth="true" hidden="false" outlineLevel="0" max="22" min="22" style="0" width="20"/>
    <col collapsed="false" customWidth="true" hidden="true" outlineLevel="0" max="24" min="23" style="0" width="13"/>
  </cols>
  <sheetData>
    <row r="1" customFormat="false" ht="43.5" hidden="false" customHeight="true" outlineLevel="0" collapsed="false">
      <c r="A1" s="1" t="s">
        <v>0</v>
      </c>
      <c r="B1" s="1"/>
      <c r="C1" s="2" t="str">
        <f aca="false">IF(使用说明!$B$2="","",使用说明!$B$2&amp;"    ")&amp;"八、《仪器、设备工时费用分配表》（财务按月按项目核算、按年汇总，2026年度）"</f>
        <v>八、《仪器、设备工时费用分配表》（财务按月按项目核算、按年汇总，2026年度）</v>
      </c>
      <c r="D1" s="2"/>
      <c r="E1" s="2"/>
      <c r="F1" s="2"/>
      <c r="G1" s="2"/>
      <c r="H1" s="2"/>
      <c r="I1" s="2"/>
      <c r="J1" s="2"/>
      <c r="K1" s="2"/>
      <c r="L1" s="2"/>
      <c r="M1" s="2"/>
      <c r="N1" s="2"/>
      <c r="O1" s="2"/>
      <c r="P1" s="2"/>
      <c r="Q1" s="2"/>
      <c r="R1" s="2"/>
      <c r="S1" s="2"/>
      <c r="T1" s="2"/>
      <c r="U1" s="2"/>
      <c r="V1" s="2"/>
    </row>
    <row r="2" customFormat="false" ht="30" hidden="false" customHeight="true" outlineLevel="0" collapsed="false">
      <c r="A2" s="17" t="s">
        <v>258</v>
      </c>
      <c r="B2" s="17"/>
      <c r="C2" s="17"/>
      <c r="D2" s="17"/>
      <c r="E2" s="17"/>
      <c r="F2" s="17"/>
      <c r="G2" s="17"/>
      <c r="H2" s="17"/>
      <c r="I2" s="17"/>
      <c r="J2" s="17"/>
      <c r="K2" s="17"/>
      <c r="L2" s="17"/>
      <c r="M2" s="17"/>
      <c r="N2" s="17"/>
      <c r="O2" s="17"/>
      <c r="P2" s="17"/>
      <c r="Q2" s="17"/>
      <c r="R2" s="17"/>
      <c r="S2" s="17"/>
      <c r="T2" s="17"/>
      <c r="U2" s="17"/>
      <c r="V2" s="17"/>
    </row>
    <row r="3" customFormat="false" ht="25.5" hidden="false" customHeight="true" outlineLevel="0" collapsed="false">
      <c r="A3" s="18" t="s">
        <v>224</v>
      </c>
      <c r="B3" s="18" t="s">
        <v>181</v>
      </c>
      <c r="C3" s="18" t="s">
        <v>182</v>
      </c>
      <c r="D3" s="18" t="s">
        <v>183</v>
      </c>
      <c r="E3" s="18" t="s">
        <v>190</v>
      </c>
      <c r="F3" s="18" t="s">
        <v>259</v>
      </c>
      <c r="G3" s="18" t="s">
        <v>253</v>
      </c>
      <c r="H3" s="18" t="s">
        <v>256</v>
      </c>
      <c r="I3" s="18" t="s">
        <v>260</v>
      </c>
      <c r="J3" s="18" t="s">
        <v>261</v>
      </c>
      <c r="K3" s="18"/>
      <c r="L3" s="18"/>
      <c r="M3" s="18"/>
      <c r="N3" s="18"/>
      <c r="O3" s="18"/>
      <c r="P3" s="18"/>
      <c r="Q3" s="18"/>
      <c r="R3" s="18"/>
      <c r="S3" s="18"/>
      <c r="T3" s="18" t="s">
        <v>262</v>
      </c>
      <c r="U3" s="18" t="s">
        <v>263</v>
      </c>
      <c r="V3" s="46" t="s">
        <v>249</v>
      </c>
    </row>
    <row r="4" customFormat="false" ht="18" hidden="false" customHeight="true" outlineLevel="0" collapsed="false">
      <c r="A4" s="18"/>
      <c r="B4" s="18"/>
      <c r="C4" s="18"/>
      <c r="D4" s="18"/>
      <c r="E4" s="18"/>
      <c r="F4" s="18"/>
      <c r="G4" s="18"/>
      <c r="H4" s="18"/>
      <c r="I4" s="18"/>
      <c r="J4" s="40" t="str">
        <f aca="false">项目清单!$B$4</f>
        <v>RD01</v>
      </c>
      <c r="K4" s="40" t="str">
        <f aca="false">项目清单!$B$5</f>
        <v>RD02</v>
      </c>
      <c r="L4" s="40" t="str">
        <f aca="false">项目清单!$B$6</f>
        <v>RD03</v>
      </c>
      <c r="M4" s="40" t="str">
        <f aca="false">项目清单!$B$7</f>
        <v>RD04</v>
      </c>
      <c r="N4" s="40" t="str">
        <f aca="false">项目清单!$B$8</f>
        <v>RD05</v>
      </c>
      <c r="O4" s="40" t="str">
        <f aca="false">项目清单!$B$9</f>
        <v>RD06</v>
      </c>
      <c r="P4" s="40" t="str">
        <f aca="false">项目清单!$B$10</f>
        <v>RD07</v>
      </c>
      <c r="Q4" s="40" t="str">
        <f aca="false">项目清单!$B$11</f>
        <v>RD08</v>
      </c>
      <c r="R4" s="40" t="str">
        <f aca="false">项目清单!$B$12</f>
        <v>RD09</v>
      </c>
      <c r="S4" s="40" t="str">
        <f aca="false">项目清单!$B$13</f>
        <v>RD10</v>
      </c>
      <c r="T4" s="18"/>
      <c r="U4" s="18"/>
      <c r="V4" s="46"/>
    </row>
    <row r="5" customFormat="false" ht="33.75" hidden="false" customHeight="true" outlineLevel="0" collapsed="false">
      <c r="A5" s="18"/>
      <c r="B5" s="18"/>
      <c r="C5" s="18"/>
      <c r="D5" s="18"/>
      <c r="E5" s="18"/>
      <c r="F5" s="18"/>
      <c r="G5" s="18"/>
      <c r="H5" s="18"/>
      <c r="I5" s="18"/>
      <c r="J5" s="41" t="str">
        <f aca="false">IF(J4="","",IFERROR(VLOOKUP(J4,项目清单!$B$4:$C$13,2,0)&amp;"",""))</f>
        <v>高回弹低压缩永久变形3C用聚氨酯泡棉开发</v>
      </c>
      <c r="K5" s="41" t="str">
        <f aca="false">IF(K4="","",IFERROR(VLOOKUP(K4,项目清单!$B$4:$C$13,2,0)&amp;"",""))</f>
        <v>动力电池模组用高阻燃缓冲泡棉研发</v>
      </c>
      <c r="L5" s="41" t="str">
        <f aca="false">IF(L4="","",IFERROR(VLOOKUP(L4,项目清单!$B$4:$C$13,2,0)&amp;"",""))</f>
        <v>泡棉与PET基材无溶剂贴合工艺开发</v>
      </c>
      <c r="M5" s="41" t="str">
        <f aca="false">IF(M4="","",IFERROR(VLOOKUP(M4,项目清单!$B$4:$C$13,2,0)&amp;"",""))</f>
        <v>超薄泡棉高精度分切及毛边控制技术研究</v>
      </c>
      <c r="N5" s="41" t="str">
        <f aca="false">IF(N4="","",IFERROR(VLOOKUP(N4,项目清单!$B$4:$C$13,2,0)&amp;"",""))</f>
        <v>新能源汽车电池包用导热缓冲复合材料开发</v>
      </c>
      <c r="O5" s="41" t="str">
        <f aca="false">IF(O4="","",IFERROR(VLOOKUP(O4,项目清单!$B$4:$C$13,2,0)&amp;"",""))</f>
        <v>3C电子用超薄黑色遮光泡棉制备技术</v>
      </c>
      <c r="P5" s="41" t="str">
        <f aca="false">IF(P4="","",IFERROR(VLOOKUP(P4,项目清单!$B$4:$C$13,2,0)&amp;"",""))</f>
        <v>环保型水性胶泡棉贴合技术开发</v>
      </c>
      <c r="Q5" s="41" t="str">
        <f aca="false">IF(Q4="","",IFERROR(VLOOKUP(Q4,项目清单!$B$4:$C$13,2,0)&amp;"",""))</f>
        <v>泡棉模切自动化在线检测技术研究</v>
      </c>
      <c r="R5" s="41" t="str">
        <f aca="false">IF(R4="","",IFERROR(VLOOKUP(R4,项目清单!$B$4:$C$13,2,0)&amp;"",""))</f>
        <v/>
      </c>
      <c r="S5" s="41" t="str">
        <f aca="false">IF(S4="","",IFERROR(VLOOKUP(S4,项目清单!$B$4:$C$13,2,0)&amp;"",""))</f>
        <v/>
      </c>
      <c r="T5" s="18"/>
      <c r="U5" s="18"/>
      <c r="V5" s="46"/>
      <c r="W5" s="42" t="s">
        <v>250</v>
      </c>
      <c r="X5" s="42" t="s">
        <v>251</v>
      </c>
    </row>
    <row r="6" customFormat="false" ht="18" hidden="false" customHeight="true" outlineLevel="0" collapsed="false">
      <c r="A6" s="36" t="s">
        <v>100</v>
      </c>
      <c r="B6" s="36" t="s">
        <v>193</v>
      </c>
      <c r="C6" s="48" t="str">
        <f aca="false">IF($B6="","",IFERROR(VLOOKUP($B6,资产台账!$B$4:$N$53,2,0)&amp;"","台账中未登记"))</f>
        <v>（示例）连续发泡生产线</v>
      </c>
      <c r="D6" s="43" t="str">
        <f aca="false">IF($B6="","",IFERROR(VLOOKUP($B6,资产台账!$B$4:$N$53,3,0)&amp;"",""))</f>
        <v>设备</v>
      </c>
      <c r="E6" s="43" t="str">
        <f aca="false">IF($B6="","",IFERROR(VLOOKUP($B6,资产台账!$B$4:$N$53,10,0)&amp;"",""))</f>
        <v>折旧</v>
      </c>
      <c r="F6" s="49" t="n">
        <f aca="false">IF($B6="","",IFERROR(VLOOKUP($B6,资产台账!$B$4:$N$53,9,0),0))</f>
        <v>15000</v>
      </c>
      <c r="G6" s="45" t="n">
        <f aca="false">IF(OR($A6="",$W6=0),0,INDEX(仪器设备工时分配表!$F$6:$F$245,$W6))</f>
        <v>320</v>
      </c>
      <c r="H6" s="45" t="n">
        <f aca="false">IF(OR($A6="",$W6=0),0,INDEX(仪器设备工时分配表!$R$6:$R$245,$W6))</f>
        <v>60</v>
      </c>
      <c r="I6" s="28" t="n">
        <f aca="false">IF(OR($A6="",$G6=0),"",$H6/$G6)</f>
        <v>0.1875</v>
      </c>
      <c r="J6" s="27" t="n">
        <f aca="false">IF(OR($A6="",$G6=0),"",ROUND($F6*INDEX(仪器设备工时分配表!$H$6:$H$245,$W6)/$G6,2))</f>
        <v>1875</v>
      </c>
      <c r="K6" s="27" t="n">
        <f aca="false">IF(OR($A6="",$G6=0),"",ROUND($F6*INDEX(仪器设备工时分配表!$I$6:$I$245,$W6)/$G6,2))</f>
        <v>937.5</v>
      </c>
      <c r="L6" s="27" t="n">
        <f aca="false">IF(OR($A6="",$G6=0),"",ROUND($F6*INDEX(仪器设备工时分配表!$J$6:$J$245,$W6)/$G6,2))</f>
        <v>0</v>
      </c>
      <c r="M6" s="27" t="n">
        <f aca="false">IF(OR($A6="",$G6=0),"",ROUND($F6*INDEX(仪器设备工时分配表!$K$6:$K$245,$W6)/$G6,2))</f>
        <v>0</v>
      </c>
      <c r="N6" s="27" t="n">
        <f aca="false">IF(OR($A6="",$G6=0),"",ROUND($F6*INDEX(仪器设备工时分配表!$L$6:$L$245,$W6)/$G6,2))</f>
        <v>0</v>
      </c>
      <c r="O6" s="27" t="n">
        <f aca="false">IF(OR($A6="",$G6=0),"",ROUND($F6*INDEX(仪器设备工时分配表!$M$6:$M$245,$W6)/$G6,2))</f>
        <v>0</v>
      </c>
      <c r="P6" s="27" t="n">
        <f aca="false">IF(OR($A6="",$G6=0),"",ROUND($F6*INDEX(仪器设备工时分配表!$N$6:$N$245,$W6)/$G6,2))</f>
        <v>0</v>
      </c>
      <c r="Q6" s="27" t="n">
        <f aca="false">IF(OR($A6="",$G6=0),"",ROUND($F6*INDEX(仪器设备工时分配表!$O$6:$O$245,$W6)/$G6,2))</f>
        <v>0</v>
      </c>
      <c r="R6" s="27" t="n">
        <f aca="false">IF(OR($A6="",$G6=0),"",ROUND($F6*INDEX(仪器设备工时分配表!$P$6:$P$245,$W6)/$G6,2))</f>
        <v>0</v>
      </c>
      <c r="S6" s="27" t="n">
        <f aca="false">IF(OR($A6="",$G6=0),"",ROUND($F6*INDEX(仪器设备工时分配表!$Q$6:$Q$245,$W6)/$G6,2))</f>
        <v>0</v>
      </c>
      <c r="T6" s="27" t="n">
        <f aca="false">IF($A6="","",ROUND(SUM(J6:S6),2))</f>
        <v>2812.5</v>
      </c>
      <c r="U6" s="27" t="n">
        <f aca="false">IF($A6="","",ROUND($F6-T6,2))</f>
        <v>12187.5</v>
      </c>
      <c r="V6" s="43" t="str">
        <f aca="false">IF($A6="","",IF($D6="无形资产","⚠ 无形资产请在无形资产费用分配表登记",IF($W6=0,"⚠ 工时分配表无此资产当月记录",IF($X6&gt;1,"⚠ 工时分配表存在重复行","√ 正常"))))</f>
        <v>√ 正常</v>
      </c>
      <c r="W6" s="47" t="n">
        <f aca="false">IF($A6="",0,IFERROR(MATCH($A6&amp;"|"&amp;$B6,仪器设备工时分配表!$V$6:$V$245,0),0))</f>
        <v>1</v>
      </c>
      <c r="X6" s="47" t="n">
        <f aca="false">IF($A6="",0,COUNTIFS(仪器设备工时分配表!$A$6:$A$245,$A6,仪器设备工时分配表!$B$6:$B$245,$B6))</f>
        <v>1</v>
      </c>
    </row>
    <row r="7" customFormat="false" ht="18" hidden="false" customHeight="true" outlineLevel="0" collapsed="false">
      <c r="A7" s="36" t="s">
        <v>100</v>
      </c>
      <c r="B7" s="36" t="s">
        <v>199</v>
      </c>
      <c r="C7" s="48" t="str">
        <f aca="false">IF($B7="","",IFERROR(VLOOKUP($B7,资产台账!$B$4:$N$53,2,0)&amp;"","台账中未登记"))</f>
        <v>（示例）自动贴合复合机</v>
      </c>
      <c r="D7" s="43" t="str">
        <f aca="false">IF($B7="","",IFERROR(VLOOKUP($B7,资产台账!$B$4:$N$53,3,0)&amp;"",""))</f>
        <v>设备</v>
      </c>
      <c r="E7" s="43" t="str">
        <f aca="false">IF($B7="","",IFERROR(VLOOKUP($B7,资产台账!$B$4:$N$53,10,0)&amp;"",""))</f>
        <v>折旧</v>
      </c>
      <c r="F7" s="49" t="n">
        <f aca="false">IF($B7="","",IFERROR(VLOOKUP($B7,资产台账!$B$4:$N$53,9,0),0))</f>
        <v>8000</v>
      </c>
      <c r="G7" s="45" t="n">
        <f aca="false">IF(OR($A7="",$W7=0),0,INDEX(仪器设备工时分配表!$F$6:$F$245,$W7))</f>
        <v>300</v>
      </c>
      <c r="H7" s="45" t="n">
        <f aca="false">IF(OR($A7="",$W7=0),0,INDEX(仪器设备工时分配表!$R$6:$R$245,$W7))</f>
        <v>60</v>
      </c>
      <c r="I7" s="28" t="n">
        <f aca="false">IF(OR($A7="",$G7=0),"",$H7/$G7)</f>
        <v>0.2</v>
      </c>
      <c r="J7" s="27" t="n">
        <f aca="false">IF(OR($A7="",$G7=0),"",ROUND($F7*INDEX(仪器设备工时分配表!$H$6:$H$245,$W7)/$G7,2))</f>
        <v>0</v>
      </c>
      <c r="K7" s="27" t="n">
        <f aca="false">IF(OR($A7="",$G7=0),"",ROUND($F7*INDEX(仪器设备工时分配表!$I$6:$I$245,$W7)/$G7,2))</f>
        <v>0</v>
      </c>
      <c r="L7" s="27" t="n">
        <f aca="false">IF(OR($A7="",$G7=0),"",ROUND($F7*INDEX(仪器设备工时分配表!$J$6:$J$245,$W7)/$G7,2))</f>
        <v>1066.67</v>
      </c>
      <c r="M7" s="27" t="n">
        <f aca="false">IF(OR($A7="",$G7=0),"",ROUND($F7*INDEX(仪器设备工时分配表!$K$6:$K$245,$W7)/$G7,2))</f>
        <v>0</v>
      </c>
      <c r="N7" s="27" t="n">
        <f aca="false">IF(OR($A7="",$G7=0),"",ROUND($F7*INDEX(仪器设备工时分配表!$L$6:$L$245,$W7)/$G7,2))</f>
        <v>533.33</v>
      </c>
      <c r="O7" s="27" t="n">
        <f aca="false">IF(OR($A7="",$G7=0),"",ROUND($F7*INDEX(仪器设备工时分配表!$M$6:$M$245,$W7)/$G7,2))</f>
        <v>0</v>
      </c>
      <c r="P7" s="27" t="n">
        <f aca="false">IF(OR($A7="",$G7=0),"",ROUND($F7*INDEX(仪器设备工时分配表!$N$6:$N$245,$W7)/$G7,2))</f>
        <v>0</v>
      </c>
      <c r="Q7" s="27" t="n">
        <f aca="false">IF(OR($A7="",$G7=0),"",ROUND($F7*INDEX(仪器设备工时分配表!$O$6:$O$245,$W7)/$G7,2))</f>
        <v>0</v>
      </c>
      <c r="R7" s="27" t="n">
        <f aca="false">IF(OR($A7="",$G7=0),"",ROUND($F7*INDEX(仪器设备工时分配表!$P$6:$P$245,$W7)/$G7,2))</f>
        <v>0</v>
      </c>
      <c r="S7" s="27" t="n">
        <f aca="false">IF(OR($A7="",$G7=0),"",ROUND($F7*INDEX(仪器设备工时分配表!$Q$6:$Q$245,$W7)/$G7,2))</f>
        <v>0</v>
      </c>
      <c r="T7" s="27" t="n">
        <f aca="false">IF($A7="","",ROUND(SUM(J7:S7),2))</f>
        <v>1600</v>
      </c>
      <c r="U7" s="27" t="n">
        <f aca="false">IF($A7="","",ROUND($F7-T7,2))</f>
        <v>6400</v>
      </c>
      <c r="V7" s="43" t="str">
        <f aca="false">IF($A7="","",IF($D7="无形资产","⚠ 无形资产请在无形资产费用分配表登记",IF($W7=0,"⚠ 工时分配表无此资产当月记录",IF($X7&gt;1,"⚠ 工时分配表存在重复行","√ 正常"))))</f>
        <v>√ 正常</v>
      </c>
      <c r="W7" s="47" t="n">
        <f aca="false">IF($A7="",0,IFERROR(MATCH($A7&amp;"|"&amp;$B7,仪器设备工时分配表!$V$6:$V$245,0),0))</f>
        <v>2</v>
      </c>
      <c r="X7" s="47" t="n">
        <f aca="false">IF($A7="",0,COUNTIFS(仪器设备工时分配表!$A$6:$A$245,$A7,仪器设备工时分配表!$B$6:$B$245,$B7))</f>
        <v>1</v>
      </c>
    </row>
    <row r="8" customFormat="false" ht="18" hidden="false" customHeight="true" outlineLevel="0" collapsed="false">
      <c r="A8" s="36" t="s">
        <v>100</v>
      </c>
      <c r="B8" s="36" t="s">
        <v>203</v>
      </c>
      <c r="C8" s="48" t="str">
        <f aca="false">IF($B8="","",IFERROR(VLOOKUP($B8,资产台账!$B$4:$N$53,2,0)&amp;"","台账中未登记"))</f>
        <v>（示例）高精度分切机</v>
      </c>
      <c r="D8" s="43" t="str">
        <f aca="false">IF($B8="","",IFERROR(VLOOKUP($B8,资产台账!$B$4:$N$53,3,0)&amp;"",""))</f>
        <v>设备</v>
      </c>
      <c r="E8" s="43" t="str">
        <f aca="false">IF($B8="","",IFERROR(VLOOKUP($B8,资产台账!$B$4:$N$53,10,0)&amp;"",""))</f>
        <v>折旧</v>
      </c>
      <c r="F8" s="49" t="n">
        <f aca="false">IF($B8="","",IFERROR(VLOOKUP($B8,资产台账!$B$4:$N$53,9,0),0))</f>
        <v>5166.67</v>
      </c>
      <c r="G8" s="45" t="n">
        <f aca="false">IF(OR($A8="",$W8=0),0,INDEX(仪器设备工时分配表!$F$6:$F$245,$W8))</f>
        <v>280</v>
      </c>
      <c r="H8" s="45" t="n">
        <f aca="false">IF(OR($A8="",$W8=0),0,INDEX(仪器设备工时分配表!$R$6:$R$245,$W8))</f>
        <v>30</v>
      </c>
      <c r="I8" s="28" t="n">
        <f aca="false">IF(OR($A8="",$G8=0),"",$H8/$G8)</f>
        <v>0.107142857142857</v>
      </c>
      <c r="J8" s="27" t="n">
        <f aca="false">IF(OR($A8="",$G8=0),"",ROUND($F8*INDEX(仪器设备工时分配表!$H$6:$H$245,$W8)/$G8,2))</f>
        <v>0</v>
      </c>
      <c r="K8" s="27" t="n">
        <f aca="false">IF(OR($A8="",$G8=0),"",ROUND($F8*INDEX(仪器设备工时分配表!$I$6:$I$245,$W8)/$G8,2))</f>
        <v>0</v>
      </c>
      <c r="L8" s="27" t="n">
        <f aca="false">IF(OR($A8="",$G8=0),"",ROUND($F8*INDEX(仪器设备工时分配表!$J$6:$J$245,$W8)/$G8,2))</f>
        <v>0</v>
      </c>
      <c r="M8" s="27" t="n">
        <f aca="false">IF(OR($A8="",$G8=0),"",ROUND($F8*INDEX(仪器设备工时分配表!$K$6:$K$245,$W8)/$G8,2))</f>
        <v>553.57</v>
      </c>
      <c r="N8" s="27" t="n">
        <f aca="false">IF(OR($A8="",$G8=0),"",ROUND($F8*INDEX(仪器设备工时分配表!$L$6:$L$245,$W8)/$G8,2))</f>
        <v>0</v>
      </c>
      <c r="O8" s="27" t="n">
        <f aca="false">IF(OR($A8="",$G8=0),"",ROUND($F8*INDEX(仪器设备工时分配表!$M$6:$M$245,$W8)/$G8,2))</f>
        <v>0</v>
      </c>
      <c r="P8" s="27" t="n">
        <f aca="false">IF(OR($A8="",$G8=0),"",ROUND($F8*INDEX(仪器设备工时分配表!$N$6:$N$245,$W8)/$G8,2))</f>
        <v>0</v>
      </c>
      <c r="Q8" s="27" t="n">
        <f aca="false">IF(OR($A8="",$G8=0),"",ROUND($F8*INDEX(仪器设备工时分配表!$O$6:$O$245,$W8)/$G8,2))</f>
        <v>0</v>
      </c>
      <c r="R8" s="27" t="n">
        <f aca="false">IF(OR($A8="",$G8=0),"",ROUND($F8*INDEX(仪器设备工时分配表!$P$6:$P$245,$W8)/$G8,2))</f>
        <v>0</v>
      </c>
      <c r="S8" s="27" t="n">
        <f aca="false">IF(OR($A8="",$G8=0),"",ROUND($F8*INDEX(仪器设备工时分配表!$Q$6:$Q$245,$W8)/$G8,2))</f>
        <v>0</v>
      </c>
      <c r="T8" s="27" t="n">
        <f aca="false">IF($A8="","",ROUND(SUM(J8:S8),2))</f>
        <v>553.57</v>
      </c>
      <c r="U8" s="27" t="n">
        <f aca="false">IF($A8="","",ROUND($F8-T8,2))</f>
        <v>4613.1</v>
      </c>
      <c r="V8" s="43" t="str">
        <f aca="false">IF($A8="","",IF($D8="无形资产","⚠ 无形资产请在无形资产费用分配表登记",IF($W8=0,"⚠ 工时分配表无此资产当月记录",IF($X8&gt;1,"⚠ 工时分配表存在重复行","√ 正常"))))</f>
        <v>√ 正常</v>
      </c>
      <c r="W8" s="47" t="n">
        <f aca="false">IF($A8="",0,IFERROR(MATCH($A8&amp;"|"&amp;$B8,仪器设备工时分配表!$V$6:$V$245,0),0))</f>
        <v>3</v>
      </c>
      <c r="X8" s="47" t="n">
        <f aca="false">IF($A8="",0,COUNTIFS(仪器设备工时分配表!$A$6:$A$245,$A8,仪器设备工时分配表!$B$6:$B$245,$B8))</f>
        <v>1</v>
      </c>
    </row>
    <row r="9" customFormat="false" ht="18" hidden="false" customHeight="true" outlineLevel="0" collapsed="false">
      <c r="A9" s="36" t="s">
        <v>100</v>
      </c>
      <c r="B9" s="36" t="s">
        <v>212</v>
      </c>
      <c r="C9" s="48" t="str">
        <f aca="false">IF($B9="","",IFERROR(VLOOKUP($B9,资产台账!$B$4:$N$53,2,0)&amp;"","台账中未登记"))</f>
        <v>（示例）租入激光模切设备</v>
      </c>
      <c r="D9" s="43" t="str">
        <f aca="false">IF($B9="","",IFERROR(VLOOKUP($B9,资产台账!$B$4:$N$53,3,0)&amp;"",""))</f>
        <v>设备</v>
      </c>
      <c r="E9" s="43" t="str">
        <f aca="false">IF($B9="","",IFERROR(VLOOKUP($B9,资产台账!$B$4:$N$53,10,0)&amp;"",""))</f>
        <v>租赁费</v>
      </c>
      <c r="F9" s="49" t="n">
        <f aca="false">IF($B9="","",IFERROR(VLOOKUP($B9,资产台账!$B$4:$N$53,9,0),0))</f>
        <v>12000</v>
      </c>
      <c r="G9" s="45" t="n">
        <f aca="false">IF(OR($A9="",$W9=0),0,INDEX(仪器设备工时分配表!$F$6:$F$245,$W9))</f>
        <v>120</v>
      </c>
      <c r="H9" s="45" t="n">
        <f aca="false">IF(OR($A9="",$W9=0),0,INDEX(仪器设备工时分配表!$R$6:$R$245,$W9))</f>
        <v>120</v>
      </c>
      <c r="I9" s="28" t="n">
        <f aca="false">IF(OR($A9="",$G9=0),"",$H9/$G9)</f>
        <v>1</v>
      </c>
      <c r="J9" s="27" t="n">
        <f aca="false">IF(OR($A9="",$G9=0),"",ROUND($F9*INDEX(仪器设备工时分配表!$H$6:$H$245,$W9)/$G9,2))</f>
        <v>0</v>
      </c>
      <c r="K9" s="27" t="n">
        <f aca="false">IF(OR($A9="",$G9=0),"",ROUND($F9*INDEX(仪器设备工时分配表!$I$6:$I$245,$W9)/$G9,2))</f>
        <v>7000</v>
      </c>
      <c r="L9" s="27" t="n">
        <f aca="false">IF(OR($A9="",$G9=0),"",ROUND($F9*INDEX(仪器设备工时分配表!$J$6:$J$245,$W9)/$G9,2))</f>
        <v>0</v>
      </c>
      <c r="M9" s="27" t="n">
        <f aca="false">IF(OR($A9="",$G9=0),"",ROUND($F9*INDEX(仪器设备工时分配表!$K$6:$K$245,$W9)/$G9,2))</f>
        <v>0</v>
      </c>
      <c r="N9" s="27" t="n">
        <f aca="false">IF(OR($A9="",$G9=0),"",ROUND($F9*INDEX(仪器设备工时分配表!$L$6:$L$245,$W9)/$G9,2))</f>
        <v>5000</v>
      </c>
      <c r="O9" s="27" t="n">
        <f aca="false">IF(OR($A9="",$G9=0),"",ROUND($F9*INDEX(仪器设备工时分配表!$M$6:$M$245,$W9)/$G9,2))</f>
        <v>0</v>
      </c>
      <c r="P9" s="27" t="n">
        <f aca="false">IF(OR($A9="",$G9=0),"",ROUND($F9*INDEX(仪器设备工时分配表!$N$6:$N$245,$W9)/$G9,2))</f>
        <v>0</v>
      </c>
      <c r="Q9" s="27" t="n">
        <f aca="false">IF(OR($A9="",$G9=0),"",ROUND($F9*INDEX(仪器设备工时分配表!$O$6:$O$245,$W9)/$G9,2))</f>
        <v>0</v>
      </c>
      <c r="R9" s="27" t="n">
        <f aca="false">IF(OR($A9="",$G9=0),"",ROUND($F9*INDEX(仪器设备工时分配表!$P$6:$P$245,$W9)/$G9,2))</f>
        <v>0</v>
      </c>
      <c r="S9" s="27" t="n">
        <f aca="false">IF(OR($A9="",$G9=0),"",ROUND($F9*INDEX(仪器设备工时分配表!$Q$6:$Q$245,$W9)/$G9,2))</f>
        <v>0</v>
      </c>
      <c r="T9" s="27" t="n">
        <f aca="false">IF($A9="","",ROUND(SUM(J9:S9),2))</f>
        <v>12000</v>
      </c>
      <c r="U9" s="27" t="n">
        <f aca="false">IF($A9="","",ROUND($F9-T9,2))</f>
        <v>0</v>
      </c>
      <c r="V9" s="43" t="str">
        <f aca="false">IF($A9="","",IF($D9="无形资产","⚠ 无形资产请在无形资产费用分配表登记",IF($W9=0,"⚠ 工时分配表无此资产当月记录",IF($X9&gt;1,"⚠ 工时分配表存在重复行","√ 正常"))))</f>
        <v>√ 正常</v>
      </c>
      <c r="W9" s="47" t="n">
        <f aca="false">IF($A9="",0,IFERROR(MATCH($A9&amp;"|"&amp;$B9,仪器设备工时分配表!$V$6:$V$245,0),0))</f>
        <v>4</v>
      </c>
      <c r="X9" s="47" t="n">
        <f aca="false">IF($A9="",0,COUNTIFS(仪器设备工时分配表!$A$6:$A$245,$A9,仪器设备工时分配表!$B$6:$B$245,$B9))</f>
        <v>1</v>
      </c>
    </row>
    <row r="10" customFormat="false" ht="18" hidden="false" customHeight="true" outlineLevel="0" collapsed="false">
      <c r="A10" s="36"/>
      <c r="B10" s="36"/>
      <c r="C10" s="48" t="str">
        <f aca="false">IF($B10="","",IFERROR(VLOOKUP($B10,资产台账!$B$4:$N$53,2,0)&amp;"","台账中未登记"))</f>
        <v/>
      </c>
      <c r="D10" s="43" t="str">
        <f aca="false">IF($B10="","",IFERROR(VLOOKUP($B10,资产台账!$B$4:$N$53,3,0)&amp;"",""))</f>
        <v/>
      </c>
      <c r="E10" s="43" t="str">
        <f aca="false">IF($B10="","",IFERROR(VLOOKUP($B10,资产台账!$B$4:$N$53,10,0)&amp;"",""))</f>
        <v/>
      </c>
      <c r="F10" s="49" t="str">
        <f aca="false">IF($B10="","",IFERROR(VLOOKUP($B10,资产台账!$B$4:$N$53,9,0),0))</f>
        <v/>
      </c>
      <c r="G10" s="45" t="n">
        <f aca="false">IF(OR($A10="",$W10=0),0,INDEX(仪器设备工时分配表!$F$6:$F$245,$W10))</f>
        <v>0</v>
      </c>
      <c r="H10" s="45" t="n">
        <f aca="false">IF(OR($A10="",$W10=0),0,INDEX(仪器设备工时分配表!$R$6:$R$245,$W10))</f>
        <v>0</v>
      </c>
      <c r="I10" s="28" t="str">
        <f aca="false">IF(OR($A10="",$G10=0),"",$H10/$G10)</f>
        <v/>
      </c>
      <c r="J10" s="27" t="str">
        <f aca="false">IF(OR($A10="",$G10=0),"",ROUND($F10*INDEX(仪器设备工时分配表!$H$6:$H$245,$W10)/$G10,2))</f>
        <v/>
      </c>
      <c r="K10" s="27" t="str">
        <f aca="false">IF(OR($A10="",$G10=0),"",ROUND($F10*INDEX(仪器设备工时分配表!$I$6:$I$245,$W10)/$G10,2))</f>
        <v/>
      </c>
      <c r="L10" s="27" t="str">
        <f aca="false">IF(OR($A10="",$G10=0),"",ROUND($F10*INDEX(仪器设备工时分配表!$J$6:$J$245,$W10)/$G10,2))</f>
        <v/>
      </c>
      <c r="M10" s="27" t="str">
        <f aca="false">IF(OR($A10="",$G10=0),"",ROUND($F10*INDEX(仪器设备工时分配表!$K$6:$K$245,$W10)/$G10,2))</f>
        <v/>
      </c>
      <c r="N10" s="27" t="str">
        <f aca="false">IF(OR($A10="",$G10=0),"",ROUND($F10*INDEX(仪器设备工时分配表!$L$6:$L$245,$W10)/$G10,2))</f>
        <v/>
      </c>
      <c r="O10" s="27" t="str">
        <f aca="false">IF(OR($A10="",$G10=0),"",ROUND($F10*INDEX(仪器设备工时分配表!$M$6:$M$245,$W10)/$G10,2))</f>
        <v/>
      </c>
      <c r="P10" s="27" t="str">
        <f aca="false">IF(OR($A10="",$G10=0),"",ROUND($F10*INDEX(仪器设备工时分配表!$N$6:$N$245,$W10)/$G10,2))</f>
        <v/>
      </c>
      <c r="Q10" s="27" t="str">
        <f aca="false">IF(OR($A10="",$G10=0),"",ROUND($F10*INDEX(仪器设备工时分配表!$O$6:$O$245,$W10)/$G10,2))</f>
        <v/>
      </c>
      <c r="R10" s="27" t="str">
        <f aca="false">IF(OR($A10="",$G10=0),"",ROUND($F10*INDEX(仪器设备工时分配表!$P$6:$P$245,$W10)/$G10,2))</f>
        <v/>
      </c>
      <c r="S10" s="27" t="str">
        <f aca="false">IF(OR($A10="",$G10=0),"",ROUND($F10*INDEX(仪器设备工时分配表!$Q$6:$Q$245,$W10)/$G10,2))</f>
        <v/>
      </c>
      <c r="T10" s="27" t="str">
        <f aca="false">IF($A10="","",ROUND(SUM(J10:S10),2))</f>
        <v/>
      </c>
      <c r="U10" s="27" t="str">
        <f aca="false">IF($A10="","",ROUND($F10-T10,2))</f>
        <v/>
      </c>
      <c r="V10" s="43" t="str">
        <f aca="false">IF($A10="","",IF($D10="无形资产","⚠ 无形资产请在无形资产费用分配表登记",IF($W10=0,"⚠ 工时分配表无此资产当月记录",IF($X10&gt;1,"⚠ 工时分配表存在重复行","√ 正常"))))</f>
        <v/>
      </c>
      <c r="W10" s="47" t="n">
        <f aca="false">IF($A10="",0,IFERROR(MATCH($A10&amp;"|"&amp;$B10,仪器设备工时分配表!$V$6:$V$245,0),0))</f>
        <v>0</v>
      </c>
      <c r="X10" s="47" t="n">
        <f aca="false">IF($A10="",0,COUNTIFS(仪器设备工时分配表!$A$6:$A$245,$A10,仪器设备工时分配表!$B$6:$B$245,$B10))</f>
        <v>0</v>
      </c>
    </row>
    <row r="11" customFormat="false" ht="18" hidden="false" customHeight="true" outlineLevel="0" collapsed="false">
      <c r="A11" s="36"/>
      <c r="B11" s="36"/>
      <c r="C11" s="48" t="str">
        <f aca="false">IF($B11="","",IFERROR(VLOOKUP($B11,资产台账!$B$4:$N$53,2,0)&amp;"","台账中未登记"))</f>
        <v/>
      </c>
      <c r="D11" s="43" t="str">
        <f aca="false">IF($B11="","",IFERROR(VLOOKUP($B11,资产台账!$B$4:$N$53,3,0)&amp;"",""))</f>
        <v/>
      </c>
      <c r="E11" s="43" t="str">
        <f aca="false">IF($B11="","",IFERROR(VLOOKUP($B11,资产台账!$B$4:$N$53,10,0)&amp;"",""))</f>
        <v/>
      </c>
      <c r="F11" s="49" t="str">
        <f aca="false">IF($B11="","",IFERROR(VLOOKUP($B11,资产台账!$B$4:$N$53,9,0),0))</f>
        <v/>
      </c>
      <c r="G11" s="45" t="n">
        <f aca="false">IF(OR($A11="",$W11=0),0,INDEX(仪器设备工时分配表!$F$6:$F$245,$W11))</f>
        <v>0</v>
      </c>
      <c r="H11" s="45" t="n">
        <f aca="false">IF(OR($A11="",$W11=0),0,INDEX(仪器设备工时分配表!$R$6:$R$245,$W11))</f>
        <v>0</v>
      </c>
      <c r="I11" s="28" t="str">
        <f aca="false">IF(OR($A11="",$G11=0),"",$H11/$G11)</f>
        <v/>
      </c>
      <c r="J11" s="27" t="str">
        <f aca="false">IF(OR($A11="",$G11=0),"",ROUND($F11*INDEX(仪器设备工时分配表!$H$6:$H$245,$W11)/$G11,2))</f>
        <v/>
      </c>
      <c r="K11" s="27" t="str">
        <f aca="false">IF(OR($A11="",$G11=0),"",ROUND($F11*INDEX(仪器设备工时分配表!$I$6:$I$245,$W11)/$G11,2))</f>
        <v/>
      </c>
      <c r="L11" s="27" t="str">
        <f aca="false">IF(OR($A11="",$G11=0),"",ROUND($F11*INDEX(仪器设备工时分配表!$J$6:$J$245,$W11)/$G11,2))</f>
        <v/>
      </c>
      <c r="M11" s="27" t="str">
        <f aca="false">IF(OR($A11="",$G11=0),"",ROUND($F11*INDEX(仪器设备工时分配表!$K$6:$K$245,$W11)/$G11,2))</f>
        <v/>
      </c>
      <c r="N11" s="27" t="str">
        <f aca="false">IF(OR($A11="",$G11=0),"",ROUND($F11*INDEX(仪器设备工时分配表!$L$6:$L$245,$W11)/$G11,2))</f>
        <v/>
      </c>
      <c r="O11" s="27" t="str">
        <f aca="false">IF(OR($A11="",$G11=0),"",ROUND($F11*INDEX(仪器设备工时分配表!$M$6:$M$245,$W11)/$G11,2))</f>
        <v/>
      </c>
      <c r="P11" s="27" t="str">
        <f aca="false">IF(OR($A11="",$G11=0),"",ROUND($F11*INDEX(仪器设备工时分配表!$N$6:$N$245,$W11)/$G11,2))</f>
        <v/>
      </c>
      <c r="Q11" s="27" t="str">
        <f aca="false">IF(OR($A11="",$G11=0),"",ROUND($F11*INDEX(仪器设备工时分配表!$O$6:$O$245,$W11)/$G11,2))</f>
        <v/>
      </c>
      <c r="R11" s="27" t="str">
        <f aca="false">IF(OR($A11="",$G11=0),"",ROUND($F11*INDEX(仪器设备工时分配表!$P$6:$P$245,$W11)/$G11,2))</f>
        <v/>
      </c>
      <c r="S11" s="27" t="str">
        <f aca="false">IF(OR($A11="",$G11=0),"",ROUND($F11*INDEX(仪器设备工时分配表!$Q$6:$Q$245,$W11)/$G11,2))</f>
        <v/>
      </c>
      <c r="T11" s="27" t="str">
        <f aca="false">IF($A11="","",ROUND(SUM(J11:S11),2))</f>
        <v/>
      </c>
      <c r="U11" s="27" t="str">
        <f aca="false">IF($A11="","",ROUND($F11-T11,2))</f>
        <v/>
      </c>
      <c r="V11" s="43" t="str">
        <f aca="false">IF($A11="","",IF($D11="无形资产","⚠ 无形资产请在无形资产费用分配表登记",IF($W11=0,"⚠ 工时分配表无此资产当月记录",IF($X11&gt;1,"⚠ 工时分配表存在重复行","√ 正常"))))</f>
        <v/>
      </c>
      <c r="W11" s="47" t="n">
        <f aca="false">IF($A11="",0,IFERROR(MATCH($A11&amp;"|"&amp;$B11,仪器设备工时分配表!$V$6:$V$245,0),0))</f>
        <v>0</v>
      </c>
      <c r="X11" s="47" t="n">
        <f aca="false">IF($A11="",0,COUNTIFS(仪器设备工时分配表!$A$6:$A$245,$A11,仪器设备工时分配表!$B$6:$B$245,$B11))</f>
        <v>0</v>
      </c>
    </row>
    <row r="12" customFormat="false" ht="18" hidden="false" customHeight="true" outlineLevel="0" collapsed="false">
      <c r="A12" s="36"/>
      <c r="B12" s="36"/>
      <c r="C12" s="48" t="str">
        <f aca="false">IF($B12="","",IFERROR(VLOOKUP($B12,资产台账!$B$4:$N$53,2,0)&amp;"","台账中未登记"))</f>
        <v/>
      </c>
      <c r="D12" s="43" t="str">
        <f aca="false">IF($B12="","",IFERROR(VLOOKUP($B12,资产台账!$B$4:$N$53,3,0)&amp;"",""))</f>
        <v/>
      </c>
      <c r="E12" s="43" t="str">
        <f aca="false">IF($B12="","",IFERROR(VLOOKUP($B12,资产台账!$B$4:$N$53,10,0)&amp;"",""))</f>
        <v/>
      </c>
      <c r="F12" s="49" t="str">
        <f aca="false">IF($B12="","",IFERROR(VLOOKUP($B12,资产台账!$B$4:$N$53,9,0),0))</f>
        <v/>
      </c>
      <c r="G12" s="45" t="n">
        <f aca="false">IF(OR($A12="",$W12=0),0,INDEX(仪器设备工时分配表!$F$6:$F$245,$W12))</f>
        <v>0</v>
      </c>
      <c r="H12" s="45" t="n">
        <f aca="false">IF(OR($A12="",$W12=0),0,INDEX(仪器设备工时分配表!$R$6:$R$245,$W12))</f>
        <v>0</v>
      </c>
      <c r="I12" s="28" t="str">
        <f aca="false">IF(OR($A12="",$G12=0),"",$H12/$G12)</f>
        <v/>
      </c>
      <c r="J12" s="27" t="str">
        <f aca="false">IF(OR($A12="",$G12=0),"",ROUND($F12*INDEX(仪器设备工时分配表!$H$6:$H$245,$W12)/$G12,2))</f>
        <v/>
      </c>
      <c r="K12" s="27" t="str">
        <f aca="false">IF(OR($A12="",$G12=0),"",ROUND($F12*INDEX(仪器设备工时分配表!$I$6:$I$245,$W12)/$G12,2))</f>
        <v/>
      </c>
      <c r="L12" s="27" t="str">
        <f aca="false">IF(OR($A12="",$G12=0),"",ROUND($F12*INDEX(仪器设备工时分配表!$J$6:$J$245,$W12)/$G12,2))</f>
        <v/>
      </c>
      <c r="M12" s="27" t="str">
        <f aca="false">IF(OR($A12="",$G12=0),"",ROUND($F12*INDEX(仪器设备工时分配表!$K$6:$K$245,$W12)/$G12,2))</f>
        <v/>
      </c>
      <c r="N12" s="27" t="str">
        <f aca="false">IF(OR($A12="",$G12=0),"",ROUND($F12*INDEX(仪器设备工时分配表!$L$6:$L$245,$W12)/$G12,2))</f>
        <v/>
      </c>
      <c r="O12" s="27" t="str">
        <f aca="false">IF(OR($A12="",$G12=0),"",ROUND($F12*INDEX(仪器设备工时分配表!$M$6:$M$245,$W12)/$G12,2))</f>
        <v/>
      </c>
      <c r="P12" s="27" t="str">
        <f aca="false">IF(OR($A12="",$G12=0),"",ROUND($F12*INDEX(仪器设备工时分配表!$N$6:$N$245,$W12)/$G12,2))</f>
        <v/>
      </c>
      <c r="Q12" s="27" t="str">
        <f aca="false">IF(OR($A12="",$G12=0),"",ROUND($F12*INDEX(仪器设备工时分配表!$O$6:$O$245,$W12)/$G12,2))</f>
        <v/>
      </c>
      <c r="R12" s="27" t="str">
        <f aca="false">IF(OR($A12="",$G12=0),"",ROUND($F12*INDEX(仪器设备工时分配表!$P$6:$P$245,$W12)/$G12,2))</f>
        <v/>
      </c>
      <c r="S12" s="27" t="str">
        <f aca="false">IF(OR($A12="",$G12=0),"",ROUND($F12*INDEX(仪器设备工时分配表!$Q$6:$Q$245,$W12)/$G12,2))</f>
        <v/>
      </c>
      <c r="T12" s="27" t="str">
        <f aca="false">IF($A12="","",ROUND(SUM(J12:S12),2))</f>
        <v/>
      </c>
      <c r="U12" s="27" t="str">
        <f aca="false">IF($A12="","",ROUND($F12-T12,2))</f>
        <v/>
      </c>
      <c r="V12" s="43" t="str">
        <f aca="false">IF($A12="","",IF($D12="无形资产","⚠ 无形资产请在无形资产费用分配表登记",IF($W12=0,"⚠ 工时分配表无此资产当月记录",IF($X12&gt;1,"⚠ 工时分配表存在重复行","√ 正常"))))</f>
        <v/>
      </c>
      <c r="W12" s="47" t="n">
        <f aca="false">IF($A12="",0,IFERROR(MATCH($A12&amp;"|"&amp;$B12,仪器设备工时分配表!$V$6:$V$245,0),0))</f>
        <v>0</v>
      </c>
      <c r="X12" s="47" t="n">
        <f aca="false">IF($A12="",0,COUNTIFS(仪器设备工时分配表!$A$6:$A$245,$A12,仪器设备工时分配表!$B$6:$B$245,$B12))</f>
        <v>0</v>
      </c>
    </row>
    <row r="13" customFormat="false" ht="18" hidden="false" customHeight="true" outlineLevel="0" collapsed="false">
      <c r="A13" s="36"/>
      <c r="B13" s="36"/>
      <c r="C13" s="48" t="str">
        <f aca="false">IF($B13="","",IFERROR(VLOOKUP($B13,资产台账!$B$4:$N$53,2,0)&amp;"","台账中未登记"))</f>
        <v/>
      </c>
      <c r="D13" s="43" t="str">
        <f aca="false">IF($B13="","",IFERROR(VLOOKUP($B13,资产台账!$B$4:$N$53,3,0)&amp;"",""))</f>
        <v/>
      </c>
      <c r="E13" s="43" t="str">
        <f aca="false">IF($B13="","",IFERROR(VLOOKUP($B13,资产台账!$B$4:$N$53,10,0)&amp;"",""))</f>
        <v/>
      </c>
      <c r="F13" s="49" t="str">
        <f aca="false">IF($B13="","",IFERROR(VLOOKUP($B13,资产台账!$B$4:$N$53,9,0),0))</f>
        <v/>
      </c>
      <c r="G13" s="45" t="n">
        <f aca="false">IF(OR($A13="",$W13=0),0,INDEX(仪器设备工时分配表!$F$6:$F$245,$W13))</f>
        <v>0</v>
      </c>
      <c r="H13" s="45" t="n">
        <f aca="false">IF(OR($A13="",$W13=0),0,INDEX(仪器设备工时分配表!$R$6:$R$245,$W13))</f>
        <v>0</v>
      </c>
      <c r="I13" s="28" t="str">
        <f aca="false">IF(OR($A13="",$G13=0),"",$H13/$G13)</f>
        <v/>
      </c>
      <c r="J13" s="27" t="str">
        <f aca="false">IF(OR($A13="",$G13=0),"",ROUND($F13*INDEX(仪器设备工时分配表!$H$6:$H$245,$W13)/$G13,2))</f>
        <v/>
      </c>
      <c r="K13" s="27" t="str">
        <f aca="false">IF(OR($A13="",$G13=0),"",ROUND($F13*INDEX(仪器设备工时分配表!$I$6:$I$245,$W13)/$G13,2))</f>
        <v/>
      </c>
      <c r="L13" s="27" t="str">
        <f aca="false">IF(OR($A13="",$G13=0),"",ROUND($F13*INDEX(仪器设备工时分配表!$J$6:$J$245,$W13)/$G13,2))</f>
        <v/>
      </c>
      <c r="M13" s="27" t="str">
        <f aca="false">IF(OR($A13="",$G13=0),"",ROUND($F13*INDEX(仪器设备工时分配表!$K$6:$K$245,$W13)/$G13,2))</f>
        <v/>
      </c>
      <c r="N13" s="27" t="str">
        <f aca="false">IF(OR($A13="",$G13=0),"",ROUND($F13*INDEX(仪器设备工时分配表!$L$6:$L$245,$W13)/$G13,2))</f>
        <v/>
      </c>
      <c r="O13" s="27" t="str">
        <f aca="false">IF(OR($A13="",$G13=0),"",ROUND($F13*INDEX(仪器设备工时分配表!$M$6:$M$245,$W13)/$G13,2))</f>
        <v/>
      </c>
      <c r="P13" s="27" t="str">
        <f aca="false">IF(OR($A13="",$G13=0),"",ROUND($F13*INDEX(仪器设备工时分配表!$N$6:$N$245,$W13)/$G13,2))</f>
        <v/>
      </c>
      <c r="Q13" s="27" t="str">
        <f aca="false">IF(OR($A13="",$G13=0),"",ROUND($F13*INDEX(仪器设备工时分配表!$O$6:$O$245,$W13)/$G13,2))</f>
        <v/>
      </c>
      <c r="R13" s="27" t="str">
        <f aca="false">IF(OR($A13="",$G13=0),"",ROUND($F13*INDEX(仪器设备工时分配表!$P$6:$P$245,$W13)/$G13,2))</f>
        <v/>
      </c>
      <c r="S13" s="27" t="str">
        <f aca="false">IF(OR($A13="",$G13=0),"",ROUND($F13*INDEX(仪器设备工时分配表!$Q$6:$Q$245,$W13)/$G13,2))</f>
        <v/>
      </c>
      <c r="T13" s="27" t="str">
        <f aca="false">IF($A13="","",ROUND(SUM(J13:S13),2))</f>
        <v/>
      </c>
      <c r="U13" s="27" t="str">
        <f aca="false">IF($A13="","",ROUND($F13-T13,2))</f>
        <v/>
      </c>
      <c r="V13" s="43" t="str">
        <f aca="false">IF($A13="","",IF($D13="无形资产","⚠ 无形资产请在无形资产费用分配表登记",IF($W13=0,"⚠ 工时分配表无此资产当月记录",IF($X13&gt;1,"⚠ 工时分配表存在重复行","√ 正常"))))</f>
        <v/>
      </c>
      <c r="W13" s="47" t="n">
        <f aca="false">IF($A13="",0,IFERROR(MATCH($A13&amp;"|"&amp;$B13,仪器设备工时分配表!$V$6:$V$245,0),0))</f>
        <v>0</v>
      </c>
      <c r="X13" s="47" t="n">
        <f aca="false">IF($A13="",0,COUNTIFS(仪器设备工时分配表!$A$6:$A$245,$A13,仪器设备工时分配表!$B$6:$B$245,$B13))</f>
        <v>0</v>
      </c>
    </row>
    <row r="14" customFormat="false" ht="18" hidden="false" customHeight="true" outlineLevel="0" collapsed="false">
      <c r="A14" s="36"/>
      <c r="B14" s="36"/>
      <c r="C14" s="48" t="str">
        <f aca="false">IF($B14="","",IFERROR(VLOOKUP($B14,资产台账!$B$4:$N$53,2,0)&amp;"","台账中未登记"))</f>
        <v/>
      </c>
      <c r="D14" s="43" t="str">
        <f aca="false">IF($B14="","",IFERROR(VLOOKUP($B14,资产台账!$B$4:$N$53,3,0)&amp;"",""))</f>
        <v/>
      </c>
      <c r="E14" s="43" t="str">
        <f aca="false">IF($B14="","",IFERROR(VLOOKUP($B14,资产台账!$B$4:$N$53,10,0)&amp;"",""))</f>
        <v/>
      </c>
      <c r="F14" s="49" t="str">
        <f aca="false">IF($B14="","",IFERROR(VLOOKUP($B14,资产台账!$B$4:$N$53,9,0),0))</f>
        <v/>
      </c>
      <c r="G14" s="45" t="n">
        <f aca="false">IF(OR($A14="",$W14=0),0,INDEX(仪器设备工时分配表!$F$6:$F$245,$W14))</f>
        <v>0</v>
      </c>
      <c r="H14" s="45" t="n">
        <f aca="false">IF(OR($A14="",$W14=0),0,INDEX(仪器设备工时分配表!$R$6:$R$245,$W14))</f>
        <v>0</v>
      </c>
      <c r="I14" s="28" t="str">
        <f aca="false">IF(OR($A14="",$G14=0),"",$H14/$G14)</f>
        <v/>
      </c>
      <c r="J14" s="27" t="str">
        <f aca="false">IF(OR($A14="",$G14=0),"",ROUND($F14*INDEX(仪器设备工时分配表!$H$6:$H$245,$W14)/$G14,2))</f>
        <v/>
      </c>
      <c r="K14" s="27" t="str">
        <f aca="false">IF(OR($A14="",$G14=0),"",ROUND($F14*INDEX(仪器设备工时分配表!$I$6:$I$245,$W14)/$G14,2))</f>
        <v/>
      </c>
      <c r="L14" s="27" t="str">
        <f aca="false">IF(OR($A14="",$G14=0),"",ROUND($F14*INDEX(仪器设备工时分配表!$J$6:$J$245,$W14)/$G14,2))</f>
        <v/>
      </c>
      <c r="M14" s="27" t="str">
        <f aca="false">IF(OR($A14="",$G14=0),"",ROUND($F14*INDEX(仪器设备工时分配表!$K$6:$K$245,$W14)/$G14,2))</f>
        <v/>
      </c>
      <c r="N14" s="27" t="str">
        <f aca="false">IF(OR($A14="",$G14=0),"",ROUND($F14*INDEX(仪器设备工时分配表!$L$6:$L$245,$W14)/$G14,2))</f>
        <v/>
      </c>
      <c r="O14" s="27" t="str">
        <f aca="false">IF(OR($A14="",$G14=0),"",ROUND($F14*INDEX(仪器设备工时分配表!$M$6:$M$245,$W14)/$G14,2))</f>
        <v/>
      </c>
      <c r="P14" s="27" t="str">
        <f aca="false">IF(OR($A14="",$G14=0),"",ROUND($F14*INDEX(仪器设备工时分配表!$N$6:$N$245,$W14)/$G14,2))</f>
        <v/>
      </c>
      <c r="Q14" s="27" t="str">
        <f aca="false">IF(OR($A14="",$G14=0),"",ROUND($F14*INDEX(仪器设备工时分配表!$O$6:$O$245,$W14)/$G14,2))</f>
        <v/>
      </c>
      <c r="R14" s="27" t="str">
        <f aca="false">IF(OR($A14="",$G14=0),"",ROUND($F14*INDEX(仪器设备工时分配表!$P$6:$P$245,$W14)/$G14,2))</f>
        <v/>
      </c>
      <c r="S14" s="27" t="str">
        <f aca="false">IF(OR($A14="",$G14=0),"",ROUND($F14*INDEX(仪器设备工时分配表!$Q$6:$Q$245,$W14)/$G14,2))</f>
        <v/>
      </c>
      <c r="T14" s="27" t="str">
        <f aca="false">IF($A14="","",ROUND(SUM(J14:S14),2))</f>
        <v/>
      </c>
      <c r="U14" s="27" t="str">
        <f aca="false">IF($A14="","",ROUND($F14-T14,2))</f>
        <v/>
      </c>
      <c r="V14" s="43" t="str">
        <f aca="false">IF($A14="","",IF($D14="无形资产","⚠ 无形资产请在无形资产费用分配表登记",IF($W14=0,"⚠ 工时分配表无此资产当月记录",IF($X14&gt;1,"⚠ 工时分配表存在重复行","√ 正常"))))</f>
        <v/>
      </c>
      <c r="W14" s="47" t="n">
        <f aca="false">IF($A14="",0,IFERROR(MATCH($A14&amp;"|"&amp;$B14,仪器设备工时分配表!$V$6:$V$245,0),0))</f>
        <v>0</v>
      </c>
      <c r="X14" s="47" t="n">
        <f aca="false">IF($A14="",0,COUNTIFS(仪器设备工时分配表!$A$6:$A$245,$A14,仪器设备工时分配表!$B$6:$B$245,$B14))</f>
        <v>0</v>
      </c>
    </row>
    <row r="15" customFormat="false" ht="18" hidden="false" customHeight="true" outlineLevel="0" collapsed="false">
      <c r="A15" s="36"/>
      <c r="B15" s="36"/>
      <c r="C15" s="48" t="str">
        <f aca="false">IF($B15="","",IFERROR(VLOOKUP($B15,资产台账!$B$4:$N$53,2,0)&amp;"","台账中未登记"))</f>
        <v/>
      </c>
      <c r="D15" s="43" t="str">
        <f aca="false">IF($B15="","",IFERROR(VLOOKUP($B15,资产台账!$B$4:$N$53,3,0)&amp;"",""))</f>
        <v/>
      </c>
      <c r="E15" s="43" t="str">
        <f aca="false">IF($B15="","",IFERROR(VLOOKUP($B15,资产台账!$B$4:$N$53,10,0)&amp;"",""))</f>
        <v/>
      </c>
      <c r="F15" s="49" t="str">
        <f aca="false">IF($B15="","",IFERROR(VLOOKUP($B15,资产台账!$B$4:$N$53,9,0),0))</f>
        <v/>
      </c>
      <c r="G15" s="45" t="n">
        <f aca="false">IF(OR($A15="",$W15=0),0,INDEX(仪器设备工时分配表!$F$6:$F$245,$W15))</f>
        <v>0</v>
      </c>
      <c r="H15" s="45" t="n">
        <f aca="false">IF(OR($A15="",$W15=0),0,INDEX(仪器设备工时分配表!$R$6:$R$245,$W15))</f>
        <v>0</v>
      </c>
      <c r="I15" s="28" t="str">
        <f aca="false">IF(OR($A15="",$G15=0),"",$H15/$G15)</f>
        <v/>
      </c>
      <c r="J15" s="27" t="str">
        <f aca="false">IF(OR($A15="",$G15=0),"",ROUND($F15*INDEX(仪器设备工时分配表!$H$6:$H$245,$W15)/$G15,2))</f>
        <v/>
      </c>
      <c r="K15" s="27" t="str">
        <f aca="false">IF(OR($A15="",$G15=0),"",ROUND($F15*INDEX(仪器设备工时分配表!$I$6:$I$245,$W15)/$G15,2))</f>
        <v/>
      </c>
      <c r="L15" s="27" t="str">
        <f aca="false">IF(OR($A15="",$G15=0),"",ROUND($F15*INDEX(仪器设备工时分配表!$J$6:$J$245,$W15)/$G15,2))</f>
        <v/>
      </c>
      <c r="M15" s="27" t="str">
        <f aca="false">IF(OR($A15="",$G15=0),"",ROUND($F15*INDEX(仪器设备工时分配表!$K$6:$K$245,$W15)/$G15,2))</f>
        <v/>
      </c>
      <c r="N15" s="27" t="str">
        <f aca="false">IF(OR($A15="",$G15=0),"",ROUND($F15*INDEX(仪器设备工时分配表!$L$6:$L$245,$W15)/$G15,2))</f>
        <v/>
      </c>
      <c r="O15" s="27" t="str">
        <f aca="false">IF(OR($A15="",$G15=0),"",ROUND($F15*INDEX(仪器设备工时分配表!$M$6:$M$245,$W15)/$G15,2))</f>
        <v/>
      </c>
      <c r="P15" s="27" t="str">
        <f aca="false">IF(OR($A15="",$G15=0),"",ROUND($F15*INDEX(仪器设备工时分配表!$N$6:$N$245,$W15)/$G15,2))</f>
        <v/>
      </c>
      <c r="Q15" s="27" t="str">
        <f aca="false">IF(OR($A15="",$G15=0),"",ROUND($F15*INDEX(仪器设备工时分配表!$O$6:$O$245,$W15)/$G15,2))</f>
        <v/>
      </c>
      <c r="R15" s="27" t="str">
        <f aca="false">IF(OR($A15="",$G15=0),"",ROUND($F15*INDEX(仪器设备工时分配表!$P$6:$P$245,$W15)/$G15,2))</f>
        <v/>
      </c>
      <c r="S15" s="27" t="str">
        <f aca="false">IF(OR($A15="",$G15=0),"",ROUND($F15*INDEX(仪器设备工时分配表!$Q$6:$Q$245,$W15)/$G15,2))</f>
        <v/>
      </c>
      <c r="T15" s="27" t="str">
        <f aca="false">IF($A15="","",ROUND(SUM(J15:S15),2))</f>
        <v/>
      </c>
      <c r="U15" s="27" t="str">
        <f aca="false">IF($A15="","",ROUND($F15-T15,2))</f>
        <v/>
      </c>
      <c r="V15" s="43" t="str">
        <f aca="false">IF($A15="","",IF($D15="无形资产","⚠ 无形资产请在无形资产费用分配表登记",IF($W15=0,"⚠ 工时分配表无此资产当月记录",IF($X15&gt;1,"⚠ 工时分配表存在重复行","√ 正常"))))</f>
        <v/>
      </c>
      <c r="W15" s="47" t="n">
        <f aca="false">IF($A15="",0,IFERROR(MATCH($A15&amp;"|"&amp;$B15,仪器设备工时分配表!$V$6:$V$245,0),0))</f>
        <v>0</v>
      </c>
      <c r="X15" s="47" t="n">
        <f aca="false">IF($A15="",0,COUNTIFS(仪器设备工时分配表!$A$6:$A$245,$A15,仪器设备工时分配表!$B$6:$B$245,$B15))</f>
        <v>0</v>
      </c>
    </row>
    <row r="16" customFormat="false" ht="18" hidden="false" customHeight="true" outlineLevel="0" collapsed="false">
      <c r="A16" s="36"/>
      <c r="B16" s="36"/>
      <c r="C16" s="48" t="str">
        <f aca="false">IF($B16="","",IFERROR(VLOOKUP($B16,资产台账!$B$4:$N$53,2,0)&amp;"","台账中未登记"))</f>
        <v/>
      </c>
      <c r="D16" s="43" t="str">
        <f aca="false">IF($B16="","",IFERROR(VLOOKUP($B16,资产台账!$B$4:$N$53,3,0)&amp;"",""))</f>
        <v/>
      </c>
      <c r="E16" s="43" t="str">
        <f aca="false">IF($B16="","",IFERROR(VLOOKUP($B16,资产台账!$B$4:$N$53,10,0)&amp;"",""))</f>
        <v/>
      </c>
      <c r="F16" s="49" t="str">
        <f aca="false">IF($B16="","",IFERROR(VLOOKUP($B16,资产台账!$B$4:$N$53,9,0),0))</f>
        <v/>
      </c>
      <c r="G16" s="45" t="n">
        <f aca="false">IF(OR($A16="",$W16=0),0,INDEX(仪器设备工时分配表!$F$6:$F$245,$W16))</f>
        <v>0</v>
      </c>
      <c r="H16" s="45" t="n">
        <f aca="false">IF(OR($A16="",$W16=0),0,INDEX(仪器设备工时分配表!$R$6:$R$245,$W16))</f>
        <v>0</v>
      </c>
      <c r="I16" s="28" t="str">
        <f aca="false">IF(OR($A16="",$G16=0),"",$H16/$G16)</f>
        <v/>
      </c>
      <c r="J16" s="27" t="str">
        <f aca="false">IF(OR($A16="",$G16=0),"",ROUND($F16*INDEX(仪器设备工时分配表!$H$6:$H$245,$W16)/$G16,2))</f>
        <v/>
      </c>
      <c r="K16" s="27" t="str">
        <f aca="false">IF(OR($A16="",$G16=0),"",ROUND($F16*INDEX(仪器设备工时分配表!$I$6:$I$245,$W16)/$G16,2))</f>
        <v/>
      </c>
      <c r="L16" s="27" t="str">
        <f aca="false">IF(OR($A16="",$G16=0),"",ROUND($F16*INDEX(仪器设备工时分配表!$J$6:$J$245,$W16)/$G16,2))</f>
        <v/>
      </c>
      <c r="M16" s="27" t="str">
        <f aca="false">IF(OR($A16="",$G16=0),"",ROUND($F16*INDEX(仪器设备工时分配表!$K$6:$K$245,$W16)/$G16,2))</f>
        <v/>
      </c>
      <c r="N16" s="27" t="str">
        <f aca="false">IF(OR($A16="",$G16=0),"",ROUND($F16*INDEX(仪器设备工时分配表!$L$6:$L$245,$W16)/$G16,2))</f>
        <v/>
      </c>
      <c r="O16" s="27" t="str">
        <f aca="false">IF(OR($A16="",$G16=0),"",ROUND($F16*INDEX(仪器设备工时分配表!$M$6:$M$245,$W16)/$G16,2))</f>
        <v/>
      </c>
      <c r="P16" s="27" t="str">
        <f aca="false">IF(OR($A16="",$G16=0),"",ROUND($F16*INDEX(仪器设备工时分配表!$N$6:$N$245,$W16)/$G16,2))</f>
        <v/>
      </c>
      <c r="Q16" s="27" t="str">
        <f aca="false">IF(OR($A16="",$G16=0),"",ROUND($F16*INDEX(仪器设备工时分配表!$O$6:$O$245,$W16)/$G16,2))</f>
        <v/>
      </c>
      <c r="R16" s="27" t="str">
        <f aca="false">IF(OR($A16="",$G16=0),"",ROUND($F16*INDEX(仪器设备工时分配表!$P$6:$P$245,$W16)/$G16,2))</f>
        <v/>
      </c>
      <c r="S16" s="27" t="str">
        <f aca="false">IF(OR($A16="",$G16=0),"",ROUND($F16*INDEX(仪器设备工时分配表!$Q$6:$Q$245,$W16)/$G16,2))</f>
        <v/>
      </c>
      <c r="T16" s="27" t="str">
        <f aca="false">IF($A16="","",ROUND(SUM(J16:S16),2))</f>
        <v/>
      </c>
      <c r="U16" s="27" t="str">
        <f aca="false">IF($A16="","",ROUND($F16-T16,2))</f>
        <v/>
      </c>
      <c r="V16" s="43" t="str">
        <f aca="false">IF($A16="","",IF($D16="无形资产","⚠ 无形资产请在无形资产费用分配表登记",IF($W16=0,"⚠ 工时分配表无此资产当月记录",IF($X16&gt;1,"⚠ 工时分配表存在重复行","√ 正常"))))</f>
        <v/>
      </c>
      <c r="W16" s="47" t="n">
        <f aca="false">IF($A16="",0,IFERROR(MATCH($A16&amp;"|"&amp;$B16,仪器设备工时分配表!$V$6:$V$245,0),0))</f>
        <v>0</v>
      </c>
      <c r="X16" s="47" t="n">
        <f aca="false">IF($A16="",0,COUNTIFS(仪器设备工时分配表!$A$6:$A$245,$A16,仪器设备工时分配表!$B$6:$B$245,$B16))</f>
        <v>0</v>
      </c>
    </row>
    <row r="17" customFormat="false" ht="18" hidden="false" customHeight="true" outlineLevel="0" collapsed="false">
      <c r="A17" s="36"/>
      <c r="B17" s="36"/>
      <c r="C17" s="48" t="str">
        <f aca="false">IF($B17="","",IFERROR(VLOOKUP($B17,资产台账!$B$4:$N$53,2,0)&amp;"","台账中未登记"))</f>
        <v/>
      </c>
      <c r="D17" s="43" t="str">
        <f aca="false">IF($B17="","",IFERROR(VLOOKUP($B17,资产台账!$B$4:$N$53,3,0)&amp;"",""))</f>
        <v/>
      </c>
      <c r="E17" s="43" t="str">
        <f aca="false">IF($B17="","",IFERROR(VLOOKUP($B17,资产台账!$B$4:$N$53,10,0)&amp;"",""))</f>
        <v/>
      </c>
      <c r="F17" s="49" t="str">
        <f aca="false">IF($B17="","",IFERROR(VLOOKUP($B17,资产台账!$B$4:$N$53,9,0),0))</f>
        <v/>
      </c>
      <c r="G17" s="45" t="n">
        <f aca="false">IF(OR($A17="",$W17=0),0,INDEX(仪器设备工时分配表!$F$6:$F$245,$W17))</f>
        <v>0</v>
      </c>
      <c r="H17" s="45" t="n">
        <f aca="false">IF(OR($A17="",$W17=0),0,INDEX(仪器设备工时分配表!$R$6:$R$245,$W17))</f>
        <v>0</v>
      </c>
      <c r="I17" s="28" t="str">
        <f aca="false">IF(OR($A17="",$G17=0),"",$H17/$G17)</f>
        <v/>
      </c>
      <c r="J17" s="27" t="str">
        <f aca="false">IF(OR($A17="",$G17=0),"",ROUND($F17*INDEX(仪器设备工时分配表!$H$6:$H$245,$W17)/$G17,2))</f>
        <v/>
      </c>
      <c r="K17" s="27" t="str">
        <f aca="false">IF(OR($A17="",$G17=0),"",ROUND($F17*INDEX(仪器设备工时分配表!$I$6:$I$245,$W17)/$G17,2))</f>
        <v/>
      </c>
      <c r="L17" s="27" t="str">
        <f aca="false">IF(OR($A17="",$G17=0),"",ROUND($F17*INDEX(仪器设备工时分配表!$J$6:$J$245,$W17)/$G17,2))</f>
        <v/>
      </c>
      <c r="M17" s="27" t="str">
        <f aca="false">IF(OR($A17="",$G17=0),"",ROUND($F17*INDEX(仪器设备工时分配表!$K$6:$K$245,$W17)/$G17,2))</f>
        <v/>
      </c>
      <c r="N17" s="27" t="str">
        <f aca="false">IF(OR($A17="",$G17=0),"",ROUND($F17*INDEX(仪器设备工时分配表!$L$6:$L$245,$W17)/$G17,2))</f>
        <v/>
      </c>
      <c r="O17" s="27" t="str">
        <f aca="false">IF(OR($A17="",$G17=0),"",ROUND($F17*INDEX(仪器设备工时分配表!$M$6:$M$245,$W17)/$G17,2))</f>
        <v/>
      </c>
      <c r="P17" s="27" t="str">
        <f aca="false">IF(OR($A17="",$G17=0),"",ROUND($F17*INDEX(仪器设备工时分配表!$N$6:$N$245,$W17)/$G17,2))</f>
        <v/>
      </c>
      <c r="Q17" s="27" t="str">
        <f aca="false">IF(OR($A17="",$G17=0),"",ROUND($F17*INDEX(仪器设备工时分配表!$O$6:$O$245,$W17)/$G17,2))</f>
        <v/>
      </c>
      <c r="R17" s="27" t="str">
        <f aca="false">IF(OR($A17="",$G17=0),"",ROUND($F17*INDEX(仪器设备工时分配表!$P$6:$P$245,$W17)/$G17,2))</f>
        <v/>
      </c>
      <c r="S17" s="27" t="str">
        <f aca="false">IF(OR($A17="",$G17=0),"",ROUND($F17*INDEX(仪器设备工时分配表!$Q$6:$Q$245,$W17)/$G17,2))</f>
        <v/>
      </c>
      <c r="T17" s="27" t="str">
        <f aca="false">IF($A17="","",ROUND(SUM(J17:S17),2))</f>
        <v/>
      </c>
      <c r="U17" s="27" t="str">
        <f aca="false">IF($A17="","",ROUND($F17-T17,2))</f>
        <v/>
      </c>
      <c r="V17" s="43" t="str">
        <f aca="false">IF($A17="","",IF($D17="无形资产","⚠ 无形资产请在无形资产费用分配表登记",IF($W17=0,"⚠ 工时分配表无此资产当月记录",IF($X17&gt;1,"⚠ 工时分配表存在重复行","√ 正常"))))</f>
        <v/>
      </c>
      <c r="W17" s="47" t="n">
        <f aca="false">IF($A17="",0,IFERROR(MATCH($A17&amp;"|"&amp;$B17,仪器设备工时分配表!$V$6:$V$245,0),0))</f>
        <v>0</v>
      </c>
      <c r="X17" s="47" t="n">
        <f aca="false">IF($A17="",0,COUNTIFS(仪器设备工时分配表!$A$6:$A$245,$A17,仪器设备工时分配表!$B$6:$B$245,$B17))</f>
        <v>0</v>
      </c>
    </row>
    <row r="18" customFormat="false" ht="18" hidden="false" customHeight="true" outlineLevel="0" collapsed="false">
      <c r="A18" s="36"/>
      <c r="B18" s="36"/>
      <c r="C18" s="48" t="str">
        <f aca="false">IF($B18="","",IFERROR(VLOOKUP($B18,资产台账!$B$4:$N$53,2,0)&amp;"","台账中未登记"))</f>
        <v/>
      </c>
      <c r="D18" s="43" t="str">
        <f aca="false">IF($B18="","",IFERROR(VLOOKUP($B18,资产台账!$B$4:$N$53,3,0)&amp;"",""))</f>
        <v/>
      </c>
      <c r="E18" s="43" t="str">
        <f aca="false">IF($B18="","",IFERROR(VLOOKUP($B18,资产台账!$B$4:$N$53,10,0)&amp;"",""))</f>
        <v/>
      </c>
      <c r="F18" s="49" t="str">
        <f aca="false">IF($B18="","",IFERROR(VLOOKUP($B18,资产台账!$B$4:$N$53,9,0),0))</f>
        <v/>
      </c>
      <c r="G18" s="45" t="n">
        <f aca="false">IF(OR($A18="",$W18=0),0,INDEX(仪器设备工时分配表!$F$6:$F$245,$W18))</f>
        <v>0</v>
      </c>
      <c r="H18" s="45" t="n">
        <f aca="false">IF(OR($A18="",$W18=0),0,INDEX(仪器设备工时分配表!$R$6:$R$245,$W18))</f>
        <v>0</v>
      </c>
      <c r="I18" s="28" t="str">
        <f aca="false">IF(OR($A18="",$G18=0),"",$H18/$G18)</f>
        <v/>
      </c>
      <c r="J18" s="27" t="str">
        <f aca="false">IF(OR($A18="",$G18=0),"",ROUND($F18*INDEX(仪器设备工时分配表!$H$6:$H$245,$W18)/$G18,2))</f>
        <v/>
      </c>
      <c r="K18" s="27" t="str">
        <f aca="false">IF(OR($A18="",$G18=0),"",ROUND($F18*INDEX(仪器设备工时分配表!$I$6:$I$245,$W18)/$G18,2))</f>
        <v/>
      </c>
      <c r="L18" s="27" t="str">
        <f aca="false">IF(OR($A18="",$G18=0),"",ROUND($F18*INDEX(仪器设备工时分配表!$J$6:$J$245,$W18)/$G18,2))</f>
        <v/>
      </c>
      <c r="M18" s="27" t="str">
        <f aca="false">IF(OR($A18="",$G18=0),"",ROUND($F18*INDEX(仪器设备工时分配表!$K$6:$K$245,$W18)/$G18,2))</f>
        <v/>
      </c>
      <c r="N18" s="27" t="str">
        <f aca="false">IF(OR($A18="",$G18=0),"",ROUND($F18*INDEX(仪器设备工时分配表!$L$6:$L$245,$W18)/$G18,2))</f>
        <v/>
      </c>
      <c r="O18" s="27" t="str">
        <f aca="false">IF(OR($A18="",$G18=0),"",ROUND($F18*INDEX(仪器设备工时分配表!$M$6:$M$245,$W18)/$G18,2))</f>
        <v/>
      </c>
      <c r="P18" s="27" t="str">
        <f aca="false">IF(OR($A18="",$G18=0),"",ROUND($F18*INDEX(仪器设备工时分配表!$N$6:$N$245,$W18)/$G18,2))</f>
        <v/>
      </c>
      <c r="Q18" s="27" t="str">
        <f aca="false">IF(OR($A18="",$G18=0),"",ROUND($F18*INDEX(仪器设备工时分配表!$O$6:$O$245,$W18)/$G18,2))</f>
        <v/>
      </c>
      <c r="R18" s="27" t="str">
        <f aca="false">IF(OR($A18="",$G18=0),"",ROUND($F18*INDEX(仪器设备工时分配表!$P$6:$P$245,$W18)/$G18,2))</f>
        <v/>
      </c>
      <c r="S18" s="27" t="str">
        <f aca="false">IF(OR($A18="",$G18=0),"",ROUND($F18*INDEX(仪器设备工时分配表!$Q$6:$Q$245,$W18)/$G18,2))</f>
        <v/>
      </c>
      <c r="T18" s="27" t="str">
        <f aca="false">IF($A18="","",ROUND(SUM(J18:S18),2))</f>
        <v/>
      </c>
      <c r="U18" s="27" t="str">
        <f aca="false">IF($A18="","",ROUND($F18-T18,2))</f>
        <v/>
      </c>
      <c r="V18" s="43" t="str">
        <f aca="false">IF($A18="","",IF($D18="无形资产","⚠ 无形资产请在无形资产费用分配表登记",IF($W18=0,"⚠ 工时分配表无此资产当月记录",IF($X18&gt;1,"⚠ 工时分配表存在重复行","√ 正常"))))</f>
        <v/>
      </c>
      <c r="W18" s="47" t="n">
        <f aca="false">IF($A18="",0,IFERROR(MATCH($A18&amp;"|"&amp;$B18,仪器设备工时分配表!$V$6:$V$245,0),0))</f>
        <v>0</v>
      </c>
      <c r="X18" s="47" t="n">
        <f aca="false">IF($A18="",0,COUNTIFS(仪器设备工时分配表!$A$6:$A$245,$A18,仪器设备工时分配表!$B$6:$B$245,$B18))</f>
        <v>0</v>
      </c>
    </row>
    <row r="19" customFormat="false" ht="18" hidden="false" customHeight="true" outlineLevel="0" collapsed="false">
      <c r="A19" s="36"/>
      <c r="B19" s="36"/>
      <c r="C19" s="48" t="str">
        <f aca="false">IF($B19="","",IFERROR(VLOOKUP($B19,资产台账!$B$4:$N$53,2,0)&amp;"","台账中未登记"))</f>
        <v/>
      </c>
      <c r="D19" s="43" t="str">
        <f aca="false">IF($B19="","",IFERROR(VLOOKUP($B19,资产台账!$B$4:$N$53,3,0)&amp;"",""))</f>
        <v/>
      </c>
      <c r="E19" s="43" t="str">
        <f aca="false">IF($B19="","",IFERROR(VLOOKUP($B19,资产台账!$B$4:$N$53,10,0)&amp;"",""))</f>
        <v/>
      </c>
      <c r="F19" s="49" t="str">
        <f aca="false">IF($B19="","",IFERROR(VLOOKUP($B19,资产台账!$B$4:$N$53,9,0),0))</f>
        <v/>
      </c>
      <c r="G19" s="45" t="n">
        <f aca="false">IF(OR($A19="",$W19=0),0,INDEX(仪器设备工时分配表!$F$6:$F$245,$W19))</f>
        <v>0</v>
      </c>
      <c r="H19" s="45" t="n">
        <f aca="false">IF(OR($A19="",$W19=0),0,INDEX(仪器设备工时分配表!$R$6:$R$245,$W19))</f>
        <v>0</v>
      </c>
      <c r="I19" s="28" t="str">
        <f aca="false">IF(OR($A19="",$G19=0),"",$H19/$G19)</f>
        <v/>
      </c>
      <c r="J19" s="27" t="str">
        <f aca="false">IF(OR($A19="",$G19=0),"",ROUND($F19*INDEX(仪器设备工时分配表!$H$6:$H$245,$W19)/$G19,2))</f>
        <v/>
      </c>
      <c r="K19" s="27" t="str">
        <f aca="false">IF(OR($A19="",$G19=0),"",ROUND($F19*INDEX(仪器设备工时分配表!$I$6:$I$245,$W19)/$G19,2))</f>
        <v/>
      </c>
      <c r="L19" s="27" t="str">
        <f aca="false">IF(OR($A19="",$G19=0),"",ROUND($F19*INDEX(仪器设备工时分配表!$J$6:$J$245,$W19)/$G19,2))</f>
        <v/>
      </c>
      <c r="M19" s="27" t="str">
        <f aca="false">IF(OR($A19="",$G19=0),"",ROUND($F19*INDEX(仪器设备工时分配表!$K$6:$K$245,$W19)/$G19,2))</f>
        <v/>
      </c>
      <c r="N19" s="27" t="str">
        <f aca="false">IF(OR($A19="",$G19=0),"",ROUND($F19*INDEX(仪器设备工时分配表!$L$6:$L$245,$W19)/$G19,2))</f>
        <v/>
      </c>
      <c r="O19" s="27" t="str">
        <f aca="false">IF(OR($A19="",$G19=0),"",ROUND($F19*INDEX(仪器设备工时分配表!$M$6:$M$245,$W19)/$G19,2))</f>
        <v/>
      </c>
      <c r="P19" s="27" t="str">
        <f aca="false">IF(OR($A19="",$G19=0),"",ROUND($F19*INDEX(仪器设备工时分配表!$N$6:$N$245,$W19)/$G19,2))</f>
        <v/>
      </c>
      <c r="Q19" s="27" t="str">
        <f aca="false">IF(OR($A19="",$G19=0),"",ROUND($F19*INDEX(仪器设备工时分配表!$O$6:$O$245,$W19)/$G19,2))</f>
        <v/>
      </c>
      <c r="R19" s="27" t="str">
        <f aca="false">IF(OR($A19="",$G19=0),"",ROUND($F19*INDEX(仪器设备工时分配表!$P$6:$P$245,$W19)/$G19,2))</f>
        <v/>
      </c>
      <c r="S19" s="27" t="str">
        <f aca="false">IF(OR($A19="",$G19=0),"",ROUND($F19*INDEX(仪器设备工时分配表!$Q$6:$Q$245,$W19)/$G19,2))</f>
        <v/>
      </c>
      <c r="T19" s="27" t="str">
        <f aca="false">IF($A19="","",ROUND(SUM(J19:S19),2))</f>
        <v/>
      </c>
      <c r="U19" s="27" t="str">
        <f aca="false">IF($A19="","",ROUND($F19-T19,2))</f>
        <v/>
      </c>
      <c r="V19" s="43" t="str">
        <f aca="false">IF($A19="","",IF($D19="无形资产","⚠ 无形资产请在无形资产费用分配表登记",IF($W19=0,"⚠ 工时分配表无此资产当月记录",IF($X19&gt;1,"⚠ 工时分配表存在重复行","√ 正常"))))</f>
        <v/>
      </c>
      <c r="W19" s="47" t="n">
        <f aca="false">IF($A19="",0,IFERROR(MATCH($A19&amp;"|"&amp;$B19,仪器设备工时分配表!$V$6:$V$245,0),0))</f>
        <v>0</v>
      </c>
      <c r="X19" s="47" t="n">
        <f aca="false">IF($A19="",0,COUNTIFS(仪器设备工时分配表!$A$6:$A$245,$A19,仪器设备工时分配表!$B$6:$B$245,$B19))</f>
        <v>0</v>
      </c>
    </row>
    <row r="20" customFormat="false" ht="18" hidden="false" customHeight="true" outlineLevel="0" collapsed="false">
      <c r="A20" s="36"/>
      <c r="B20" s="36"/>
      <c r="C20" s="48" t="str">
        <f aca="false">IF($B20="","",IFERROR(VLOOKUP($B20,资产台账!$B$4:$N$53,2,0)&amp;"","台账中未登记"))</f>
        <v/>
      </c>
      <c r="D20" s="43" t="str">
        <f aca="false">IF($B20="","",IFERROR(VLOOKUP($B20,资产台账!$B$4:$N$53,3,0)&amp;"",""))</f>
        <v/>
      </c>
      <c r="E20" s="43" t="str">
        <f aca="false">IF($B20="","",IFERROR(VLOOKUP($B20,资产台账!$B$4:$N$53,10,0)&amp;"",""))</f>
        <v/>
      </c>
      <c r="F20" s="49" t="str">
        <f aca="false">IF($B20="","",IFERROR(VLOOKUP($B20,资产台账!$B$4:$N$53,9,0),0))</f>
        <v/>
      </c>
      <c r="G20" s="45" t="n">
        <f aca="false">IF(OR($A20="",$W20=0),0,INDEX(仪器设备工时分配表!$F$6:$F$245,$W20))</f>
        <v>0</v>
      </c>
      <c r="H20" s="45" t="n">
        <f aca="false">IF(OR($A20="",$W20=0),0,INDEX(仪器设备工时分配表!$R$6:$R$245,$W20))</f>
        <v>0</v>
      </c>
      <c r="I20" s="28" t="str">
        <f aca="false">IF(OR($A20="",$G20=0),"",$H20/$G20)</f>
        <v/>
      </c>
      <c r="J20" s="27" t="str">
        <f aca="false">IF(OR($A20="",$G20=0),"",ROUND($F20*INDEX(仪器设备工时分配表!$H$6:$H$245,$W20)/$G20,2))</f>
        <v/>
      </c>
      <c r="K20" s="27" t="str">
        <f aca="false">IF(OR($A20="",$G20=0),"",ROUND($F20*INDEX(仪器设备工时分配表!$I$6:$I$245,$W20)/$G20,2))</f>
        <v/>
      </c>
      <c r="L20" s="27" t="str">
        <f aca="false">IF(OR($A20="",$G20=0),"",ROUND($F20*INDEX(仪器设备工时分配表!$J$6:$J$245,$W20)/$G20,2))</f>
        <v/>
      </c>
      <c r="M20" s="27" t="str">
        <f aca="false">IF(OR($A20="",$G20=0),"",ROUND($F20*INDEX(仪器设备工时分配表!$K$6:$K$245,$W20)/$G20,2))</f>
        <v/>
      </c>
      <c r="N20" s="27" t="str">
        <f aca="false">IF(OR($A20="",$G20=0),"",ROUND($F20*INDEX(仪器设备工时分配表!$L$6:$L$245,$W20)/$G20,2))</f>
        <v/>
      </c>
      <c r="O20" s="27" t="str">
        <f aca="false">IF(OR($A20="",$G20=0),"",ROUND($F20*INDEX(仪器设备工时分配表!$M$6:$M$245,$W20)/$G20,2))</f>
        <v/>
      </c>
      <c r="P20" s="27" t="str">
        <f aca="false">IF(OR($A20="",$G20=0),"",ROUND($F20*INDEX(仪器设备工时分配表!$N$6:$N$245,$W20)/$G20,2))</f>
        <v/>
      </c>
      <c r="Q20" s="27" t="str">
        <f aca="false">IF(OR($A20="",$G20=0),"",ROUND($F20*INDEX(仪器设备工时分配表!$O$6:$O$245,$W20)/$G20,2))</f>
        <v/>
      </c>
      <c r="R20" s="27" t="str">
        <f aca="false">IF(OR($A20="",$G20=0),"",ROUND($F20*INDEX(仪器设备工时分配表!$P$6:$P$245,$W20)/$G20,2))</f>
        <v/>
      </c>
      <c r="S20" s="27" t="str">
        <f aca="false">IF(OR($A20="",$G20=0),"",ROUND($F20*INDEX(仪器设备工时分配表!$Q$6:$Q$245,$W20)/$G20,2))</f>
        <v/>
      </c>
      <c r="T20" s="27" t="str">
        <f aca="false">IF($A20="","",ROUND(SUM(J20:S20),2))</f>
        <v/>
      </c>
      <c r="U20" s="27" t="str">
        <f aca="false">IF($A20="","",ROUND($F20-T20,2))</f>
        <v/>
      </c>
      <c r="V20" s="43" t="str">
        <f aca="false">IF($A20="","",IF($D20="无形资产","⚠ 无形资产请在无形资产费用分配表登记",IF($W20=0,"⚠ 工时分配表无此资产当月记录",IF($X20&gt;1,"⚠ 工时分配表存在重复行","√ 正常"))))</f>
        <v/>
      </c>
      <c r="W20" s="47" t="n">
        <f aca="false">IF($A20="",0,IFERROR(MATCH($A20&amp;"|"&amp;$B20,仪器设备工时分配表!$V$6:$V$245,0),0))</f>
        <v>0</v>
      </c>
      <c r="X20" s="47" t="n">
        <f aca="false">IF($A20="",0,COUNTIFS(仪器设备工时分配表!$A$6:$A$245,$A20,仪器设备工时分配表!$B$6:$B$245,$B20))</f>
        <v>0</v>
      </c>
    </row>
    <row r="21" customFormat="false" ht="18" hidden="false" customHeight="true" outlineLevel="0" collapsed="false">
      <c r="A21" s="36"/>
      <c r="B21" s="36"/>
      <c r="C21" s="48" t="str">
        <f aca="false">IF($B21="","",IFERROR(VLOOKUP($B21,资产台账!$B$4:$N$53,2,0)&amp;"","台账中未登记"))</f>
        <v/>
      </c>
      <c r="D21" s="43" t="str">
        <f aca="false">IF($B21="","",IFERROR(VLOOKUP($B21,资产台账!$B$4:$N$53,3,0)&amp;"",""))</f>
        <v/>
      </c>
      <c r="E21" s="43" t="str">
        <f aca="false">IF($B21="","",IFERROR(VLOOKUP($B21,资产台账!$B$4:$N$53,10,0)&amp;"",""))</f>
        <v/>
      </c>
      <c r="F21" s="49" t="str">
        <f aca="false">IF($B21="","",IFERROR(VLOOKUP($B21,资产台账!$B$4:$N$53,9,0),0))</f>
        <v/>
      </c>
      <c r="G21" s="45" t="n">
        <f aca="false">IF(OR($A21="",$W21=0),0,INDEX(仪器设备工时分配表!$F$6:$F$245,$W21))</f>
        <v>0</v>
      </c>
      <c r="H21" s="45" t="n">
        <f aca="false">IF(OR($A21="",$W21=0),0,INDEX(仪器设备工时分配表!$R$6:$R$245,$W21))</f>
        <v>0</v>
      </c>
      <c r="I21" s="28" t="str">
        <f aca="false">IF(OR($A21="",$G21=0),"",$H21/$G21)</f>
        <v/>
      </c>
      <c r="J21" s="27" t="str">
        <f aca="false">IF(OR($A21="",$G21=0),"",ROUND($F21*INDEX(仪器设备工时分配表!$H$6:$H$245,$W21)/$G21,2))</f>
        <v/>
      </c>
      <c r="K21" s="27" t="str">
        <f aca="false">IF(OR($A21="",$G21=0),"",ROUND($F21*INDEX(仪器设备工时分配表!$I$6:$I$245,$W21)/$G21,2))</f>
        <v/>
      </c>
      <c r="L21" s="27" t="str">
        <f aca="false">IF(OR($A21="",$G21=0),"",ROUND($F21*INDEX(仪器设备工时分配表!$J$6:$J$245,$W21)/$G21,2))</f>
        <v/>
      </c>
      <c r="M21" s="27" t="str">
        <f aca="false">IF(OR($A21="",$G21=0),"",ROUND($F21*INDEX(仪器设备工时分配表!$K$6:$K$245,$W21)/$G21,2))</f>
        <v/>
      </c>
      <c r="N21" s="27" t="str">
        <f aca="false">IF(OR($A21="",$G21=0),"",ROUND($F21*INDEX(仪器设备工时分配表!$L$6:$L$245,$W21)/$G21,2))</f>
        <v/>
      </c>
      <c r="O21" s="27" t="str">
        <f aca="false">IF(OR($A21="",$G21=0),"",ROUND($F21*INDEX(仪器设备工时分配表!$M$6:$M$245,$W21)/$G21,2))</f>
        <v/>
      </c>
      <c r="P21" s="27" t="str">
        <f aca="false">IF(OR($A21="",$G21=0),"",ROUND($F21*INDEX(仪器设备工时分配表!$N$6:$N$245,$W21)/$G21,2))</f>
        <v/>
      </c>
      <c r="Q21" s="27" t="str">
        <f aca="false">IF(OR($A21="",$G21=0),"",ROUND($F21*INDEX(仪器设备工时分配表!$O$6:$O$245,$W21)/$G21,2))</f>
        <v/>
      </c>
      <c r="R21" s="27" t="str">
        <f aca="false">IF(OR($A21="",$G21=0),"",ROUND($F21*INDEX(仪器设备工时分配表!$P$6:$P$245,$W21)/$G21,2))</f>
        <v/>
      </c>
      <c r="S21" s="27" t="str">
        <f aca="false">IF(OR($A21="",$G21=0),"",ROUND($F21*INDEX(仪器设备工时分配表!$Q$6:$Q$245,$W21)/$G21,2))</f>
        <v/>
      </c>
      <c r="T21" s="27" t="str">
        <f aca="false">IF($A21="","",ROUND(SUM(J21:S21),2))</f>
        <v/>
      </c>
      <c r="U21" s="27" t="str">
        <f aca="false">IF($A21="","",ROUND($F21-T21,2))</f>
        <v/>
      </c>
      <c r="V21" s="43" t="str">
        <f aca="false">IF($A21="","",IF($D21="无形资产","⚠ 无形资产请在无形资产费用分配表登记",IF($W21=0,"⚠ 工时分配表无此资产当月记录",IF($X21&gt;1,"⚠ 工时分配表存在重复行","√ 正常"))))</f>
        <v/>
      </c>
      <c r="W21" s="47" t="n">
        <f aca="false">IF($A21="",0,IFERROR(MATCH($A21&amp;"|"&amp;$B21,仪器设备工时分配表!$V$6:$V$245,0),0))</f>
        <v>0</v>
      </c>
      <c r="X21" s="47" t="n">
        <f aca="false">IF($A21="",0,COUNTIFS(仪器设备工时分配表!$A$6:$A$245,$A21,仪器设备工时分配表!$B$6:$B$245,$B21))</f>
        <v>0</v>
      </c>
    </row>
    <row r="22" customFormat="false" ht="18" hidden="false" customHeight="true" outlineLevel="0" collapsed="false">
      <c r="A22" s="36"/>
      <c r="B22" s="36"/>
      <c r="C22" s="48" t="str">
        <f aca="false">IF($B22="","",IFERROR(VLOOKUP($B22,资产台账!$B$4:$N$53,2,0)&amp;"","台账中未登记"))</f>
        <v/>
      </c>
      <c r="D22" s="43" t="str">
        <f aca="false">IF($B22="","",IFERROR(VLOOKUP($B22,资产台账!$B$4:$N$53,3,0)&amp;"",""))</f>
        <v/>
      </c>
      <c r="E22" s="43" t="str">
        <f aca="false">IF($B22="","",IFERROR(VLOOKUP($B22,资产台账!$B$4:$N$53,10,0)&amp;"",""))</f>
        <v/>
      </c>
      <c r="F22" s="49" t="str">
        <f aca="false">IF($B22="","",IFERROR(VLOOKUP($B22,资产台账!$B$4:$N$53,9,0),0))</f>
        <v/>
      </c>
      <c r="G22" s="45" t="n">
        <f aca="false">IF(OR($A22="",$W22=0),0,INDEX(仪器设备工时分配表!$F$6:$F$245,$W22))</f>
        <v>0</v>
      </c>
      <c r="H22" s="45" t="n">
        <f aca="false">IF(OR($A22="",$W22=0),0,INDEX(仪器设备工时分配表!$R$6:$R$245,$W22))</f>
        <v>0</v>
      </c>
      <c r="I22" s="28" t="str">
        <f aca="false">IF(OR($A22="",$G22=0),"",$H22/$G22)</f>
        <v/>
      </c>
      <c r="J22" s="27" t="str">
        <f aca="false">IF(OR($A22="",$G22=0),"",ROUND($F22*INDEX(仪器设备工时分配表!$H$6:$H$245,$W22)/$G22,2))</f>
        <v/>
      </c>
      <c r="K22" s="27" t="str">
        <f aca="false">IF(OR($A22="",$G22=0),"",ROUND($F22*INDEX(仪器设备工时分配表!$I$6:$I$245,$W22)/$G22,2))</f>
        <v/>
      </c>
      <c r="L22" s="27" t="str">
        <f aca="false">IF(OR($A22="",$G22=0),"",ROUND($F22*INDEX(仪器设备工时分配表!$J$6:$J$245,$W22)/$G22,2))</f>
        <v/>
      </c>
      <c r="M22" s="27" t="str">
        <f aca="false">IF(OR($A22="",$G22=0),"",ROUND($F22*INDEX(仪器设备工时分配表!$K$6:$K$245,$W22)/$G22,2))</f>
        <v/>
      </c>
      <c r="N22" s="27" t="str">
        <f aca="false">IF(OR($A22="",$G22=0),"",ROUND($F22*INDEX(仪器设备工时分配表!$L$6:$L$245,$W22)/$G22,2))</f>
        <v/>
      </c>
      <c r="O22" s="27" t="str">
        <f aca="false">IF(OR($A22="",$G22=0),"",ROUND($F22*INDEX(仪器设备工时分配表!$M$6:$M$245,$W22)/$G22,2))</f>
        <v/>
      </c>
      <c r="P22" s="27" t="str">
        <f aca="false">IF(OR($A22="",$G22=0),"",ROUND($F22*INDEX(仪器设备工时分配表!$N$6:$N$245,$W22)/$G22,2))</f>
        <v/>
      </c>
      <c r="Q22" s="27" t="str">
        <f aca="false">IF(OR($A22="",$G22=0),"",ROUND($F22*INDEX(仪器设备工时分配表!$O$6:$O$245,$W22)/$G22,2))</f>
        <v/>
      </c>
      <c r="R22" s="27" t="str">
        <f aca="false">IF(OR($A22="",$G22=0),"",ROUND($F22*INDEX(仪器设备工时分配表!$P$6:$P$245,$W22)/$G22,2))</f>
        <v/>
      </c>
      <c r="S22" s="27" t="str">
        <f aca="false">IF(OR($A22="",$G22=0),"",ROUND($F22*INDEX(仪器设备工时分配表!$Q$6:$Q$245,$W22)/$G22,2))</f>
        <v/>
      </c>
      <c r="T22" s="27" t="str">
        <f aca="false">IF($A22="","",ROUND(SUM(J22:S22),2))</f>
        <v/>
      </c>
      <c r="U22" s="27" t="str">
        <f aca="false">IF($A22="","",ROUND($F22-T22,2))</f>
        <v/>
      </c>
      <c r="V22" s="43" t="str">
        <f aca="false">IF($A22="","",IF($D22="无形资产","⚠ 无形资产请在无形资产费用分配表登记",IF($W22=0,"⚠ 工时分配表无此资产当月记录",IF($X22&gt;1,"⚠ 工时分配表存在重复行","√ 正常"))))</f>
        <v/>
      </c>
      <c r="W22" s="47" t="n">
        <f aca="false">IF($A22="",0,IFERROR(MATCH($A22&amp;"|"&amp;$B22,仪器设备工时分配表!$V$6:$V$245,0),0))</f>
        <v>0</v>
      </c>
      <c r="X22" s="47" t="n">
        <f aca="false">IF($A22="",0,COUNTIFS(仪器设备工时分配表!$A$6:$A$245,$A22,仪器设备工时分配表!$B$6:$B$245,$B22))</f>
        <v>0</v>
      </c>
    </row>
    <row r="23" customFormat="false" ht="18" hidden="false" customHeight="true" outlineLevel="0" collapsed="false">
      <c r="A23" s="36"/>
      <c r="B23" s="36"/>
      <c r="C23" s="48" t="str">
        <f aca="false">IF($B23="","",IFERROR(VLOOKUP($B23,资产台账!$B$4:$N$53,2,0)&amp;"","台账中未登记"))</f>
        <v/>
      </c>
      <c r="D23" s="43" t="str">
        <f aca="false">IF($B23="","",IFERROR(VLOOKUP($B23,资产台账!$B$4:$N$53,3,0)&amp;"",""))</f>
        <v/>
      </c>
      <c r="E23" s="43" t="str">
        <f aca="false">IF($B23="","",IFERROR(VLOOKUP($B23,资产台账!$B$4:$N$53,10,0)&amp;"",""))</f>
        <v/>
      </c>
      <c r="F23" s="49" t="str">
        <f aca="false">IF($B23="","",IFERROR(VLOOKUP($B23,资产台账!$B$4:$N$53,9,0),0))</f>
        <v/>
      </c>
      <c r="G23" s="45" t="n">
        <f aca="false">IF(OR($A23="",$W23=0),0,INDEX(仪器设备工时分配表!$F$6:$F$245,$W23))</f>
        <v>0</v>
      </c>
      <c r="H23" s="45" t="n">
        <f aca="false">IF(OR($A23="",$W23=0),0,INDEX(仪器设备工时分配表!$R$6:$R$245,$W23))</f>
        <v>0</v>
      </c>
      <c r="I23" s="28" t="str">
        <f aca="false">IF(OR($A23="",$G23=0),"",$H23/$G23)</f>
        <v/>
      </c>
      <c r="J23" s="27" t="str">
        <f aca="false">IF(OR($A23="",$G23=0),"",ROUND($F23*INDEX(仪器设备工时分配表!$H$6:$H$245,$W23)/$G23,2))</f>
        <v/>
      </c>
      <c r="K23" s="27" t="str">
        <f aca="false">IF(OR($A23="",$G23=0),"",ROUND($F23*INDEX(仪器设备工时分配表!$I$6:$I$245,$W23)/$G23,2))</f>
        <v/>
      </c>
      <c r="L23" s="27" t="str">
        <f aca="false">IF(OR($A23="",$G23=0),"",ROUND($F23*INDEX(仪器设备工时分配表!$J$6:$J$245,$W23)/$G23,2))</f>
        <v/>
      </c>
      <c r="M23" s="27" t="str">
        <f aca="false">IF(OR($A23="",$G23=0),"",ROUND($F23*INDEX(仪器设备工时分配表!$K$6:$K$245,$W23)/$G23,2))</f>
        <v/>
      </c>
      <c r="N23" s="27" t="str">
        <f aca="false">IF(OR($A23="",$G23=0),"",ROUND($F23*INDEX(仪器设备工时分配表!$L$6:$L$245,$W23)/$G23,2))</f>
        <v/>
      </c>
      <c r="O23" s="27" t="str">
        <f aca="false">IF(OR($A23="",$G23=0),"",ROUND($F23*INDEX(仪器设备工时分配表!$M$6:$M$245,$W23)/$G23,2))</f>
        <v/>
      </c>
      <c r="P23" s="27" t="str">
        <f aca="false">IF(OR($A23="",$G23=0),"",ROUND($F23*INDEX(仪器设备工时分配表!$N$6:$N$245,$W23)/$G23,2))</f>
        <v/>
      </c>
      <c r="Q23" s="27" t="str">
        <f aca="false">IF(OR($A23="",$G23=0),"",ROUND($F23*INDEX(仪器设备工时分配表!$O$6:$O$245,$W23)/$G23,2))</f>
        <v/>
      </c>
      <c r="R23" s="27" t="str">
        <f aca="false">IF(OR($A23="",$G23=0),"",ROUND($F23*INDEX(仪器设备工时分配表!$P$6:$P$245,$W23)/$G23,2))</f>
        <v/>
      </c>
      <c r="S23" s="27" t="str">
        <f aca="false">IF(OR($A23="",$G23=0),"",ROUND($F23*INDEX(仪器设备工时分配表!$Q$6:$Q$245,$W23)/$G23,2))</f>
        <v/>
      </c>
      <c r="T23" s="27" t="str">
        <f aca="false">IF($A23="","",ROUND(SUM(J23:S23),2))</f>
        <v/>
      </c>
      <c r="U23" s="27" t="str">
        <f aca="false">IF($A23="","",ROUND($F23-T23,2))</f>
        <v/>
      </c>
      <c r="V23" s="43" t="str">
        <f aca="false">IF($A23="","",IF($D23="无形资产","⚠ 无形资产请在无形资产费用分配表登记",IF($W23=0,"⚠ 工时分配表无此资产当月记录",IF($X23&gt;1,"⚠ 工时分配表存在重复行","√ 正常"))))</f>
        <v/>
      </c>
      <c r="W23" s="47" t="n">
        <f aca="false">IF($A23="",0,IFERROR(MATCH($A23&amp;"|"&amp;$B23,仪器设备工时分配表!$V$6:$V$245,0),0))</f>
        <v>0</v>
      </c>
      <c r="X23" s="47" t="n">
        <f aca="false">IF($A23="",0,COUNTIFS(仪器设备工时分配表!$A$6:$A$245,$A23,仪器设备工时分配表!$B$6:$B$245,$B23))</f>
        <v>0</v>
      </c>
    </row>
    <row r="24" customFormat="false" ht="18" hidden="false" customHeight="true" outlineLevel="0" collapsed="false">
      <c r="A24" s="36"/>
      <c r="B24" s="36"/>
      <c r="C24" s="48" t="str">
        <f aca="false">IF($B24="","",IFERROR(VLOOKUP($B24,资产台账!$B$4:$N$53,2,0)&amp;"","台账中未登记"))</f>
        <v/>
      </c>
      <c r="D24" s="43" t="str">
        <f aca="false">IF($B24="","",IFERROR(VLOOKUP($B24,资产台账!$B$4:$N$53,3,0)&amp;"",""))</f>
        <v/>
      </c>
      <c r="E24" s="43" t="str">
        <f aca="false">IF($B24="","",IFERROR(VLOOKUP($B24,资产台账!$B$4:$N$53,10,0)&amp;"",""))</f>
        <v/>
      </c>
      <c r="F24" s="49" t="str">
        <f aca="false">IF($B24="","",IFERROR(VLOOKUP($B24,资产台账!$B$4:$N$53,9,0),0))</f>
        <v/>
      </c>
      <c r="G24" s="45" t="n">
        <f aca="false">IF(OR($A24="",$W24=0),0,INDEX(仪器设备工时分配表!$F$6:$F$245,$W24))</f>
        <v>0</v>
      </c>
      <c r="H24" s="45" t="n">
        <f aca="false">IF(OR($A24="",$W24=0),0,INDEX(仪器设备工时分配表!$R$6:$R$245,$W24))</f>
        <v>0</v>
      </c>
      <c r="I24" s="28" t="str">
        <f aca="false">IF(OR($A24="",$G24=0),"",$H24/$G24)</f>
        <v/>
      </c>
      <c r="J24" s="27" t="str">
        <f aca="false">IF(OR($A24="",$G24=0),"",ROUND($F24*INDEX(仪器设备工时分配表!$H$6:$H$245,$W24)/$G24,2))</f>
        <v/>
      </c>
      <c r="K24" s="27" t="str">
        <f aca="false">IF(OR($A24="",$G24=0),"",ROUND($F24*INDEX(仪器设备工时分配表!$I$6:$I$245,$W24)/$G24,2))</f>
        <v/>
      </c>
      <c r="L24" s="27" t="str">
        <f aca="false">IF(OR($A24="",$G24=0),"",ROUND($F24*INDEX(仪器设备工时分配表!$J$6:$J$245,$W24)/$G24,2))</f>
        <v/>
      </c>
      <c r="M24" s="27" t="str">
        <f aca="false">IF(OR($A24="",$G24=0),"",ROUND($F24*INDEX(仪器设备工时分配表!$K$6:$K$245,$W24)/$G24,2))</f>
        <v/>
      </c>
      <c r="N24" s="27" t="str">
        <f aca="false">IF(OR($A24="",$G24=0),"",ROUND($F24*INDEX(仪器设备工时分配表!$L$6:$L$245,$W24)/$G24,2))</f>
        <v/>
      </c>
      <c r="O24" s="27" t="str">
        <f aca="false">IF(OR($A24="",$G24=0),"",ROUND($F24*INDEX(仪器设备工时分配表!$M$6:$M$245,$W24)/$G24,2))</f>
        <v/>
      </c>
      <c r="P24" s="27" t="str">
        <f aca="false">IF(OR($A24="",$G24=0),"",ROUND($F24*INDEX(仪器设备工时分配表!$N$6:$N$245,$W24)/$G24,2))</f>
        <v/>
      </c>
      <c r="Q24" s="27" t="str">
        <f aca="false">IF(OR($A24="",$G24=0),"",ROUND($F24*INDEX(仪器设备工时分配表!$O$6:$O$245,$W24)/$G24,2))</f>
        <v/>
      </c>
      <c r="R24" s="27" t="str">
        <f aca="false">IF(OR($A24="",$G24=0),"",ROUND($F24*INDEX(仪器设备工时分配表!$P$6:$P$245,$W24)/$G24,2))</f>
        <v/>
      </c>
      <c r="S24" s="27" t="str">
        <f aca="false">IF(OR($A24="",$G24=0),"",ROUND($F24*INDEX(仪器设备工时分配表!$Q$6:$Q$245,$W24)/$G24,2))</f>
        <v/>
      </c>
      <c r="T24" s="27" t="str">
        <f aca="false">IF($A24="","",ROUND(SUM(J24:S24),2))</f>
        <v/>
      </c>
      <c r="U24" s="27" t="str">
        <f aca="false">IF($A24="","",ROUND($F24-T24,2))</f>
        <v/>
      </c>
      <c r="V24" s="43" t="str">
        <f aca="false">IF($A24="","",IF($D24="无形资产","⚠ 无形资产请在无形资产费用分配表登记",IF($W24=0,"⚠ 工时分配表无此资产当月记录",IF($X24&gt;1,"⚠ 工时分配表存在重复行","√ 正常"))))</f>
        <v/>
      </c>
      <c r="W24" s="47" t="n">
        <f aca="false">IF($A24="",0,IFERROR(MATCH($A24&amp;"|"&amp;$B24,仪器设备工时分配表!$V$6:$V$245,0),0))</f>
        <v>0</v>
      </c>
      <c r="X24" s="47" t="n">
        <f aca="false">IF($A24="",0,COUNTIFS(仪器设备工时分配表!$A$6:$A$245,$A24,仪器设备工时分配表!$B$6:$B$245,$B24))</f>
        <v>0</v>
      </c>
    </row>
    <row r="25" customFormat="false" ht="18" hidden="false" customHeight="true" outlineLevel="0" collapsed="false">
      <c r="A25" s="36"/>
      <c r="B25" s="36"/>
      <c r="C25" s="48" t="str">
        <f aca="false">IF($B25="","",IFERROR(VLOOKUP($B25,资产台账!$B$4:$N$53,2,0)&amp;"","台账中未登记"))</f>
        <v/>
      </c>
      <c r="D25" s="43" t="str">
        <f aca="false">IF($B25="","",IFERROR(VLOOKUP($B25,资产台账!$B$4:$N$53,3,0)&amp;"",""))</f>
        <v/>
      </c>
      <c r="E25" s="43" t="str">
        <f aca="false">IF($B25="","",IFERROR(VLOOKUP($B25,资产台账!$B$4:$N$53,10,0)&amp;"",""))</f>
        <v/>
      </c>
      <c r="F25" s="49" t="str">
        <f aca="false">IF($B25="","",IFERROR(VLOOKUP($B25,资产台账!$B$4:$N$53,9,0),0))</f>
        <v/>
      </c>
      <c r="G25" s="45" t="n">
        <f aca="false">IF(OR($A25="",$W25=0),0,INDEX(仪器设备工时分配表!$F$6:$F$245,$W25))</f>
        <v>0</v>
      </c>
      <c r="H25" s="45" t="n">
        <f aca="false">IF(OR($A25="",$W25=0),0,INDEX(仪器设备工时分配表!$R$6:$R$245,$W25))</f>
        <v>0</v>
      </c>
      <c r="I25" s="28" t="str">
        <f aca="false">IF(OR($A25="",$G25=0),"",$H25/$G25)</f>
        <v/>
      </c>
      <c r="J25" s="27" t="str">
        <f aca="false">IF(OR($A25="",$G25=0),"",ROUND($F25*INDEX(仪器设备工时分配表!$H$6:$H$245,$W25)/$G25,2))</f>
        <v/>
      </c>
      <c r="K25" s="27" t="str">
        <f aca="false">IF(OR($A25="",$G25=0),"",ROUND($F25*INDEX(仪器设备工时分配表!$I$6:$I$245,$W25)/$G25,2))</f>
        <v/>
      </c>
      <c r="L25" s="27" t="str">
        <f aca="false">IF(OR($A25="",$G25=0),"",ROUND($F25*INDEX(仪器设备工时分配表!$J$6:$J$245,$W25)/$G25,2))</f>
        <v/>
      </c>
      <c r="M25" s="27" t="str">
        <f aca="false">IF(OR($A25="",$G25=0),"",ROUND($F25*INDEX(仪器设备工时分配表!$K$6:$K$245,$W25)/$G25,2))</f>
        <v/>
      </c>
      <c r="N25" s="27" t="str">
        <f aca="false">IF(OR($A25="",$G25=0),"",ROUND($F25*INDEX(仪器设备工时分配表!$L$6:$L$245,$W25)/$G25,2))</f>
        <v/>
      </c>
      <c r="O25" s="27" t="str">
        <f aca="false">IF(OR($A25="",$G25=0),"",ROUND($F25*INDEX(仪器设备工时分配表!$M$6:$M$245,$W25)/$G25,2))</f>
        <v/>
      </c>
      <c r="P25" s="27" t="str">
        <f aca="false">IF(OR($A25="",$G25=0),"",ROUND($F25*INDEX(仪器设备工时分配表!$N$6:$N$245,$W25)/$G25,2))</f>
        <v/>
      </c>
      <c r="Q25" s="27" t="str">
        <f aca="false">IF(OR($A25="",$G25=0),"",ROUND($F25*INDEX(仪器设备工时分配表!$O$6:$O$245,$W25)/$G25,2))</f>
        <v/>
      </c>
      <c r="R25" s="27" t="str">
        <f aca="false">IF(OR($A25="",$G25=0),"",ROUND($F25*INDEX(仪器设备工时分配表!$P$6:$P$245,$W25)/$G25,2))</f>
        <v/>
      </c>
      <c r="S25" s="27" t="str">
        <f aca="false">IF(OR($A25="",$G25=0),"",ROUND($F25*INDEX(仪器设备工时分配表!$Q$6:$Q$245,$W25)/$G25,2))</f>
        <v/>
      </c>
      <c r="T25" s="27" t="str">
        <f aca="false">IF($A25="","",ROUND(SUM(J25:S25),2))</f>
        <v/>
      </c>
      <c r="U25" s="27" t="str">
        <f aca="false">IF($A25="","",ROUND($F25-T25,2))</f>
        <v/>
      </c>
      <c r="V25" s="43" t="str">
        <f aca="false">IF($A25="","",IF($D25="无形资产","⚠ 无形资产请在无形资产费用分配表登记",IF($W25=0,"⚠ 工时分配表无此资产当月记录",IF($X25&gt;1,"⚠ 工时分配表存在重复行","√ 正常"))))</f>
        <v/>
      </c>
      <c r="W25" s="47" t="n">
        <f aca="false">IF($A25="",0,IFERROR(MATCH($A25&amp;"|"&amp;$B25,仪器设备工时分配表!$V$6:$V$245,0),0))</f>
        <v>0</v>
      </c>
      <c r="X25" s="47" t="n">
        <f aca="false">IF($A25="",0,COUNTIFS(仪器设备工时分配表!$A$6:$A$245,$A25,仪器设备工时分配表!$B$6:$B$245,$B25))</f>
        <v>0</v>
      </c>
    </row>
    <row r="26" customFormat="false" ht="18" hidden="false" customHeight="true" outlineLevel="0" collapsed="false">
      <c r="A26" s="36"/>
      <c r="B26" s="36"/>
      <c r="C26" s="48" t="str">
        <f aca="false">IF($B26="","",IFERROR(VLOOKUP($B26,资产台账!$B$4:$N$53,2,0)&amp;"","台账中未登记"))</f>
        <v/>
      </c>
      <c r="D26" s="43" t="str">
        <f aca="false">IF($B26="","",IFERROR(VLOOKUP($B26,资产台账!$B$4:$N$53,3,0)&amp;"",""))</f>
        <v/>
      </c>
      <c r="E26" s="43" t="str">
        <f aca="false">IF($B26="","",IFERROR(VLOOKUP($B26,资产台账!$B$4:$N$53,10,0)&amp;"",""))</f>
        <v/>
      </c>
      <c r="F26" s="49" t="str">
        <f aca="false">IF($B26="","",IFERROR(VLOOKUP($B26,资产台账!$B$4:$N$53,9,0),0))</f>
        <v/>
      </c>
      <c r="G26" s="45" t="n">
        <f aca="false">IF(OR($A26="",$W26=0),0,INDEX(仪器设备工时分配表!$F$6:$F$245,$W26))</f>
        <v>0</v>
      </c>
      <c r="H26" s="45" t="n">
        <f aca="false">IF(OR($A26="",$W26=0),0,INDEX(仪器设备工时分配表!$R$6:$R$245,$W26))</f>
        <v>0</v>
      </c>
      <c r="I26" s="28" t="str">
        <f aca="false">IF(OR($A26="",$G26=0),"",$H26/$G26)</f>
        <v/>
      </c>
      <c r="J26" s="27" t="str">
        <f aca="false">IF(OR($A26="",$G26=0),"",ROUND($F26*INDEX(仪器设备工时分配表!$H$6:$H$245,$W26)/$G26,2))</f>
        <v/>
      </c>
      <c r="K26" s="27" t="str">
        <f aca="false">IF(OR($A26="",$G26=0),"",ROUND($F26*INDEX(仪器设备工时分配表!$I$6:$I$245,$W26)/$G26,2))</f>
        <v/>
      </c>
      <c r="L26" s="27" t="str">
        <f aca="false">IF(OR($A26="",$G26=0),"",ROUND($F26*INDEX(仪器设备工时分配表!$J$6:$J$245,$W26)/$G26,2))</f>
        <v/>
      </c>
      <c r="M26" s="27" t="str">
        <f aca="false">IF(OR($A26="",$G26=0),"",ROUND($F26*INDEX(仪器设备工时分配表!$K$6:$K$245,$W26)/$G26,2))</f>
        <v/>
      </c>
      <c r="N26" s="27" t="str">
        <f aca="false">IF(OR($A26="",$G26=0),"",ROUND($F26*INDEX(仪器设备工时分配表!$L$6:$L$245,$W26)/$G26,2))</f>
        <v/>
      </c>
      <c r="O26" s="27" t="str">
        <f aca="false">IF(OR($A26="",$G26=0),"",ROUND($F26*INDEX(仪器设备工时分配表!$M$6:$M$245,$W26)/$G26,2))</f>
        <v/>
      </c>
      <c r="P26" s="27" t="str">
        <f aca="false">IF(OR($A26="",$G26=0),"",ROUND($F26*INDEX(仪器设备工时分配表!$N$6:$N$245,$W26)/$G26,2))</f>
        <v/>
      </c>
      <c r="Q26" s="27" t="str">
        <f aca="false">IF(OR($A26="",$G26=0),"",ROUND($F26*INDEX(仪器设备工时分配表!$O$6:$O$245,$W26)/$G26,2))</f>
        <v/>
      </c>
      <c r="R26" s="27" t="str">
        <f aca="false">IF(OR($A26="",$G26=0),"",ROUND($F26*INDEX(仪器设备工时分配表!$P$6:$P$245,$W26)/$G26,2))</f>
        <v/>
      </c>
      <c r="S26" s="27" t="str">
        <f aca="false">IF(OR($A26="",$G26=0),"",ROUND($F26*INDEX(仪器设备工时分配表!$Q$6:$Q$245,$W26)/$G26,2))</f>
        <v/>
      </c>
      <c r="T26" s="27" t="str">
        <f aca="false">IF($A26="","",ROUND(SUM(J26:S26),2))</f>
        <v/>
      </c>
      <c r="U26" s="27" t="str">
        <f aca="false">IF($A26="","",ROUND($F26-T26,2))</f>
        <v/>
      </c>
      <c r="V26" s="43" t="str">
        <f aca="false">IF($A26="","",IF($D26="无形资产","⚠ 无形资产请在无形资产费用分配表登记",IF($W26=0,"⚠ 工时分配表无此资产当月记录",IF($X26&gt;1,"⚠ 工时分配表存在重复行","√ 正常"))))</f>
        <v/>
      </c>
      <c r="W26" s="47" t="n">
        <f aca="false">IF($A26="",0,IFERROR(MATCH($A26&amp;"|"&amp;$B26,仪器设备工时分配表!$V$6:$V$245,0),0))</f>
        <v>0</v>
      </c>
      <c r="X26" s="47" t="n">
        <f aca="false">IF($A26="",0,COUNTIFS(仪器设备工时分配表!$A$6:$A$245,$A26,仪器设备工时分配表!$B$6:$B$245,$B26))</f>
        <v>0</v>
      </c>
    </row>
    <row r="27" customFormat="false" ht="18" hidden="false" customHeight="true" outlineLevel="0" collapsed="false">
      <c r="A27" s="36"/>
      <c r="B27" s="36"/>
      <c r="C27" s="48" t="str">
        <f aca="false">IF($B27="","",IFERROR(VLOOKUP($B27,资产台账!$B$4:$N$53,2,0)&amp;"","台账中未登记"))</f>
        <v/>
      </c>
      <c r="D27" s="43" t="str">
        <f aca="false">IF($B27="","",IFERROR(VLOOKUP($B27,资产台账!$B$4:$N$53,3,0)&amp;"",""))</f>
        <v/>
      </c>
      <c r="E27" s="43" t="str">
        <f aca="false">IF($B27="","",IFERROR(VLOOKUP($B27,资产台账!$B$4:$N$53,10,0)&amp;"",""))</f>
        <v/>
      </c>
      <c r="F27" s="49" t="str">
        <f aca="false">IF($B27="","",IFERROR(VLOOKUP($B27,资产台账!$B$4:$N$53,9,0),0))</f>
        <v/>
      </c>
      <c r="G27" s="45" t="n">
        <f aca="false">IF(OR($A27="",$W27=0),0,INDEX(仪器设备工时分配表!$F$6:$F$245,$W27))</f>
        <v>0</v>
      </c>
      <c r="H27" s="45" t="n">
        <f aca="false">IF(OR($A27="",$W27=0),0,INDEX(仪器设备工时分配表!$R$6:$R$245,$W27))</f>
        <v>0</v>
      </c>
      <c r="I27" s="28" t="str">
        <f aca="false">IF(OR($A27="",$G27=0),"",$H27/$G27)</f>
        <v/>
      </c>
      <c r="J27" s="27" t="str">
        <f aca="false">IF(OR($A27="",$G27=0),"",ROUND($F27*INDEX(仪器设备工时分配表!$H$6:$H$245,$W27)/$G27,2))</f>
        <v/>
      </c>
      <c r="K27" s="27" t="str">
        <f aca="false">IF(OR($A27="",$G27=0),"",ROUND($F27*INDEX(仪器设备工时分配表!$I$6:$I$245,$W27)/$G27,2))</f>
        <v/>
      </c>
      <c r="L27" s="27" t="str">
        <f aca="false">IF(OR($A27="",$G27=0),"",ROUND($F27*INDEX(仪器设备工时分配表!$J$6:$J$245,$W27)/$G27,2))</f>
        <v/>
      </c>
      <c r="M27" s="27" t="str">
        <f aca="false">IF(OR($A27="",$G27=0),"",ROUND($F27*INDEX(仪器设备工时分配表!$K$6:$K$245,$W27)/$G27,2))</f>
        <v/>
      </c>
      <c r="N27" s="27" t="str">
        <f aca="false">IF(OR($A27="",$G27=0),"",ROUND($F27*INDEX(仪器设备工时分配表!$L$6:$L$245,$W27)/$G27,2))</f>
        <v/>
      </c>
      <c r="O27" s="27" t="str">
        <f aca="false">IF(OR($A27="",$G27=0),"",ROUND($F27*INDEX(仪器设备工时分配表!$M$6:$M$245,$W27)/$G27,2))</f>
        <v/>
      </c>
      <c r="P27" s="27" t="str">
        <f aca="false">IF(OR($A27="",$G27=0),"",ROUND($F27*INDEX(仪器设备工时分配表!$N$6:$N$245,$W27)/$G27,2))</f>
        <v/>
      </c>
      <c r="Q27" s="27" t="str">
        <f aca="false">IF(OR($A27="",$G27=0),"",ROUND($F27*INDEX(仪器设备工时分配表!$O$6:$O$245,$W27)/$G27,2))</f>
        <v/>
      </c>
      <c r="R27" s="27" t="str">
        <f aca="false">IF(OR($A27="",$G27=0),"",ROUND($F27*INDEX(仪器设备工时分配表!$P$6:$P$245,$W27)/$G27,2))</f>
        <v/>
      </c>
      <c r="S27" s="27" t="str">
        <f aca="false">IF(OR($A27="",$G27=0),"",ROUND($F27*INDEX(仪器设备工时分配表!$Q$6:$Q$245,$W27)/$G27,2))</f>
        <v/>
      </c>
      <c r="T27" s="27" t="str">
        <f aca="false">IF($A27="","",ROUND(SUM(J27:S27),2))</f>
        <v/>
      </c>
      <c r="U27" s="27" t="str">
        <f aca="false">IF($A27="","",ROUND($F27-T27,2))</f>
        <v/>
      </c>
      <c r="V27" s="43" t="str">
        <f aca="false">IF($A27="","",IF($D27="无形资产","⚠ 无形资产请在无形资产费用分配表登记",IF($W27=0,"⚠ 工时分配表无此资产当月记录",IF($X27&gt;1,"⚠ 工时分配表存在重复行","√ 正常"))))</f>
        <v/>
      </c>
      <c r="W27" s="47" t="n">
        <f aca="false">IF($A27="",0,IFERROR(MATCH($A27&amp;"|"&amp;$B27,仪器设备工时分配表!$V$6:$V$245,0),0))</f>
        <v>0</v>
      </c>
      <c r="X27" s="47" t="n">
        <f aca="false">IF($A27="",0,COUNTIFS(仪器设备工时分配表!$A$6:$A$245,$A27,仪器设备工时分配表!$B$6:$B$245,$B27))</f>
        <v>0</v>
      </c>
    </row>
    <row r="28" customFormat="false" ht="18" hidden="false" customHeight="true" outlineLevel="0" collapsed="false">
      <c r="A28" s="36"/>
      <c r="B28" s="36"/>
      <c r="C28" s="48" t="str">
        <f aca="false">IF($B28="","",IFERROR(VLOOKUP($B28,资产台账!$B$4:$N$53,2,0)&amp;"","台账中未登记"))</f>
        <v/>
      </c>
      <c r="D28" s="43" t="str">
        <f aca="false">IF($B28="","",IFERROR(VLOOKUP($B28,资产台账!$B$4:$N$53,3,0)&amp;"",""))</f>
        <v/>
      </c>
      <c r="E28" s="43" t="str">
        <f aca="false">IF($B28="","",IFERROR(VLOOKUP($B28,资产台账!$B$4:$N$53,10,0)&amp;"",""))</f>
        <v/>
      </c>
      <c r="F28" s="49" t="str">
        <f aca="false">IF($B28="","",IFERROR(VLOOKUP($B28,资产台账!$B$4:$N$53,9,0),0))</f>
        <v/>
      </c>
      <c r="G28" s="45" t="n">
        <f aca="false">IF(OR($A28="",$W28=0),0,INDEX(仪器设备工时分配表!$F$6:$F$245,$W28))</f>
        <v>0</v>
      </c>
      <c r="H28" s="45" t="n">
        <f aca="false">IF(OR($A28="",$W28=0),0,INDEX(仪器设备工时分配表!$R$6:$R$245,$W28))</f>
        <v>0</v>
      </c>
      <c r="I28" s="28" t="str">
        <f aca="false">IF(OR($A28="",$G28=0),"",$H28/$G28)</f>
        <v/>
      </c>
      <c r="J28" s="27" t="str">
        <f aca="false">IF(OR($A28="",$G28=0),"",ROUND($F28*INDEX(仪器设备工时分配表!$H$6:$H$245,$W28)/$G28,2))</f>
        <v/>
      </c>
      <c r="K28" s="27" t="str">
        <f aca="false">IF(OR($A28="",$G28=0),"",ROUND($F28*INDEX(仪器设备工时分配表!$I$6:$I$245,$W28)/$G28,2))</f>
        <v/>
      </c>
      <c r="L28" s="27" t="str">
        <f aca="false">IF(OR($A28="",$G28=0),"",ROUND($F28*INDEX(仪器设备工时分配表!$J$6:$J$245,$W28)/$G28,2))</f>
        <v/>
      </c>
      <c r="M28" s="27" t="str">
        <f aca="false">IF(OR($A28="",$G28=0),"",ROUND($F28*INDEX(仪器设备工时分配表!$K$6:$K$245,$W28)/$G28,2))</f>
        <v/>
      </c>
      <c r="N28" s="27" t="str">
        <f aca="false">IF(OR($A28="",$G28=0),"",ROUND($F28*INDEX(仪器设备工时分配表!$L$6:$L$245,$W28)/$G28,2))</f>
        <v/>
      </c>
      <c r="O28" s="27" t="str">
        <f aca="false">IF(OR($A28="",$G28=0),"",ROUND($F28*INDEX(仪器设备工时分配表!$M$6:$M$245,$W28)/$G28,2))</f>
        <v/>
      </c>
      <c r="P28" s="27" t="str">
        <f aca="false">IF(OR($A28="",$G28=0),"",ROUND($F28*INDEX(仪器设备工时分配表!$N$6:$N$245,$W28)/$G28,2))</f>
        <v/>
      </c>
      <c r="Q28" s="27" t="str">
        <f aca="false">IF(OR($A28="",$G28=0),"",ROUND($F28*INDEX(仪器设备工时分配表!$O$6:$O$245,$W28)/$G28,2))</f>
        <v/>
      </c>
      <c r="R28" s="27" t="str">
        <f aca="false">IF(OR($A28="",$G28=0),"",ROUND($F28*INDEX(仪器设备工时分配表!$P$6:$P$245,$W28)/$G28,2))</f>
        <v/>
      </c>
      <c r="S28" s="27" t="str">
        <f aca="false">IF(OR($A28="",$G28=0),"",ROUND($F28*INDEX(仪器设备工时分配表!$Q$6:$Q$245,$W28)/$G28,2))</f>
        <v/>
      </c>
      <c r="T28" s="27" t="str">
        <f aca="false">IF($A28="","",ROUND(SUM(J28:S28),2))</f>
        <v/>
      </c>
      <c r="U28" s="27" t="str">
        <f aca="false">IF($A28="","",ROUND($F28-T28,2))</f>
        <v/>
      </c>
      <c r="V28" s="43" t="str">
        <f aca="false">IF($A28="","",IF($D28="无形资产","⚠ 无形资产请在无形资产费用分配表登记",IF($W28=0,"⚠ 工时分配表无此资产当月记录",IF($X28&gt;1,"⚠ 工时分配表存在重复行","√ 正常"))))</f>
        <v/>
      </c>
      <c r="W28" s="47" t="n">
        <f aca="false">IF($A28="",0,IFERROR(MATCH($A28&amp;"|"&amp;$B28,仪器设备工时分配表!$V$6:$V$245,0),0))</f>
        <v>0</v>
      </c>
      <c r="X28" s="47" t="n">
        <f aca="false">IF($A28="",0,COUNTIFS(仪器设备工时分配表!$A$6:$A$245,$A28,仪器设备工时分配表!$B$6:$B$245,$B28))</f>
        <v>0</v>
      </c>
    </row>
    <row r="29" customFormat="false" ht="18" hidden="false" customHeight="true" outlineLevel="0" collapsed="false">
      <c r="A29" s="36"/>
      <c r="B29" s="36"/>
      <c r="C29" s="48" t="str">
        <f aca="false">IF($B29="","",IFERROR(VLOOKUP($B29,资产台账!$B$4:$N$53,2,0)&amp;"","台账中未登记"))</f>
        <v/>
      </c>
      <c r="D29" s="43" t="str">
        <f aca="false">IF($B29="","",IFERROR(VLOOKUP($B29,资产台账!$B$4:$N$53,3,0)&amp;"",""))</f>
        <v/>
      </c>
      <c r="E29" s="43" t="str">
        <f aca="false">IF($B29="","",IFERROR(VLOOKUP($B29,资产台账!$B$4:$N$53,10,0)&amp;"",""))</f>
        <v/>
      </c>
      <c r="F29" s="49" t="str">
        <f aca="false">IF($B29="","",IFERROR(VLOOKUP($B29,资产台账!$B$4:$N$53,9,0),0))</f>
        <v/>
      </c>
      <c r="G29" s="45" t="n">
        <f aca="false">IF(OR($A29="",$W29=0),0,INDEX(仪器设备工时分配表!$F$6:$F$245,$W29))</f>
        <v>0</v>
      </c>
      <c r="H29" s="45" t="n">
        <f aca="false">IF(OR($A29="",$W29=0),0,INDEX(仪器设备工时分配表!$R$6:$R$245,$W29))</f>
        <v>0</v>
      </c>
      <c r="I29" s="28" t="str">
        <f aca="false">IF(OR($A29="",$G29=0),"",$H29/$G29)</f>
        <v/>
      </c>
      <c r="J29" s="27" t="str">
        <f aca="false">IF(OR($A29="",$G29=0),"",ROUND($F29*INDEX(仪器设备工时分配表!$H$6:$H$245,$W29)/$G29,2))</f>
        <v/>
      </c>
      <c r="K29" s="27" t="str">
        <f aca="false">IF(OR($A29="",$G29=0),"",ROUND($F29*INDEX(仪器设备工时分配表!$I$6:$I$245,$W29)/$G29,2))</f>
        <v/>
      </c>
      <c r="L29" s="27" t="str">
        <f aca="false">IF(OR($A29="",$G29=0),"",ROUND($F29*INDEX(仪器设备工时分配表!$J$6:$J$245,$W29)/$G29,2))</f>
        <v/>
      </c>
      <c r="M29" s="27" t="str">
        <f aca="false">IF(OR($A29="",$G29=0),"",ROUND($F29*INDEX(仪器设备工时分配表!$K$6:$K$245,$W29)/$G29,2))</f>
        <v/>
      </c>
      <c r="N29" s="27" t="str">
        <f aca="false">IF(OR($A29="",$G29=0),"",ROUND($F29*INDEX(仪器设备工时分配表!$L$6:$L$245,$W29)/$G29,2))</f>
        <v/>
      </c>
      <c r="O29" s="27" t="str">
        <f aca="false">IF(OR($A29="",$G29=0),"",ROUND($F29*INDEX(仪器设备工时分配表!$M$6:$M$245,$W29)/$G29,2))</f>
        <v/>
      </c>
      <c r="P29" s="27" t="str">
        <f aca="false">IF(OR($A29="",$G29=0),"",ROUND($F29*INDEX(仪器设备工时分配表!$N$6:$N$245,$W29)/$G29,2))</f>
        <v/>
      </c>
      <c r="Q29" s="27" t="str">
        <f aca="false">IF(OR($A29="",$G29=0),"",ROUND($F29*INDEX(仪器设备工时分配表!$O$6:$O$245,$W29)/$G29,2))</f>
        <v/>
      </c>
      <c r="R29" s="27" t="str">
        <f aca="false">IF(OR($A29="",$G29=0),"",ROUND($F29*INDEX(仪器设备工时分配表!$P$6:$P$245,$W29)/$G29,2))</f>
        <v/>
      </c>
      <c r="S29" s="27" t="str">
        <f aca="false">IF(OR($A29="",$G29=0),"",ROUND($F29*INDEX(仪器设备工时分配表!$Q$6:$Q$245,$W29)/$G29,2))</f>
        <v/>
      </c>
      <c r="T29" s="27" t="str">
        <f aca="false">IF($A29="","",ROUND(SUM(J29:S29),2))</f>
        <v/>
      </c>
      <c r="U29" s="27" t="str">
        <f aca="false">IF($A29="","",ROUND($F29-T29,2))</f>
        <v/>
      </c>
      <c r="V29" s="43" t="str">
        <f aca="false">IF($A29="","",IF($D29="无形资产","⚠ 无形资产请在无形资产费用分配表登记",IF($W29=0,"⚠ 工时分配表无此资产当月记录",IF($X29&gt;1,"⚠ 工时分配表存在重复行","√ 正常"))))</f>
        <v/>
      </c>
      <c r="W29" s="47" t="n">
        <f aca="false">IF($A29="",0,IFERROR(MATCH($A29&amp;"|"&amp;$B29,仪器设备工时分配表!$V$6:$V$245,0),0))</f>
        <v>0</v>
      </c>
      <c r="X29" s="47" t="n">
        <f aca="false">IF($A29="",0,COUNTIFS(仪器设备工时分配表!$A$6:$A$245,$A29,仪器设备工时分配表!$B$6:$B$245,$B29))</f>
        <v>0</v>
      </c>
    </row>
    <row r="30" customFormat="false" ht="18" hidden="false" customHeight="true" outlineLevel="0" collapsed="false">
      <c r="A30" s="36"/>
      <c r="B30" s="36"/>
      <c r="C30" s="48" t="str">
        <f aca="false">IF($B30="","",IFERROR(VLOOKUP($B30,资产台账!$B$4:$N$53,2,0)&amp;"","台账中未登记"))</f>
        <v/>
      </c>
      <c r="D30" s="43" t="str">
        <f aca="false">IF($B30="","",IFERROR(VLOOKUP($B30,资产台账!$B$4:$N$53,3,0)&amp;"",""))</f>
        <v/>
      </c>
      <c r="E30" s="43" t="str">
        <f aca="false">IF($B30="","",IFERROR(VLOOKUP($B30,资产台账!$B$4:$N$53,10,0)&amp;"",""))</f>
        <v/>
      </c>
      <c r="F30" s="49" t="str">
        <f aca="false">IF($B30="","",IFERROR(VLOOKUP($B30,资产台账!$B$4:$N$53,9,0),0))</f>
        <v/>
      </c>
      <c r="G30" s="45" t="n">
        <f aca="false">IF(OR($A30="",$W30=0),0,INDEX(仪器设备工时分配表!$F$6:$F$245,$W30))</f>
        <v>0</v>
      </c>
      <c r="H30" s="45" t="n">
        <f aca="false">IF(OR($A30="",$W30=0),0,INDEX(仪器设备工时分配表!$R$6:$R$245,$W30))</f>
        <v>0</v>
      </c>
      <c r="I30" s="28" t="str">
        <f aca="false">IF(OR($A30="",$G30=0),"",$H30/$G30)</f>
        <v/>
      </c>
      <c r="J30" s="27" t="str">
        <f aca="false">IF(OR($A30="",$G30=0),"",ROUND($F30*INDEX(仪器设备工时分配表!$H$6:$H$245,$W30)/$G30,2))</f>
        <v/>
      </c>
      <c r="K30" s="27" t="str">
        <f aca="false">IF(OR($A30="",$G30=0),"",ROUND($F30*INDEX(仪器设备工时分配表!$I$6:$I$245,$W30)/$G30,2))</f>
        <v/>
      </c>
      <c r="L30" s="27" t="str">
        <f aca="false">IF(OR($A30="",$G30=0),"",ROUND($F30*INDEX(仪器设备工时分配表!$J$6:$J$245,$W30)/$G30,2))</f>
        <v/>
      </c>
      <c r="M30" s="27" t="str">
        <f aca="false">IF(OR($A30="",$G30=0),"",ROUND($F30*INDEX(仪器设备工时分配表!$K$6:$K$245,$W30)/$G30,2))</f>
        <v/>
      </c>
      <c r="N30" s="27" t="str">
        <f aca="false">IF(OR($A30="",$G30=0),"",ROUND($F30*INDEX(仪器设备工时分配表!$L$6:$L$245,$W30)/$G30,2))</f>
        <v/>
      </c>
      <c r="O30" s="27" t="str">
        <f aca="false">IF(OR($A30="",$G30=0),"",ROUND($F30*INDEX(仪器设备工时分配表!$M$6:$M$245,$W30)/$G30,2))</f>
        <v/>
      </c>
      <c r="P30" s="27" t="str">
        <f aca="false">IF(OR($A30="",$G30=0),"",ROUND($F30*INDEX(仪器设备工时分配表!$N$6:$N$245,$W30)/$G30,2))</f>
        <v/>
      </c>
      <c r="Q30" s="27" t="str">
        <f aca="false">IF(OR($A30="",$G30=0),"",ROUND($F30*INDEX(仪器设备工时分配表!$O$6:$O$245,$W30)/$G30,2))</f>
        <v/>
      </c>
      <c r="R30" s="27" t="str">
        <f aca="false">IF(OR($A30="",$G30=0),"",ROUND($F30*INDEX(仪器设备工时分配表!$P$6:$P$245,$W30)/$G30,2))</f>
        <v/>
      </c>
      <c r="S30" s="27" t="str">
        <f aca="false">IF(OR($A30="",$G30=0),"",ROUND($F30*INDEX(仪器设备工时分配表!$Q$6:$Q$245,$W30)/$G30,2))</f>
        <v/>
      </c>
      <c r="T30" s="27" t="str">
        <f aca="false">IF($A30="","",ROUND(SUM(J30:S30),2))</f>
        <v/>
      </c>
      <c r="U30" s="27" t="str">
        <f aca="false">IF($A30="","",ROUND($F30-T30,2))</f>
        <v/>
      </c>
      <c r="V30" s="43" t="str">
        <f aca="false">IF($A30="","",IF($D30="无形资产","⚠ 无形资产请在无形资产费用分配表登记",IF($W30=0,"⚠ 工时分配表无此资产当月记录",IF($X30&gt;1,"⚠ 工时分配表存在重复行","√ 正常"))))</f>
        <v/>
      </c>
      <c r="W30" s="47" t="n">
        <f aca="false">IF($A30="",0,IFERROR(MATCH($A30&amp;"|"&amp;$B30,仪器设备工时分配表!$V$6:$V$245,0),0))</f>
        <v>0</v>
      </c>
      <c r="X30" s="47" t="n">
        <f aca="false">IF($A30="",0,COUNTIFS(仪器设备工时分配表!$A$6:$A$245,$A30,仪器设备工时分配表!$B$6:$B$245,$B30))</f>
        <v>0</v>
      </c>
    </row>
    <row r="31" customFormat="false" ht="18" hidden="false" customHeight="true" outlineLevel="0" collapsed="false">
      <c r="A31" s="36"/>
      <c r="B31" s="36"/>
      <c r="C31" s="48" t="str">
        <f aca="false">IF($B31="","",IFERROR(VLOOKUP($B31,资产台账!$B$4:$N$53,2,0)&amp;"","台账中未登记"))</f>
        <v/>
      </c>
      <c r="D31" s="43" t="str">
        <f aca="false">IF($B31="","",IFERROR(VLOOKUP($B31,资产台账!$B$4:$N$53,3,0)&amp;"",""))</f>
        <v/>
      </c>
      <c r="E31" s="43" t="str">
        <f aca="false">IF($B31="","",IFERROR(VLOOKUP($B31,资产台账!$B$4:$N$53,10,0)&amp;"",""))</f>
        <v/>
      </c>
      <c r="F31" s="49" t="str">
        <f aca="false">IF($B31="","",IFERROR(VLOOKUP($B31,资产台账!$B$4:$N$53,9,0),0))</f>
        <v/>
      </c>
      <c r="G31" s="45" t="n">
        <f aca="false">IF(OR($A31="",$W31=0),0,INDEX(仪器设备工时分配表!$F$6:$F$245,$W31))</f>
        <v>0</v>
      </c>
      <c r="H31" s="45" t="n">
        <f aca="false">IF(OR($A31="",$W31=0),0,INDEX(仪器设备工时分配表!$R$6:$R$245,$W31))</f>
        <v>0</v>
      </c>
      <c r="I31" s="28" t="str">
        <f aca="false">IF(OR($A31="",$G31=0),"",$H31/$G31)</f>
        <v/>
      </c>
      <c r="J31" s="27" t="str">
        <f aca="false">IF(OR($A31="",$G31=0),"",ROUND($F31*INDEX(仪器设备工时分配表!$H$6:$H$245,$W31)/$G31,2))</f>
        <v/>
      </c>
      <c r="K31" s="27" t="str">
        <f aca="false">IF(OR($A31="",$G31=0),"",ROUND($F31*INDEX(仪器设备工时分配表!$I$6:$I$245,$W31)/$G31,2))</f>
        <v/>
      </c>
      <c r="L31" s="27" t="str">
        <f aca="false">IF(OR($A31="",$G31=0),"",ROUND($F31*INDEX(仪器设备工时分配表!$J$6:$J$245,$W31)/$G31,2))</f>
        <v/>
      </c>
      <c r="M31" s="27" t="str">
        <f aca="false">IF(OR($A31="",$G31=0),"",ROUND($F31*INDEX(仪器设备工时分配表!$K$6:$K$245,$W31)/$G31,2))</f>
        <v/>
      </c>
      <c r="N31" s="27" t="str">
        <f aca="false">IF(OR($A31="",$G31=0),"",ROUND($F31*INDEX(仪器设备工时分配表!$L$6:$L$245,$W31)/$G31,2))</f>
        <v/>
      </c>
      <c r="O31" s="27" t="str">
        <f aca="false">IF(OR($A31="",$G31=0),"",ROUND($F31*INDEX(仪器设备工时分配表!$M$6:$M$245,$W31)/$G31,2))</f>
        <v/>
      </c>
      <c r="P31" s="27" t="str">
        <f aca="false">IF(OR($A31="",$G31=0),"",ROUND($F31*INDEX(仪器设备工时分配表!$N$6:$N$245,$W31)/$G31,2))</f>
        <v/>
      </c>
      <c r="Q31" s="27" t="str">
        <f aca="false">IF(OR($A31="",$G31=0),"",ROUND($F31*INDEX(仪器设备工时分配表!$O$6:$O$245,$W31)/$G31,2))</f>
        <v/>
      </c>
      <c r="R31" s="27" t="str">
        <f aca="false">IF(OR($A31="",$G31=0),"",ROUND($F31*INDEX(仪器设备工时分配表!$P$6:$P$245,$W31)/$G31,2))</f>
        <v/>
      </c>
      <c r="S31" s="27" t="str">
        <f aca="false">IF(OR($A31="",$G31=0),"",ROUND($F31*INDEX(仪器设备工时分配表!$Q$6:$Q$245,$W31)/$G31,2))</f>
        <v/>
      </c>
      <c r="T31" s="27" t="str">
        <f aca="false">IF($A31="","",ROUND(SUM(J31:S31),2))</f>
        <v/>
      </c>
      <c r="U31" s="27" t="str">
        <f aca="false">IF($A31="","",ROUND($F31-T31,2))</f>
        <v/>
      </c>
      <c r="V31" s="43" t="str">
        <f aca="false">IF($A31="","",IF($D31="无形资产","⚠ 无形资产请在无形资产费用分配表登记",IF($W31=0,"⚠ 工时分配表无此资产当月记录",IF($X31&gt;1,"⚠ 工时分配表存在重复行","√ 正常"))))</f>
        <v/>
      </c>
      <c r="W31" s="47" t="n">
        <f aca="false">IF($A31="",0,IFERROR(MATCH($A31&amp;"|"&amp;$B31,仪器设备工时分配表!$V$6:$V$245,0),0))</f>
        <v>0</v>
      </c>
      <c r="X31" s="47" t="n">
        <f aca="false">IF($A31="",0,COUNTIFS(仪器设备工时分配表!$A$6:$A$245,$A31,仪器设备工时分配表!$B$6:$B$245,$B31))</f>
        <v>0</v>
      </c>
    </row>
    <row r="32" customFormat="false" ht="18" hidden="false" customHeight="true" outlineLevel="0" collapsed="false">
      <c r="A32" s="36"/>
      <c r="B32" s="36"/>
      <c r="C32" s="48" t="str">
        <f aca="false">IF($B32="","",IFERROR(VLOOKUP($B32,资产台账!$B$4:$N$53,2,0)&amp;"","台账中未登记"))</f>
        <v/>
      </c>
      <c r="D32" s="43" t="str">
        <f aca="false">IF($B32="","",IFERROR(VLOOKUP($B32,资产台账!$B$4:$N$53,3,0)&amp;"",""))</f>
        <v/>
      </c>
      <c r="E32" s="43" t="str">
        <f aca="false">IF($B32="","",IFERROR(VLOOKUP($B32,资产台账!$B$4:$N$53,10,0)&amp;"",""))</f>
        <v/>
      </c>
      <c r="F32" s="49" t="str">
        <f aca="false">IF($B32="","",IFERROR(VLOOKUP($B32,资产台账!$B$4:$N$53,9,0),0))</f>
        <v/>
      </c>
      <c r="G32" s="45" t="n">
        <f aca="false">IF(OR($A32="",$W32=0),0,INDEX(仪器设备工时分配表!$F$6:$F$245,$W32))</f>
        <v>0</v>
      </c>
      <c r="H32" s="45" t="n">
        <f aca="false">IF(OR($A32="",$W32=0),0,INDEX(仪器设备工时分配表!$R$6:$R$245,$W32))</f>
        <v>0</v>
      </c>
      <c r="I32" s="28" t="str">
        <f aca="false">IF(OR($A32="",$G32=0),"",$H32/$G32)</f>
        <v/>
      </c>
      <c r="J32" s="27" t="str">
        <f aca="false">IF(OR($A32="",$G32=0),"",ROUND($F32*INDEX(仪器设备工时分配表!$H$6:$H$245,$W32)/$G32,2))</f>
        <v/>
      </c>
      <c r="K32" s="27" t="str">
        <f aca="false">IF(OR($A32="",$G32=0),"",ROUND($F32*INDEX(仪器设备工时分配表!$I$6:$I$245,$W32)/$G32,2))</f>
        <v/>
      </c>
      <c r="L32" s="27" t="str">
        <f aca="false">IF(OR($A32="",$G32=0),"",ROUND($F32*INDEX(仪器设备工时分配表!$J$6:$J$245,$W32)/$G32,2))</f>
        <v/>
      </c>
      <c r="M32" s="27" t="str">
        <f aca="false">IF(OR($A32="",$G32=0),"",ROUND($F32*INDEX(仪器设备工时分配表!$K$6:$K$245,$W32)/$G32,2))</f>
        <v/>
      </c>
      <c r="N32" s="27" t="str">
        <f aca="false">IF(OR($A32="",$G32=0),"",ROUND($F32*INDEX(仪器设备工时分配表!$L$6:$L$245,$W32)/$G32,2))</f>
        <v/>
      </c>
      <c r="O32" s="27" t="str">
        <f aca="false">IF(OR($A32="",$G32=0),"",ROUND($F32*INDEX(仪器设备工时分配表!$M$6:$M$245,$W32)/$G32,2))</f>
        <v/>
      </c>
      <c r="P32" s="27" t="str">
        <f aca="false">IF(OR($A32="",$G32=0),"",ROUND($F32*INDEX(仪器设备工时分配表!$N$6:$N$245,$W32)/$G32,2))</f>
        <v/>
      </c>
      <c r="Q32" s="27" t="str">
        <f aca="false">IF(OR($A32="",$G32=0),"",ROUND($F32*INDEX(仪器设备工时分配表!$O$6:$O$245,$W32)/$G32,2))</f>
        <v/>
      </c>
      <c r="R32" s="27" t="str">
        <f aca="false">IF(OR($A32="",$G32=0),"",ROUND($F32*INDEX(仪器设备工时分配表!$P$6:$P$245,$W32)/$G32,2))</f>
        <v/>
      </c>
      <c r="S32" s="27" t="str">
        <f aca="false">IF(OR($A32="",$G32=0),"",ROUND($F32*INDEX(仪器设备工时分配表!$Q$6:$Q$245,$W32)/$G32,2))</f>
        <v/>
      </c>
      <c r="T32" s="27" t="str">
        <f aca="false">IF($A32="","",ROUND(SUM(J32:S32),2))</f>
        <v/>
      </c>
      <c r="U32" s="27" t="str">
        <f aca="false">IF($A32="","",ROUND($F32-T32,2))</f>
        <v/>
      </c>
      <c r="V32" s="43" t="str">
        <f aca="false">IF($A32="","",IF($D32="无形资产","⚠ 无形资产请在无形资产费用分配表登记",IF($W32=0,"⚠ 工时分配表无此资产当月记录",IF($X32&gt;1,"⚠ 工时分配表存在重复行","√ 正常"))))</f>
        <v/>
      </c>
      <c r="W32" s="47" t="n">
        <f aca="false">IF($A32="",0,IFERROR(MATCH($A32&amp;"|"&amp;$B32,仪器设备工时分配表!$V$6:$V$245,0),0))</f>
        <v>0</v>
      </c>
      <c r="X32" s="47" t="n">
        <f aca="false">IF($A32="",0,COUNTIFS(仪器设备工时分配表!$A$6:$A$245,$A32,仪器设备工时分配表!$B$6:$B$245,$B32))</f>
        <v>0</v>
      </c>
    </row>
    <row r="33" customFormat="false" ht="18" hidden="false" customHeight="true" outlineLevel="0" collapsed="false">
      <c r="A33" s="36"/>
      <c r="B33" s="36"/>
      <c r="C33" s="48" t="str">
        <f aca="false">IF($B33="","",IFERROR(VLOOKUP($B33,资产台账!$B$4:$N$53,2,0)&amp;"","台账中未登记"))</f>
        <v/>
      </c>
      <c r="D33" s="43" t="str">
        <f aca="false">IF($B33="","",IFERROR(VLOOKUP($B33,资产台账!$B$4:$N$53,3,0)&amp;"",""))</f>
        <v/>
      </c>
      <c r="E33" s="43" t="str">
        <f aca="false">IF($B33="","",IFERROR(VLOOKUP($B33,资产台账!$B$4:$N$53,10,0)&amp;"",""))</f>
        <v/>
      </c>
      <c r="F33" s="49" t="str">
        <f aca="false">IF($B33="","",IFERROR(VLOOKUP($B33,资产台账!$B$4:$N$53,9,0),0))</f>
        <v/>
      </c>
      <c r="G33" s="45" t="n">
        <f aca="false">IF(OR($A33="",$W33=0),0,INDEX(仪器设备工时分配表!$F$6:$F$245,$W33))</f>
        <v>0</v>
      </c>
      <c r="H33" s="45" t="n">
        <f aca="false">IF(OR($A33="",$W33=0),0,INDEX(仪器设备工时分配表!$R$6:$R$245,$W33))</f>
        <v>0</v>
      </c>
      <c r="I33" s="28" t="str">
        <f aca="false">IF(OR($A33="",$G33=0),"",$H33/$G33)</f>
        <v/>
      </c>
      <c r="J33" s="27" t="str">
        <f aca="false">IF(OR($A33="",$G33=0),"",ROUND($F33*INDEX(仪器设备工时分配表!$H$6:$H$245,$W33)/$G33,2))</f>
        <v/>
      </c>
      <c r="K33" s="27" t="str">
        <f aca="false">IF(OR($A33="",$G33=0),"",ROUND($F33*INDEX(仪器设备工时分配表!$I$6:$I$245,$W33)/$G33,2))</f>
        <v/>
      </c>
      <c r="L33" s="27" t="str">
        <f aca="false">IF(OR($A33="",$G33=0),"",ROUND($F33*INDEX(仪器设备工时分配表!$J$6:$J$245,$W33)/$G33,2))</f>
        <v/>
      </c>
      <c r="M33" s="27" t="str">
        <f aca="false">IF(OR($A33="",$G33=0),"",ROUND($F33*INDEX(仪器设备工时分配表!$K$6:$K$245,$W33)/$G33,2))</f>
        <v/>
      </c>
      <c r="N33" s="27" t="str">
        <f aca="false">IF(OR($A33="",$G33=0),"",ROUND($F33*INDEX(仪器设备工时分配表!$L$6:$L$245,$W33)/$G33,2))</f>
        <v/>
      </c>
      <c r="O33" s="27" t="str">
        <f aca="false">IF(OR($A33="",$G33=0),"",ROUND($F33*INDEX(仪器设备工时分配表!$M$6:$M$245,$W33)/$G33,2))</f>
        <v/>
      </c>
      <c r="P33" s="27" t="str">
        <f aca="false">IF(OR($A33="",$G33=0),"",ROUND($F33*INDEX(仪器设备工时分配表!$N$6:$N$245,$W33)/$G33,2))</f>
        <v/>
      </c>
      <c r="Q33" s="27" t="str">
        <f aca="false">IF(OR($A33="",$G33=0),"",ROUND($F33*INDEX(仪器设备工时分配表!$O$6:$O$245,$W33)/$G33,2))</f>
        <v/>
      </c>
      <c r="R33" s="27" t="str">
        <f aca="false">IF(OR($A33="",$G33=0),"",ROUND($F33*INDEX(仪器设备工时分配表!$P$6:$P$245,$W33)/$G33,2))</f>
        <v/>
      </c>
      <c r="S33" s="27" t="str">
        <f aca="false">IF(OR($A33="",$G33=0),"",ROUND($F33*INDEX(仪器设备工时分配表!$Q$6:$Q$245,$W33)/$G33,2))</f>
        <v/>
      </c>
      <c r="T33" s="27" t="str">
        <f aca="false">IF($A33="","",ROUND(SUM(J33:S33),2))</f>
        <v/>
      </c>
      <c r="U33" s="27" t="str">
        <f aca="false">IF($A33="","",ROUND($F33-T33,2))</f>
        <v/>
      </c>
      <c r="V33" s="43" t="str">
        <f aca="false">IF($A33="","",IF($D33="无形资产","⚠ 无形资产请在无形资产费用分配表登记",IF($W33=0,"⚠ 工时分配表无此资产当月记录",IF($X33&gt;1,"⚠ 工时分配表存在重复行","√ 正常"))))</f>
        <v/>
      </c>
      <c r="W33" s="47" t="n">
        <f aca="false">IF($A33="",0,IFERROR(MATCH($A33&amp;"|"&amp;$B33,仪器设备工时分配表!$V$6:$V$245,0),0))</f>
        <v>0</v>
      </c>
      <c r="X33" s="47" t="n">
        <f aca="false">IF($A33="",0,COUNTIFS(仪器设备工时分配表!$A$6:$A$245,$A33,仪器设备工时分配表!$B$6:$B$245,$B33))</f>
        <v>0</v>
      </c>
    </row>
    <row r="34" customFormat="false" ht="18" hidden="false" customHeight="true" outlineLevel="0" collapsed="false">
      <c r="A34" s="36"/>
      <c r="B34" s="36"/>
      <c r="C34" s="48" t="str">
        <f aca="false">IF($B34="","",IFERROR(VLOOKUP($B34,资产台账!$B$4:$N$53,2,0)&amp;"","台账中未登记"))</f>
        <v/>
      </c>
      <c r="D34" s="43" t="str">
        <f aca="false">IF($B34="","",IFERROR(VLOOKUP($B34,资产台账!$B$4:$N$53,3,0)&amp;"",""))</f>
        <v/>
      </c>
      <c r="E34" s="43" t="str">
        <f aca="false">IF($B34="","",IFERROR(VLOOKUP($B34,资产台账!$B$4:$N$53,10,0)&amp;"",""))</f>
        <v/>
      </c>
      <c r="F34" s="49" t="str">
        <f aca="false">IF($B34="","",IFERROR(VLOOKUP($B34,资产台账!$B$4:$N$53,9,0),0))</f>
        <v/>
      </c>
      <c r="G34" s="45" t="n">
        <f aca="false">IF(OR($A34="",$W34=0),0,INDEX(仪器设备工时分配表!$F$6:$F$245,$W34))</f>
        <v>0</v>
      </c>
      <c r="H34" s="45" t="n">
        <f aca="false">IF(OR($A34="",$W34=0),0,INDEX(仪器设备工时分配表!$R$6:$R$245,$W34))</f>
        <v>0</v>
      </c>
      <c r="I34" s="28" t="str">
        <f aca="false">IF(OR($A34="",$G34=0),"",$H34/$G34)</f>
        <v/>
      </c>
      <c r="J34" s="27" t="str">
        <f aca="false">IF(OR($A34="",$G34=0),"",ROUND($F34*INDEX(仪器设备工时分配表!$H$6:$H$245,$W34)/$G34,2))</f>
        <v/>
      </c>
      <c r="K34" s="27" t="str">
        <f aca="false">IF(OR($A34="",$G34=0),"",ROUND($F34*INDEX(仪器设备工时分配表!$I$6:$I$245,$W34)/$G34,2))</f>
        <v/>
      </c>
      <c r="L34" s="27" t="str">
        <f aca="false">IF(OR($A34="",$G34=0),"",ROUND($F34*INDEX(仪器设备工时分配表!$J$6:$J$245,$W34)/$G34,2))</f>
        <v/>
      </c>
      <c r="M34" s="27" t="str">
        <f aca="false">IF(OR($A34="",$G34=0),"",ROUND($F34*INDEX(仪器设备工时分配表!$K$6:$K$245,$W34)/$G34,2))</f>
        <v/>
      </c>
      <c r="N34" s="27" t="str">
        <f aca="false">IF(OR($A34="",$G34=0),"",ROUND($F34*INDEX(仪器设备工时分配表!$L$6:$L$245,$W34)/$G34,2))</f>
        <v/>
      </c>
      <c r="O34" s="27" t="str">
        <f aca="false">IF(OR($A34="",$G34=0),"",ROUND($F34*INDEX(仪器设备工时分配表!$M$6:$M$245,$W34)/$G34,2))</f>
        <v/>
      </c>
      <c r="P34" s="27" t="str">
        <f aca="false">IF(OR($A34="",$G34=0),"",ROUND($F34*INDEX(仪器设备工时分配表!$N$6:$N$245,$W34)/$G34,2))</f>
        <v/>
      </c>
      <c r="Q34" s="27" t="str">
        <f aca="false">IF(OR($A34="",$G34=0),"",ROUND($F34*INDEX(仪器设备工时分配表!$O$6:$O$245,$W34)/$G34,2))</f>
        <v/>
      </c>
      <c r="R34" s="27" t="str">
        <f aca="false">IF(OR($A34="",$G34=0),"",ROUND($F34*INDEX(仪器设备工时分配表!$P$6:$P$245,$W34)/$G34,2))</f>
        <v/>
      </c>
      <c r="S34" s="27" t="str">
        <f aca="false">IF(OR($A34="",$G34=0),"",ROUND($F34*INDEX(仪器设备工时分配表!$Q$6:$Q$245,$W34)/$G34,2))</f>
        <v/>
      </c>
      <c r="T34" s="27" t="str">
        <f aca="false">IF($A34="","",ROUND(SUM(J34:S34),2))</f>
        <v/>
      </c>
      <c r="U34" s="27" t="str">
        <f aca="false">IF($A34="","",ROUND($F34-T34,2))</f>
        <v/>
      </c>
      <c r="V34" s="43" t="str">
        <f aca="false">IF($A34="","",IF($D34="无形资产","⚠ 无形资产请在无形资产费用分配表登记",IF($W34=0,"⚠ 工时分配表无此资产当月记录",IF($X34&gt;1,"⚠ 工时分配表存在重复行","√ 正常"))))</f>
        <v/>
      </c>
      <c r="W34" s="47" t="n">
        <f aca="false">IF($A34="",0,IFERROR(MATCH($A34&amp;"|"&amp;$B34,仪器设备工时分配表!$V$6:$V$245,0),0))</f>
        <v>0</v>
      </c>
      <c r="X34" s="47" t="n">
        <f aca="false">IF($A34="",0,COUNTIFS(仪器设备工时分配表!$A$6:$A$245,$A34,仪器设备工时分配表!$B$6:$B$245,$B34))</f>
        <v>0</v>
      </c>
    </row>
    <row r="35" customFormat="false" ht="18" hidden="false" customHeight="true" outlineLevel="0" collapsed="false">
      <c r="A35" s="36"/>
      <c r="B35" s="36"/>
      <c r="C35" s="48" t="str">
        <f aca="false">IF($B35="","",IFERROR(VLOOKUP($B35,资产台账!$B$4:$N$53,2,0)&amp;"","台账中未登记"))</f>
        <v/>
      </c>
      <c r="D35" s="43" t="str">
        <f aca="false">IF($B35="","",IFERROR(VLOOKUP($B35,资产台账!$B$4:$N$53,3,0)&amp;"",""))</f>
        <v/>
      </c>
      <c r="E35" s="43" t="str">
        <f aca="false">IF($B35="","",IFERROR(VLOOKUP($B35,资产台账!$B$4:$N$53,10,0)&amp;"",""))</f>
        <v/>
      </c>
      <c r="F35" s="49" t="str">
        <f aca="false">IF($B35="","",IFERROR(VLOOKUP($B35,资产台账!$B$4:$N$53,9,0),0))</f>
        <v/>
      </c>
      <c r="G35" s="45" t="n">
        <f aca="false">IF(OR($A35="",$W35=0),0,INDEX(仪器设备工时分配表!$F$6:$F$245,$W35))</f>
        <v>0</v>
      </c>
      <c r="H35" s="45" t="n">
        <f aca="false">IF(OR($A35="",$W35=0),0,INDEX(仪器设备工时分配表!$R$6:$R$245,$W35))</f>
        <v>0</v>
      </c>
      <c r="I35" s="28" t="str">
        <f aca="false">IF(OR($A35="",$G35=0),"",$H35/$G35)</f>
        <v/>
      </c>
      <c r="J35" s="27" t="str">
        <f aca="false">IF(OR($A35="",$G35=0),"",ROUND($F35*INDEX(仪器设备工时分配表!$H$6:$H$245,$W35)/$G35,2))</f>
        <v/>
      </c>
      <c r="K35" s="27" t="str">
        <f aca="false">IF(OR($A35="",$G35=0),"",ROUND($F35*INDEX(仪器设备工时分配表!$I$6:$I$245,$W35)/$G35,2))</f>
        <v/>
      </c>
      <c r="L35" s="27" t="str">
        <f aca="false">IF(OR($A35="",$G35=0),"",ROUND($F35*INDEX(仪器设备工时分配表!$J$6:$J$245,$W35)/$G35,2))</f>
        <v/>
      </c>
      <c r="M35" s="27" t="str">
        <f aca="false">IF(OR($A35="",$G35=0),"",ROUND($F35*INDEX(仪器设备工时分配表!$K$6:$K$245,$W35)/$G35,2))</f>
        <v/>
      </c>
      <c r="N35" s="27" t="str">
        <f aca="false">IF(OR($A35="",$G35=0),"",ROUND($F35*INDEX(仪器设备工时分配表!$L$6:$L$245,$W35)/$G35,2))</f>
        <v/>
      </c>
      <c r="O35" s="27" t="str">
        <f aca="false">IF(OR($A35="",$G35=0),"",ROUND($F35*INDEX(仪器设备工时分配表!$M$6:$M$245,$W35)/$G35,2))</f>
        <v/>
      </c>
      <c r="P35" s="27" t="str">
        <f aca="false">IF(OR($A35="",$G35=0),"",ROUND($F35*INDEX(仪器设备工时分配表!$N$6:$N$245,$W35)/$G35,2))</f>
        <v/>
      </c>
      <c r="Q35" s="27" t="str">
        <f aca="false">IF(OR($A35="",$G35=0),"",ROUND($F35*INDEX(仪器设备工时分配表!$O$6:$O$245,$W35)/$G35,2))</f>
        <v/>
      </c>
      <c r="R35" s="27" t="str">
        <f aca="false">IF(OR($A35="",$G35=0),"",ROUND($F35*INDEX(仪器设备工时分配表!$P$6:$P$245,$W35)/$G35,2))</f>
        <v/>
      </c>
      <c r="S35" s="27" t="str">
        <f aca="false">IF(OR($A35="",$G35=0),"",ROUND($F35*INDEX(仪器设备工时分配表!$Q$6:$Q$245,$W35)/$G35,2))</f>
        <v/>
      </c>
      <c r="T35" s="27" t="str">
        <f aca="false">IF($A35="","",ROUND(SUM(J35:S35),2))</f>
        <v/>
      </c>
      <c r="U35" s="27" t="str">
        <f aca="false">IF($A35="","",ROUND($F35-T35,2))</f>
        <v/>
      </c>
      <c r="V35" s="43" t="str">
        <f aca="false">IF($A35="","",IF($D35="无形资产","⚠ 无形资产请在无形资产费用分配表登记",IF($W35=0,"⚠ 工时分配表无此资产当月记录",IF($X35&gt;1,"⚠ 工时分配表存在重复行","√ 正常"))))</f>
        <v/>
      </c>
      <c r="W35" s="47" t="n">
        <f aca="false">IF($A35="",0,IFERROR(MATCH($A35&amp;"|"&amp;$B35,仪器设备工时分配表!$V$6:$V$245,0),0))</f>
        <v>0</v>
      </c>
      <c r="X35" s="47" t="n">
        <f aca="false">IF($A35="",0,COUNTIFS(仪器设备工时分配表!$A$6:$A$245,$A35,仪器设备工时分配表!$B$6:$B$245,$B35))</f>
        <v>0</v>
      </c>
    </row>
    <row r="36" customFormat="false" ht="18" hidden="false" customHeight="true" outlineLevel="0" collapsed="false">
      <c r="A36" s="36"/>
      <c r="B36" s="36"/>
      <c r="C36" s="48" t="str">
        <f aca="false">IF($B36="","",IFERROR(VLOOKUP($B36,资产台账!$B$4:$N$53,2,0)&amp;"","台账中未登记"))</f>
        <v/>
      </c>
      <c r="D36" s="43" t="str">
        <f aca="false">IF($B36="","",IFERROR(VLOOKUP($B36,资产台账!$B$4:$N$53,3,0)&amp;"",""))</f>
        <v/>
      </c>
      <c r="E36" s="43" t="str">
        <f aca="false">IF($B36="","",IFERROR(VLOOKUP($B36,资产台账!$B$4:$N$53,10,0)&amp;"",""))</f>
        <v/>
      </c>
      <c r="F36" s="49" t="str">
        <f aca="false">IF($B36="","",IFERROR(VLOOKUP($B36,资产台账!$B$4:$N$53,9,0),0))</f>
        <v/>
      </c>
      <c r="G36" s="45" t="n">
        <f aca="false">IF(OR($A36="",$W36=0),0,INDEX(仪器设备工时分配表!$F$6:$F$245,$W36))</f>
        <v>0</v>
      </c>
      <c r="H36" s="45" t="n">
        <f aca="false">IF(OR($A36="",$W36=0),0,INDEX(仪器设备工时分配表!$R$6:$R$245,$W36))</f>
        <v>0</v>
      </c>
      <c r="I36" s="28" t="str">
        <f aca="false">IF(OR($A36="",$G36=0),"",$H36/$G36)</f>
        <v/>
      </c>
      <c r="J36" s="27" t="str">
        <f aca="false">IF(OR($A36="",$G36=0),"",ROUND($F36*INDEX(仪器设备工时分配表!$H$6:$H$245,$W36)/$G36,2))</f>
        <v/>
      </c>
      <c r="K36" s="27" t="str">
        <f aca="false">IF(OR($A36="",$G36=0),"",ROUND($F36*INDEX(仪器设备工时分配表!$I$6:$I$245,$W36)/$G36,2))</f>
        <v/>
      </c>
      <c r="L36" s="27" t="str">
        <f aca="false">IF(OR($A36="",$G36=0),"",ROUND($F36*INDEX(仪器设备工时分配表!$J$6:$J$245,$W36)/$G36,2))</f>
        <v/>
      </c>
      <c r="M36" s="27" t="str">
        <f aca="false">IF(OR($A36="",$G36=0),"",ROUND($F36*INDEX(仪器设备工时分配表!$K$6:$K$245,$W36)/$G36,2))</f>
        <v/>
      </c>
      <c r="N36" s="27" t="str">
        <f aca="false">IF(OR($A36="",$G36=0),"",ROUND($F36*INDEX(仪器设备工时分配表!$L$6:$L$245,$W36)/$G36,2))</f>
        <v/>
      </c>
      <c r="O36" s="27" t="str">
        <f aca="false">IF(OR($A36="",$G36=0),"",ROUND($F36*INDEX(仪器设备工时分配表!$M$6:$M$245,$W36)/$G36,2))</f>
        <v/>
      </c>
      <c r="P36" s="27" t="str">
        <f aca="false">IF(OR($A36="",$G36=0),"",ROUND($F36*INDEX(仪器设备工时分配表!$N$6:$N$245,$W36)/$G36,2))</f>
        <v/>
      </c>
      <c r="Q36" s="27" t="str">
        <f aca="false">IF(OR($A36="",$G36=0),"",ROUND($F36*INDEX(仪器设备工时分配表!$O$6:$O$245,$W36)/$G36,2))</f>
        <v/>
      </c>
      <c r="R36" s="27" t="str">
        <f aca="false">IF(OR($A36="",$G36=0),"",ROUND($F36*INDEX(仪器设备工时分配表!$P$6:$P$245,$W36)/$G36,2))</f>
        <v/>
      </c>
      <c r="S36" s="27" t="str">
        <f aca="false">IF(OR($A36="",$G36=0),"",ROUND($F36*INDEX(仪器设备工时分配表!$Q$6:$Q$245,$W36)/$G36,2))</f>
        <v/>
      </c>
      <c r="T36" s="27" t="str">
        <f aca="false">IF($A36="","",ROUND(SUM(J36:S36),2))</f>
        <v/>
      </c>
      <c r="U36" s="27" t="str">
        <f aca="false">IF($A36="","",ROUND($F36-T36,2))</f>
        <v/>
      </c>
      <c r="V36" s="43" t="str">
        <f aca="false">IF($A36="","",IF($D36="无形资产","⚠ 无形资产请在无形资产费用分配表登记",IF($W36=0,"⚠ 工时分配表无此资产当月记录",IF($X36&gt;1,"⚠ 工时分配表存在重复行","√ 正常"))))</f>
        <v/>
      </c>
      <c r="W36" s="47" t="n">
        <f aca="false">IF($A36="",0,IFERROR(MATCH($A36&amp;"|"&amp;$B36,仪器设备工时分配表!$V$6:$V$245,0),0))</f>
        <v>0</v>
      </c>
      <c r="X36" s="47" t="n">
        <f aca="false">IF($A36="",0,COUNTIFS(仪器设备工时分配表!$A$6:$A$245,$A36,仪器设备工时分配表!$B$6:$B$245,$B36))</f>
        <v>0</v>
      </c>
    </row>
    <row r="37" customFormat="false" ht="18" hidden="false" customHeight="true" outlineLevel="0" collapsed="false">
      <c r="A37" s="36"/>
      <c r="B37" s="36"/>
      <c r="C37" s="48" t="str">
        <f aca="false">IF($B37="","",IFERROR(VLOOKUP($B37,资产台账!$B$4:$N$53,2,0)&amp;"","台账中未登记"))</f>
        <v/>
      </c>
      <c r="D37" s="43" t="str">
        <f aca="false">IF($B37="","",IFERROR(VLOOKUP($B37,资产台账!$B$4:$N$53,3,0)&amp;"",""))</f>
        <v/>
      </c>
      <c r="E37" s="43" t="str">
        <f aca="false">IF($B37="","",IFERROR(VLOOKUP($B37,资产台账!$B$4:$N$53,10,0)&amp;"",""))</f>
        <v/>
      </c>
      <c r="F37" s="49" t="str">
        <f aca="false">IF($B37="","",IFERROR(VLOOKUP($B37,资产台账!$B$4:$N$53,9,0),0))</f>
        <v/>
      </c>
      <c r="G37" s="45" t="n">
        <f aca="false">IF(OR($A37="",$W37=0),0,INDEX(仪器设备工时分配表!$F$6:$F$245,$W37))</f>
        <v>0</v>
      </c>
      <c r="H37" s="45" t="n">
        <f aca="false">IF(OR($A37="",$W37=0),0,INDEX(仪器设备工时分配表!$R$6:$R$245,$W37))</f>
        <v>0</v>
      </c>
      <c r="I37" s="28" t="str">
        <f aca="false">IF(OR($A37="",$G37=0),"",$H37/$G37)</f>
        <v/>
      </c>
      <c r="J37" s="27" t="str">
        <f aca="false">IF(OR($A37="",$G37=0),"",ROUND($F37*INDEX(仪器设备工时分配表!$H$6:$H$245,$W37)/$G37,2))</f>
        <v/>
      </c>
      <c r="K37" s="27" t="str">
        <f aca="false">IF(OR($A37="",$G37=0),"",ROUND($F37*INDEX(仪器设备工时分配表!$I$6:$I$245,$W37)/$G37,2))</f>
        <v/>
      </c>
      <c r="L37" s="27" t="str">
        <f aca="false">IF(OR($A37="",$G37=0),"",ROUND($F37*INDEX(仪器设备工时分配表!$J$6:$J$245,$W37)/$G37,2))</f>
        <v/>
      </c>
      <c r="M37" s="27" t="str">
        <f aca="false">IF(OR($A37="",$G37=0),"",ROUND($F37*INDEX(仪器设备工时分配表!$K$6:$K$245,$W37)/$G37,2))</f>
        <v/>
      </c>
      <c r="N37" s="27" t="str">
        <f aca="false">IF(OR($A37="",$G37=0),"",ROUND($F37*INDEX(仪器设备工时分配表!$L$6:$L$245,$W37)/$G37,2))</f>
        <v/>
      </c>
      <c r="O37" s="27" t="str">
        <f aca="false">IF(OR($A37="",$G37=0),"",ROUND($F37*INDEX(仪器设备工时分配表!$M$6:$M$245,$W37)/$G37,2))</f>
        <v/>
      </c>
      <c r="P37" s="27" t="str">
        <f aca="false">IF(OR($A37="",$G37=0),"",ROUND($F37*INDEX(仪器设备工时分配表!$N$6:$N$245,$W37)/$G37,2))</f>
        <v/>
      </c>
      <c r="Q37" s="27" t="str">
        <f aca="false">IF(OR($A37="",$G37=0),"",ROUND($F37*INDEX(仪器设备工时分配表!$O$6:$O$245,$W37)/$G37,2))</f>
        <v/>
      </c>
      <c r="R37" s="27" t="str">
        <f aca="false">IF(OR($A37="",$G37=0),"",ROUND($F37*INDEX(仪器设备工时分配表!$P$6:$P$245,$W37)/$G37,2))</f>
        <v/>
      </c>
      <c r="S37" s="27" t="str">
        <f aca="false">IF(OR($A37="",$G37=0),"",ROUND($F37*INDEX(仪器设备工时分配表!$Q$6:$Q$245,$W37)/$G37,2))</f>
        <v/>
      </c>
      <c r="T37" s="27" t="str">
        <f aca="false">IF($A37="","",ROUND(SUM(J37:S37),2))</f>
        <v/>
      </c>
      <c r="U37" s="27" t="str">
        <f aca="false">IF($A37="","",ROUND($F37-T37,2))</f>
        <v/>
      </c>
      <c r="V37" s="43" t="str">
        <f aca="false">IF($A37="","",IF($D37="无形资产","⚠ 无形资产请在无形资产费用分配表登记",IF($W37=0,"⚠ 工时分配表无此资产当月记录",IF($X37&gt;1,"⚠ 工时分配表存在重复行","√ 正常"))))</f>
        <v/>
      </c>
      <c r="W37" s="47" t="n">
        <f aca="false">IF($A37="",0,IFERROR(MATCH($A37&amp;"|"&amp;$B37,仪器设备工时分配表!$V$6:$V$245,0),0))</f>
        <v>0</v>
      </c>
      <c r="X37" s="47" t="n">
        <f aca="false">IF($A37="",0,COUNTIFS(仪器设备工时分配表!$A$6:$A$245,$A37,仪器设备工时分配表!$B$6:$B$245,$B37))</f>
        <v>0</v>
      </c>
    </row>
    <row r="38" customFormat="false" ht="18" hidden="false" customHeight="true" outlineLevel="0" collapsed="false">
      <c r="A38" s="36"/>
      <c r="B38" s="36"/>
      <c r="C38" s="48" t="str">
        <f aca="false">IF($B38="","",IFERROR(VLOOKUP($B38,资产台账!$B$4:$N$53,2,0)&amp;"","台账中未登记"))</f>
        <v/>
      </c>
      <c r="D38" s="43" t="str">
        <f aca="false">IF($B38="","",IFERROR(VLOOKUP($B38,资产台账!$B$4:$N$53,3,0)&amp;"",""))</f>
        <v/>
      </c>
      <c r="E38" s="43" t="str">
        <f aca="false">IF($B38="","",IFERROR(VLOOKUP($B38,资产台账!$B$4:$N$53,10,0)&amp;"",""))</f>
        <v/>
      </c>
      <c r="F38" s="49" t="str">
        <f aca="false">IF($B38="","",IFERROR(VLOOKUP($B38,资产台账!$B$4:$N$53,9,0),0))</f>
        <v/>
      </c>
      <c r="G38" s="45" t="n">
        <f aca="false">IF(OR($A38="",$W38=0),0,INDEX(仪器设备工时分配表!$F$6:$F$245,$W38))</f>
        <v>0</v>
      </c>
      <c r="H38" s="45" t="n">
        <f aca="false">IF(OR($A38="",$W38=0),0,INDEX(仪器设备工时分配表!$R$6:$R$245,$W38))</f>
        <v>0</v>
      </c>
      <c r="I38" s="28" t="str">
        <f aca="false">IF(OR($A38="",$G38=0),"",$H38/$G38)</f>
        <v/>
      </c>
      <c r="J38" s="27" t="str">
        <f aca="false">IF(OR($A38="",$G38=0),"",ROUND($F38*INDEX(仪器设备工时分配表!$H$6:$H$245,$W38)/$G38,2))</f>
        <v/>
      </c>
      <c r="K38" s="27" t="str">
        <f aca="false">IF(OR($A38="",$G38=0),"",ROUND($F38*INDEX(仪器设备工时分配表!$I$6:$I$245,$W38)/$G38,2))</f>
        <v/>
      </c>
      <c r="L38" s="27" t="str">
        <f aca="false">IF(OR($A38="",$G38=0),"",ROUND($F38*INDEX(仪器设备工时分配表!$J$6:$J$245,$W38)/$G38,2))</f>
        <v/>
      </c>
      <c r="M38" s="27" t="str">
        <f aca="false">IF(OR($A38="",$G38=0),"",ROUND($F38*INDEX(仪器设备工时分配表!$K$6:$K$245,$W38)/$G38,2))</f>
        <v/>
      </c>
      <c r="N38" s="27" t="str">
        <f aca="false">IF(OR($A38="",$G38=0),"",ROUND($F38*INDEX(仪器设备工时分配表!$L$6:$L$245,$W38)/$G38,2))</f>
        <v/>
      </c>
      <c r="O38" s="27" t="str">
        <f aca="false">IF(OR($A38="",$G38=0),"",ROUND($F38*INDEX(仪器设备工时分配表!$M$6:$M$245,$W38)/$G38,2))</f>
        <v/>
      </c>
      <c r="P38" s="27" t="str">
        <f aca="false">IF(OR($A38="",$G38=0),"",ROUND($F38*INDEX(仪器设备工时分配表!$N$6:$N$245,$W38)/$G38,2))</f>
        <v/>
      </c>
      <c r="Q38" s="27" t="str">
        <f aca="false">IF(OR($A38="",$G38=0),"",ROUND($F38*INDEX(仪器设备工时分配表!$O$6:$O$245,$W38)/$G38,2))</f>
        <v/>
      </c>
      <c r="R38" s="27" t="str">
        <f aca="false">IF(OR($A38="",$G38=0),"",ROUND($F38*INDEX(仪器设备工时分配表!$P$6:$P$245,$W38)/$G38,2))</f>
        <v/>
      </c>
      <c r="S38" s="27" t="str">
        <f aca="false">IF(OR($A38="",$G38=0),"",ROUND($F38*INDEX(仪器设备工时分配表!$Q$6:$Q$245,$W38)/$G38,2))</f>
        <v/>
      </c>
      <c r="T38" s="27" t="str">
        <f aca="false">IF($A38="","",ROUND(SUM(J38:S38),2))</f>
        <v/>
      </c>
      <c r="U38" s="27" t="str">
        <f aca="false">IF($A38="","",ROUND($F38-T38,2))</f>
        <v/>
      </c>
      <c r="V38" s="43" t="str">
        <f aca="false">IF($A38="","",IF($D38="无形资产","⚠ 无形资产请在无形资产费用分配表登记",IF($W38=0,"⚠ 工时分配表无此资产当月记录",IF($X38&gt;1,"⚠ 工时分配表存在重复行","√ 正常"))))</f>
        <v/>
      </c>
      <c r="W38" s="47" t="n">
        <f aca="false">IF($A38="",0,IFERROR(MATCH($A38&amp;"|"&amp;$B38,仪器设备工时分配表!$V$6:$V$245,0),0))</f>
        <v>0</v>
      </c>
      <c r="X38" s="47" t="n">
        <f aca="false">IF($A38="",0,COUNTIFS(仪器设备工时分配表!$A$6:$A$245,$A38,仪器设备工时分配表!$B$6:$B$245,$B38))</f>
        <v>0</v>
      </c>
    </row>
    <row r="39" customFormat="false" ht="18" hidden="false" customHeight="true" outlineLevel="0" collapsed="false">
      <c r="A39" s="36"/>
      <c r="B39" s="36"/>
      <c r="C39" s="48" t="str">
        <f aca="false">IF($B39="","",IFERROR(VLOOKUP($B39,资产台账!$B$4:$N$53,2,0)&amp;"","台账中未登记"))</f>
        <v/>
      </c>
      <c r="D39" s="43" t="str">
        <f aca="false">IF($B39="","",IFERROR(VLOOKUP($B39,资产台账!$B$4:$N$53,3,0)&amp;"",""))</f>
        <v/>
      </c>
      <c r="E39" s="43" t="str">
        <f aca="false">IF($B39="","",IFERROR(VLOOKUP($B39,资产台账!$B$4:$N$53,10,0)&amp;"",""))</f>
        <v/>
      </c>
      <c r="F39" s="49" t="str">
        <f aca="false">IF($B39="","",IFERROR(VLOOKUP($B39,资产台账!$B$4:$N$53,9,0),0))</f>
        <v/>
      </c>
      <c r="G39" s="45" t="n">
        <f aca="false">IF(OR($A39="",$W39=0),0,INDEX(仪器设备工时分配表!$F$6:$F$245,$W39))</f>
        <v>0</v>
      </c>
      <c r="H39" s="45" t="n">
        <f aca="false">IF(OR($A39="",$W39=0),0,INDEX(仪器设备工时分配表!$R$6:$R$245,$W39))</f>
        <v>0</v>
      </c>
      <c r="I39" s="28" t="str">
        <f aca="false">IF(OR($A39="",$G39=0),"",$H39/$G39)</f>
        <v/>
      </c>
      <c r="J39" s="27" t="str">
        <f aca="false">IF(OR($A39="",$G39=0),"",ROUND($F39*INDEX(仪器设备工时分配表!$H$6:$H$245,$W39)/$G39,2))</f>
        <v/>
      </c>
      <c r="K39" s="27" t="str">
        <f aca="false">IF(OR($A39="",$G39=0),"",ROUND($F39*INDEX(仪器设备工时分配表!$I$6:$I$245,$W39)/$G39,2))</f>
        <v/>
      </c>
      <c r="L39" s="27" t="str">
        <f aca="false">IF(OR($A39="",$G39=0),"",ROUND($F39*INDEX(仪器设备工时分配表!$J$6:$J$245,$W39)/$G39,2))</f>
        <v/>
      </c>
      <c r="M39" s="27" t="str">
        <f aca="false">IF(OR($A39="",$G39=0),"",ROUND($F39*INDEX(仪器设备工时分配表!$K$6:$K$245,$W39)/$G39,2))</f>
        <v/>
      </c>
      <c r="N39" s="27" t="str">
        <f aca="false">IF(OR($A39="",$G39=0),"",ROUND($F39*INDEX(仪器设备工时分配表!$L$6:$L$245,$W39)/$G39,2))</f>
        <v/>
      </c>
      <c r="O39" s="27" t="str">
        <f aca="false">IF(OR($A39="",$G39=0),"",ROUND($F39*INDEX(仪器设备工时分配表!$M$6:$M$245,$W39)/$G39,2))</f>
        <v/>
      </c>
      <c r="P39" s="27" t="str">
        <f aca="false">IF(OR($A39="",$G39=0),"",ROUND($F39*INDEX(仪器设备工时分配表!$N$6:$N$245,$W39)/$G39,2))</f>
        <v/>
      </c>
      <c r="Q39" s="27" t="str">
        <f aca="false">IF(OR($A39="",$G39=0),"",ROUND($F39*INDEX(仪器设备工时分配表!$O$6:$O$245,$W39)/$G39,2))</f>
        <v/>
      </c>
      <c r="R39" s="27" t="str">
        <f aca="false">IF(OR($A39="",$G39=0),"",ROUND($F39*INDEX(仪器设备工时分配表!$P$6:$P$245,$W39)/$G39,2))</f>
        <v/>
      </c>
      <c r="S39" s="27" t="str">
        <f aca="false">IF(OR($A39="",$G39=0),"",ROUND($F39*INDEX(仪器设备工时分配表!$Q$6:$Q$245,$W39)/$G39,2))</f>
        <v/>
      </c>
      <c r="T39" s="27" t="str">
        <f aca="false">IF($A39="","",ROUND(SUM(J39:S39),2))</f>
        <v/>
      </c>
      <c r="U39" s="27" t="str">
        <f aca="false">IF($A39="","",ROUND($F39-T39,2))</f>
        <v/>
      </c>
      <c r="V39" s="43" t="str">
        <f aca="false">IF($A39="","",IF($D39="无形资产","⚠ 无形资产请在无形资产费用分配表登记",IF($W39=0,"⚠ 工时分配表无此资产当月记录",IF($X39&gt;1,"⚠ 工时分配表存在重复行","√ 正常"))))</f>
        <v/>
      </c>
      <c r="W39" s="47" t="n">
        <f aca="false">IF($A39="",0,IFERROR(MATCH($A39&amp;"|"&amp;$B39,仪器设备工时分配表!$V$6:$V$245,0),0))</f>
        <v>0</v>
      </c>
      <c r="X39" s="47" t="n">
        <f aca="false">IF($A39="",0,COUNTIFS(仪器设备工时分配表!$A$6:$A$245,$A39,仪器设备工时分配表!$B$6:$B$245,$B39))</f>
        <v>0</v>
      </c>
    </row>
    <row r="40" customFormat="false" ht="18" hidden="false" customHeight="true" outlineLevel="0" collapsed="false">
      <c r="A40" s="36"/>
      <c r="B40" s="36"/>
      <c r="C40" s="48" t="str">
        <f aca="false">IF($B40="","",IFERROR(VLOOKUP($B40,资产台账!$B$4:$N$53,2,0)&amp;"","台账中未登记"))</f>
        <v/>
      </c>
      <c r="D40" s="43" t="str">
        <f aca="false">IF($B40="","",IFERROR(VLOOKUP($B40,资产台账!$B$4:$N$53,3,0)&amp;"",""))</f>
        <v/>
      </c>
      <c r="E40" s="43" t="str">
        <f aca="false">IF($B40="","",IFERROR(VLOOKUP($B40,资产台账!$B$4:$N$53,10,0)&amp;"",""))</f>
        <v/>
      </c>
      <c r="F40" s="49" t="str">
        <f aca="false">IF($B40="","",IFERROR(VLOOKUP($B40,资产台账!$B$4:$N$53,9,0),0))</f>
        <v/>
      </c>
      <c r="G40" s="45" t="n">
        <f aca="false">IF(OR($A40="",$W40=0),0,INDEX(仪器设备工时分配表!$F$6:$F$245,$W40))</f>
        <v>0</v>
      </c>
      <c r="H40" s="45" t="n">
        <f aca="false">IF(OR($A40="",$W40=0),0,INDEX(仪器设备工时分配表!$R$6:$R$245,$W40))</f>
        <v>0</v>
      </c>
      <c r="I40" s="28" t="str">
        <f aca="false">IF(OR($A40="",$G40=0),"",$H40/$G40)</f>
        <v/>
      </c>
      <c r="J40" s="27" t="str">
        <f aca="false">IF(OR($A40="",$G40=0),"",ROUND($F40*INDEX(仪器设备工时分配表!$H$6:$H$245,$W40)/$G40,2))</f>
        <v/>
      </c>
      <c r="K40" s="27" t="str">
        <f aca="false">IF(OR($A40="",$G40=0),"",ROUND($F40*INDEX(仪器设备工时分配表!$I$6:$I$245,$W40)/$G40,2))</f>
        <v/>
      </c>
      <c r="L40" s="27" t="str">
        <f aca="false">IF(OR($A40="",$G40=0),"",ROUND($F40*INDEX(仪器设备工时分配表!$J$6:$J$245,$W40)/$G40,2))</f>
        <v/>
      </c>
      <c r="M40" s="27" t="str">
        <f aca="false">IF(OR($A40="",$G40=0),"",ROUND($F40*INDEX(仪器设备工时分配表!$K$6:$K$245,$W40)/$G40,2))</f>
        <v/>
      </c>
      <c r="N40" s="27" t="str">
        <f aca="false">IF(OR($A40="",$G40=0),"",ROUND($F40*INDEX(仪器设备工时分配表!$L$6:$L$245,$W40)/$G40,2))</f>
        <v/>
      </c>
      <c r="O40" s="27" t="str">
        <f aca="false">IF(OR($A40="",$G40=0),"",ROUND($F40*INDEX(仪器设备工时分配表!$M$6:$M$245,$W40)/$G40,2))</f>
        <v/>
      </c>
      <c r="P40" s="27" t="str">
        <f aca="false">IF(OR($A40="",$G40=0),"",ROUND($F40*INDEX(仪器设备工时分配表!$N$6:$N$245,$W40)/$G40,2))</f>
        <v/>
      </c>
      <c r="Q40" s="27" t="str">
        <f aca="false">IF(OR($A40="",$G40=0),"",ROUND($F40*INDEX(仪器设备工时分配表!$O$6:$O$245,$W40)/$G40,2))</f>
        <v/>
      </c>
      <c r="R40" s="27" t="str">
        <f aca="false">IF(OR($A40="",$G40=0),"",ROUND($F40*INDEX(仪器设备工时分配表!$P$6:$P$245,$W40)/$G40,2))</f>
        <v/>
      </c>
      <c r="S40" s="27" t="str">
        <f aca="false">IF(OR($A40="",$G40=0),"",ROUND($F40*INDEX(仪器设备工时分配表!$Q$6:$Q$245,$W40)/$G40,2))</f>
        <v/>
      </c>
      <c r="T40" s="27" t="str">
        <f aca="false">IF($A40="","",ROUND(SUM(J40:S40),2))</f>
        <v/>
      </c>
      <c r="U40" s="27" t="str">
        <f aca="false">IF($A40="","",ROUND($F40-T40,2))</f>
        <v/>
      </c>
      <c r="V40" s="43" t="str">
        <f aca="false">IF($A40="","",IF($D40="无形资产","⚠ 无形资产请在无形资产费用分配表登记",IF($W40=0,"⚠ 工时分配表无此资产当月记录",IF($X40&gt;1,"⚠ 工时分配表存在重复行","√ 正常"))))</f>
        <v/>
      </c>
      <c r="W40" s="47" t="n">
        <f aca="false">IF($A40="",0,IFERROR(MATCH($A40&amp;"|"&amp;$B40,仪器设备工时分配表!$V$6:$V$245,0),0))</f>
        <v>0</v>
      </c>
      <c r="X40" s="47" t="n">
        <f aca="false">IF($A40="",0,COUNTIFS(仪器设备工时分配表!$A$6:$A$245,$A40,仪器设备工时分配表!$B$6:$B$245,$B40))</f>
        <v>0</v>
      </c>
    </row>
    <row r="41" customFormat="false" ht="18" hidden="false" customHeight="true" outlineLevel="0" collapsed="false">
      <c r="A41" s="36"/>
      <c r="B41" s="36"/>
      <c r="C41" s="48" t="str">
        <f aca="false">IF($B41="","",IFERROR(VLOOKUP($B41,资产台账!$B$4:$N$53,2,0)&amp;"","台账中未登记"))</f>
        <v/>
      </c>
      <c r="D41" s="43" t="str">
        <f aca="false">IF($B41="","",IFERROR(VLOOKUP($B41,资产台账!$B$4:$N$53,3,0)&amp;"",""))</f>
        <v/>
      </c>
      <c r="E41" s="43" t="str">
        <f aca="false">IF($B41="","",IFERROR(VLOOKUP($B41,资产台账!$B$4:$N$53,10,0)&amp;"",""))</f>
        <v/>
      </c>
      <c r="F41" s="49" t="str">
        <f aca="false">IF($B41="","",IFERROR(VLOOKUP($B41,资产台账!$B$4:$N$53,9,0),0))</f>
        <v/>
      </c>
      <c r="G41" s="45" t="n">
        <f aca="false">IF(OR($A41="",$W41=0),0,INDEX(仪器设备工时分配表!$F$6:$F$245,$W41))</f>
        <v>0</v>
      </c>
      <c r="H41" s="45" t="n">
        <f aca="false">IF(OR($A41="",$W41=0),0,INDEX(仪器设备工时分配表!$R$6:$R$245,$W41))</f>
        <v>0</v>
      </c>
      <c r="I41" s="28" t="str">
        <f aca="false">IF(OR($A41="",$G41=0),"",$H41/$G41)</f>
        <v/>
      </c>
      <c r="J41" s="27" t="str">
        <f aca="false">IF(OR($A41="",$G41=0),"",ROUND($F41*INDEX(仪器设备工时分配表!$H$6:$H$245,$W41)/$G41,2))</f>
        <v/>
      </c>
      <c r="K41" s="27" t="str">
        <f aca="false">IF(OR($A41="",$G41=0),"",ROUND($F41*INDEX(仪器设备工时分配表!$I$6:$I$245,$W41)/$G41,2))</f>
        <v/>
      </c>
      <c r="L41" s="27" t="str">
        <f aca="false">IF(OR($A41="",$G41=0),"",ROUND($F41*INDEX(仪器设备工时分配表!$J$6:$J$245,$W41)/$G41,2))</f>
        <v/>
      </c>
      <c r="M41" s="27" t="str">
        <f aca="false">IF(OR($A41="",$G41=0),"",ROUND($F41*INDEX(仪器设备工时分配表!$K$6:$K$245,$W41)/$G41,2))</f>
        <v/>
      </c>
      <c r="N41" s="27" t="str">
        <f aca="false">IF(OR($A41="",$G41=0),"",ROUND($F41*INDEX(仪器设备工时分配表!$L$6:$L$245,$W41)/$G41,2))</f>
        <v/>
      </c>
      <c r="O41" s="27" t="str">
        <f aca="false">IF(OR($A41="",$G41=0),"",ROUND($F41*INDEX(仪器设备工时分配表!$M$6:$M$245,$W41)/$G41,2))</f>
        <v/>
      </c>
      <c r="P41" s="27" t="str">
        <f aca="false">IF(OR($A41="",$G41=0),"",ROUND($F41*INDEX(仪器设备工时分配表!$N$6:$N$245,$W41)/$G41,2))</f>
        <v/>
      </c>
      <c r="Q41" s="27" t="str">
        <f aca="false">IF(OR($A41="",$G41=0),"",ROUND($F41*INDEX(仪器设备工时分配表!$O$6:$O$245,$W41)/$G41,2))</f>
        <v/>
      </c>
      <c r="R41" s="27" t="str">
        <f aca="false">IF(OR($A41="",$G41=0),"",ROUND($F41*INDEX(仪器设备工时分配表!$P$6:$P$245,$W41)/$G41,2))</f>
        <v/>
      </c>
      <c r="S41" s="27" t="str">
        <f aca="false">IF(OR($A41="",$G41=0),"",ROUND($F41*INDEX(仪器设备工时分配表!$Q$6:$Q$245,$W41)/$G41,2))</f>
        <v/>
      </c>
      <c r="T41" s="27" t="str">
        <f aca="false">IF($A41="","",ROUND(SUM(J41:S41),2))</f>
        <v/>
      </c>
      <c r="U41" s="27" t="str">
        <f aca="false">IF($A41="","",ROUND($F41-T41,2))</f>
        <v/>
      </c>
      <c r="V41" s="43" t="str">
        <f aca="false">IF($A41="","",IF($D41="无形资产","⚠ 无形资产请在无形资产费用分配表登记",IF($W41=0,"⚠ 工时分配表无此资产当月记录",IF($X41&gt;1,"⚠ 工时分配表存在重复行","√ 正常"))))</f>
        <v/>
      </c>
      <c r="W41" s="47" t="n">
        <f aca="false">IF($A41="",0,IFERROR(MATCH($A41&amp;"|"&amp;$B41,仪器设备工时分配表!$V$6:$V$245,0),0))</f>
        <v>0</v>
      </c>
      <c r="X41" s="47" t="n">
        <f aca="false">IF($A41="",0,COUNTIFS(仪器设备工时分配表!$A$6:$A$245,$A41,仪器设备工时分配表!$B$6:$B$245,$B41))</f>
        <v>0</v>
      </c>
    </row>
    <row r="42" customFormat="false" ht="18" hidden="false" customHeight="true" outlineLevel="0" collapsed="false">
      <c r="A42" s="36"/>
      <c r="B42" s="36"/>
      <c r="C42" s="48" t="str">
        <f aca="false">IF($B42="","",IFERROR(VLOOKUP($B42,资产台账!$B$4:$N$53,2,0)&amp;"","台账中未登记"))</f>
        <v/>
      </c>
      <c r="D42" s="43" t="str">
        <f aca="false">IF($B42="","",IFERROR(VLOOKUP($B42,资产台账!$B$4:$N$53,3,0)&amp;"",""))</f>
        <v/>
      </c>
      <c r="E42" s="43" t="str">
        <f aca="false">IF($B42="","",IFERROR(VLOOKUP($B42,资产台账!$B$4:$N$53,10,0)&amp;"",""))</f>
        <v/>
      </c>
      <c r="F42" s="49" t="str">
        <f aca="false">IF($B42="","",IFERROR(VLOOKUP($B42,资产台账!$B$4:$N$53,9,0),0))</f>
        <v/>
      </c>
      <c r="G42" s="45" t="n">
        <f aca="false">IF(OR($A42="",$W42=0),0,INDEX(仪器设备工时分配表!$F$6:$F$245,$W42))</f>
        <v>0</v>
      </c>
      <c r="H42" s="45" t="n">
        <f aca="false">IF(OR($A42="",$W42=0),0,INDEX(仪器设备工时分配表!$R$6:$R$245,$W42))</f>
        <v>0</v>
      </c>
      <c r="I42" s="28" t="str">
        <f aca="false">IF(OR($A42="",$G42=0),"",$H42/$G42)</f>
        <v/>
      </c>
      <c r="J42" s="27" t="str">
        <f aca="false">IF(OR($A42="",$G42=0),"",ROUND($F42*INDEX(仪器设备工时分配表!$H$6:$H$245,$W42)/$G42,2))</f>
        <v/>
      </c>
      <c r="K42" s="27" t="str">
        <f aca="false">IF(OR($A42="",$G42=0),"",ROUND($F42*INDEX(仪器设备工时分配表!$I$6:$I$245,$W42)/$G42,2))</f>
        <v/>
      </c>
      <c r="L42" s="27" t="str">
        <f aca="false">IF(OR($A42="",$G42=0),"",ROUND($F42*INDEX(仪器设备工时分配表!$J$6:$J$245,$W42)/$G42,2))</f>
        <v/>
      </c>
      <c r="M42" s="27" t="str">
        <f aca="false">IF(OR($A42="",$G42=0),"",ROUND($F42*INDEX(仪器设备工时分配表!$K$6:$K$245,$W42)/$G42,2))</f>
        <v/>
      </c>
      <c r="N42" s="27" t="str">
        <f aca="false">IF(OR($A42="",$G42=0),"",ROUND($F42*INDEX(仪器设备工时分配表!$L$6:$L$245,$W42)/$G42,2))</f>
        <v/>
      </c>
      <c r="O42" s="27" t="str">
        <f aca="false">IF(OR($A42="",$G42=0),"",ROUND($F42*INDEX(仪器设备工时分配表!$M$6:$M$245,$W42)/$G42,2))</f>
        <v/>
      </c>
      <c r="P42" s="27" t="str">
        <f aca="false">IF(OR($A42="",$G42=0),"",ROUND($F42*INDEX(仪器设备工时分配表!$N$6:$N$245,$W42)/$G42,2))</f>
        <v/>
      </c>
      <c r="Q42" s="27" t="str">
        <f aca="false">IF(OR($A42="",$G42=0),"",ROUND($F42*INDEX(仪器设备工时分配表!$O$6:$O$245,$W42)/$G42,2))</f>
        <v/>
      </c>
      <c r="R42" s="27" t="str">
        <f aca="false">IF(OR($A42="",$G42=0),"",ROUND($F42*INDEX(仪器设备工时分配表!$P$6:$P$245,$W42)/$G42,2))</f>
        <v/>
      </c>
      <c r="S42" s="27" t="str">
        <f aca="false">IF(OR($A42="",$G42=0),"",ROUND($F42*INDEX(仪器设备工时分配表!$Q$6:$Q$245,$W42)/$G42,2))</f>
        <v/>
      </c>
      <c r="T42" s="27" t="str">
        <f aca="false">IF($A42="","",ROUND(SUM(J42:S42),2))</f>
        <v/>
      </c>
      <c r="U42" s="27" t="str">
        <f aca="false">IF($A42="","",ROUND($F42-T42,2))</f>
        <v/>
      </c>
      <c r="V42" s="43" t="str">
        <f aca="false">IF($A42="","",IF($D42="无形资产","⚠ 无形资产请在无形资产费用分配表登记",IF($W42=0,"⚠ 工时分配表无此资产当月记录",IF($X42&gt;1,"⚠ 工时分配表存在重复行","√ 正常"))))</f>
        <v/>
      </c>
      <c r="W42" s="47" t="n">
        <f aca="false">IF($A42="",0,IFERROR(MATCH($A42&amp;"|"&amp;$B42,仪器设备工时分配表!$V$6:$V$245,0),0))</f>
        <v>0</v>
      </c>
      <c r="X42" s="47" t="n">
        <f aca="false">IF($A42="",0,COUNTIFS(仪器设备工时分配表!$A$6:$A$245,$A42,仪器设备工时分配表!$B$6:$B$245,$B42))</f>
        <v>0</v>
      </c>
    </row>
    <row r="43" customFormat="false" ht="18" hidden="false" customHeight="true" outlineLevel="0" collapsed="false">
      <c r="A43" s="36"/>
      <c r="B43" s="36"/>
      <c r="C43" s="48" t="str">
        <f aca="false">IF($B43="","",IFERROR(VLOOKUP($B43,资产台账!$B$4:$N$53,2,0)&amp;"","台账中未登记"))</f>
        <v/>
      </c>
      <c r="D43" s="43" t="str">
        <f aca="false">IF($B43="","",IFERROR(VLOOKUP($B43,资产台账!$B$4:$N$53,3,0)&amp;"",""))</f>
        <v/>
      </c>
      <c r="E43" s="43" t="str">
        <f aca="false">IF($B43="","",IFERROR(VLOOKUP($B43,资产台账!$B$4:$N$53,10,0)&amp;"",""))</f>
        <v/>
      </c>
      <c r="F43" s="49" t="str">
        <f aca="false">IF($B43="","",IFERROR(VLOOKUP($B43,资产台账!$B$4:$N$53,9,0),0))</f>
        <v/>
      </c>
      <c r="G43" s="45" t="n">
        <f aca="false">IF(OR($A43="",$W43=0),0,INDEX(仪器设备工时分配表!$F$6:$F$245,$W43))</f>
        <v>0</v>
      </c>
      <c r="H43" s="45" t="n">
        <f aca="false">IF(OR($A43="",$W43=0),0,INDEX(仪器设备工时分配表!$R$6:$R$245,$W43))</f>
        <v>0</v>
      </c>
      <c r="I43" s="28" t="str">
        <f aca="false">IF(OR($A43="",$G43=0),"",$H43/$G43)</f>
        <v/>
      </c>
      <c r="J43" s="27" t="str">
        <f aca="false">IF(OR($A43="",$G43=0),"",ROUND($F43*INDEX(仪器设备工时分配表!$H$6:$H$245,$W43)/$G43,2))</f>
        <v/>
      </c>
      <c r="K43" s="27" t="str">
        <f aca="false">IF(OR($A43="",$G43=0),"",ROUND($F43*INDEX(仪器设备工时分配表!$I$6:$I$245,$W43)/$G43,2))</f>
        <v/>
      </c>
      <c r="L43" s="27" t="str">
        <f aca="false">IF(OR($A43="",$G43=0),"",ROUND($F43*INDEX(仪器设备工时分配表!$J$6:$J$245,$W43)/$G43,2))</f>
        <v/>
      </c>
      <c r="M43" s="27" t="str">
        <f aca="false">IF(OR($A43="",$G43=0),"",ROUND($F43*INDEX(仪器设备工时分配表!$K$6:$K$245,$W43)/$G43,2))</f>
        <v/>
      </c>
      <c r="N43" s="27" t="str">
        <f aca="false">IF(OR($A43="",$G43=0),"",ROUND($F43*INDEX(仪器设备工时分配表!$L$6:$L$245,$W43)/$G43,2))</f>
        <v/>
      </c>
      <c r="O43" s="27" t="str">
        <f aca="false">IF(OR($A43="",$G43=0),"",ROUND($F43*INDEX(仪器设备工时分配表!$M$6:$M$245,$W43)/$G43,2))</f>
        <v/>
      </c>
      <c r="P43" s="27" t="str">
        <f aca="false">IF(OR($A43="",$G43=0),"",ROUND($F43*INDEX(仪器设备工时分配表!$N$6:$N$245,$W43)/$G43,2))</f>
        <v/>
      </c>
      <c r="Q43" s="27" t="str">
        <f aca="false">IF(OR($A43="",$G43=0),"",ROUND($F43*INDEX(仪器设备工时分配表!$O$6:$O$245,$W43)/$G43,2))</f>
        <v/>
      </c>
      <c r="R43" s="27" t="str">
        <f aca="false">IF(OR($A43="",$G43=0),"",ROUND($F43*INDEX(仪器设备工时分配表!$P$6:$P$245,$W43)/$G43,2))</f>
        <v/>
      </c>
      <c r="S43" s="27" t="str">
        <f aca="false">IF(OR($A43="",$G43=0),"",ROUND($F43*INDEX(仪器设备工时分配表!$Q$6:$Q$245,$W43)/$G43,2))</f>
        <v/>
      </c>
      <c r="T43" s="27" t="str">
        <f aca="false">IF($A43="","",ROUND(SUM(J43:S43),2))</f>
        <v/>
      </c>
      <c r="U43" s="27" t="str">
        <f aca="false">IF($A43="","",ROUND($F43-T43,2))</f>
        <v/>
      </c>
      <c r="V43" s="43" t="str">
        <f aca="false">IF($A43="","",IF($D43="无形资产","⚠ 无形资产请在无形资产费用分配表登记",IF($W43=0,"⚠ 工时分配表无此资产当月记录",IF($X43&gt;1,"⚠ 工时分配表存在重复行","√ 正常"))))</f>
        <v/>
      </c>
      <c r="W43" s="47" t="n">
        <f aca="false">IF($A43="",0,IFERROR(MATCH($A43&amp;"|"&amp;$B43,仪器设备工时分配表!$V$6:$V$245,0),0))</f>
        <v>0</v>
      </c>
      <c r="X43" s="47" t="n">
        <f aca="false">IF($A43="",0,COUNTIFS(仪器设备工时分配表!$A$6:$A$245,$A43,仪器设备工时分配表!$B$6:$B$245,$B43))</f>
        <v>0</v>
      </c>
    </row>
    <row r="44" customFormat="false" ht="18" hidden="false" customHeight="true" outlineLevel="0" collapsed="false">
      <c r="A44" s="36"/>
      <c r="B44" s="36"/>
      <c r="C44" s="48" t="str">
        <f aca="false">IF($B44="","",IFERROR(VLOOKUP($B44,资产台账!$B$4:$N$53,2,0)&amp;"","台账中未登记"))</f>
        <v/>
      </c>
      <c r="D44" s="43" t="str">
        <f aca="false">IF($B44="","",IFERROR(VLOOKUP($B44,资产台账!$B$4:$N$53,3,0)&amp;"",""))</f>
        <v/>
      </c>
      <c r="E44" s="43" t="str">
        <f aca="false">IF($B44="","",IFERROR(VLOOKUP($B44,资产台账!$B$4:$N$53,10,0)&amp;"",""))</f>
        <v/>
      </c>
      <c r="F44" s="49" t="str">
        <f aca="false">IF($B44="","",IFERROR(VLOOKUP($B44,资产台账!$B$4:$N$53,9,0),0))</f>
        <v/>
      </c>
      <c r="G44" s="45" t="n">
        <f aca="false">IF(OR($A44="",$W44=0),0,INDEX(仪器设备工时分配表!$F$6:$F$245,$W44))</f>
        <v>0</v>
      </c>
      <c r="H44" s="45" t="n">
        <f aca="false">IF(OR($A44="",$W44=0),0,INDEX(仪器设备工时分配表!$R$6:$R$245,$W44))</f>
        <v>0</v>
      </c>
      <c r="I44" s="28" t="str">
        <f aca="false">IF(OR($A44="",$G44=0),"",$H44/$G44)</f>
        <v/>
      </c>
      <c r="J44" s="27" t="str">
        <f aca="false">IF(OR($A44="",$G44=0),"",ROUND($F44*INDEX(仪器设备工时分配表!$H$6:$H$245,$W44)/$G44,2))</f>
        <v/>
      </c>
      <c r="K44" s="27" t="str">
        <f aca="false">IF(OR($A44="",$G44=0),"",ROUND($F44*INDEX(仪器设备工时分配表!$I$6:$I$245,$W44)/$G44,2))</f>
        <v/>
      </c>
      <c r="L44" s="27" t="str">
        <f aca="false">IF(OR($A44="",$G44=0),"",ROUND($F44*INDEX(仪器设备工时分配表!$J$6:$J$245,$W44)/$G44,2))</f>
        <v/>
      </c>
      <c r="M44" s="27" t="str">
        <f aca="false">IF(OR($A44="",$G44=0),"",ROUND($F44*INDEX(仪器设备工时分配表!$K$6:$K$245,$W44)/$G44,2))</f>
        <v/>
      </c>
      <c r="N44" s="27" t="str">
        <f aca="false">IF(OR($A44="",$G44=0),"",ROUND($F44*INDEX(仪器设备工时分配表!$L$6:$L$245,$W44)/$G44,2))</f>
        <v/>
      </c>
      <c r="O44" s="27" t="str">
        <f aca="false">IF(OR($A44="",$G44=0),"",ROUND($F44*INDEX(仪器设备工时分配表!$M$6:$M$245,$W44)/$G44,2))</f>
        <v/>
      </c>
      <c r="P44" s="27" t="str">
        <f aca="false">IF(OR($A44="",$G44=0),"",ROUND($F44*INDEX(仪器设备工时分配表!$N$6:$N$245,$W44)/$G44,2))</f>
        <v/>
      </c>
      <c r="Q44" s="27" t="str">
        <f aca="false">IF(OR($A44="",$G44=0),"",ROUND($F44*INDEX(仪器设备工时分配表!$O$6:$O$245,$W44)/$G44,2))</f>
        <v/>
      </c>
      <c r="R44" s="27" t="str">
        <f aca="false">IF(OR($A44="",$G44=0),"",ROUND($F44*INDEX(仪器设备工时分配表!$P$6:$P$245,$W44)/$G44,2))</f>
        <v/>
      </c>
      <c r="S44" s="27" t="str">
        <f aca="false">IF(OR($A44="",$G44=0),"",ROUND($F44*INDEX(仪器设备工时分配表!$Q$6:$Q$245,$W44)/$G44,2))</f>
        <v/>
      </c>
      <c r="T44" s="27" t="str">
        <f aca="false">IF($A44="","",ROUND(SUM(J44:S44),2))</f>
        <v/>
      </c>
      <c r="U44" s="27" t="str">
        <f aca="false">IF($A44="","",ROUND($F44-T44,2))</f>
        <v/>
      </c>
      <c r="V44" s="43" t="str">
        <f aca="false">IF($A44="","",IF($D44="无形资产","⚠ 无形资产请在无形资产费用分配表登记",IF($W44=0,"⚠ 工时分配表无此资产当月记录",IF($X44&gt;1,"⚠ 工时分配表存在重复行","√ 正常"))))</f>
        <v/>
      </c>
      <c r="W44" s="47" t="n">
        <f aca="false">IF($A44="",0,IFERROR(MATCH($A44&amp;"|"&amp;$B44,仪器设备工时分配表!$V$6:$V$245,0),0))</f>
        <v>0</v>
      </c>
      <c r="X44" s="47" t="n">
        <f aca="false">IF($A44="",0,COUNTIFS(仪器设备工时分配表!$A$6:$A$245,$A44,仪器设备工时分配表!$B$6:$B$245,$B44))</f>
        <v>0</v>
      </c>
    </row>
    <row r="45" customFormat="false" ht="18" hidden="false" customHeight="true" outlineLevel="0" collapsed="false">
      <c r="A45" s="36"/>
      <c r="B45" s="36"/>
      <c r="C45" s="48" t="str">
        <f aca="false">IF($B45="","",IFERROR(VLOOKUP($B45,资产台账!$B$4:$N$53,2,0)&amp;"","台账中未登记"))</f>
        <v/>
      </c>
      <c r="D45" s="43" t="str">
        <f aca="false">IF($B45="","",IFERROR(VLOOKUP($B45,资产台账!$B$4:$N$53,3,0)&amp;"",""))</f>
        <v/>
      </c>
      <c r="E45" s="43" t="str">
        <f aca="false">IF($B45="","",IFERROR(VLOOKUP($B45,资产台账!$B$4:$N$53,10,0)&amp;"",""))</f>
        <v/>
      </c>
      <c r="F45" s="49" t="str">
        <f aca="false">IF($B45="","",IFERROR(VLOOKUP($B45,资产台账!$B$4:$N$53,9,0),0))</f>
        <v/>
      </c>
      <c r="G45" s="45" t="n">
        <f aca="false">IF(OR($A45="",$W45=0),0,INDEX(仪器设备工时分配表!$F$6:$F$245,$W45))</f>
        <v>0</v>
      </c>
      <c r="H45" s="45" t="n">
        <f aca="false">IF(OR($A45="",$W45=0),0,INDEX(仪器设备工时分配表!$R$6:$R$245,$W45))</f>
        <v>0</v>
      </c>
      <c r="I45" s="28" t="str">
        <f aca="false">IF(OR($A45="",$G45=0),"",$H45/$G45)</f>
        <v/>
      </c>
      <c r="J45" s="27" t="str">
        <f aca="false">IF(OR($A45="",$G45=0),"",ROUND($F45*INDEX(仪器设备工时分配表!$H$6:$H$245,$W45)/$G45,2))</f>
        <v/>
      </c>
      <c r="K45" s="27" t="str">
        <f aca="false">IF(OR($A45="",$G45=0),"",ROUND($F45*INDEX(仪器设备工时分配表!$I$6:$I$245,$W45)/$G45,2))</f>
        <v/>
      </c>
      <c r="L45" s="27" t="str">
        <f aca="false">IF(OR($A45="",$G45=0),"",ROUND($F45*INDEX(仪器设备工时分配表!$J$6:$J$245,$W45)/$G45,2))</f>
        <v/>
      </c>
      <c r="M45" s="27" t="str">
        <f aca="false">IF(OR($A45="",$G45=0),"",ROUND($F45*INDEX(仪器设备工时分配表!$K$6:$K$245,$W45)/$G45,2))</f>
        <v/>
      </c>
      <c r="N45" s="27" t="str">
        <f aca="false">IF(OR($A45="",$G45=0),"",ROUND($F45*INDEX(仪器设备工时分配表!$L$6:$L$245,$W45)/$G45,2))</f>
        <v/>
      </c>
      <c r="O45" s="27" t="str">
        <f aca="false">IF(OR($A45="",$G45=0),"",ROUND($F45*INDEX(仪器设备工时分配表!$M$6:$M$245,$W45)/$G45,2))</f>
        <v/>
      </c>
      <c r="P45" s="27" t="str">
        <f aca="false">IF(OR($A45="",$G45=0),"",ROUND($F45*INDEX(仪器设备工时分配表!$N$6:$N$245,$W45)/$G45,2))</f>
        <v/>
      </c>
      <c r="Q45" s="27" t="str">
        <f aca="false">IF(OR($A45="",$G45=0),"",ROUND($F45*INDEX(仪器设备工时分配表!$O$6:$O$245,$W45)/$G45,2))</f>
        <v/>
      </c>
      <c r="R45" s="27" t="str">
        <f aca="false">IF(OR($A45="",$G45=0),"",ROUND($F45*INDEX(仪器设备工时分配表!$P$6:$P$245,$W45)/$G45,2))</f>
        <v/>
      </c>
      <c r="S45" s="27" t="str">
        <f aca="false">IF(OR($A45="",$G45=0),"",ROUND($F45*INDEX(仪器设备工时分配表!$Q$6:$Q$245,$W45)/$G45,2))</f>
        <v/>
      </c>
      <c r="T45" s="27" t="str">
        <f aca="false">IF($A45="","",ROUND(SUM(J45:S45),2))</f>
        <v/>
      </c>
      <c r="U45" s="27" t="str">
        <f aca="false">IF($A45="","",ROUND($F45-T45,2))</f>
        <v/>
      </c>
      <c r="V45" s="43" t="str">
        <f aca="false">IF($A45="","",IF($D45="无形资产","⚠ 无形资产请在无形资产费用分配表登记",IF($W45=0,"⚠ 工时分配表无此资产当月记录",IF($X45&gt;1,"⚠ 工时分配表存在重复行","√ 正常"))))</f>
        <v/>
      </c>
      <c r="W45" s="47" t="n">
        <f aca="false">IF($A45="",0,IFERROR(MATCH($A45&amp;"|"&amp;$B45,仪器设备工时分配表!$V$6:$V$245,0),0))</f>
        <v>0</v>
      </c>
      <c r="X45" s="47" t="n">
        <f aca="false">IF($A45="",0,COUNTIFS(仪器设备工时分配表!$A$6:$A$245,$A45,仪器设备工时分配表!$B$6:$B$245,$B45))</f>
        <v>0</v>
      </c>
    </row>
    <row r="46" customFormat="false" ht="18" hidden="false" customHeight="true" outlineLevel="0" collapsed="false">
      <c r="A46" s="36"/>
      <c r="B46" s="36"/>
      <c r="C46" s="48" t="str">
        <f aca="false">IF($B46="","",IFERROR(VLOOKUP($B46,资产台账!$B$4:$N$53,2,0)&amp;"","台账中未登记"))</f>
        <v/>
      </c>
      <c r="D46" s="43" t="str">
        <f aca="false">IF($B46="","",IFERROR(VLOOKUP($B46,资产台账!$B$4:$N$53,3,0)&amp;"",""))</f>
        <v/>
      </c>
      <c r="E46" s="43" t="str">
        <f aca="false">IF($B46="","",IFERROR(VLOOKUP($B46,资产台账!$B$4:$N$53,10,0)&amp;"",""))</f>
        <v/>
      </c>
      <c r="F46" s="49" t="str">
        <f aca="false">IF($B46="","",IFERROR(VLOOKUP($B46,资产台账!$B$4:$N$53,9,0),0))</f>
        <v/>
      </c>
      <c r="G46" s="45" t="n">
        <f aca="false">IF(OR($A46="",$W46=0),0,INDEX(仪器设备工时分配表!$F$6:$F$245,$W46))</f>
        <v>0</v>
      </c>
      <c r="H46" s="45" t="n">
        <f aca="false">IF(OR($A46="",$W46=0),0,INDEX(仪器设备工时分配表!$R$6:$R$245,$W46))</f>
        <v>0</v>
      </c>
      <c r="I46" s="28" t="str">
        <f aca="false">IF(OR($A46="",$G46=0),"",$H46/$G46)</f>
        <v/>
      </c>
      <c r="J46" s="27" t="str">
        <f aca="false">IF(OR($A46="",$G46=0),"",ROUND($F46*INDEX(仪器设备工时分配表!$H$6:$H$245,$W46)/$G46,2))</f>
        <v/>
      </c>
      <c r="K46" s="27" t="str">
        <f aca="false">IF(OR($A46="",$G46=0),"",ROUND($F46*INDEX(仪器设备工时分配表!$I$6:$I$245,$W46)/$G46,2))</f>
        <v/>
      </c>
      <c r="L46" s="27" t="str">
        <f aca="false">IF(OR($A46="",$G46=0),"",ROUND($F46*INDEX(仪器设备工时分配表!$J$6:$J$245,$W46)/$G46,2))</f>
        <v/>
      </c>
      <c r="M46" s="27" t="str">
        <f aca="false">IF(OR($A46="",$G46=0),"",ROUND($F46*INDEX(仪器设备工时分配表!$K$6:$K$245,$W46)/$G46,2))</f>
        <v/>
      </c>
      <c r="N46" s="27" t="str">
        <f aca="false">IF(OR($A46="",$G46=0),"",ROUND($F46*INDEX(仪器设备工时分配表!$L$6:$L$245,$W46)/$G46,2))</f>
        <v/>
      </c>
      <c r="O46" s="27" t="str">
        <f aca="false">IF(OR($A46="",$G46=0),"",ROUND($F46*INDEX(仪器设备工时分配表!$M$6:$M$245,$W46)/$G46,2))</f>
        <v/>
      </c>
      <c r="P46" s="27" t="str">
        <f aca="false">IF(OR($A46="",$G46=0),"",ROUND($F46*INDEX(仪器设备工时分配表!$N$6:$N$245,$W46)/$G46,2))</f>
        <v/>
      </c>
      <c r="Q46" s="27" t="str">
        <f aca="false">IF(OR($A46="",$G46=0),"",ROUND($F46*INDEX(仪器设备工时分配表!$O$6:$O$245,$W46)/$G46,2))</f>
        <v/>
      </c>
      <c r="R46" s="27" t="str">
        <f aca="false">IF(OR($A46="",$G46=0),"",ROUND($F46*INDEX(仪器设备工时分配表!$P$6:$P$245,$W46)/$G46,2))</f>
        <v/>
      </c>
      <c r="S46" s="27" t="str">
        <f aca="false">IF(OR($A46="",$G46=0),"",ROUND($F46*INDEX(仪器设备工时分配表!$Q$6:$Q$245,$W46)/$G46,2))</f>
        <v/>
      </c>
      <c r="T46" s="27" t="str">
        <f aca="false">IF($A46="","",ROUND(SUM(J46:S46),2))</f>
        <v/>
      </c>
      <c r="U46" s="27" t="str">
        <f aca="false">IF($A46="","",ROUND($F46-T46,2))</f>
        <v/>
      </c>
      <c r="V46" s="43" t="str">
        <f aca="false">IF($A46="","",IF($D46="无形资产","⚠ 无形资产请在无形资产费用分配表登记",IF($W46=0,"⚠ 工时分配表无此资产当月记录",IF($X46&gt;1,"⚠ 工时分配表存在重复行","√ 正常"))))</f>
        <v/>
      </c>
      <c r="W46" s="47" t="n">
        <f aca="false">IF($A46="",0,IFERROR(MATCH($A46&amp;"|"&amp;$B46,仪器设备工时分配表!$V$6:$V$245,0),0))</f>
        <v>0</v>
      </c>
      <c r="X46" s="47" t="n">
        <f aca="false">IF($A46="",0,COUNTIFS(仪器设备工时分配表!$A$6:$A$245,$A46,仪器设备工时分配表!$B$6:$B$245,$B46))</f>
        <v>0</v>
      </c>
    </row>
    <row r="47" customFormat="false" ht="18" hidden="false" customHeight="true" outlineLevel="0" collapsed="false">
      <c r="A47" s="36"/>
      <c r="B47" s="36"/>
      <c r="C47" s="48" t="str">
        <f aca="false">IF($B47="","",IFERROR(VLOOKUP($B47,资产台账!$B$4:$N$53,2,0)&amp;"","台账中未登记"))</f>
        <v/>
      </c>
      <c r="D47" s="43" t="str">
        <f aca="false">IF($B47="","",IFERROR(VLOOKUP($B47,资产台账!$B$4:$N$53,3,0)&amp;"",""))</f>
        <v/>
      </c>
      <c r="E47" s="43" t="str">
        <f aca="false">IF($B47="","",IFERROR(VLOOKUP($B47,资产台账!$B$4:$N$53,10,0)&amp;"",""))</f>
        <v/>
      </c>
      <c r="F47" s="49" t="str">
        <f aca="false">IF($B47="","",IFERROR(VLOOKUP($B47,资产台账!$B$4:$N$53,9,0),0))</f>
        <v/>
      </c>
      <c r="G47" s="45" t="n">
        <f aca="false">IF(OR($A47="",$W47=0),0,INDEX(仪器设备工时分配表!$F$6:$F$245,$W47))</f>
        <v>0</v>
      </c>
      <c r="H47" s="45" t="n">
        <f aca="false">IF(OR($A47="",$W47=0),0,INDEX(仪器设备工时分配表!$R$6:$R$245,$W47))</f>
        <v>0</v>
      </c>
      <c r="I47" s="28" t="str">
        <f aca="false">IF(OR($A47="",$G47=0),"",$H47/$G47)</f>
        <v/>
      </c>
      <c r="J47" s="27" t="str">
        <f aca="false">IF(OR($A47="",$G47=0),"",ROUND($F47*INDEX(仪器设备工时分配表!$H$6:$H$245,$W47)/$G47,2))</f>
        <v/>
      </c>
      <c r="K47" s="27" t="str">
        <f aca="false">IF(OR($A47="",$G47=0),"",ROUND($F47*INDEX(仪器设备工时分配表!$I$6:$I$245,$W47)/$G47,2))</f>
        <v/>
      </c>
      <c r="L47" s="27" t="str">
        <f aca="false">IF(OR($A47="",$G47=0),"",ROUND($F47*INDEX(仪器设备工时分配表!$J$6:$J$245,$W47)/$G47,2))</f>
        <v/>
      </c>
      <c r="M47" s="27" t="str">
        <f aca="false">IF(OR($A47="",$G47=0),"",ROUND($F47*INDEX(仪器设备工时分配表!$K$6:$K$245,$W47)/$G47,2))</f>
        <v/>
      </c>
      <c r="N47" s="27" t="str">
        <f aca="false">IF(OR($A47="",$G47=0),"",ROUND($F47*INDEX(仪器设备工时分配表!$L$6:$L$245,$W47)/$G47,2))</f>
        <v/>
      </c>
      <c r="O47" s="27" t="str">
        <f aca="false">IF(OR($A47="",$G47=0),"",ROUND($F47*INDEX(仪器设备工时分配表!$M$6:$M$245,$W47)/$G47,2))</f>
        <v/>
      </c>
      <c r="P47" s="27" t="str">
        <f aca="false">IF(OR($A47="",$G47=0),"",ROUND($F47*INDEX(仪器设备工时分配表!$N$6:$N$245,$W47)/$G47,2))</f>
        <v/>
      </c>
      <c r="Q47" s="27" t="str">
        <f aca="false">IF(OR($A47="",$G47=0),"",ROUND($F47*INDEX(仪器设备工时分配表!$O$6:$O$245,$W47)/$G47,2))</f>
        <v/>
      </c>
      <c r="R47" s="27" t="str">
        <f aca="false">IF(OR($A47="",$G47=0),"",ROUND($F47*INDEX(仪器设备工时分配表!$P$6:$P$245,$W47)/$G47,2))</f>
        <v/>
      </c>
      <c r="S47" s="27" t="str">
        <f aca="false">IF(OR($A47="",$G47=0),"",ROUND($F47*INDEX(仪器设备工时分配表!$Q$6:$Q$245,$W47)/$G47,2))</f>
        <v/>
      </c>
      <c r="T47" s="27" t="str">
        <f aca="false">IF($A47="","",ROUND(SUM(J47:S47),2))</f>
        <v/>
      </c>
      <c r="U47" s="27" t="str">
        <f aca="false">IF($A47="","",ROUND($F47-T47,2))</f>
        <v/>
      </c>
      <c r="V47" s="43" t="str">
        <f aca="false">IF($A47="","",IF($D47="无形资产","⚠ 无形资产请在无形资产费用分配表登记",IF($W47=0,"⚠ 工时分配表无此资产当月记录",IF($X47&gt;1,"⚠ 工时分配表存在重复行","√ 正常"))))</f>
        <v/>
      </c>
      <c r="W47" s="47" t="n">
        <f aca="false">IF($A47="",0,IFERROR(MATCH($A47&amp;"|"&amp;$B47,仪器设备工时分配表!$V$6:$V$245,0),0))</f>
        <v>0</v>
      </c>
      <c r="X47" s="47" t="n">
        <f aca="false">IF($A47="",0,COUNTIFS(仪器设备工时分配表!$A$6:$A$245,$A47,仪器设备工时分配表!$B$6:$B$245,$B47))</f>
        <v>0</v>
      </c>
    </row>
    <row r="48" customFormat="false" ht="18" hidden="false" customHeight="true" outlineLevel="0" collapsed="false">
      <c r="A48" s="36"/>
      <c r="B48" s="36"/>
      <c r="C48" s="48" t="str">
        <f aca="false">IF($B48="","",IFERROR(VLOOKUP($B48,资产台账!$B$4:$N$53,2,0)&amp;"","台账中未登记"))</f>
        <v/>
      </c>
      <c r="D48" s="43" t="str">
        <f aca="false">IF($B48="","",IFERROR(VLOOKUP($B48,资产台账!$B$4:$N$53,3,0)&amp;"",""))</f>
        <v/>
      </c>
      <c r="E48" s="43" t="str">
        <f aca="false">IF($B48="","",IFERROR(VLOOKUP($B48,资产台账!$B$4:$N$53,10,0)&amp;"",""))</f>
        <v/>
      </c>
      <c r="F48" s="49" t="str">
        <f aca="false">IF($B48="","",IFERROR(VLOOKUP($B48,资产台账!$B$4:$N$53,9,0),0))</f>
        <v/>
      </c>
      <c r="G48" s="45" t="n">
        <f aca="false">IF(OR($A48="",$W48=0),0,INDEX(仪器设备工时分配表!$F$6:$F$245,$W48))</f>
        <v>0</v>
      </c>
      <c r="H48" s="45" t="n">
        <f aca="false">IF(OR($A48="",$W48=0),0,INDEX(仪器设备工时分配表!$R$6:$R$245,$W48))</f>
        <v>0</v>
      </c>
      <c r="I48" s="28" t="str">
        <f aca="false">IF(OR($A48="",$G48=0),"",$H48/$G48)</f>
        <v/>
      </c>
      <c r="J48" s="27" t="str">
        <f aca="false">IF(OR($A48="",$G48=0),"",ROUND($F48*INDEX(仪器设备工时分配表!$H$6:$H$245,$W48)/$G48,2))</f>
        <v/>
      </c>
      <c r="K48" s="27" t="str">
        <f aca="false">IF(OR($A48="",$G48=0),"",ROUND($F48*INDEX(仪器设备工时分配表!$I$6:$I$245,$W48)/$G48,2))</f>
        <v/>
      </c>
      <c r="L48" s="27" t="str">
        <f aca="false">IF(OR($A48="",$G48=0),"",ROUND($F48*INDEX(仪器设备工时分配表!$J$6:$J$245,$W48)/$G48,2))</f>
        <v/>
      </c>
      <c r="M48" s="27" t="str">
        <f aca="false">IF(OR($A48="",$G48=0),"",ROUND($F48*INDEX(仪器设备工时分配表!$K$6:$K$245,$W48)/$G48,2))</f>
        <v/>
      </c>
      <c r="N48" s="27" t="str">
        <f aca="false">IF(OR($A48="",$G48=0),"",ROUND($F48*INDEX(仪器设备工时分配表!$L$6:$L$245,$W48)/$G48,2))</f>
        <v/>
      </c>
      <c r="O48" s="27" t="str">
        <f aca="false">IF(OR($A48="",$G48=0),"",ROUND($F48*INDEX(仪器设备工时分配表!$M$6:$M$245,$W48)/$G48,2))</f>
        <v/>
      </c>
      <c r="P48" s="27" t="str">
        <f aca="false">IF(OR($A48="",$G48=0),"",ROUND($F48*INDEX(仪器设备工时分配表!$N$6:$N$245,$W48)/$G48,2))</f>
        <v/>
      </c>
      <c r="Q48" s="27" t="str">
        <f aca="false">IF(OR($A48="",$G48=0),"",ROUND($F48*INDEX(仪器设备工时分配表!$O$6:$O$245,$W48)/$G48,2))</f>
        <v/>
      </c>
      <c r="R48" s="27" t="str">
        <f aca="false">IF(OR($A48="",$G48=0),"",ROUND($F48*INDEX(仪器设备工时分配表!$P$6:$P$245,$W48)/$G48,2))</f>
        <v/>
      </c>
      <c r="S48" s="27" t="str">
        <f aca="false">IF(OR($A48="",$G48=0),"",ROUND($F48*INDEX(仪器设备工时分配表!$Q$6:$Q$245,$W48)/$G48,2))</f>
        <v/>
      </c>
      <c r="T48" s="27" t="str">
        <f aca="false">IF($A48="","",ROUND(SUM(J48:S48),2))</f>
        <v/>
      </c>
      <c r="U48" s="27" t="str">
        <f aca="false">IF($A48="","",ROUND($F48-T48,2))</f>
        <v/>
      </c>
      <c r="V48" s="43" t="str">
        <f aca="false">IF($A48="","",IF($D48="无形资产","⚠ 无形资产请在无形资产费用分配表登记",IF($W48=0,"⚠ 工时分配表无此资产当月记录",IF($X48&gt;1,"⚠ 工时分配表存在重复行","√ 正常"))))</f>
        <v/>
      </c>
      <c r="W48" s="47" t="n">
        <f aca="false">IF($A48="",0,IFERROR(MATCH($A48&amp;"|"&amp;$B48,仪器设备工时分配表!$V$6:$V$245,0),0))</f>
        <v>0</v>
      </c>
      <c r="X48" s="47" t="n">
        <f aca="false">IF($A48="",0,COUNTIFS(仪器设备工时分配表!$A$6:$A$245,$A48,仪器设备工时分配表!$B$6:$B$245,$B48))</f>
        <v>0</v>
      </c>
    </row>
    <row r="49" customFormat="false" ht="18" hidden="false" customHeight="true" outlineLevel="0" collapsed="false">
      <c r="A49" s="36"/>
      <c r="B49" s="36"/>
      <c r="C49" s="48" t="str">
        <f aca="false">IF($B49="","",IFERROR(VLOOKUP($B49,资产台账!$B$4:$N$53,2,0)&amp;"","台账中未登记"))</f>
        <v/>
      </c>
      <c r="D49" s="43" t="str">
        <f aca="false">IF($B49="","",IFERROR(VLOOKUP($B49,资产台账!$B$4:$N$53,3,0)&amp;"",""))</f>
        <v/>
      </c>
      <c r="E49" s="43" t="str">
        <f aca="false">IF($B49="","",IFERROR(VLOOKUP($B49,资产台账!$B$4:$N$53,10,0)&amp;"",""))</f>
        <v/>
      </c>
      <c r="F49" s="49" t="str">
        <f aca="false">IF($B49="","",IFERROR(VLOOKUP($B49,资产台账!$B$4:$N$53,9,0),0))</f>
        <v/>
      </c>
      <c r="G49" s="45" t="n">
        <f aca="false">IF(OR($A49="",$W49=0),0,INDEX(仪器设备工时分配表!$F$6:$F$245,$W49))</f>
        <v>0</v>
      </c>
      <c r="H49" s="45" t="n">
        <f aca="false">IF(OR($A49="",$W49=0),0,INDEX(仪器设备工时分配表!$R$6:$R$245,$W49))</f>
        <v>0</v>
      </c>
      <c r="I49" s="28" t="str">
        <f aca="false">IF(OR($A49="",$G49=0),"",$H49/$G49)</f>
        <v/>
      </c>
      <c r="J49" s="27" t="str">
        <f aca="false">IF(OR($A49="",$G49=0),"",ROUND($F49*INDEX(仪器设备工时分配表!$H$6:$H$245,$W49)/$G49,2))</f>
        <v/>
      </c>
      <c r="K49" s="27" t="str">
        <f aca="false">IF(OR($A49="",$G49=0),"",ROUND($F49*INDEX(仪器设备工时分配表!$I$6:$I$245,$W49)/$G49,2))</f>
        <v/>
      </c>
      <c r="L49" s="27" t="str">
        <f aca="false">IF(OR($A49="",$G49=0),"",ROUND($F49*INDEX(仪器设备工时分配表!$J$6:$J$245,$W49)/$G49,2))</f>
        <v/>
      </c>
      <c r="M49" s="27" t="str">
        <f aca="false">IF(OR($A49="",$G49=0),"",ROUND($F49*INDEX(仪器设备工时分配表!$K$6:$K$245,$W49)/$G49,2))</f>
        <v/>
      </c>
      <c r="N49" s="27" t="str">
        <f aca="false">IF(OR($A49="",$G49=0),"",ROUND($F49*INDEX(仪器设备工时分配表!$L$6:$L$245,$W49)/$G49,2))</f>
        <v/>
      </c>
      <c r="O49" s="27" t="str">
        <f aca="false">IF(OR($A49="",$G49=0),"",ROUND($F49*INDEX(仪器设备工时分配表!$M$6:$M$245,$W49)/$G49,2))</f>
        <v/>
      </c>
      <c r="P49" s="27" t="str">
        <f aca="false">IF(OR($A49="",$G49=0),"",ROUND($F49*INDEX(仪器设备工时分配表!$N$6:$N$245,$W49)/$G49,2))</f>
        <v/>
      </c>
      <c r="Q49" s="27" t="str">
        <f aca="false">IF(OR($A49="",$G49=0),"",ROUND($F49*INDEX(仪器设备工时分配表!$O$6:$O$245,$W49)/$G49,2))</f>
        <v/>
      </c>
      <c r="R49" s="27" t="str">
        <f aca="false">IF(OR($A49="",$G49=0),"",ROUND($F49*INDEX(仪器设备工时分配表!$P$6:$P$245,$W49)/$G49,2))</f>
        <v/>
      </c>
      <c r="S49" s="27" t="str">
        <f aca="false">IF(OR($A49="",$G49=0),"",ROUND($F49*INDEX(仪器设备工时分配表!$Q$6:$Q$245,$W49)/$G49,2))</f>
        <v/>
      </c>
      <c r="T49" s="27" t="str">
        <f aca="false">IF($A49="","",ROUND(SUM(J49:S49),2))</f>
        <v/>
      </c>
      <c r="U49" s="27" t="str">
        <f aca="false">IF($A49="","",ROUND($F49-T49,2))</f>
        <v/>
      </c>
      <c r="V49" s="43" t="str">
        <f aca="false">IF($A49="","",IF($D49="无形资产","⚠ 无形资产请在无形资产费用分配表登记",IF($W49=0,"⚠ 工时分配表无此资产当月记录",IF($X49&gt;1,"⚠ 工时分配表存在重复行","√ 正常"))))</f>
        <v/>
      </c>
      <c r="W49" s="47" t="n">
        <f aca="false">IF($A49="",0,IFERROR(MATCH($A49&amp;"|"&amp;$B49,仪器设备工时分配表!$V$6:$V$245,0),0))</f>
        <v>0</v>
      </c>
      <c r="X49" s="47" t="n">
        <f aca="false">IF($A49="",0,COUNTIFS(仪器设备工时分配表!$A$6:$A$245,$A49,仪器设备工时分配表!$B$6:$B$245,$B49))</f>
        <v>0</v>
      </c>
    </row>
    <row r="50" customFormat="false" ht="18" hidden="false" customHeight="true" outlineLevel="0" collapsed="false">
      <c r="A50" s="36"/>
      <c r="B50" s="36"/>
      <c r="C50" s="48" t="str">
        <f aca="false">IF($B50="","",IFERROR(VLOOKUP($B50,资产台账!$B$4:$N$53,2,0)&amp;"","台账中未登记"))</f>
        <v/>
      </c>
      <c r="D50" s="43" t="str">
        <f aca="false">IF($B50="","",IFERROR(VLOOKUP($B50,资产台账!$B$4:$N$53,3,0)&amp;"",""))</f>
        <v/>
      </c>
      <c r="E50" s="43" t="str">
        <f aca="false">IF($B50="","",IFERROR(VLOOKUP($B50,资产台账!$B$4:$N$53,10,0)&amp;"",""))</f>
        <v/>
      </c>
      <c r="F50" s="49" t="str">
        <f aca="false">IF($B50="","",IFERROR(VLOOKUP($B50,资产台账!$B$4:$N$53,9,0),0))</f>
        <v/>
      </c>
      <c r="G50" s="45" t="n">
        <f aca="false">IF(OR($A50="",$W50=0),0,INDEX(仪器设备工时分配表!$F$6:$F$245,$W50))</f>
        <v>0</v>
      </c>
      <c r="H50" s="45" t="n">
        <f aca="false">IF(OR($A50="",$W50=0),0,INDEX(仪器设备工时分配表!$R$6:$R$245,$W50))</f>
        <v>0</v>
      </c>
      <c r="I50" s="28" t="str">
        <f aca="false">IF(OR($A50="",$G50=0),"",$H50/$G50)</f>
        <v/>
      </c>
      <c r="J50" s="27" t="str">
        <f aca="false">IF(OR($A50="",$G50=0),"",ROUND($F50*INDEX(仪器设备工时分配表!$H$6:$H$245,$W50)/$G50,2))</f>
        <v/>
      </c>
      <c r="K50" s="27" t="str">
        <f aca="false">IF(OR($A50="",$G50=0),"",ROUND($F50*INDEX(仪器设备工时分配表!$I$6:$I$245,$W50)/$G50,2))</f>
        <v/>
      </c>
      <c r="L50" s="27" t="str">
        <f aca="false">IF(OR($A50="",$G50=0),"",ROUND($F50*INDEX(仪器设备工时分配表!$J$6:$J$245,$W50)/$G50,2))</f>
        <v/>
      </c>
      <c r="M50" s="27" t="str">
        <f aca="false">IF(OR($A50="",$G50=0),"",ROUND($F50*INDEX(仪器设备工时分配表!$K$6:$K$245,$W50)/$G50,2))</f>
        <v/>
      </c>
      <c r="N50" s="27" t="str">
        <f aca="false">IF(OR($A50="",$G50=0),"",ROUND($F50*INDEX(仪器设备工时分配表!$L$6:$L$245,$W50)/$G50,2))</f>
        <v/>
      </c>
      <c r="O50" s="27" t="str">
        <f aca="false">IF(OR($A50="",$G50=0),"",ROUND($F50*INDEX(仪器设备工时分配表!$M$6:$M$245,$W50)/$G50,2))</f>
        <v/>
      </c>
      <c r="P50" s="27" t="str">
        <f aca="false">IF(OR($A50="",$G50=0),"",ROUND($F50*INDEX(仪器设备工时分配表!$N$6:$N$245,$W50)/$G50,2))</f>
        <v/>
      </c>
      <c r="Q50" s="27" t="str">
        <f aca="false">IF(OR($A50="",$G50=0),"",ROUND($F50*INDEX(仪器设备工时分配表!$O$6:$O$245,$W50)/$G50,2))</f>
        <v/>
      </c>
      <c r="R50" s="27" t="str">
        <f aca="false">IF(OR($A50="",$G50=0),"",ROUND($F50*INDEX(仪器设备工时分配表!$P$6:$P$245,$W50)/$G50,2))</f>
        <v/>
      </c>
      <c r="S50" s="27" t="str">
        <f aca="false">IF(OR($A50="",$G50=0),"",ROUND($F50*INDEX(仪器设备工时分配表!$Q$6:$Q$245,$W50)/$G50,2))</f>
        <v/>
      </c>
      <c r="T50" s="27" t="str">
        <f aca="false">IF($A50="","",ROUND(SUM(J50:S50),2))</f>
        <v/>
      </c>
      <c r="U50" s="27" t="str">
        <f aca="false">IF($A50="","",ROUND($F50-T50,2))</f>
        <v/>
      </c>
      <c r="V50" s="43" t="str">
        <f aca="false">IF($A50="","",IF($D50="无形资产","⚠ 无形资产请在无形资产费用分配表登记",IF($W50=0,"⚠ 工时分配表无此资产当月记录",IF($X50&gt;1,"⚠ 工时分配表存在重复行","√ 正常"))))</f>
        <v/>
      </c>
      <c r="W50" s="47" t="n">
        <f aca="false">IF($A50="",0,IFERROR(MATCH($A50&amp;"|"&amp;$B50,仪器设备工时分配表!$V$6:$V$245,0),0))</f>
        <v>0</v>
      </c>
      <c r="X50" s="47" t="n">
        <f aca="false">IF($A50="",0,COUNTIFS(仪器设备工时分配表!$A$6:$A$245,$A50,仪器设备工时分配表!$B$6:$B$245,$B50))</f>
        <v>0</v>
      </c>
    </row>
    <row r="51" customFormat="false" ht="18" hidden="false" customHeight="true" outlineLevel="0" collapsed="false">
      <c r="A51" s="36"/>
      <c r="B51" s="36"/>
      <c r="C51" s="48" t="str">
        <f aca="false">IF($B51="","",IFERROR(VLOOKUP($B51,资产台账!$B$4:$N$53,2,0)&amp;"","台账中未登记"))</f>
        <v/>
      </c>
      <c r="D51" s="43" t="str">
        <f aca="false">IF($B51="","",IFERROR(VLOOKUP($B51,资产台账!$B$4:$N$53,3,0)&amp;"",""))</f>
        <v/>
      </c>
      <c r="E51" s="43" t="str">
        <f aca="false">IF($B51="","",IFERROR(VLOOKUP($B51,资产台账!$B$4:$N$53,10,0)&amp;"",""))</f>
        <v/>
      </c>
      <c r="F51" s="49" t="str">
        <f aca="false">IF($B51="","",IFERROR(VLOOKUP($B51,资产台账!$B$4:$N$53,9,0),0))</f>
        <v/>
      </c>
      <c r="G51" s="45" t="n">
        <f aca="false">IF(OR($A51="",$W51=0),0,INDEX(仪器设备工时分配表!$F$6:$F$245,$W51))</f>
        <v>0</v>
      </c>
      <c r="H51" s="45" t="n">
        <f aca="false">IF(OR($A51="",$W51=0),0,INDEX(仪器设备工时分配表!$R$6:$R$245,$W51))</f>
        <v>0</v>
      </c>
      <c r="I51" s="28" t="str">
        <f aca="false">IF(OR($A51="",$G51=0),"",$H51/$G51)</f>
        <v/>
      </c>
      <c r="J51" s="27" t="str">
        <f aca="false">IF(OR($A51="",$G51=0),"",ROUND($F51*INDEX(仪器设备工时分配表!$H$6:$H$245,$W51)/$G51,2))</f>
        <v/>
      </c>
      <c r="K51" s="27" t="str">
        <f aca="false">IF(OR($A51="",$G51=0),"",ROUND($F51*INDEX(仪器设备工时分配表!$I$6:$I$245,$W51)/$G51,2))</f>
        <v/>
      </c>
      <c r="L51" s="27" t="str">
        <f aca="false">IF(OR($A51="",$G51=0),"",ROUND($F51*INDEX(仪器设备工时分配表!$J$6:$J$245,$W51)/$G51,2))</f>
        <v/>
      </c>
      <c r="M51" s="27" t="str">
        <f aca="false">IF(OR($A51="",$G51=0),"",ROUND($F51*INDEX(仪器设备工时分配表!$K$6:$K$245,$W51)/$G51,2))</f>
        <v/>
      </c>
      <c r="N51" s="27" t="str">
        <f aca="false">IF(OR($A51="",$G51=0),"",ROUND($F51*INDEX(仪器设备工时分配表!$L$6:$L$245,$W51)/$G51,2))</f>
        <v/>
      </c>
      <c r="O51" s="27" t="str">
        <f aca="false">IF(OR($A51="",$G51=0),"",ROUND($F51*INDEX(仪器设备工时分配表!$M$6:$M$245,$W51)/$G51,2))</f>
        <v/>
      </c>
      <c r="P51" s="27" t="str">
        <f aca="false">IF(OR($A51="",$G51=0),"",ROUND($F51*INDEX(仪器设备工时分配表!$N$6:$N$245,$W51)/$G51,2))</f>
        <v/>
      </c>
      <c r="Q51" s="27" t="str">
        <f aca="false">IF(OR($A51="",$G51=0),"",ROUND($F51*INDEX(仪器设备工时分配表!$O$6:$O$245,$W51)/$G51,2))</f>
        <v/>
      </c>
      <c r="R51" s="27" t="str">
        <f aca="false">IF(OR($A51="",$G51=0),"",ROUND($F51*INDEX(仪器设备工时分配表!$P$6:$P$245,$W51)/$G51,2))</f>
        <v/>
      </c>
      <c r="S51" s="27" t="str">
        <f aca="false">IF(OR($A51="",$G51=0),"",ROUND($F51*INDEX(仪器设备工时分配表!$Q$6:$Q$245,$W51)/$G51,2))</f>
        <v/>
      </c>
      <c r="T51" s="27" t="str">
        <f aca="false">IF($A51="","",ROUND(SUM(J51:S51),2))</f>
        <v/>
      </c>
      <c r="U51" s="27" t="str">
        <f aca="false">IF($A51="","",ROUND($F51-T51,2))</f>
        <v/>
      </c>
      <c r="V51" s="43" t="str">
        <f aca="false">IF($A51="","",IF($D51="无形资产","⚠ 无形资产请在无形资产费用分配表登记",IF($W51=0,"⚠ 工时分配表无此资产当月记录",IF($X51&gt;1,"⚠ 工时分配表存在重复行","√ 正常"))))</f>
        <v/>
      </c>
      <c r="W51" s="47" t="n">
        <f aca="false">IF($A51="",0,IFERROR(MATCH($A51&amp;"|"&amp;$B51,仪器设备工时分配表!$V$6:$V$245,0),0))</f>
        <v>0</v>
      </c>
      <c r="X51" s="47" t="n">
        <f aca="false">IF($A51="",0,COUNTIFS(仪器设备工时分配表!$A$6:$A$245,$A51,仪器设备工时分配表!$B$6:$B$245,$B51))</f>
        <v>0</v>
      </c>
    </row>
    <row r="52" customFormat="false" ht="18" hidden="false" customHeight="true" outlineLevel="0" collapsed="false">
      <c r="A52" s="36"/>
      <c r="B52" s="36"/>
      <c r="C52" s="48" t="str">
        <f aca="false">IF($B52="","",IFERROR(VLOOKUP($B52,资产台账!$B$4:$N$53,2,0)&amp;"","台账中未登记"))</f>
        <v/>
      </c>
      <c r="D52" s="43" t="str">
        <f aca="false">IF($B52="","",IFERROR(VLOOKUP($B52,资产台账!$B$4:$N$53,3,0)&amp;"",""))</f>
        <v/>
      </c>
      <c r="E52" s="43" t="str">
        <f aca="false">IF($B52="","",IFERROR(VLOOKUP($B52,资产台账!$B$4:$N$53,10,0)&amp;"",""))</f>
        <v/>
      </c>
      <c r="F52" s="49" t="str">
        <f aca="false">IF($B52="","",IFERROR(VLOOKUP($B52,资产台账!$B$4:$N$53,9,0),0))</f>
        <v/>
      </c>
      <c r="G52" s="45" t="n">
        <f aca="false">IF(OR($A52="",$W52=0),0,INDEX(仪器设备工时分配表!$F$6:$F$245,$W52))</f>
        <v>0</v>
      </c>
      <c r="H52" s="45" t="n">
        <f aca="false">IF(OR($A52="",$W52=0),0,INDEX(仪器设备工时分配表!$R$6:$R$245,$W52))</f>
        <v>0</v>
      </c>
      <c r="I52" s="28" t="str">
        <f aca="false">IF(OR($A52="",$G52=0),"",$H52/$G52)</f>
        <v/>
      </c>
      <c r="J52" s="27" t="str">
        <f aca="false">IF(OR($A52="",$G52=0),"",ROUND($F52*INDEX(仪器设备工时分配表!$H$6:$H$245,$W52)/$G52,2))</f>
        <v/>
      </c>
      <c r="K52" s="27" t="str">
        <f aca="false">IF(OR($A52="",$G52=0),"",ROUND($F52*INDEX(仪器设备工时分配表!$I$6:$I$245,$W52)/$G52,2))</f>
        <v/>
      </c>
      <c r="L52" s="27" t="str">
        <f aca="false">IF(OR($A52="",$G52=0),"",ROUND($F52*INDEX(仪器设备工时分配表!$J$6:$J$245,$W52)/$G52,2))</f>
        <v/>
      </c>
      <c r="M52" s="27" t="str">
        <f aca="false">IF(OR($A52="",$G52=0),"",ROUND($F52*INDEX(仪器设备工时分配表!$K$6:$K$245,$W52)/$G52,2))</f>
        <v/>
      </c>
      <c r="N52" s="27" t="str">
        <f aca="false">IF(OR($A52="",$G52=0),"",ROUND($F52*INDEX(仪器设备工时分配表!$L$6:$L$245,$W52)/$G52,2))</f>
        <v/>
      </c>
      <c r="O52" s="27" t="str">
        <f aca="false">IF(OR($A52="",$G52=0),"",ROUND($F52*INDEX(仪器设备工时分配表!$M$6:$M$245,$W52)/$G52,2))</f>
        <v/>
      </c>
      <c r="P52" s="27" t="str">
        <f aca="false">IF(OR($A52="",$G52=0),"",ROUND($F52*INDEX(仪器设备工时分配表!$N$6:$N$245,$W52)/$G52,2))</f>
        <v/>
      </c>
      <c r="Q52" s="27" t="str">
        <f aca="false">IF(OR($A52="",$G52=0),"",ROUND($F52*INDEX(仪器设备工时分配表!$O$6:$O$245,$W52)/$G52,2))</f>
        <v/>
      </c>
      <c r="R52" s="27" t="str">
        <f aca="false">IF(OR($A52="",$G52=0),"",ROUND($F52*INDEX(仪器设备工时分配表!$P$6:$P$245,$W52)/$G52,2))</f>
        <v/>
      </c>
      <c r="S52" s="27" t="str">
        <f aca="false">IF(OR($A52="",$G52=0),"",ROUND($F52*INDEX(仪器设备工时分配表!$Q$6:$Q$245,$W52)/$G52,2))</f>
        <v/>
      </c>
      <c r="T52" s="27" t="str">
        <f aca="false">IF($A52="","",ROUND(SUM(J52:S52),2))</f>
        <v/>
      </c>
      <c r="U52" s="27" t="str">
        <f aca="false">IF($A52="","",ROUND($F52-T52,2))</f>
        <v/>
      </c>
      <c r="V52" s="43" t="str">
        <f aca="false">IF($A52="","",IF($D52="无形资产","⚠ 无形资产请在无形资产费用分配表登记",IF($W52=0,"⚠ 工时分配表无此资产当月记录",IF($X52&gt;1,"⚠ 工时分配表存在重复行","√ 正常"))))</f>
        <v/>
      </c>
      <c r="W52" s="47" t="n">
        <f aca="false">IF($A52="",0,IFERROR(MATCH($A52&amp;"|"&amp;$B52,仪器设备工时分配表!$V$6:$V$245,0),0))</f>
        <v>0</v>
      </c>
      <c r="X52" s="47" t="n">
        <f aca="false">IF($A52="",0,COUNTIFS(仪器设备工时分配表!$A$6:$A$245,$A52,仪器设备工时分配表!$B$6:$B$245,$B52))</f>
        <v>0</v>
      </c>
    </row>
    <row r="53" customFormat="false" ht="18" hidden="false" customHeight="true" outlineLevel="0" collapsed="false">
      <c r="A53" s="36"/>
      <c r="B53" s="36"/>
      <c r="C53" s="48" t="str">
        <f aca="false">IF($B53="","",IFERROR(VLOOKUP($B53,资产台账!$B$4:$N$53,2,0)&amp;"","台账中未登记"))</f>
        <v/>
      </c>
      <c r="D53" s="43" t="str">
        <f aca="false">IF($B53="","",IFERROR(VLOOKUP($B53,资产台账!$B$4:$N$53,3,0)&amp;"",""))</f>
        <v/>
      </c>
      <c r="E53" s="43" t="str">
        <f aca="false">IF($B53="","",IFERROR(VLOOKUP($B53,资产台账!$B$4:$N$53,10,0)&amp;"",""))</f>
        <v/>
      </c>
      <c r="F53" s="49" t="str">
        <f aca="false">IF($B53="","",IFERROR(VLOOKUP($B53,资产台账!$B$4:$N$53,9,0),0))</f>
        <v/>
      </c>
      <c r="G53" s="45" t="n">
        <f aca="false">IF(OR($A53="",$W53=0),0,INDEX(仪器设备工时分配表!$F$6:$F$245,$W53))</f>
        <v>0</v>
      </c>
      <c r="H53" s="45" t="n">
        <f aca="false">IF(OR($A53="",$W53=0),0,INDEX(仪器设备工时分配表!$R$6:$R$245,$W53))</f>
        <v>0</v>
      </c>
      <c r="I53" s="28" t="str">
        <f aca="false">IF(OR($A53="",$G53=0),"",$H53/$G53)</f>
        <v/>
      </c>
      <c r="J53" s="27" t="str">
        <f aca="false">IF(OR($A53="",$G53=0),"",ROUND($F53*INDEX(仪器设备工时分配表!$H$6:$H$245,$W53)/$G53,2))</f>
        <v/>
      </c>
      <c r="K53" s="27" t="str">
        <f aca="false">IF(OR($A53="",$G53=0),"",ROUND($F53*INDEX(仪器设备工时分配表!$I$6:$I$245,$W53)/$G53,2))</f>
        <v/>
      </c>
      <c r="L53" s="27" t="str">
        <f aca="false">IF(OR($A53="",$G53=0),"",ROUND($F53*INDEX(仪器设备工时分配表!$J$6:$J$245,$W53)/$G53,2))</f>
        <v/>
      </c>
      <c r="M53" s="27" t="str">
        <f aca="false">IF(OR($A53="",$G53=0),"",ROUND($F53*INDEX(仪器设备工时分配表!$K$6:$K$245,$W53)/$G53,2))</f>
        <v/>
      </c>
      <c r="N53" s="27" t="str">
        <f aca="false">IF(OR($A53="",$G53=0),"",ROUND($F53*INDEX(仪器设备工时分配表!$L$6:$L$245,$W53)/$G53,2))</f>
        <v/>
      </c>
      <c r="O53" s="27" t="str">
        <f aca="false">IF(OR($A53="",$G53=0),"",ROUND($F53*INDEX(仪器设备工时分配表!$M$6:$M$245,$W53)/$G53,2))</f>
        <v/>
      </c>
      <c r="P53" s="27" t="str">
        <f aca="false">IF(OR($A53="",$G53=0),"",ROUND($F53*INDEX(仪器设备工时分配表!$N$6:$N$245,$W53)/$G53,2))</f>
        <v/>
      </c>
      <c r="Q53" s="27" t="str">
        <f aca="false">IF(OR($A53="",$G53=0),"",ROUND($F53*INDEX(仪器设备工时分配表!$O$6:$O$245,$W53)/$G53,2))</f>
        <v/>
      </c>
      <c r="R53" s="27" t="str">
        <f aca="false">IF(OR($A53="",$G53=0),"",ROUND($F53*INDEX(仪器设备工时分配表!$P$6:$P$245,$W53)/$G53,2))</f>
        <v/>
      </c>
      <c r="S53" s="27" t="str">
        <f aca="false">IF(OR($A53="",$G53=0),"",ROUND($F53*INDEX(仪器设备工时分配表!$Q$6:$Q$245,$W53)/$G53,2))</f>
        <v/>
      </c>
      <c r="T53" s="27" t="str">
        <f aca="false">IF($A53="","",ROUND(SUM(J53:S53),2))</f>
        <v/>
      </c>
      <c r="U53" s="27" t="str">
        <f aca="false">IF($A53="","",ROUND($F53-T53,2))</f>
        <v/>
      </c>
      <c r="V53" s="43" t="str">
        <f aca="false">IF($A53="","",IF($D53="无形资产","⚠ 无形资产请在无形资产费用分配表登记",IF($W53=0,"⚠ 工时分配表无此资产当月记录",IF($X53&gt;1,"⚠ 工时分配表存在重复行","√ 正常"))))</f>
        <v/>
      </c>
      <c r="W53" s="47" t="n">
        <f aca="false">IF($A53="",0,IFERROR(MATCH($A53&amp;"|"&amp;$B53,仪器设备工时分配表!$V$6:$V$245,0),0))</f>
        <v>0</v>
      </c>
      <c r="X53" s="47" t="n">
        <f aca="false">IF($A53="",0,COUNTIFS(仪器设备工时分配表!$A$6:$A$245,$A53,仪器设备工时分配表!$B$6:$B$245,$B53))</f>
        <v>0</v>
      </c>
    </row>
    <row r="54" customFormat="false" ht="18" hidden="false" customHeight="true" outlineLevel="0" collapsed="false">
      <c r="A54" s="36"/>
      <c r="B54" s="36"/>
      <c r="C54" s="48" t="str">
        <f aca="false">IF($B54="","",IFERROR(VLOOKUP($B54,资产台账!$B$4:$N$53,2,0)&amp;"","台账中未登记"))</f>
        <v/>
      </c>
      <c r="D54" s="43" t="str">
        <f aca="false">IF($B54="","",IFERROR(VLOOKUP($B54,资产台账!$B$4:$N$53,3,0)&amp;"",""))</f>
        <v/>
      </c>
      <c r="E54" s="43" t="str">
        <f aca="false">IF($B54="","",IFERROR(VLOOKUP($B54,资产台账!$B$4:$N$53,10,0)&amp;"",""))</f>
        <v/>
      </c>
      <c r="F54" s="49" t="str">
        <f aca="false">IF($B54="","",IFERROR(VLOOKUP($B54,资产台账!$B$4:$N$53,9,0),0))</f>
        <v/>
      </c>
      <c r="G54" s="45" t="n">
        <f aca="false">IF(OR($A54="",$W54=0),0,INDEX(仪器设备工时分配表!$F$6:$F$245,$W54))</f>
        <v>0</v>
      </c>
      <c r="H54" s="45" t="n">
        <f aca="false">IF(OR($A54="",$W54=0),0,INDEX(仪器设备工时分配表!$R$6:$R$245,$W54))</f>
        <v>0</v>
      </c>
      <c r="I54" s="28" t="str">
        <f aca="false">IF(OR($A54="",$G54=0),"",$H54/$G54)</f>
        <v/>
      </c>
      <c r="J54" s="27" t="str">
        <f aca="false">IF(OR($A54="",$G54=0),"",ROUND($F54*INDEX(仪器设备工时分配表!$H$6:$H$245,$W54)/$G54,2))</f>
        <v/>
      </c>
      <c r="K54" s="27" t="str">
        <f aca="false">IF(OR($A54="",$G54=0),"",ROUND($F54*INDEX(仪器设备工时分配表!$I$6:$I$245,$W54)/$G54,2))</f>
        <v/>
      </c>
      <c r="L54" s="27" t="str">
        <f aca="false">IF(OR($A54="",$G54=0),"",ROUND($F54*INDEX(仪器设备工时分配表!$J$6:$J$245,$W54)/$G54,2))</f>
        <v/>
      </c>
      <c r="M54" s="27" t="str">
        <f aca="false">IF(OR($A54="",$G54=0),"",ROUND($F54*INDEX(仪器设备工时分配表!$K$6:$K$245,$W54)/$G54,2))</f>
        <v/>
      </c>
      <c r="N54" s="27" t="str">
        <f aca="false">IF(OR($A54="",$G54=0),"",ROUND($F54*INDEX(仪器设备工时分配表!$L$6:$L$245,$W54)/$G54,2))</f>
        <v/>
      </c>
      <c r="O54" s="27" t="str">
        <f aca="false">IF(OR($A54="",$G54=0),"",ROUND($F54*INDEX(仪器设备工时分配表!$M$6:$M$245,$W54)/$G54,2))</f>
        <v/>
      </c>
      <c r="P54" s="27" t="str">
        <f aca="false">IF(OR($A54="",$G54=0),"",ROUND($F54*INDEX(仪器设备工时分配表!$N$6:$N$245,$W54)/$G54,2))</f>
        <v/>
      </c>
      <c r="Q54" s="27" t="str">
        <f aca="false">IF(OR($A54="",$G54=0),"",ROUND($F54*INDEX(仪器设备工时分配表!$O$6:$O$245,$W54)/$G54,2))</f>
        <v/>
      </c>
      <c r="R54" s="27" t="str">
        <f aca="false">IF(OR($A54="",$G54=0),"",ROUND($F54*INDEX(仪器设备工时分配表!$P$6:$P$245,$W54)/$G54,2))</f>
        <v/>
      </c>
      <c r="S54" s="27" t="str">
        <f aca="false">IF(OR($A54="",$G54=0),"",ROUND($F54*INDEX(仪器设备工时分配表!$Q$6:$Q$245,$W54)/$G54,2))</f>
        <v/>
      </c>
      <c r="T54" s="27" t="str">
        <f aca="false">IF($A54="","",ROUND(SUM(J54:S54),2))</f>
        <v/>
      </c>
      <c r="U54" s="27" t="str">
        <f aca="false">IF($A54="","",ROUND($F54-T54,2))</f>
        <v/>
      </c>
      <c r="V54" s="43" t="str">
        <f aca="false">IF($A54="","",IF($D54="无形资产","⚠ 无形资产请在无形资产费用分配表登记",IF($W54=0,"⚠ 工时分配表无此资产当月记录",IF($X54&gt;1,"⚠ 工时分配表存在重复行","√ 正常"))))</f>
        <v/>
      </c>
      <c r="W54" s="47" t="n">
        <f aca="false">IF($A54="",0,IFERROR(MATCH($A54&amp;"|"&amp;$B54,仪器设备工时分配表!$V$6:$V$245,0),0))</f>
        <v>0</v>
      </c>
      <c r="X54" s="47" t="n">
        <f aca="false">IF($A54="",0,COUNTIFS(仪器设备工时分配表!$A$6:$A$245,$A54,仪器设备工时分配表!$B$6:$B$245,$B54))</f>
        <v>0</v>
      </c>
    </row>
    <row r="55" customFormat="false" ht="18" hidden="false" customHeight="true" outlineLevel="0" collapsed="false">
      <c r="A55" s="36"/>
      <c r="B55" s="36"/>
      <c r="C55" s="48" t="str">
        <f aca="false">IF($B55="","",IFERROR(VLOOKUP($B55,资产台账!$B$4:$N$53,2,0)&amp;"","台账中未登记"))</f>
        <v/>
      </c>
      <c r="D55" s="43" t="str">
        <f aca="false">IF($B55="","",IFERROR(VLOOKUP($B55,资产台账!$B$4:$N$53,3,0)&amp;"",""))</f>
        <v/>
      </c>
      <c r="E55" s="43" t="str">
        <f aca="false">IF($B55="","",IFERROR(VLOOKUP($B55,资产台账!$B$4:$N$53,10,0)&amp;"",""))</f>
        <v/>
      </c>
      <c r="F55" s="49" t="str">
        <f aca="false">IF($B55="","",IFERROR(VLOOKUP($B55,资产台账!$B$4:$N$53,9,0),0))</f>
        <v/>
      </c>
      <c r="G55" s="45" t="n">
        <f aca="false">IF(OR($A55="",$W55=0),0,INDEX(仪器设备工时分配表!$F$6:$F$245,$W55))</f>
        <v>0</v>
      </c>
      <c r="H55" s="45" t="n">
        <f aca="false">IF(OR($A55="",$W55=0),0,INDEX(仪器设备工时分配表!$R$6:$R$245,$W55))</f>
        <v>0</v>
      </c>
      <c r="I55" s="28" t="str">
        <f aca="false">IF(OR($A55="",$G55=0),"",$H55/$G55)</f>
        <v/>
      </c>
      <c r="J55" s="27" t="str">
        <f aca="false">IF(OR($A55="",$G55=0),"",ROUND($F55*INDEX(仪器设备工时分配表!$H$6:$H$245,$W55)/$G55,2))</f>
        <v/>
      </c>
      <c r="K55" s="27" t="str">
        <f aca="false">IF(OR($A55="",$G55=0),"",ROUND($F55*INDEX(仪器设备工时分配表!$I$6:$I$245,$W55)/$G55,2))</f>
        <v/>
      </c>
      <c r="L55" s="27" t="str">
        <f aca="false">IF(OR($A55="",$G55=0),"",ROUND($F55*INDEX(仪器设备工时分配表!$J$6:$J$245,$W55)/$G55,2))</f>
        <v/>
      </c>
      <c r="M55" s="27" t="str">
        <f aca="false">IF(OR($A55="",$G55=0),"",ROUND($F55*INDEX(仪器设备工时分配表!$K$6:$K$245,$W55)/$G55,2))</f>
        <v/>
      </c>
      <c r="N55" s="27" t="str">
        <f aca="false">IF(OR($A55="",$G55=0),"",ROUND($F55*INDEX(仪器设备工时分配表!$L$6:$L$245,$W55)/$G55,2))</f>
        <v/>
      </c>
      <c r="O55" s="27" t="str">
        <f aca="false">IF(OR($A55="",$G55=0),"",ROUND($F55*INDEX(仪器设备工时分配表!$M$6:$M$245,$W55)/$G55,2))</f>
        <v/>
      </c>
      <c r="P55" s="27" t="str">
        <f aca="false">IF(OR($A55="",$G55=0),"",ROUND($F55*INDEX(仪器设备工时分配表!$N$6:$N$245,$W55)/$G55,2))</f>
        <v/>
      </c>
      <c r="Q55" s="27" t="str">
        <f aca="false">IF(OR($A55="",$G55=0),"",ROUND($F55*INDEX(仪器设备工时分配表!$O$6:$O$245,$W55)/$G55,2))</f>
        <v/>
      </c>
      <c r="R55" s="27" t="str">
        <f aca="false">IF(OR($A55="",$G55=0),"",ROUND($F55*INDEX(仪器设备工时分配表!$P$6:$P$245,$W55)/$G55,2))</f>
        <v/>
      </c>
      <c r="S55" s="27" t="str">
        <f aca="false">IF(OR($A55="",$G55=0),"",ROUND($F55*INDEX(仪器设备工时分配表!$Q$6:$Q$245,$W55)/$G55,2))</f>
        <v/>
      </c>
      <c r="T55" s="27" t="str">
        <f aca="false">IF($A55="","",ROUND(SUM(J55:S55),2))</f>
        <v/>
      </c>
      <c r="U55" s="27" t="str">
        <f aca="false">IF($A55="","",ROUND($F55-T55,2))</f>
        <v/>
      </c>
      <c r="V55" s="43" t="str">
        <f aca="false">IF($A55="","",IF($D55="无形资产","⚠ 无形资产请在无形资产费用分配表登记",IF($W55=0,"⚠ 工时分配表无此资产当月记录",IF($X55&gt;1,"⚠ 工时分配表存在重复行","√ 正常"))))</f>
        <v/>
      </c>
      <c r="W55" s="47" t="n">
        <f aca="false">IF($A55="",0,IFERROR(MATCH($A55&amp;"|"&amp;$B55,仪器设备工时分配表!$V$6:$V$245,0),0))</f>
        <v>0</v>
      </c>
      <c r="X55" s="47" t="n">
        <f aca="false">IF($A55="",0,COUNTIFS(仪器设备工时分配表!$A$6:$A$245,$A55,仪器设备工时分配表!$B$6:$B$245,$B55))</f>
        <v>0</v>
      </c>
    </row>
    <row r="56" customFormat="false" ht="18" hidden="false" customHeight="true" outlineLevel="0" collapsed="false">
      <c r="A56" s="36"/>
      <c r="B56" s="36"/>
      <c r="C56" s="48" t="str">
        <f aca="false">IF($B56="","",IFERROR(VLOOKUP($B56,资产台账!$B$4:$N$53,2,0)&amp;"","台账中未登记"))</f>
        <v/>
      </c>
      <c r="D56" s="43" t="str">
        <f aca="false">IF($B56="","",IFERROR(VLOOKUP($B56,资产台账!$B$4:$N$53,3,0)&amp;"",""))</f>
        <v/>
      </c>
      <c r="E56" s="43" t="str">
        <f aca="false">IF($B56="","",IFERROR(VLOOKUP($B56,资产台账!$B$4:$N$53,10,0)&amp;"",""))</f>
        <v/>
      </c>
      <c r="F56" s="49" t="str">
        <f aca="false">IF($B56="","",IFERROR(VLOOKUP($B56,资产台账!$B$4:$N$53,9,0),0))</f>
        <v/>
      </c>
      <c r="G56" s="45" t="n">
        <f aca="false">IF(OR($A56="",$W56=0),0,INDEX(仪器设备工时分配表!$F$6:$F$245,$W56))</f>
        <v>0</v>
      </c>
      <c r="H56" s="45" t="n">
        <f aca="false">IF(OR($A56="",$W56=0),0,INDEX(仪器设备工时分配表!$R$6:$R$245,$W56))</f>
        <v>0</v>
      </c>
      <c r="I56" s="28" t="str">
        <f aca="false">IF(OR($A56="",$G56=0),"",$H56/$G56)</f>
        <v/>
      </c>
      <c r="J56" s="27" t="str">
        <f aca="false">IF(OR($A56="",$G56=0),"",ROUND($F56*INDEX(仪器设备工时分配表!$H$6:$H$245,$W56)/$G56,2))</f>
        <v/>
      </c>
      <c r="K56" s="27" t="str">
        <f aca="false">IF(OR($A56="",$G56=0),"",ROUND($F56*INDEX(仪器设备工时分配表!$I$6:$I$245,$W56)/$G56,2))</f>
        <v/>
      </c>
      <c r="L56" s="27" t="str">
        <f aca="false">IF(OR($A56="",$G56=0),"",ROUND($F56*INDEX(仪器设备工时分配表!$J$6:$J$245,$W56)/$G56,2))</f>
        <v/>
      </c>
      <c r="M56" s="27" t="str">
        <f aca="false">IF(OR($A56="",$G56=0),"",ROUND($F56*INDEX(仪器设备工时分配表!$K$6:$K$245,$W56)/$G56,2))</f>
        <v/>
      </c>
      <c r="N56" s="27" t="str">
        <f aca="false">IF(OR($A56="",$G56=0),"",ROUND($F56*INDEX(仪器设备工时分配表!$L$6:$L$245,$W56)/$G56,2))</f>
        <v/>
      </c>
      <c r="O56" s="27" t="str">
        <f aca="false">IF(OR($A56="",$G56=0),"",ROUND($F56*INDEX(仪器设备工时分配表!$M$6:$M$245,$W56)/$G56,2))</f>
        <v/>
      </c>
      <c r="P56" s="27" t="str">
        <f aca="false">IF(OR($A56="",$G56=0),"",ROUND($F56*INDEX(仪器设备工时分配表!$N$6:$N$245,$W56)/$G56,2))</f>
        <v/>
      </c>
      <c r="Q56" s="27" t="str">
        <f aca="false">IF(OR($A56="",$G56=0),"",ROUND($F56*INDEX(仪器设备工时分配表!$O$6:$O$245,$W56)/$G56,2))</f>
        <v/>
      </c>
      <c r="R56" s="27" t="str">
        <f aca="false">IF(OR($A56="",$G56=0),"",ROUND($F56*INDEX(仪器设备工时分配表!$P$6:$P$245,$W56)/$G56,2))</f>
        <v/>
      </c>
      <c r="S56" s="27" t="str">
        <f aca="false">IF(OR($A56="",$G56=0),"",ROUND($F56*INDEX(仪器设备工时分配表!$Q$6:$Q$245,$W56)/$G56,2))</f>
        <v/>
      </c>
      <c r="T56" s="27" t="str">
        <f aca="false">IF($A56="","",ROUND(SUM(J56:S56),2))</f>
        <v/>
      </c>
      <c r="U56" s="27" t="str">
        <f aca="false">IF($A56="","",ROUND($F56-T56,2))</f>
        <v/>
      </c>
      <c r="V56" s="43" t="str">
        <f aca="false">IF($A56="","",IF($D56="无形资产","⚠ 无形资产请在无形资产费用分配表登记",IF($W56=0,"⚠ 工时分配表无此资产当月记录",IF($X56&gt;1,"⚠ 工时分配表存在重复行","√ 正常"))))</f>
        <v/>
      </c>
      <c r="W56" s="47" t="n">
        <f aca="false">IF($A56="",0,IFERROR(MATCH($A56&amp;"|"&amp;$B56,仪器设备工时分配表!$V$6:$V$245,0),0))</f>
        <v>0</v>
      </c>
      <c r="X56" s="47" t="n">
        <f aca="false">IF($A56="",0,COUNTIFS(仪器设备工时分配表!$A$6:$A$245,$A56,仪器设备工时分配表!$B$6:$B$245,$B56))</f>
        <v>0</v>
      </c>
    </row>
    <row r="57" customFormat="false" ht="18" hidden="false" customHeight="true" outlineLevel="0" collapsed="false">
      <c r="A57" s="36"/>
      <c r="B57" s="36"/>
      <c r="C57" s="48" t="str">
        <f aca="false">IF($B57="","",IFERROR(VLOOKUP($B57,资产台账!$B$4:$N$53,2,0)&amp;"","台账中未登记"))</f>
        <v/>
      </c>
      <c r="D57" s="43" t="str">
        <f aca="false">IF($B57="","",IFERROR(VLOOKUP($B57,资产台账!$B$4:$N$53,3,0)&amp;"",""))</f>
        <v/>
      </c>
      <c r="E57" s="43" t="str">
        <f aca="false">IF($B57="","",IFERROR(VLOOKUP($B57,资产台账!$B$4:$N$53,10,0)&amp;"",""))</f>
        <v/>
      </c>
      <c r="F57" s="49" t="str">
        <f aca="false">IF($B57="","",IFERROR(VLOOKUP($B57,资产台账!$B$4:$N$53,9,0),0))</f>
        <v/>
      </c>
      <c r="G57" s="45" t="n">
        <f aca="false">IF(OR($A57="",$W57=0),0,INDEX(仪器设备工时分配表!$F$6:$F$245,$W57))</f>
        <v>0</v>
      </c>
      <c r="H57" s="45" t="n">
        <f aca="false">IF(OR($A57="",$W57=0),0,INDEX(仪器设备工时分配表!$R$6:$R$245,$W57))</f>
        <v>0</v>
      </c>
      <c r="I57" s="28" t="str">
        <f aca="false">IF(OR($A57="",$G57=0),"",$H57/$G57)</f>
        <v/>
      </c>
      <c r="J57" s="27" t="str">
        <f aca="false">IF(OR($A57="",$G57=0),"",ROUND($F57*INDEX(仪器设备工时分配表!$H$6:$H$245,$W57)/$G57,2))</f>
        <v/>
      </c>
      <c r="K57" s="27" t="str">
        <f aca="false">IF(OR($A57="",$G57=0),"",ROUND($F57*INDEX(仪器设备工时分配表!$I$6:$I$245,$W57)/$G57,2))</f>
        <v/>
      </c>
      <c r="L57" s="27" t="str">
        <f aca="false">IF(OR($A57="",$G57=0),"",ROUND($F57*INDEX(仪器设备工时分配表!$J$6:$J$245,$W57)/$G57,2))</f>
        <v/>
      </c>
      <c r="M57" s="27" t="str">
        <f aca="false">IF(OR($A57="",$G57=0),"",ROUND($F57*INDEX(仪器设备工时分配表!$K$6:$K$245,$W57)/$G57,2))</f>
        <v/>
      </c>
      <c r="N57" s="27" t="str">
        <f aca="false">IF(OR($A57="",$G57=0),"",ROUND($F57*INDEX(仪器设备工时分配表!$L$6:$L$245,$W57)/$G57,2))</f>
        <v/>
      </c>
      <c r="O57" s="27" t="str">
        <f aca="false">IF(OR($A57="",$G57=0),"",ROUND($F57*INDEX(仪器设备工时分配表!$M$6:$M$245,$W57)/$G57,2))</f>
        <v/>
      </c>
      <c r="P57" s="27" t="str">
        <f aca="false">IF(OR($A57="",$G57=0),"",ROUND($F57*INDEX(仪器设备工时分配表!$N$6:$N$245,$W57)/$G57,2))</f>
        <v/>
      </c>
      <c r="Q57" s="27" t="str">
        <f aca="false">IF(OR($A57="",$G57=0),"",ROUND($F57*INDEX(仪器设备工时分配表!$O$6:$O$245,$W57)/$G57,2))</f>
        <v/>
      </c>
      <c r="R57" s="27" t="str">
        <f aca="false">IF(OR($A57="",$G57=0),"",ROUND($F57*INDEX(仪器设备工时分配表!$P$6:$P$245,$W57)/$G57,2))</f>
        <v/>
      </c>
      <c r="S57" s="27" t="str">
        <f aca="false">IF(OR($A57="",$G57=0),"",ROUND($F57*INDEX(仪器设备工时分配表!$Q$6:$Q$245,$W57)/$G57,2))</f>
        <v/>
      </c>
      <c r="T57" s="27" t="str">
        <f aca="false">IF($A57="","",ROUND(SUM(J57:S57),2))</f>
        <v/>
      </c>
      <c r="U57" s="27" t="str">
        <f aca="false">IF($A57="","",ROUND($F57-T57,2))</f>
        <v/>
      </c>
      <c r="V57" s="43" t="str">
        <f aca="false">IF($A57="","",IF($D57="无形资产","⚠ 无形资产请在无形资产费用分配表登记",IF($W57=0,"⚠ 工时分配表无此资产当月记录",IF($X57&gt;1,"⚠ 工时分配表存在重复行","√ 正常"))))</f>
        <v/>
      </c>
      <c r="W57" s="47" t="n">
        <f aca="false">IF($A57="",0,IFERROR(MATCH($A57&amp;"|"&amp;$B57,仪器设备工时分配表!$V$6:$V$245,0),0))</f>
        <v>0</v>
      </c>
      <c r="X57" s="47" t="n">
        <f aca="false">IF($A57="",0,COUNTIFS(仪器设备工时分配表!$A$6:$A$245,$A57,仪器设备工时分配表!$B$6:$B$245,$B57))</f>
        <v>0</v>
      </c>
    </row>
    <row r="58" customFormat="false" ht="18" hidden="false" customHeight="true" outlineLevel="0" collapsed="false">
      <c r="A58" s="36"/>
      <c r="B58" s="36"/>
      <c r="C58" s="48" t="str">
        <f aca="false">IF($B58="","",IFERROR(VLOOKUP($B58,资产台账!$B$4:$N$53,2,0)&amp;"","台账中未登记"))</f>
        <v/>
      </c>
      <c r="D58" s="43" t="str">
        <f aca="false">IF($B58="","",IFERROR(VLOOKUP($B58,资产台账!$B$4:$N$53,3,0)&amp;"",""))</f>
        <v/>
      </c>
      <c r="E58" s="43" t="str">
        <f aca="false">IF($B58="","",IFERROR(VLOOKUP($B58,资产台账!$B$4:$N$53,10,0)&amp;"",""))</f>
        <v/>
      </c>
      <c r="F58" s="49" t="str">
        <f aca="false">IF($B58="","",IFERROR(VLOOKUP($B58,资产台账!$B$4:$N$53,9,0),0))</f>
        <v/>
      </c>
      <c r="G58" s="45" t="n">
        <f aca="false">IF(OR($A58="",$W58=0),0,INDEX(仪器设备工时分配表!$F$6:$F$245,$W58))</f>
        <v>0</v>
      </c>
      <c r="H58" s="45" t="n">
        <f aca="false">IF(OR($A58="",$W58=0),0,INDEX(仪器设备工时分配表!$R$6:$R$245,$W58))</f>
        <v>0</v>
      </c>
      <c r="I58" s="28" t="str">
        <f aca="false">IF(OR($A58="",$G58=0),"",$H58/$G58)</f>
        <v/>
      </c>
      <c r="J58" s="27" t="str">
        <f aca="false">IF(OR($A58="",$G58=0),"",ROUND($F58*INDEX(仪器设备工时分配表!$H$6:$H$245,$W58)/$G58,2))</f>
        <v/>
      </c>
      <c r="K58" s="27" t="str">
        <f aca="false">IF(OR($A58="",$G58=0),"",ROUND($F58*INDEX(仪器设备工时分配表!$I$6:$I$245,$W58)/$G58,2))</f>
        <v/>
      </c>
      <c r="L58" s="27" t="str">
        <f aca="false">IF(OR($A58="",$G58=0),"",ROUND($F58*INDEX(仪器设备工时分配表!$J$6:$J$245,$W58)/$G58,2))</f>
        <v/>
      </c>
      <c r="M58" s="27" t="str">
        <f aca="false">IF(OR($A58="",$G58=0),"",ROUND($F58*INDEX(仪器设备工时分配表!$K$6:$K$245,$W58)/$G58,2))</f>
        <v/>
      </c>
      <c r="N58" s="27" t="str">
        <f aca="false">IF(OR($A58="",$G58=0),"",ROUND($F58*INDEX(仪器设备工时分配表!$L$6:$L$245,$W58)/$G58,2))</f>
        <v/>
      </c>
      <c r="O58" s="27" t="str">
        <f aca="false">IF(OR($A58="",$G58=0),"",ROUND($F58*INDEX(仪器设备工时分配表!$M$6:$M$245,$W58)/$G58,2))</f>
        <v/>
      </c>
      <c r="P58" s="27" t="str">
        <f aca="false">IF(OR($A58="",$G58=0),"",ROUND($F58*INDEX(仪器设备工时分配表!$N$6:$N$245,$W58)/$G58,2))</f>
        <v/>
      </c>
      <c r="Q58" s="27" t="str">
        <f aca="false">IF(OR($A58="",$G58=0),"",ROUND($F58*INDEX(仪器设备工时分配表!$O$6:$O$245,$W58)/$G58,2))</f>
        <v/>
      </c>
      <c r="R58" s="27" t="str">
        <f aca="false">IF(OR($A58="",$G58=0),"",ROUND($F58*INDEX(仪器设备工时分配表!$P$6:$P$245,$W58)/$G58,2))</f>
        <v/>
      </c>
      <c r="S58" s="27" t="str">
        <f aca="false">IF(OR($A58="",$G58=0),"",ROUND($F58*INDEX(仪器设备工时分配表!$Q$6:$Q$245,$W58)/$G58,2))</f>
        <v/>
      </c>
      <c r="T58" s="27" t="str">
        <f aca="false">IF($A58="","",ROUND(SUM(J58:S58),2))</f>
        <v/>
      </c>
      <c r="U58" s="27" t="str">
        <f aca="false">IF($A58="","",ROUND($F58-T58,2))</f>
        <v/>
      </c>
      <c r="V58" s="43" t="str">
        <f aca="false">IF($A58="","",IF($D58="无形资产","⚠ 无形资产请在无形资产费用分配表登记",IF($W58=0,"⚠ 工时分配表无此资产当月记录",IF($X58&gt;1,"⚠ 工时分配表存在重复行","√ 正常"))))</f>
        <v/>
      </c>
      <c r="W58" s="47" t="n">
        <f aca="false">IF($A58="",0,IFERROR(MATCH($A58&amp;"|"&amp;$B58,仪器设备工时分配表!$V$6:$V$245,0),0))</f>
        <v>0</v>
      </c>
      <c r="X58" s="47" t="n">
        <f aca="false">IF($A58="",0,COUNTIFS(仪器设备工时分配表!$A$6:$A$245,$A58,仪器设备工时分配表!$B$6:$B$245,$B58))</f>
        <v>0</v>
      </c>
    </row>
    <row r="59" customFormat="false" ht="18" hidden="false" customHeight="true" outlineLevel="0" collapsed="false">
      <c r="A59" s="36"/>
      <c r="B59" s="36"/>
      <c r="C59" s="48" t="str">
        <f aca="false">IF($B59="","",IFERROR(VLOOKUP($B59,资产台账!$B$4:$N$53,2,0)&amp;"","台账中未登记"))</f>
        <v/>
      </c>
      <c r="D59" s="43" t="str">
        <f aca="false">IF($B59="","",IFERROR(VLOOKUP($B59,资产台账!$B$4:$N$53,3,0)&amp;"",""))</f>
        <v/>
      </c>
      <c r="E59" s="43" t="str">
        <f aca="false">IF($B59="","",IFERROR(VLOOKUP($B59,资产台账!$B$4:$N$53,10,0)&amp;"",""))</f>
        <v/>
      </c>
      <c r="F59" s="49" t="str">
        <f aca="false">IF($B59="","",IFERROR(VLOOKUP($B59,资产台账!$B$4:$N$53,9,0),0))</f>
        <v/>
      </c>
      <c r="G59" s="45" t="n">
        <f aca="false">IF(OR($A59="",$W59=0),0,INDEX(仪器设备工时分配表!$F$6:$F$245,$W59))</f>
        <v>0</v>
      </c>
      <c r="H59" s="45" t="n">
        <f aca="false">IF(OR($A59="",$W59=0),0,INDEX(仪器设备工时分配表!$R$6:$R$245,$W59))</f>
        <v>0</v>
      </c>
      <c r="I59" s="28" t="str">
        <f aca="false">IF(OR($A59="",$G59=0),"",$H59/$G59)</f>
        <v/>
      </c>
      <c r="J59" s="27" t="str">
        <f aca="false">IF(OR($A59="",$G59=0),"",ROUND($F59*INDEX(仪器设备工时分配表!$H$6:$H$245,$W59)/$G59,2))</f>
        <v/>
      </c>
      <c r="K59" s="27" t="str">
        <f aca="false">IF(OR($A59="",$G59=0),"",ROUND($F59*INDEX(仪器设备工时分配表!$I$6:$I$245,$W59)/$G59,2))</f>
        <v/>
      </c>
      <c r="L59" s="27" t="str">
        <f aca="false">IF(OR($A59="",$G59=0),"",ROUND($F59*INDEX(仪器设备工时分配表!$J$6:$J$245,$W59)/$G59,2))</f>
        <v/>
      </c>
      <c r="M59" s="27" t="str">
        <f aca="false">IF(OR($A59="",$G59=0),"",ROUND($F59*INDEX(仪器设备工时分配表!$K$6:$K$245,$W59)/$G59,2))</f>
        <v/>
      </c>
      <c r="N59" s="27" t="str">
        <f aca="false">IF(OR($A59="",$G59=0),"",ROUND($F59*INDEX(仪器设备工时分配表!$L$6:$L$245,$W59)/$G59,2))</f>
        <v/>
      </c>
      <c r="O59" s="27" t="str">
        <f aca="false">IF(OR($A59="",$G59=0),"",ROUND($F59*INDEX(仪器设备工时分配表!$M$6:$M$245,$W59)/$G59,2))</f>
        <v/>
      </c>
      <c r="P59" s="27" t="str">
        <f aca="false">IF(OR($A59="",$G59=0),"",ROUND($F59*INDEX(仪器设备工时分配表!$N$6:$N$245,$W59)/$G59,2))</f>
        <v/>
      </c>
      <c r="Q59" s="27" t="str">
        <f aca="false">IF(OR($A59="",$G59=0),"",ROUND($F59*INDEX(仪器设备工时分配表!$O$6:$O$245,$W59)/$G59,2))</f>
        <v/>
      </c>
      <c r="R59" s="27" t="str">
        <f aca="false">IF(OR($A59="",$G59=0),"",ROUND($F59*INDEX(仪器设备工时分配表!$P$6:$P$245,$W59)/$G59,2))</f>
        <v/>
      </c>
      <c r="S59" s="27" t="str">
        <f aca="false">IF(OR($A59="",$G59=0),"",ROUND($F59*INDEX(仪器设备工时分配表!$Q$6:$Q$245,$W59)/$G59,2))</f>
        <v/>
      </c>
      <c r="T59" s="27" t="str">
        <f aca="false">IF($A59="","",ROUND(SUM(J59:S59),2))</f>
        <v/>
      </c>
      <c r="U59" s="27" t="str">
        <f aca="false">IF($A59="","",ROUND($F59-T59,2))</f>
        <v/>
      </c>
      <c r="V59" s="43" t="str">
        <f aca="false">IF($A59="","",IF($D59="无形资产","⚠ 无形资产请在无形资产费用分配表登记",IF($W59=0,"⚠ 工时分配表无此资产当月记录",IF($X59&gt;1,"⚠ 工时分配表存在重复行","√ 正常"))))</f>
        <v/>
      </c>
      <c r="W59" s="47" t="n">
        <f aca="false">IF($A59="",0,IFERROR(MATCH($A59&amp;"|"&amp;$B59,仪器设备工时分配表!$V$6:$V$245,0),0))</f>
        <v>0</v>
      </c>
      <c r="X59" s="47" t="n">
        <f aca="false">IF($A59="",0,COUNTIFS(仪器设备工时分配表!$A$6:$A$245,$A59,仪器设备工时分配表!$B$6:$B$245,$B59))</f>
        <v>0</v>
      </c>
    </row>
    <row r="60" customFormat="false" ht="18" hidden="false" customHeight="true" outlineLevel="0" collapsed="false">
      <c r="A60" s="36"/>
      <c r="B60" s="36"/>
      <c r="C60" s="48" t="str">
        <f aca="false">IF($B60="","",IFERROR(VLOOKUP($B60,资产台账!$B$4:$N$53,2,0)&amp;"","台账中未登记"))</f>
        <v/>
      </c>
      <c r="D60" s="43" t="str">
        <f aca="false">IF($B60="","",IFERROR(VLOOKUP($B60,资产台账!$B$4:$N$53,3,0)&amp;"",""))</f>
        <v/>
      </c>
      <c r="E60" s="43" t="str">
        <f aca="false">IF($B60="","",IFERROR(VLOOKUP($B60,资产台账!$B$4:$N$53,10,0)&amp;"",""))</f>
        <v/>
      </c>
      <c r="F60" s="49" t="str">
        <f aca="false">IF($B60="","",IFERROR(VLOOKUP($B60,资产台账!$B$4:$N$53,9,0),0))</f>
        <v/>
      </c>
      <c r="G60" s="45" t="n">
        <f aca="false">IF(OR($A60="",$W60=0),0,INDEX(仪器设备工时分配表!$F$6:$F$245,$W60))</f>
        <v>0</v>
      </c>
      <c r="H60" s="45" t="n">
        <f aca="false">IF(OR($A60="",$W60=0),0,INDEX(仪器设备工时分配表!$R$6:$R$245,$W60))</f>
        <v>0</v>
      </c>
      <c r="I60" s="28" t="str">
        <f aca="false">IF(OR($A60="",$G60=0),"",$H60/$G60)</f>
        <v/>
      </c>
      <c r="J60" s="27" t="str">
        <f aca="false">IF(OR($A60="",$G60=0),"",ROUND($F60*INDEX(仪器设备工时分配表!$H$6:$H$245,$W60)/$G60,2))</f>
        <v/>
      </c>
      <c r="K60" s="27" t="str">
        <f aca="false">IF(OR($A60="",$G60=0),"",ROUND($F60*INDEX(仪器设备工时分配表!$I$6:$I$245,$W60)/$G60,2))</f>
        <v/>
      </c>
      <c r="L60" s="27" t="str">
        <f aca="false">IF(OR($A60="",$G60=0),"",ROUND($F60*INDEX(仪器设备工时分配表!$J$6:$J$245,$W60)/$G60,2))</f>
        <v/>
      </c>
      <c r="M60" s="27" t="str">
        <f aca="false">IF(OR($A60="",$G60=0),"",ROUND($F60*INDEX(仪器设备工时分配表!$K$6:$K$245,$W60)/$G60,2))</f>
        <v/>
      </c>
      <c r="N60" s="27" t="str">
        <f aca="false">IF(OR($A60="",$G60=0),"",ROUND($F60*INDEX(仪器设备工时分配表!$L$6:$L$245,$W60)/$G60,2))</f>
        <v/>
      </c>
      <c r="O60" s="27" t="str">
        <f aca="false">IF(OR($A60="",$G60=0),"",ROUND($F60*INDEX(仪器设备工时分配表!$M$6:$M$245,$W60)/$G60,2))</f>
        <v/>
      </c>
      <c r="P60" s="27" t="str">
        <f aca="false">IF(OR($A60="",$G60=0),"",ROUND($F60*INDEX(仪器设备工时分配表!$N$6:$N$245,$W60)/$G60,2))</f>
        <v/>
      </c>
      <c r="Q60" s="27" t="str">
        <f aca="false">IF(OR($A60="",$G60=0),"",ROUND($F60*INDEX(仪器设备工时分配表!$O$6:$O$245,$W60)/$G60,2))</f>
        <v/>
      </c>
      <c r="R60" s="27" t="str">
        <f aca="false">IF(OR($A60="",$G60=0),"",ROUND($F60*INDEX(仪器设备工时分配表!$P$6:$P$245,$W60)/$G60,2))</f>
        <v/>
      </c>
      <c r="S60" s="27" t="str">
        <f aca="false">IF(OR($A60="",$G60=0),"",ROUND($F60*INDEX(仪器设备工时分配表!$Q$6:$Q$245,$W60)/$G60,2))</f>
        <v/>
      </c>
      <c r="T60" s="27" t="str">
        <f aca="false">IF($A60="","",ROUND(SUM(J60:S60),2))</f>
        <v/>
      </c>
      <c r="U60" s="27" t="str">
        <f aca="false">IF($A60="","",ROUND($F60-T60,2))</f>
        <v/>
      </c>
      <c r="V60" s="43" t="str">
        <f aca="false">IF($A60="","",IF($D60="无形资产","⚠ 无形资产请在无形资产费用分配表登记",IF($W60=0,"⚠ 工时分配表无此资产当月记录",IF($X60&gt;1,"⚠ 工时分配表存在重复行","√ 正常"))))</f>
        <v/>
      </c>
      <c r="W60" s="47" t="n">
        <f aca="false">IF($A60="",0,IFERROR(MATCH($A60&amp;"|"&amp;$B60,仪器设备工时分配表!$V$6:$V$245,0),0))</f>
        <v>0</v>
      </c>
      <c r="X60" s="47" t="n">
        <f aca="false">IF($A60="",0,COUNTIFS(仪器设备工时分配表!$A$6:$A$245,$A60,仪器设备工时分配表!$B$6:$B$245,$B60))</f>
        <v>0</v>
      </c>
    </row>
    <row r="61" customFormat="false" ht="18" hidden="false" customHeight="true" outlineLevel="0" collapsed="false">
      <c r="A61" s="36"/>
      <c r="B61" s="36"/>
      <c r="C61" s="48" t="str">
        <f aca="false">IF($B61="","",IFERROR(VLOOKUP($B61,资产台账!$B$4:$N$53,2,0)&amp;"","台账中未登记"))</f>
        <v/>
      </c>
      <c r="D61" s="43" t="str">
        <f aca="false">IF($B61="","",IFERROR(VLOOKUP($B61,资产台账!$B$4:$N$53,3,0)&amp;"",""))</f>
        <v/>
      </c>
      <c r="E61" s="43" t="str">
        <f aca="false">IF($B61="","",IFERROR(VLOOKUP($B61,资产台账!$B$4:$N$53,10,0)&amp;"",""))</f>
        <v/>
      </c>
      <c r="F61" s="49" t="str">
        <f aca="false">IF($B61="","",IFERROR(VLOOKUP($B61,资产台账!$B$4:$N$53,9,0),0))</f>
        <v/>
      </c>
      <c r="G61" s="45" t="n">
        <f aca="false">IF(OR($A61="",$W61=0),0,INDEX(仪器设备工时分配表!$F$6:$F$245,$W61))</f>
        <v>0</v>
      </c>
      <c r="H61" s="45" t="n">
        <f aca="false">IF(OR($A61="",$W61=0),0,INDEX(仪器设备工时分配表!$R$6:$R$245,$W61))</f>
        <v>0</v>
      </c>
      <c r="I61" s="28" t="str">
        <f aca="false">IF(OR($A61="",$G61=0),"",$H61/$G61)</f>
        <v/>
      </c>
      <c r="J61" s="27" t="str">
        <f aca="false">IF(OR($A61="",$G61=0),"",ROUND($F61*INDEX(仪器设备工时分配表!$H$6:$H$245,$W61)/$G61,2))</f>
        <v/>
      </c>
      <c r="K61" s="27" t="str">
        <f aca="false">IF(OR($A61="",$G61=0),"",ROUND($F61*INDEX(仪器设备工时分配表!$I$6:$I$245,$W61)/$G61,2))</f>
        <v/>
      </c>
      <c r="L61" s="27" t="str">
        <f aca="false">IF(OR($A61="",$G61=0),"",ROUND($F61*INDEX(仪器设备工时分配表!$J$6:$J$245,$W61)/$G61,2))</f>
        <v/>
      </c>
      <c r="M61" s="27" t="str">
        <f aca="false">IF(OR($A61="",$G61=0),"",ROUND($F61*INDEX(仪器设备工时分配表!$K$6:$K$245,$W61)/$G61,2))</f>
        <v/>
      </c>
      <c r="N61" s="27" t="str">
        <f aca="false">IF(OR($A61="",$G61=0),"",ROUND($F61*INDEX(仪器设备工时分配表!$L$6:$L$245,$W61)/$G61,2))</f>
        <v/>
      </c>
      <c r="O61" s="27" t="str">
        <f aca="false">IF(OR($A61="",$G61=0),"",ROUND($F61*INDEX(仪器设备工时分配表!$M$6:$M$245,$W61)/$G61,2))</f>
        <v/>
      </c>
      <c r="P61" s="27" t="str">
        <f aca="false">IF(OR($A61="",$G61=0),"",ROUND($F61*INDEX(仪器设备工时分配表!$N$6:$N$245,$W61)/$G61,2))</f>
        <v/>
      </c>
      <c r="Q61" s="27" t="str">
        <f aca="false">IF(OR($A61="",$G61=0),"",ROUND($F61*INDEX(仪器设备工时分配表!$O$6:$O$245,$W61)/$G61,2))</f>
        <v/>
      </c>
      <c r="R61" s="27" t="str">
        <f aca="false">IF(OR($A61="",$G61=0),"",ROUND($F61*INDEX(仪器设备工时分配表!$P$6:$P$245,$W61)/$G61,2))</f>
        <v/>
      </c>
      <c r="S61" s="27" t="str">
        <f aca="false">IF(OR($A61="",$G61=0),"",ROUND($F61*INDEX(仪器设备工时分配表!$Q$6:$Q$245,$W61)/$G61,2))</f>
        <v/>
      </c>
      <c r="T61" s="27" t="str">
        <f aca="false">IF($A61="","",ROUND(SUM(J61:S61),2))</f>
        <v/>
      </c>
      <c r="U61" s="27" t="str">
        <f aca="false">IF($A61="","",ROUND($F61-T61,2))</f>
        <v/>
      </c>
      <c r="V61" s="43" t="str">
        <f aca="false">IF($A61="","",IF($D61="无形资产","⚠ 无形资产请在无形资产费用分配表登记",IF($W61=0,"⚠ 工时分配表无此资产当月记录",IF($X61&gt;1,"⚠ 工时分配表存在重复行","√ 正常"))))</f>
        <v/>
      </c>
      <c r="W61" s="47" t="n">
        <f aca="false">IF($A61="",0,IFERROR(MATCH($A61&amp;"|"&amp;$B61,仪器设备工时分配表!$V$6:$V$245,0),0))</f>
        <v>0</v>
      </c>
      <c r="X61" s="47" t="n">
        <f aca="false">IF($A61="",0,COUNTIFS(仪器设备工时分配表!$A$6:$A$245,$A61,仪器设备工时分配表!$B$6:$B$245,$B61))</f>
        <v>0</v>
      </c>
    </row>
    <row r="62" customFormat="false" ht="18" hidden="false" customHeight="true" outlineLevel="0" collapsed="false">
      <c r="A62" s="36"/>
      <c r="B62" s="36"/>
      <c r="C62" s="48" t="str">
        <f aca="false">IF($B62="","",IFERROR(VLOOKUP($B62,资产台账!$B$4:$N$53,2,0)&amp;"","台账中未登记"))</f>
        <v/>
      </c>
      <c r="D62" s="43" t="str">
        <f aca="false">IF($B62="","",IFERROR(VLOOKUP($B62,资产台账!$B$4:$N$53,3,0)&amp;"",""))</f>
        <v/>
      </c>
      <c r="E62" s="43" t="str">
        <f aca="false">IF($B62="","",IFERROR(VLOOKUP($B62,资产台账!$B$4:$N$53,10,0)&amp;"",""))</f>
        <v/>
      </c>
      <c r="F62" s="49" t="str">
        <f aca="false">IF($B62="","",IFERROR(VLOOKUP($B62,资产台账!$B$4:$N$53,9,0),0))</f>
        <v/>
      </c>
      <c r="G62" s="45" t="n">
        <f aca="false">IF(OR($A62="",$W62=0),0,INDEX(仪器设备工时分配表!$F$6:$F$245,$W62))</f>
        <v>0</v>
      </c>
      <c r="H62" s="45" t="n">
        <f aca="false">IF(OR($A62="",$W62=0),0,INDEX(仪器设备工时分配表!$R$6:$R$245,$W62))</f>
        <v>0</v>
      </c>
      <c r="I62" s="28" t="str">
        <f aca="false">IF(OR($A62="",$G62=0),"",$H62/$G62)</f>
        <v/>
      </c>
      <c r="J62" s="27" t="str">
        <f aca="false">IF(OR($A62="",$G62=0),"",ROUND($F62*INDEX(仪器设备工时分配表!$H$6:$H$245,$W62)/$G62,2))</f>
        <v/>
      </c>
      <c r="K62" s="27" t="str">
        <f aca="false">IF(OR($A62="",$G62=0),"",ROUND($F62*INDEX(仪器设备工时分配表!$I$6:$I$245,$W62)/$G62,2))</f>
        <v/>
      </c>
      <c r="L62" s="27" t="str">
        <f aca="false">IF(OR($A62="",$G62=0),"",ROUND($F62*INDEX(仪器设备工时分配表!$J$6:$J$245,$W62)/$G62,2))</f>
        <v/>
      </c>
      <c r="M62" s="27" t="str">
        <f aca="false">IF(OR($A62="",$G62=0),"",ROUND($F62*INDEX(仪器设备工时分配表!$K$6:$K$245,$W62)/$G62,2))</f>
        <v/>
      </c>
      <c r="N62" s="27" t="str">
        <f aca="false">IF(OR($A62="",$G62=0),"",ROUND($F62*INDEX(仪器设备工时分配表!$L$6:$L$245,$W62)/$G62,2))</f>
        <v/>
      </c>
      <c r="O62" s="27" t="str">
        <f aca="false">IF(OR($A62="",$G62=0),"",ROUND($F62*INDEX(仪器设备工时分配表!$M$6:$M$245,$W62)/$G62,2))</f>
        <v/>
      </c>
      <c r="P62" s="27" t="str">
        <f aca="false">IF(OR($A62="",$G62=0),"",ROUND($F62*INDEX(仪器设备工时分配表!$N$6:$N$245,$W62)/$G62,2))</f>
        <v/>
      </c>
      <c r="Q62" s="27" t="str">
        <f aca="false">IF(OR($A62="",$G62=0),"",ROUND($F62*INDEX(仪器设备工时分配表!$O$6:$O$245,$W62)/$G62,2))</f>
        <v/>
      </c>
      <c r="R62" s="27" t="str">
        <f aca="false">IF(OR($A62="",$G62=0),"",ROUND($F62*INDEX(仪器设备工时分配表!$P$6:$P$245,$W62)/$G62,2))</f>
        <v/>
      </c>
      <c r="S62" s="27" t="str">
        <f aca="false">IF(OR($A62="",$G62=0),"",ROUND($F62*INDEX(仪器设备工时分配表!$Q$6:$Q$245,$W62)/$G62,2))</f>
        <v/>
      </c>
      <c r="T62" s="27" t="str">
        <f aca="false">IF($A62="","",ROUND(SUM(J62:S62),2))</f>
        <v/>
      </c>
      <c r="U62" s="27" t="str">
        <f aca="false">IF($A62="","",ROUND($F62-T62,2))</f>
        <v/>
      </c>
      <c r="V62" s="43" t="str">
        <f aca="false">IF($A62="","",IF($D62="无形资产","⚠ 无形资产请在无形资产费用分配表登记",IF($W62=0,"⚠ 工时分配表无此资产当月记录",IF($X62&gt;1,"⚠ 工时分配表存在重复行","√ 正常"))))</f>
        <v/>
      </c>
      <c r="W62" s="47" t="n">
        <f aca="false">IF($A62="",0,IFERROR(MATCH($A62&amp;"|"&amp;$B62,仪器设备工时分配表!$V$6:$V$245,0),0))</f>
        <v>0</v>
      </c>
      <c r="X62" s="47" t="n">
        <f aca="false">IF($A62="",0,COUNTIFS(仪器设备工时分配表!$A$6:$A$245,$A62,仪器设备工时分配表!$B$6:$B$245,$B62))</f>
        <v>0</v>
      </c>
    </row>
    <row r="63" customFormat="false" ht="18" hidden="false" customHeight="true" outlineLevel="0" collapsed="false">
      <c r="A63" s="36"/>
      <c r="B63" s="36"/>
      <c r="C63" s="48" t="str">
        <f aca="false">IF($B63="","",IFERROR(VLOOKUP($B63,资产台账!$B$4:$N$53,2,0)&amp;"","台账中未登记"))</f>
        <v/>
      </c>
      <c r="D63" s="43" t="str">
        <f aca="false">IF($B63="","",IFERROR(VLOOKUP($B63,资产台账!$B$4:$N$53,3,0)&amp;"",""))</f>
        <v/>
      </c>
      <c r="E63" s="43" t="str">
        <f aca="false">IF($B63="","",IFERROR(VLOOKUP($B63,资产台账!$B$4:$N$53,10,0)&amp;"",""))</f>
        <v/>
      </c>
      <c r="F63" s="49" t="str">
        <f aca="false">IF($B63="","",IFERROR(VLOOKUP($B63,资产台账!$B$4:$N$53,9,0),0))</f>
        <v/>
      </c>
      <c r="G63" s="45" t="n">
        <f aca="false">IF(OR($A63="",$W63=0),0,INDEX(仪器设备工时分配表!$F$6:$F$245,$W63))</f>
        <v>0</v>
      </c>
      <c r="H63" s="45" t="n">
        <f aca="false">IF(OR($A63="",$W63=0),0,INDEX(仪器设备工时分配表!$R$6:$R$245,$W63))</f>
        <v>0</v>
      </c>
      <c r="I63" s="28" t="str">
        <f aca="false">IF(OR($A63="",$G63=0),"",$H63/$G63)</f>
        <v/>
      </c>
      <c r="J63" s="27" t="str">
        <f aca="false">IF(OR($A63="",$G63=0),"",ROUND($F63*INDEX(仪器设备工时分配表!$H$6:$H$245,$W63)/$G63,2))</f>
        <v/>
      </c>
      <c r="K63" s="27" t="str">
        <f aca="false">IF(OR($A63="",$G63=0),"",ROUND($F63*INDEX(仪器设备工时分配表!$I$6:$I$245,$W63)/$G63,2))</f>
        <v/>
      </c>
      <c r="L63" s="27" t="str">
        <f aca="false">IF(OR($A63="",$G63=0),"",ROUND($F63*INDEX(仪器设备工时分配表!$J$6:$J$245,$W63)/$G63,2))</f>
        <v/>
      </c>
      <c r="M63" s="27" t="str">
        <f aca="false">IF(OR($A63="",$G63=0),"",ROUND($F63*INDEX(仪器设备工时分配表!$K$6:$K$245,$W63)/$G63,2))</f>
        <v/>
      </c>
      <c r="N63" s="27" t="str">
        <f aca="false">IF(OR($A63="",$G63=0),"",ROUND($F63*INDEX(仪器设备工时分配表!$L$6:$L$245,$W63)/$G63,2))</f>
        <v/>
      </c>
      <c r="O63" s="27" t="str">
        <f aca="false">IF(OR($A63="",$G63=0),"",ROUND($F63*INDEX(仪器设备工时分配表!$M$6:$M$245,$W63)/$G63,2))</f>
        <v/>
      </c>
      <c r="P63" s="27" t="str">
        <f aca="false">IF(OR($A63="",$G63=0),"",ROUND($F63*INDEX(仪器设备工时分配表!$N$6:$N$245,$W63)/$G63,2))</f>
        <v/>
      </c>
      <c r="Q63" s="27" t="str">
        <f aca="false">IF(OR($A63="",$G63=0),"",ROUND($F63*INDEX(仪器设备工时分配表!$O$6:$O$245,$W63)/$G63,2))</f>
        <v/>
      </c>
      <c r="R63" s="27" t="str">
        <f aca="false">IF(OR($A63="",$G63=0),"",ROUND($F63*INDEX(仪器设备工时分配表!$P$6:$P$245,$W63)/$G63,2))</f>
        <v/>
      </c>
      <c r="S63" s="27" t="str">
        <f aca="false">IF(OR($A63="",$G63=0),"",ROUND($F63*INDEX(仪器设备工时分配表!$Q$6:$Q$245,$W63)/$G63,2))</f>
        <v/>
      </c>
      <c r="T63" s="27" t="str">
        <f aca="false">IF($A63="","",ROUND(SUM(J63:S63),2))</f>
        <v/>
      </c>
      <c r="U63" s="27" t="str">
        <f aca="false">IF($A63="","",ROUND($F63-T63,2))</f>
        <v/>
      </c>
      <c r="V63" s="43" t="str">
        <f aca="false">IF($A63="","",IF($D63="无形资产","⚠ 无形资产请在无形资产费用分配表登记",IF($W63=0,"⚠ 工时分配表无此资产当月记录",IF($X63&gt;1,"⚠ 工时分配表存在重复行","√ 正常"))))</f>
        <v/>
      </c>
      <c r="W63" s="47" t="n">
        <f aca="false">IF($A63="",0,IFERROR(MATCH($A63&amp;"|"&amp;$B63,仪器设备工时分配表!$V$6:$V$245,0),0))</f>
        <v>0</v>
      </c>
      <c r="X63" s="47" t="n">
        <f aca="false">IF($A63="",0,COUNTIFS(仪器设备工时分配表!$A$6:$A$245,$A63,仪器设备工时分配表!$B$6:$B$245,$B63))</f>
        <v>0</v>
      </c>
    </row>
    <row r="64" customFormat="false" ht="18" hidden="false" customHeight="true" outlineLevel="0" collapsed="false">
      <c r="A64" s="36"/>
      <c r="B64" s="36"/>
      <c r="C64" s="48" t="str">
        <f aca="false">IF($B64="","",IFERROR(VLOOKUP($B64,资产台账!$B$4:$N$53,2,0)&amp;"","台账中未登记"))</f>
        <v/>
      </c>
      <c r="D64" s="43" t="str">
        <f aca="false">IF($B64="","",IFERROR(VLOOKUP($B64,资产台账!$B$4:$N$53,3,0)&amp;"",""))</f>
        <v/>
      </c>
      <c r="E64" s="43" t="str">
        <f aca="false">IF($B64="","",IFERROR(VLOOKUP($B64,资产台账!$B$4:$N$53,10,0)&amp;"",""))</f>
        <v/>
      </c>
      <c r="F64" s="49" t="str">
        <f aca="false">IF($B64="","",IFERROR(VLOOKUP($B64,资产台账!$B$4:$N$53,9,0),0))</f>
        <v/>
      </c>
      <c r="G64" s="45" t="n">
        <f aca="false">IF(OR($A64="",$W64=0),0,INDEX(仪器设备工时分配表!$F$6:$F$245,$W64))</f>
        <v>0</v>
      </c>
      <c r="H64" s="45" t="n">
        <f aca="false">IF(OR($A64="",$W64=0),0,INDEX(仪器设备工时分配表!$R$6:$R$245,$W64))</f>
        <v>0</v>
      </c>
      <c r="I64" s="28" t="str">
        <f aca="false">IF(OR($A64="",$G64=0),"",$H64/$G64)</f>
        <v/>
      </c>
      <c r="J64" s="27" t="str">
        <f aca="false">IF(OR($A64="",$G64=0),"",ROUND($F64*INDEX(仪器设备工时分配表!$H$6:$H$245,$W64)/$G64,2))</f>
        <v/>
      </c>
      <c r="K64" s="27" t="str">
        <f aca="false">IF(OR($A64="",$G64=0),"",ROUND($F64*INDEX(仪器设备工时分配表!$I$6:$I$245,$W64)/$G64,2))</f>
        <v/>
      </c>
      <c r="L64" s="27" t="str">
        <f aca="false">IF(OR($A64="",$G64=0),"",ROUND($F64*INDEX(仪器设备工时分配表!$J$6:$J$245,$W64)/$G64,2))</f>
        <v/>
      </c>
      <c r="M64" s="27" t="str">
        <f aca="false">IF(OR($A64="",$G64=0),"",ROUND($F64*INDEX(仪器设备工时分配表!$K$6:$K$245,$W64)/$G64,2))</f>
        <v/>
      </c>
      <c r="N64" s="27" t="str">
        <f aca="false">IF(OR($A64="",$G64=0),"",ROUND($F64*INDEX(仪器设备工时分配表!$L$6:$L$245,$W64)/$G64,2))</f>
        <v/>
      </c>
      <c r="O64" s="27" t="str">
        <f aca="false">IF(OR($A64="",$G64=0),"",ROUND($F64*INDEX(仪器设备工时分配表!$M$6:$M$245,$W64)/$G64,2))</f>
        <v/>
      </c>
      <c r="P64" s="27" t="str">
        <f aca="false">IF(OR($A64="",$G64=0),"",ROUND($F64*INDEX(仪器设备工时分配表!$N$6:$N$245,$W64)/$G64,2))</f>
        <v/>
      </c>
      <c r="Q64" s="27" t="str">
        <f aca="false">IF(OR($A64="",$G64=0),"",ROUND($F64*INDEX(仪器设备工时分配表!$O$6:$O$245,$W64)/$G64,2))</f>
        <v/>
      </c>
      <c r="R64" s="27" t="str">
        <f aca="false">IF(OR($A64="",$G64=0),"",ROUND($F64*INDEX(仪器设备工时分配表!$P$6:$P$245,$W64)/$G64,2))</f>
        <v/>
      </c>
      <c r="S64" s="27" t="str">
        <f aca="false">IF(OR($A64="",$G64=0),"",ROUND($F64*INDEX(仪器设备工时分配表!$Q$6:$Q$245,$W64)/$G64,2))</f>
        <v/>
      </c>
      <c r="T64" s="27" t="str">
        <f aca="false">IF($A64="","",ROUND(SUM(J64:S64),2))</f>
        <v/>
      </c>
      <c r="U64" s="27" t="str">
        <f aca="false">IF($A64="","",ROUND($F64-T64,2))</f>
        <v/>
      </c>
      <c r="V64" s="43" t="str">
        <f aca="false">IF($A64="","",IF($D64="无形资产","⚠ 无形资产请在无形资产费用分配表登记",IF($W64=0,"⚠ 工时分配表无此资产当月记录",IF($X64&gt;1,"⚠ 工时分配表存在重复行","√ 正常"))))</f>
        <v/>
      </c>
      <c r="W64" s="47" t="n">
        <f aca="false">IF($A64="",0,IFERROR(MATCH($A64&amp;"|"&amp;$B64,仪器设备工时分配表!$V$6:$V$245,0),0))</f>
        <v>0</v>
      </c>
      <c r="X64" s="47" t="n">
        <f aca="false">IF($A64="",0,COUNTIFS(仪器设备工时分配表!$A$6:$A$245,$A64,仪器设备工时分配表!$B$6:$B$245,$B64))</f>
        <v>0</v>
      </c>
    </row>
    <row r="65" customFormat="false" ht="18" hidden="false" customHeight="true" outlineLevel="0" collapsed="false">
      <c r="A65" s="36"/>
      <c r="B65" s="36"/>
      <c r="C65" s="48" t="str">
        <f aca="false">IF($B65="","",IFERROR(VLOOKUP($B65,资产台账!$B$4:$N$53,2,0)&amp;"","台账中未登记"))</f>
        <v/>
      </c>
      <c r="D65" s="43" t="str">
        <f aca="false">IF($B65="","",IFERROR(VLOOKUP($B65,资产台账!$B$4:$N$53,3,0)&amp;"",""))</f>
        <v/>
      </c>
      <c r="E65" s="43" t="str">
        <f aca="false">IF($B65="","",IFERROR(VLOOKUP($B65,资产台账!$B$4:$N$53,10,0)&amp;"",""))</f>
        <v/>
      </c>
      <c r="F65" s="49" t="str">
        <f aca="false">IF($B65="","",IFERROR(VLOOKUP($B65,资产台账!$B$4:$N$53,9,0),0))</f>
        <v/>
      </c>
      <c r="G65" s="45" t="n">
        <f aca="false">IF(OR($A65="",$W65=0),0,INDEX(仪器设备工时分配表!$F$6:$F$245,$W65))</f>
        <v>0</v>
      </c>
      <c r="H65" s="45" t="n">
        <f aca="false">IF(OR($A65="",$W65=0),0,INDEX(仪器设备工时分配表!$R$6:$R$245,$W65))</f>
        <v>0</v>
      </c>
      <c r="I65" s="28" t="str">
        <f aca="false">IF(OR($A65="",$G65=0),"",$H65/$G65)</f>
        <v/>
      </c>
      <c r="J65" s="27" t="str">
        <f aca="false">IF(OR($A65="",$G65=0),"",ROUND($F65*INDEX(仪器设备工时分配表!$H$6:$H$245,$W65)/$G65,2))</f>
        <v/>
      </c>
      <c r="K65" s="27" t="str">
        <f aca="false">IF(OR($A65="",$G65=0),"",ROUND($F65*INDEX(仪器设备工时分配表!$I$6:$I$245,$W65)/$G65,2))</f>
        <v/>
      </c>
      <c r="L65" s="27" t="str">
        <f aca="false">IF(OR($A65="",$G65=0),"",ROUND($F65*INDEX(仪器设备工时分配表!$J$6:$J$245,$W65)/$G65,2))</f>
        <v/>
      </c>
      <c r="M65" s="27" t="str">
        <f aca="false">IF(OR($A65="",$G65=0),"",ROUND($F65*INDEX(仪器设备工时分配表!$K$6:$K$245,$W65)/$G65,2))</f>
        <v/>
      </c>
      <c r="N65" s="27" t="str">
        <f aca="false">IF(OR($A65="",$G65=0),"",ROUND($F65*INDEX(仪器设备工时分配表!$L$6:$L$245,$W65)/$G65,2))</f>
        <v/>
      </c>
      <c r="O65" s="27" t="str">
        <f aca="false">IF(OR($A65="",$G65=0),"",ROUND($F65*INDEX(仪器设备工时分配表!$M$6:$M$245,$W65)/$G65,2))</f>
        <v/>
      </c>
      <c r="P65" s="27" t="str">
        <f aca="false">IF(OR($A65="",$G65=0),"",ROUND($F65*INDEX(仪器设备工时分配表!$N$6:$N$245,$W65)/$G65,2))</f>
        <v/>
      </c>
      <c r="Q65" s="27" t="str">
        <f aca="false">IF(OR($A65="",$G65=0),"",ROUND($F65*INDEX(仪器设备工时分配表!$O$6:$O$245,$W65)/$G65,2))</f>
        <v/>
      </c>
      <c r="R65" s="27" t="str">
        <f aca="false">IF(OR($A65="",$G65=0),"",ROUND($F65*INDEX(仪器设备工时分配表!$P$6:$P$245,$W65)/$G65,2))</f>
        <v/>
      </c>
      <c r="S65" s="27" t="str">
        <f aca="false">IF(OR($A65="",$G65=0),"",ROUND($F65*INDEX(仪器设备工时分配表!$Q$6:$Q$245,$W65)/$G65,2))</f>
        <v/>
      </c>
      <c r="T65" s="27" t="str">
        <f aca="false">IF($A65="","",ROUND(SUM(J65:S65),2))</f>
        <v/>
      </c>
      <c r="U65" s="27" t="str">
        <f aca="false">IF($A65="","",ROUND($F65-T65,2))</f>
        <v/>
      </c>
      <c r="V65" s="43" t="str">
        <f aca="false">IF($A65="","",IF($D65="无形资产","⚠ 无形资产请在无形资产费用分配表登记",IF($W65=0,"⚠ 工时分配表无此资产当月记录",IF($X65&gt;1,"⚠ 工时分配表存在重复行","√ 正常"))))</f>
        <v/>
      </c>
      <c r="W65" s="47" t="n">
        <f aca="false">IF($A65="",0,IFERROR(MATCH($A65&amp;"|"&amp;$B65,仪器设备工时分配表!$V$6:$V$245,0),0))</f>
        <v>0</v>
      </c>
      <c r="X65" s="47" t="n">
        <f aca="false">IF($A65="",0,COUNTIFS(仪器设备工时分配表!$A$6:$A$245,$A65,仪器设备工时分配表!$B$6:$B$245,$B65))</f>
        <v>0</v>
      </c>
    </row>
    <row r="66" customFormat="false" ht="18" hidden="false" customHeight="true" outlineLevel="0" collapsed="false">
      <c r="A66" s="36"/>
      <c r="B66" s="36"/>
      <c r="C66" s="48" t="str">
        <f aca="false">IF($B66="","",IFERROR(VLOOKUP($B66,资产台账!$B$4:$N$53,2,0)&amp;"","台账中未登记"))</f>
        <v/>
      </c>
      <c r="D66" s="43" t="str">
        <f aca="false">IF($B66="","",IFERROR(VLOOKUP($B66,资产台账!$B$4:$N$53,3,0)&amp;"",""))</f>
        <v/>
      </c>
      <c r="E66" s="43" t="str">
        <f aca="false">IF($B66="","",IFERROR(VLOOKUP($B66,资产台账!$B$4:$N$53,10,0)&amp;"",""))</f>
        <v/>
      </c>
      <c r="F66" s="49" t="str">
        <f aca="false">IF($B66="","",IFERROR(VLOOKUP($B66,资产台账!$B$4:$N$53,9,0),0))</f>
        <v/>
      </c>
      <c r="G66" s="45" t="n">
        <f aca="false">IF(OR($A66="",$W66=0),0,INDEX(仪器设备工时分配表!$F$6:$F$245,$W66))</f>
        <v>0</v>
      </c>
      <c r="H66" s="45" t="n">
        <f aca="false">IF(OR($A66="",$W66=0),0,INDEX(仪器设备工时分配表!$R$6:$R$245,$W66))</f>
        <v>0</v>
      </c>
      <c r="I66" s="28" t="str">
        <f aca="false">IF(OR($A66="",$G66=0),"",$H66/$G66)</f>
        <v/>
      </c>
      <c r="J66" s="27" t="str">
        <f aca="false">IF(OR($A66="",$G66=0),"",ROUND($F66*INDEX(仪器设备工时分配表!$H$6:$H$245,$W66)/$G66,2))</f>
        <v/>
      </c>
      <c r="K66" s="27" t="str">
        <f aca="false">IF(OR($A66="",$G66=0),"",ROUND($F66*INDEX(仪器设备工时分配表!$I$6:$I$245,$W66)/$G66,2))</f>
        <v/>
      </c>
      <c r="L66" s="27" t="str">
        <f aca="false">IF(OR($A66="",$G66=0),"",ROUND($F66*INDEX(仪器设备工时分配表!$J$6:$J$245,$W66)/$G66,2))</f>
        <v/>
      </c>
      <c r="M66" s="27" t="str">
        <f aca="false">IF(OR($A66="",$G66=0),"",ROUND($F66*INDEX(仪器设备工时分配表!$K$6:$K$245,$W66)/$G66,2))</f>
        <v/>
      </c>
      <c r="N66" s="27" t="str">
        <f aca="false">IF(OR($A66="",$G66=0),"",ROUND($F66*INDEX(仪器设备工时分配表!$L$6:$L$245,$W66)/$G66,2))</f>
        <v/>
      </c>
      <c r="O66" s="27" t="str">
        <f aca="false">IF(OR($A66="",$G66=0),"",ROUND($F66*INDEX(仪器设备工时分配表!$M$6:$M$245,$W66)/$G66,2))</f>
        <v/>
      </c>
      <c r="P66" s="27" t="str">
        <f aca="false">IF(OR($A66="",$G66=0),"",ROUND($F66*INDEX(仪器设备工时分配表!$N$6:$N$245,$W66)/$G66,2))</f>
        <v/>
      </c>
      <c r="Q66" s="27" t="str">
        <f aca="false">IF(OR($A66="",$G66=0),"",ROUND($F66*INDEX(仪器设备工时分配表!$O$6:$O$245,$W66)/$G66,2))</f>
        <v/>
      </c>
      <c r="R66" s="27" t="str">
        <f aca="false">IF(OR($A66="",$G66=0),"",ROUND($F66*INDEX(仪器设备工时分配表!$P$6:$P$245,$W66)/$G66,2))</f>
        <v/>
      </c>
      <c r="S66" s="27" t="str">
        <f aca="false">IF(OR($A66="",$G66=0),"",ROUND($F66*INDEX(仪器设备工时分配表!$Q$6:$Q$245,$W66)/$G66,2))</f>
        <v/>
      </c>
      <c r="T66" s="27" t="str">
        <f aca="false">IF($A66="","",ROUND(SUM(J66:S66),2))</f>
        <v/>
      </c>
      <c r="U66" s="27" t="str">
        <f aca="false">IF($A66="","",ROUND($F66-T66,2))</f>
        <v/>
      </c>
      <c r="V66" s="43" t="str">
        <f aca="false">IF($A66="","",IF($D66="无形资产","⚠ 无形资产请在无形资产费用分配表登记",IF($W66=0,"⚠ 工时分配表无此资产当月记录",IF($X66&gt;1,"⚠ 工时分配表存在重复行","√ 正常"))))</f>
        <v/>
      </c>
      <c r="W66" s="47" t="n">
        <f aca="false">IF($A66="",0,IFERROR(MATCH($A66&amp;"|"&amp;$B66,仪器设备工时分配表!$V$6:$V$245,0),0))</f>
        <v>0</v>
      </c>
      <c r="X66" s="47" t="n">
        <f aca="false">IF($A66="",0,COUNTIFS(仪器设备工时分配表!$A$6:$A$245,$A66,仪器设备工时分配表!$B$6:$B$245,$B66))</f>
        <v>0</v>
      </c>
    </row>
    <row r="67" customFormat="false" ht="18" hidden="false" customHeight="true" outlineLevel="0" collapsed="false">
      <c r="A67" s="36"/>
      <c r="B67" s="36"/>
      <c r="C67" s="48" t="str">
        <f aca="false">IF($B67="","",IFERROR(VLOOKUP($B67,资产台账!$B$4:$N$53,2,0)&amp;"","台账中未登记"))</f>
        <v/>
      </c>
      <c r="D67" s="43" t="str">
        <f aca="false">IF($B67="","",IFERROR(VLOOKUP($B67,资产台账!$B$4:$N$53,3,0)&amp;"",""))</f>
        <v/>
      </c>
      <c r="E67" s="43" t="str">
        <f aca="false">IF($B67="","",IFERROR(VLOOKUP($B67,资产台账!$B$4:$N$53,10,0)&amp;"",""))</f>
        <v/>
      </c>
      <c r="F67" s="49" t="str">
        <f aca="false">IF($B67="","",IFERROR(VLOOKUP($B67,资产台账!$B$4:$N$53,9,0),0))</f>
        <v/>
      </c>
      <c r="G67" s="45" t="n">
        <f aca="false">IF(OR($A67="",$W67=0),0,INDEX(仪器设备工时分配表!$F$6:$F$245,$W67))</f>
        <v>0</v>
      </c>
      <c r="H67" s="45" t="n">
        <f aca="false">IF(OR($A67="",$W67=0),0,INDEX(仪器设备工时分配表!$R$6:$R$245,$W67))</f>
        <v>0</v>
      </c>
      <c r="I67" s="28" t="str">
        <f aca="false">IF(OR($A67="",$G67=0),"",$H67/$G67)</f>
        <v/>
      </c>
      <c r="J67" s="27" t="str">
        <f aca="false">IF(OR($A67="",$G67=0),"",ROUND($F67*INDEX(仪器设备工时分配表!$H$6:$H$245,$W67)/$G67,2))</f>
        <v/>
      </c>
      <c r="K67" s="27" t="str">
        <f aca="false">IF(OR($A67="",$G67=0),"",ROUND($F67*INDEX(仪器设备工时分配表!$I$6:$I$245,$W67)/$G67,2))</f>
        <v/>
      </c>
      <c r="L67" s="27" t="str">
        <f aca="false">IF(OR($A67="",$G67=0),"",ROUND($F67*INDEX(仪器设备工时分配表!$J$6:$J$245,$W67)/$G67,2))</f>
        <v/>
      </c>
      <c r="M67" s="27" t="str">
        <f aca="false">IF(OR($A67="",$G67=0),"",ROUND($F67*INDEX(仪器设备工时分配表!$K$6:$K$245,$W67)/$G67,2))</f>
        <v/>
      </c>
      <c r="N67" s="27" t="str">
        <f aca="false">IF(OR($A67="",$G67=0),"",ROUND($F67*INDEX(仪器设备工时分配表!$L$6:$L$245,$W67)/$G67,2))</f>
        <v/>
      </c>
      <c r="O67" s="27" t="str">
        <f aca="false">IF(OR($A67="",$G67=0),"",ROUND($F67*INDEX(仪器设备工时分配表!$M$6:$M$245,$W67)/$G67,2))</f>
        <v/>
      </c>
      <c r="P67" s="27" t="str">
        <f aca="false">IF(OR($A67="",$G67=0),"",ROUND($F67*INDEX(仪器设备工时分配表!$N$6:$N$245,$W67)/$G67,2))</f>
        <v/>
      </c>
      <c r="Q67" s="27" t="str">
        <f aca="false">IF(OR($A67="",$G67=0),"",ROUND($F67*INDEX(仪器设备工时分配表!$O$6:$O$245,$W67)/$G67,2))</f>
        <v/>
      </c>
      <c r="R67" s="27" t="str">
        <f aca="false">IF(OR($A67="",$G67=0),"",ROUND($F67*INDEX(仪器设备工时分配表!$P$6:$P$245,$W67)/$G67,2))</f>
        <v/>
      </c>
      <c r="S67" s="27" t="str">
        <f aca="false">IF(OR($A67="",$G67=0),"",ROUND($F67*INDEX(仪器设备工时分配表!$Q$6:$Q$245,$W67)/$G67,2))</f>
        <v/>
      </c>
      <c r="T67" s="27" t="str">
        <f aca="false">IF($A67="","",ROUND(SUM(J67:S67),2))</f>
        <v/>
      </c>
      <c r="U67" s="27" t="str">
        <f aca="false">IF($A67="","",ROUND($F67-T67,2))</f>
        <v/>
      </c>
      <c r="V67" s="43" t="str">
        <f aca="false">IF($A67="","",IF($D67="无形资产","⚠ 无形资产请在无形资产费用分配表登记",IF($W67=0,"⚠ 工时分配表无此资产当月记录",IF($X67&gt;1,"⚠ 工时分配表存在重复行","√ 正常"))))</f>
        <v/>
      </c>
      <c r="W67" s="47" t="n">
        <f aca="false">IF($A67="",0,IFERROR(MATCH($A67&amp;"|"&amp;$B67,仪器设备工时分配表!$V$6:$V$245,0),0))</f>
        <v>0</v>
      </c>
      <c r="X67" s="47" t="n">
        <f aca="false">IF($A67="",0,COUNTIFS(仪器设备工时分配表!$A$6:$A$245,$A67,仪器设备工时分配表!$B$6:$B$245,$B67))</f>
        <v>0</v>
      </c>
    </row>
    <row r="68" customFormat="false" ht="18" hidden="false" customHeight="true" outlineLevel="0" collapsed="false">
      <c r="A68" s="36"/>
      <c r="B68" s="36"/>
      <c r="C68" s="48" t="str">
        <f aca="false">IF($B68="","",IFERROR(VLOOKUP($B68,资产台账!$B$4:$N$53,2,0)&amp;"","台账中未登记"))</f>
        <v/>
      </c>
      <c r="D68" s="43" t="str">
        <f aca="false">IF($B68="","",IFERROR(VLOOKUP($B68,资产台账!$B$4:$N$53,3,0)&amp;"",""))</f>
        <v/>
      </c>
      <c r="E68" s="43" t="str">
        <f aca="false">IF($B68="","",IFERROR(VLOOKUP($B68,资产台账!$B$4:$N$53,10,0)&amp;"",""))</f>
        <v/>
      </c>
      <c r="F68" s="49" t="str">
        <f aca="false">IF($B68="","",IFERROR(VLOOKUP($B68,资产台账!$B$4:$N$53,9,0),0))</f>
        <v/>
      </c>
      <c r="G68" s="45" t="n">
        <f aca="false">IF(OR($A68="",$W68=0),0,INDEX(仪器设备工时分配表!$F$6:$F$245,$W68))</f>
        <v>0</v>
      </c>
      <c r="H68" s="45" t="n">
        <f aca="false">IF(OR($A68="",$W68=0),0,INDEX(仪器设备工时分配表!$R$6:$R$245,$W68))</f>
        <v>0</v>
      </c>
      <c r="I68" s="28" t="str">
        <f aca="false">IF(OR($A68="",$G68=0),"",$H68/$G68)</f>
        <v/>
      </c>
      <c r="J68" s="27" t="str">
        <f aca="false">IF(OR($A68="",$G68=0),"",ROUND($F68*INDEX(仪器设备工时分配表!$H$6:$H$245,$W68)/$G68,2))</f>
        <v/>
      </c>
      <c r="K68" s="27" t="str">
        <f aca="false">IF(OR($A68="",$G68=0),"",ROUND($F68*INDEX(仪器设备工时分配表!$I$6:$I$245,$W68)/$G68,2))</f>
        <v/>
      </c>
      <c r="L68" s="27" t="str">
        <f aca="false">IF(OR($A68="",$G68=0),"",ROUND($F68*INDEX(仪器设备工时分配表!$J$6:$J$245,$W68)/$G68,2))</f>
        <v/>
      </c>
      <c r="M68" s="27" t="str">
        <f aca="false">IF(OR($A68="",$G68=0),"",ROUND($F68*INDEX(仪器设备工时分配表!$K$6:$K$245,$W68)/$G68,2))</f>
        <v/>
      </c>
      <c r="N68" s="27" t="str">
        <f aca="false">IF(OR($A68="",$G68=0),"",ROUND($F68*INDEX(仪器设备工时分配表!$L$6:$L$245,$W68)/$G68,2))</f>
        <v/>
      </c>
      <c r="O68" s="27" t="str">
        <f aca="false">IF(OR($A68="",$G68=0),"",ROUND($F68*INDEX(仪器设备工时分配表!$M$6:$M$245,$W68)/$G68,2))</f>
        <v/>
      </c>
      <c r="P68" s="27" t="str">
        <f aca="false">IF(OR($A68="",$G68=0),"",ROUND($F68*INDEX(仪器设备工时分配表!$N$6:$N$245,$W68)/$G68,2))</f>
        <v/>
      </c>
      <c r="Q68" s="27" t="str">
        <f aca="false">IF(OR($A68="",$G68=0),"",ROUND($F68*INDEX(仪器设备工时分配表!$O$6:$O$245,$W68)/$G68,2))</f>
        <v/>
      </c>
      <c r="R68" s="27" t="str">
        <f aca="false">IF(OR($A68="",$G68=0),"",ROUND($F68*INDEX(仪器设备工时分配表!$P$6:$P$245,$W68)/$G68,2))</f>
        <v/>
      </c>
      <c r="S68" s="27" t="str">
        <f aca="false">IF(OR($A68="",$G68=0),"",ROUND($F68*INDEX(仪器设备工时分配表!$Q$6:$Q$245,$W68)/$G68,2))</f>
        <v/>
      </c>
      <c r="T68" s="27" t="str">
        <f aca="false">IF($A68="","",ROUND(SUM(J68:S68),2))</f>
        <v/>
      </c>
      <c r="U68" s="27" t="str">
        <f aca="false">IF($A68="","",ROUND($F68-T68,2))</f>
        <v/>
      </c>
      <c r="V68" s="43" t="str">
        <f aca="false">IF($A68="","",IF($D68="无形资产","⚠ 无形资产请在无形资产费用分配表登记",IF($W68=0,"⚠ 工时分配表无此资产当月记录",IF($X68&gt;1,"⚠ 工时分配表存在重复行","√ 正常"))))</f>
        <v/>
      </c>
      <c r="W68" s="47" t="n">
        <f aca="false">IF($A68="",0,IFERROR(MATCH($A68&amp;"|"&amp;$B68,仪器设备工时分配表!$V$6:$V$245,0),0))</f>
        <v>0</v>
      </c>
      <c r="X68" s="47" t="n">
        <f aca="false">IF($A68="",0,COUNTIFS(仪器设备工时分配表!$A$6:$A$245,$A68,仪器设备工时分配表!$B$6:$B$245,$B68))</f>
        <v>0</v>
      </c>
    </row>
    <row r="69" customFormat="false" ht="18" hidden="false" customHeight="true" outlineLevel="0" collapsed="false">
      <c r="A69" s="36"/>
      <c r="B69" s="36"/>
      <c r="C69" s="48" t="str">
        <f aca="false">IF($B69="","",IFERROR(VLOOKUP($B69,资产台账!$B$4:$N$53,2,0)&amp;"","台账中未登记"))</f>
        <v/>
      </c>
      <c r="D69" s="43" t="str">
        <f aca="false">IF($B69="","",IFERROR(VLOOKUP($B69,资产台账!$B$4:$N$53,3,0)&amp;"",""))</f>
        <v/>
      </c>
      <c r="E69" s="43" t="str">
        <f aca="false">IF($B69="","",IFERROR(VLOOKUP($B69,资产台账!$B$4:$N$53,10,0)&amp;"",""))</f>
        <v/>
      </c>
      <c r="F69" s="49" t="str">
        <f aca="false">IF($B69="","",IFERROR(VLOOKUP($B69,资产台账!$B$4:$N$53,9,0),0))</f>
        <v/>
      </c>
      <c r="G69" s="45" t="n">
        <f aca="false">IF(OR($A69="",$W69=0),0,INDEX(仪器设备工时分配表!$F$6:$F$245,$W69))</f>
        <v>0</v>
      </c>
      <c r="H69" s="45" t="n">
        <f aca="false">IF(OR($A69="",$W69=0),0,INDEX(仪器设备工时分配表!$R$6:$R$245,$W69))</f>
        <v>0</v>
      </c>
      <c r="I69" s="28" t="str">
        <f aca="false">IF(OR($A69="",$G69=0),"",$H69/$G69)</f>
        <v/>
      </c>
      <c r="J69" s="27" t="str">
        <f aca="false">IF(OR($A69="",$G69=0),"",ROUND($F69*INDEX(仪器设备工时分配表!$H$6:$H$245,$W69)/$G69,2))</f>
        <v/>
      </c>
      <c r="K69" s="27" t="str">
        <f aca="false">IF(OR($A69="",$G69=0),"",ROUND($F69*INDEX(仪器设备工时分配表!$I$6:$I$245,$W69)/$G69,2))</f>
        <v/>
      </c>
      <c r="L69" s="27" t="str">
        <f aca="false">IF(OR($A69="",$G69=0),"",ROUND($F69*INDEX(仪器设备工时分配表!$J$6:$J$245,$W69)/$G69,2))</f>
        <v/>
      </c>
      <c r="M69" s="27" t="str">
        <f aca="false">IF(OR($A69="",$G69=0),"",ROUND($F69*INDEX(仪器设备工时分配表!$K$6:$K$245,$W69)/$G69,2))</f>
        <v/>
      </c>
      <c r="N69" s="27" t="str">
        <f aca="false">IF(OR($A69="",$G69=0),"",ROUND($F69*INDEX(仪器设备工时分配表!$L$6:$L$245,$W69)/$G69,2))</f>
        <v/>
      </c>
      <c r="O69" s="27" t="str">
        <f aca="false">IF(OR($A69="",$G69=0),"",ROUND($F69*INDEX(仪器设备工时分配表!$M$6:$M$245,$W69)/$G69,2))</f>
        <v/>
      </c>
      <c r="P69" s="27" t="str">
        <f aca="false">IF(OR($A69="",$G69=0),"",ROUND($F69*INDEX(仪器设备工时分配表!$N$6:$N$245,$W69)/$G69,2))</f>
        <v/>
      </c>
      <c r="Q69" s="27" t="str">
        <f aca="false">IF(OR($A69="",$G69=0),"",ROUND($F69*INDEX(仪器设备工时分配表!$O$6:$O$245,$W69)/$G69,2))</f>
        <v/>
      </c>
      <c r="R69" s="27" t="str">
        <f aca="false">IF(OR($A69="",$G69=0),"",ROUND($F69*INDEX(仪器设备工时分配表!$P$6:$P$245,$W69)/$G69,2))</f>
        <v/>
      </c>
      <c r="S69" s="27" t="str">
        <f aca="false">IF(OR($A69="",$G69=0),"",ROUND($F69*INDEX(仪器设备工时分配表!$Q$6:$Q$245,$W69)/$G69,2))</f>
        <v/>
      </c>
      <c r="T69" s="27" t="str">
        <f aca="false">IF($A69="","",ROUND(SUM(J69:S69),2))</f>
        <v/>
      </c>
      <c r="U69" s="27" t="str">
        <f aca="false">IF($A69="","",ROUND($F69-T69,2))</f>
        <v/>
      </c>
      <c r="V69" s="43" t="str">
        <f aca="false">IF($A69="","",IF($D69="无形资产","⚠ 无形资产请在无形资产费用分配表登记",IF($W69=0,"⚠ 工时分配表无此资产当月记录",IF($X69&gt;1,"⚠ 工时分配表存在重复行","√ 正常"))))</f>
        <v/>
      </c>
      <c r="W69" s="47" t="n">
        <f aca="false">IF($A69="",0,IFERROR(MATCH($A69&amp;"|"&amp;$B69,仪器设备工时分配表!$V$6:$V$245,0),0))</f>
        <v>0</v>
      </c>
      <c r="X69" s="47" t="n">
        <f aca="false">IF($A69="",0,COUNTIFS(仪器设备工时分配表!$A$6:$A$245,$A69,仪器设备工时分配表!$B$6:$B$245,$B69))</f>
        <v>0</v>
      </c>
    </row>
    <row r="70" customFormat="false" ht="18" hidden="false" customHeight="true" outlineLevel="0" collapsed="false">
      <c r="A70" s="36"/>
      <c r="B70" s="36"/>
      <c r="C70" s="48" t="str">
        <f aca="false">IF($B70="","",IFERROR(VLOOKUP($B70,资产台账!$B$4:$N$53,2,0)&amp;"","台账中未登记"))</f>
        <v/>
      </c>
      <c r="D70" s="43" t="str">
        <f aca="false">IF($B70="","",IFERROR(VLOOKUP($B70,资产台账!$B$4:$N$53,3,0)&amp;"",""))</f>
        <v/>
      </c>
      <c r="E70" s="43" t="str">
        <f aca="false">IF($B70="","",IFERROR(VLOOKUP($B70,资产台账!$B$4:$N$53,10,0)&amp;"",""))</f>
        <v/>
      </c>
      <c r="F70" s="49" t="str">
        <f aca="false">IF($B70="","",IFERROR(VLOOKUP($B70,资产台账!$B$4:$N$53,9,0),0))</f>
        <v/>
      </c>
      <c r="G70" s="45" t="n">
        <f aca="false">IF(OR($A70="",$W70=0),0,INDEX(仪器设备工时分配表!$F$6:$F$245,$W70))</f>
        <v>0</v>
      </c>
      <c r="H70" s="45" t="n">
        <f aca="false">IF(OR($A70="",$W70=0),0,INDEX(仪器设备工时分配表!$R$6:$R$245,$W70))</f>
        <v>0</v>
      </c>
      <c r="I70" s="28" t="str">
        <f aca="false">IF(OR($A70="",$G70=0),"",$H70/$G70)</f>
        <v/>
      </c>
      <c r="J70" s="27" t="str">
        <f aca="false">IF(OR($A70="",$G70=0),"",ROUND($F70*INDEX(仪器设备工时分配表!$H$6:$H$245,$W70)/$G70,2))</f>
        <v/>
      </c>
      <c r="K70" s="27" t="str">
        <f aca="false">IF(OR($A70="",$G70=0),"",ROUND($F70*INDEX(仪器设备工时分配表!$I$6:$I$245,$W70)/$G70,2))</f>
        <v/>
      </c>
      <c r="L70" s="27" t="str">
        <f aca="false">IF(OR($A70="",$G70=0),"",ROUND($F70*INDEX(仪器设备工时分配表!$J$6:$J$245,$W70)/$G70,2))</f>
        <v/>
      </c>
      <c r="M70" s="27" t="str">
        <f aca="false">IF(OR($A70="",$G70=0),"",ROUND($F70*INDEX(仪器设备工时分配表!$K$6:$K$245,$W70)/$G70,2))</f>
        <v/>
      </c>
      <c r="N70" s="27" t="str">
        <f aca="false">IF(OR($A70="",$G70=0),"",ROUND($F70*INDEX(仪器设备工时分配表!$L$6:$L$245,$W70)/$G70,2))</f>
        <v/>
      </c>
      <c r="O70" s="27" t="str">
        <f aca="false">IF(OR($A70="",$G70=0),"",ROUND($F70*INDEX(仪器设备工时分配表!$M$6:$M$245,$W70)/$G70,2))</f>
        <v/>
      </c>
      <c r="P70" s="27" t="str">
        <f aca="false">IF(OR($A70="",$G70=0),"",ROUND($F70*INDEX(仪器设备工时分配表!$N$6:$N$245,$W70)/$G70,2))</f>
        <v/>
      </c>
      <c r="Q70" s="27" t="str">
        <f aca="false">IF(OR($A70="",$G70=0),"",ROUND($F70*INDEX(仪器设备工时分配表!$O$6:$O$245,$W70)/$G70,2))</f>
        <v/>
      </c>
      <c r="R70" s="27" t="str">
        <f aca="false">IF(OR($A70="",$G70=0),"",ROUND($F70*INDEX(仪器设备工时分配表!$P$6:$P$245,$W70)/$G70,2))</f>
        <v/>
      </c>
      <c r="S70" s="27" t="str">
        <f aca="false">IF(OR($A70="",$G70=0),"",ROUND($F70*INDEX(仪器设备工时分配表!$Q$6:$Q$245,$W70)/$G70,2))</f>
        <v/>
      </c>
      <c r="T70" s="27" t="str">
        <f aca="false">IF($A70="","",ROUND(SUM(J70:S70),2))</f>
        <v/>
      </c>
      <c r="U70" s="27" t="str">
        <f aca="false">IF($A70="","",ROUND($F70-T70,2))</f>
        <v/>
      </c>
      <c r="V70" s="43" t="str">
        <f aca="false">IF($A70="","",IF($D70="无形资产","⚠ 无形资产请在无形资产费用分配表登记",IF($W70=0,"⚠ 工时分配表无此资产当月记录",IF($X70&gt;1,"⚠ 工时分配表存在重复行","√ 正常"))))</f>
        <v/>
      </c>
      <c r="W70" s="47" t="n">
        <f aca="false">IF($A70="",0,IFERROR(MATCH($A70&amp;"|"&amp;$B70,仪器设备工时分配表!$V$6:$V$245,0),0))</f>
        <v>0</v>
      </c>
      <c r="X70" s="47" t="n">
        <f aca="false">IF($A70="",0,COUNTIFS(仪器设备工时分配表!$A$6:$A$245,$A70,仪器设备工时分配表!$B$6:$B$245,$B70))</f>
        <v>0</v>
      </c>
    </row>
    <row r="71" customFormat="false" ht="18" hidden="false" customHeight="true" outlineLevel="0" collapsed="false">
      <c r="A71" s="36"/>
      <c r="B71" s="36"/>
      <c r="C71" s="48" t="str">
        <f aca="false">IF($B71="","",IFERROR(VLOOKUP($B71,资产台账!$B$4:$N$53,2,0)&amp;"","台账中未登记"))</f>
        <v/>
      </c>
      <c r="D71" s="43" t="str">
        <f aca="false">IF($B71="","",IFERROR(VLOOKUP($B71,资产台账!$B$4:$N$53,3,0)&amp;"",""))</f>
        <v/>
      </c>
      <c r="E71" s="43" t="str">
        <f aca="false">IF($B71="","",IFERROR(VLOOKUP($B71,资产台账!$B$4:$N$53,10,0)&amp;"",""))</f>
        <v/>
      </c>
      <c r="F71" s="49" t="str">
        <f aca="false">IF($B71="","",IFERROR(VLOOKUP($B71,资产台账!$B$4:$N$53,9,0),0))</f>
        <v/>
      </c>
      <c r="G71" s="45" t="n">
        <f aca="false">IF(OR($A71="",$W71=0),0,INDEX(仪器设备工时分配表!$F$6:$F$245,$W71))</f>
        <v>0</v>
      </c>
      <c r="H71" s="45" t="n">
        <f aca="false">IF(OR($A71="",$W71=0),0,INDEX(仪器设备工时分配表!$R$6:$R$245,$W71))</f>
        <v>0</v>
      </c>
      <c r="I71" s="28" t="str">
        <f aca="false">IF(OR($A71="",$G71=0),"",$H71/$G71)</f>
        <v/>
      </c>
      <c r="J71" s="27" t="str">
        <f aca="false">IF(OR($A71="",$G71=0),"",ROUND($F71*INDEX(仪器设备工时分配表!$H$6:$H$245,$W71)/$G71,2))</f>
        <v/>
      </c>
      <c r="K71" s="27" t="str">
        <f aca="false">IF(OR($A71="",$G71=0),"",ROUND($F71*INDEX(仪器设备工时分配表!$I$6:$I$245,$W71)/$G71,2))</f>
        <v/>
      </c>
      <c r="L71" s="27" t="str">
        <f aca="false">IF(OR($A71="",$G71=0),"",ROUND($F71*INDEX(仪器设备工时分配表!$J$6:$J$245,$W71)/$G71,2))</f>
        <v/>
      </c>
      <c r="M71" s="27" t="str">
        <f aca="false">IF(OR($A71="",$G71=0),"",ROUND($F71*INDEX(仪器设备工时分配表!$K$6:$K$245,$W71)/$G71,2))</f>
        <v/>
      </c>
      <c r="N71" s="27" t="str">
        <f aca="false">IF(OR($A71="",$G71=0),"",ROUND($F71*INDEX(仪器设备工时分配表!$L$6:$L$245,$W71)/$G71,2))</f>
        <v/>
      </c>
      <c r="O71" s="27" t="str">
        <f aca="false">IF(OR($A71="",$G71=0),"",ROUND($F71*INDEX(仪器设备工时分配表!$M$6:$M$245,$W71)/$G71,2))</f>
        <v/>
      </c>
      <c r="P71" s="27" t="str">
        <f aca="false">IF(OR($A71="",$G71=0),"",ROUND($F71*INDEX(仪器设备工时分配表!$N$6:$N$245,$W71)/$G71,2))</f>
        <v/>
      </c>
      <c r="Q71" s="27" t="str">
        <f aca="false">IF(OR($A71="",$G71=0),"",ROUND($F71*INDEX(仪器设备工时分配表!$O$6:$O$245,$W71)/$G71,2))</f>
        <v/>
      </c>
      <c r="R71" s="27" t="str">
        <f aca="false">IF(OR($A71="",$G71=0),"",ROUND($F71*INDEX(仪器设备工时分配表!$P$6:$P$245,$W71)/$G71,2))</f>
        <v/>
      </c>
      <c r="S71" s="27" t="str">
        <f aca="false">IF(OR($A71="",$G71=0),"",ROUND($F71*INDEX(仪器设备工时分配表!$Q$6:$Q$245,$W71)/$G71,2))</f>
        <v/>
      </c>
      <c r="T71" s="27" t="str">
        <f aca="false">IF($A71="","",ROUND(SUM(J71:S71),2))</f>
        <v/>
      </c>
      <c r="U71" s="27" t="str">
        <f aca="false">IF($A71="","",ROUND($F71-T71,2))</f>
        <v/>
      </c>
      <c r="V71" s="43" t="str">
        <f aca="false">IF($A71="","",IF($D71="无形资产","⚠ 无形资产请在无形资产费用分配表登记",IF($W71=0,"⚠ 工时分配表无此资产当月记录",IF($X71&gt;1,"⚠ 工时分配表存在重复行","√ 正常"))))</f>
        <v/>
      </c>
      <c r="W71" s="47" t="n">
        <f aca="false">IF($A71="",0,IFERROR(MATCH($A71&amp;"|"&amp;$B71,仪器设备工时分配表!$V$6:$V$245,0),0))</f>
        <v>0</v>
      </c>
      <c r="X71" s="47" t="n">
        <f aca="false">IF($A71="",0,COUNTIFS(仪器设备工时分配表!$A$6:$A$245,$A71,仪器设备工时分配表!$B$6:$B$245,$B71))</f>
        <v>0</v>
      </c>
    </row>
    <row r="72" customFormat="false" ht="18" hidden="false" customHeight="true" outlineLevel="0" collapsed="false">
      <c r="A72" s="36"/>
      <c r="B72" s="36"/>
      <c r="C72" s="48" t="str">
        <f aca="false">IF($B72="","",IFERROR(VLOOKUP($B72,资产台账!$B$4:$N$53,2,0)&amp;"","台账中未登记"))</f>
        <v/>
      </c>
      <c r="D72" s="43" t="str">
        <f aca="false">IF($B72="","",IFERROR(VLOOKUP($B72,资产台账!$B$4:$N$53,3,0)&amp;"",""))</f>
        <v/>
      </c>
      <c r="E72" s="43" t="str">
        <f aca="false">IF($B72="","",IFERROR(VLOOKUP($B72,资产台账!$B$4:$N$53,10,0)&amp;"",""))</f>
        <v/>
      </c>
      <c r="F72" s="49" t="str">
        <f aca="false">IF($B72="","",IFERROR(VLOOKUP($B72,资产台账!$B$4:$N$53,9,0),0))</f>
        <v/>
      </c>
      <c r="G72" s="45" t="n">
        <f aca="false">IF(OR($A72="",$W72=0),0,INDEX(仪器设备工时分配表!$F$6:$F$245,$W72))</f>
        <v>0</v>
      </c>
      <c r="H72" s="45" t="n">
        <f aca="false">IF(OR($A72="",$W72=0),0,INDEX(仪器设备工时分配表!$R$6:$R$245,$W72))</f>
        <v>0</v>
      </c>
      <c r="I72" s="28" t="str">
        <f aca="false">IF(OR($A72="",$G72=0),"",$H72/$G72)</f>
        <v/>
      </c>
      <c r="J72" s="27" t="str">
        <f aca="false">IF(OR($A72="",$G72=0),"",ROUND($F72*INDEX(仪器设备工时分配表!$H$6:$H$245,$W72)/$G72,2))</f>
        <v/>
      </c>
      <c r="K72" s="27" t="str">
        <f aca="false">IF(OR($A72="",$G72=0),"",ROUND($F72*INDEX(仪器设备工时分配表!$I$6:$I$245,$W72)/$G72,2))</f>
        <v/>
      </c>
      <c r="L72" s="27" t="str">
        <f aca="false">IF(OR($A72="",$G72=0),"",ROUND($F72*INDEX(仪器设备工时分配表!$J$6:$J$245,$W72)/$G72,2))</f>
        <v/>
      </c>
      <c r="M72" s="27" t="str">
        <f aca="false">IF(OR($A72="",$G72=0),"",ROUND($F72*INDEX(仪器设备工时分配表!$K$6:$K$245,$W72)/$G72,2))</f>
        <v/>
      </c>
      <c r="N72" s="27" t="str">
        <f aca="false">IF(OR($A72="",$G72=0),"",ROUND($F72*INDEX(仪器设备工时分配表!$L$6:$L$245,$W72)/$G72,2))</f>
        <v/>
      </c>
      <c r="O72" s="27" t="str">
        <f aca="false">IF(OR($A72="",$G72=0),"",ROUND($F72*INDEX(仪器设备工时分配表!$M$6:$M$245,$W72)/$G72,2))</f>
        <v/>
      </c>
      <c r="P72" s="27" t="str">
        <f aca="false">IF(OR($A72="",$G72=0),"",ROUND($F72*INDEX(仪器设备工时分配表!$N$6:$N$245,$W72)/$G72,2))</f>
        <v/>
      </c>
      <c r="Q72" s="27" t="str">
        <f aca="false">IF(OR($A72="",$G72=0),"",ROUND($F72*INDEX(仪器设备工时分配表!$O$6:$O$245,$W72)/$G72,2))</f>
        <v/>
      </c>
      <c r="R72" s="27" t="str">
        <f aca="false">IF(OR($A72="",$G72=0),"",ROUND($F72*INDEX(仪器设备工时分配表!$P$6:$P$245,$W72)/$G72,2))</f>
        <v/>
      </c>
      <c r="S72" s="27" t="str">
        <f aca="false">IF(OR($A72="",$G72=0),"",ROUND($F72*INDEX(仪器设备工时分配表!$Q$6:$Q$245,$W72)/$G72,2))</f>
        <v/>
      </c>
      <c r="T72" s="27" t="str">
        <f aca="false">IF($A72="","",ROUND(SUM(J72:S72),2))</f>
        <v/>
      </c>
      <c r="U72" s="27" t="str">
        <f aca="false">IF($A72="","",ROUND($F72-T72,2))</f>
        <v/>
      </c>
      <c r="V72" s="43" t="str">
        <f aca="false">IF($A72="","",IF($D72="无形资产","⚠ 无形资产请在无形资产费用分配表登记",IF($W72=0,"⚠ 工时分配表无此资产当月记录",IF($X72&gt;1,"⚠ 工时分配表存在重复行","√ 正常"))))</f>
        <v/>
      </c>
      <c r="W72" s="47" t="n">
        <f aca="false">IF($A72="",0,IFERROR(MATCH($A72&amp;"|"&amp;$B72,仪器设备工时分配表!$V$6:$V$245,0),0))</f>
        <v>0</v>
      </c>
      <c r="X72" s="47" t="n">
        <f aca="false">IF($A72="",0,COUNTIFS(仪器设备工时分配表!$A$6:$A$245,$A72,仪器设备工时分配表!$B$6:$B$245,$B72))</f>
        <v>0</v>
      </c>
    </row>
    <row r="73" customFormat="false" ht="18" hidden="false" customHeight="true" outlineLevel="0" collapsed="false">
      <c r="A73" s="36"/>
      <c r="B73" s="36"/>
      <c r="C73" s="48" t="str">
        <f aca="false">IF($B73="","",IFERROR(VLOOKUP($B73,资产台账!$B$4:$N$53,2,0)&amp;"","台账中未登记"))</f>
        <v/>
      </c>
      <c r="D73" s="43" t="str">
        <f aca="false">IF($B73="","",IFERROR(VLOOKUP($B73,资产台账!$B$4:$N$53,3,0)&amp;"",""))</f>
        <v/>
      </c>
      <c r="E73" s="43" t="str">
        <f aca="false">IF($B73="","",IFERROR(VLOOKUP($B73,资产台账!$B$4:$N$53,10,0)&amp;"",""))</f>
        <v/>
      </c>
      <c r="F73" s="49" t="str">
        <f aca="false">IF($B73="","",IFERROR(VLOOKUP($B73,资产台账!$B$4:$N$53,9,0),0))</f>
        <v/>
      </c>
      <c r="G73" s="45" t="n">
        <f aca="false">IF(OR($A73="",$W73=0),0,INDEX(仪器设备工时分配表!$F$6:$F$245,$W73))</f>
        <v>0</v>
      </c>
      <c r="H73" s="45" t="n">
        <f aca="false">IF(OR($A73="",$W73=0),0,INDEX(仪器设备工时分配表!$R$6:$R$245,$W73))</f>
        <v>0</v>
      </c>
      <c r="I73" s="28" t="str">
        <f aca="false">IF(OR($A73="",$G73=0),"",$H73/$G73)</f>
        <v/>
      </c>
      <c r="J73" s="27" t="str">
        <f aca="false">IF(OR($A73="",$G73=0),"",ROUND($F73*INDEX(仪器设备工时分配表!$H$6:$H$245,$W73)/$G73,2))</f>
        <v/>
      </c>
      <c r="K73" s="27" t="str">
        <f aca="false">IF(OR($A73="",$G73=0),"",ROUND($F73*INDEX(仪器设备工时分配表!$I$6:$I$245,$W73)/$G73,2))</f>
        <v/>
      </c>
      <c r="L73" s="27" t="str">
        <f aca="false">IF(OR($A73="",$G73=0),"",ROUND($F73*INDEX(仪器设备工时分配表!$J$6:$J$245,$W73)/$G73,2))</f>
        <v/>
      </c>
      <c r="M73" s="27" t="str">
        <f aca="false">IF(OR($A73="",$G73=0),"",ROUND($F73*INDEX(仪器设备工时分配表!$K$6:$K$245,$W73)/$G73,2))</f>
        <v/>
      </c>
      <c r="N73" s="27" t="str">
        <f aca="false">IF(OR($A73="",$G73=0),"",ROUND($F73*INDEX(仪器设备工时分配表!$L$6:$L$245,$W73)/$G73,2))</f>
        <v/>
      </c>
      <c r="O73" s="27" t="str">
        <f aca="false">IF(OR($A73="",$G73=0),"",ROUND($F73*INDEX(仪器设备工时分配表!$M$6:$M$245,$W73)/$G73,2))</f>
        <v/>
      </c>
      <c r="P73" s="27" t="str">
        <f aca="false">IF(OR($A73="",$G73=0),"",ROUND($F73*INDEX(仪器设备工时分配表!$N$6:$N$245,$W73)/$G73,2))</f>
        <v/>
      </c>
      <c r="Q73" s="27" t="str">
        <f aca="false">IF(OR($A73="",$G73=0),"",ROUND($F73*INDEX(仪器设备工时分配表!$O$6:$O$245,$W73)/$G73,2))</f>
        <v/>
      </c>
      <c r="R73" s="27" t="str">
        <f aca="false">IF(OR($A73="",$G73=0),"",ROUND($F73*INDEX(仪器设备工时分配表!$P$6:$P$245,$W73)/$G73,2))</f>
        <v/>
      </c>
      <c r="S73" s="27" t="str">
        <f aca="false">IF(OR($A73="",$G73=0),"",ROUND($F73*INDEX(仪器设备工时分配表!$Q$6:$Q$245,$W73)/$G73,2))</f>
        <v/>
      </c>
      <c r="T73" s="27" t="str">
        <f aca="false">IF($A73="","",ROUND(SUM(J73:S73),2))</f>
        <v/>
      </c>
      <c r="U73" s="27" t="str">
        <f aca="false">IF($A73="","",ROUND($F73-T73,2))</f>
        <v/>
      </c>
      <c r="V73" s="43" t="str">
        <f aca="false">IF($A73="","",IF($D73="无形资产","⚠ 无形资产请在无形资产费用分配表登记",IF($W73=0,"⚠ 工时分配表无此资产当月记录",IF($X73&gt;1,"⚠ 工时分配表存在重复行","√ 正常"))))</f>
        <v/>
      </c>
      <c r="W73" s="47" t="n">
        <f aca="false">IF($A73="",0,IFERROR(MATCH($A73&amp;"|"&amp;$B73,仪器设备工时分配表!$V$6:$V$245,0),0))</f>
        <v>0</v>
      </c>
      <c r="X73" s="47" t="n">
        <f aca="false">IF($A73="",0,COUNTIFS(仪器设备工时分配表!$A$6:$A$245,$A73,仪器设备工时分配表!$B$6:$B$245,$B73))</f>
        <v>0</v>
      </c>
    </row>
    <row r="74" customFormat="false" ht="18" hidden="false" customHeight="true" outlineLevel="0" collapsed="false">
      <c r="A74" s="36"/>
      <c r="B74" s="36"/>
      <c r="C74" s="48" t="str">
        <f aca="false">IF($B74="","",IFERROR(VLOOKUP($B74,资产台账!$B$4:$N$53,2,0)&amp;"","台账中未登记"))</f>
        <v/>
      </c>
      <c r="D74" s="43" t="str">
        <f aca="false">IF($B74="","",IFERROR(VLOOKUP($B74,资产台账!$B$4:$N$53,3,0)&amp;"",""))</f>
        <v/>
      </c>
      <c r="E74" s="43" t="str">
        <f aca="false">IF($B74="","",IFERROR(VLOOKUP($B74,资产台账!$B$4:$N$53,10,0)&amp;"",""))</f>
        <v/>
      </c>
      <c r="F74" s="49" t="str">
        <f aca="false">IF($B74="","",IFERROR(VLOOKUP($B74,资产台账!$B$4:$N$53,9,0),0))</f>
        <v/>
      </c>
      <c r="G74" s="45" t="n">
        <f aca="false">IF(OR($A74="",$W74=0),0,INDEX(仪器设备工时分配表!$F$6:$F$245,$W74))</f>
        <v>0</v>
      </c>
      <c r="H74" s="45" t="n">
        <f aca="false">IF(OR($A74="",$W74=0),0,INDEX(仪器设备工时分配表!$R$6:$R$245,$W74))</f>
        <v>0</v>
      </c>
      <c r="I74" s="28" t="str">
        <f aca="false">IF(OR($A74="",$G74=0),"",$H74/$G74)</f>
        <v/>
      </c>
      <c r="J74" s="27" t="str">
        <f aca="false">IF(OR($A74="",$G74=0),"",ROUND($F74*INDEX(仪器设备工时分配表!$H$6:$H$245,$W74)/$G74,2))</f>
        <v/>
      </c>
      <c r="K74" s="27" t="str">
        <f aca="false">IF(OR($A74="",$G74=0),"",ROUND($F74*INDEX(仪器设备工时分配表!$I$6:$I$245,$W74)/$G74,2))</f>
        <v/>
      </c>
      <c r="L74" s="27" t="str">
        <f aca="false">IF(OR($A74="",$G74=0),"",ROUND($F74*INDEX(仪器设备工时分配表!$J$6:$J$245,$W74)/$G74,2))</f>
        <v/>
      </c>
      <c r="M74" s="27" t="str">
        <f aca="false">IF(OR($A74="",$G74=0),"",ROUND($F74*INDEX(仪器设备工时分配表!$K$6:$K$245,$W74)/$G74,2))</f>
        <v/>
      </c>
      <c r="N74" s="27" t="str">
        <f aca="false">IF(OR($A74="",$G74=0),"",ROUND($F74*INDEX(仪器设备工时分配表!$L$6:$L$245,$W74)/$G74,2))</f>
        <v/>
      </c>
      <c r="O74" s="27" t="str">
        <f aca="false">IF(OR($A74="",$G74=0),"",ROUND($F74*INDEX(仪器设备工时分配表!$M$6:$M$245,$W74)/$G74,2))</f>
        <v/>
      </c>
      <c r="P74" s="27" t="str">
        <f aca="false">IF(OR($A74="",$G74=0),"",ROUND($F74*INDEX(仪器设备工时分配表!$N$6:$N$245,$W74)/$G74,2))</f>
        <v/>
      </c>
      <c r="Q74" s="27" t="str">
        <f aca="false">IF(OR($A74="",$G74=0),"",ROUND($F74*INDEX(仪器设备工时分配表!$O$6:$O$245,$W74)/$G74,2))</f>
        <v/>
      </c>
      <c r="R74" s="27" t="str">
        <f aca="false">IF(OR($A74="",$G74=0),"",ROUND($F74*INDEX(仪器设备工时分配表!$P$6:$P$245,$W74)/$G74,2))</f>
        <v/>
      </c>
      <c r="S74" s="27" t="str">
        <f aca="false">IF(OR($A74="",$G74=0),"",ROUND($F74*INDEX(仪器设备工时分配表!$Q$6:$Q$245,$W74)/$G74,2))</f>
        <v/>
      </c>
      <c r="T74" s="27" t="str">
        <f aca="false">IF($A74="","",ROUND(SUM(J74:S74),2))</f>
        <v/>
      </c>
      <c r="U74" s="27" t="str">
        <f aca="false">IF($A74="","",ROUND($F74-T74,2))</f>
        <v/>
      </c>
      <c r="V74" s="43" t="str">
        <f aca="false">IF($A74="","",IF($D74="无形资产","⚠ 无形资产请在无形资产费用分配表登记",IF($W74=0,"⚠ 工时分配表无此资产当月记录",IF($X74&gt;1,"⚠ 工时分配表存在重复行","√ 正常"))))</f>
        <v/>
      </c>
      <c r="W74" s="47" t="n">
        <f aca="false">IF($A74="",0,IFERROR(MATCH($A74&amp;"|"&amp;$B74,仪器设备工时分配表!$V$6:$V$245,0),0))</f>
        <v>0</v>
      </c>
      <c r="X74" s="47" t="n">
        <f aca="false">IF($A74="",0,COUNTIFS(仪器设备工时分配表!$A$6:$A$245,$A74,仪器设备工时分配表!$B$6:$B$245,$B74))</f>
        <v>0</v>
      </c>
    </row>
    <row r="75" customFormat="false" ht="18" hidden="false" customHeight="true" outlineLevel="0" collapsed="false">
      <c r="A75" s="36"/>
      <c r="B75" s="36"/>
      <c r="C75" s="48" t="str">
        <f aca="false">IF($B75="","",IFERROR(VLOOKUP($B75,资产台账!$B$4:$N$53,2,0)&amp;"","台账中未登记"))</f>
        <v/>
      </c>
      <c r="D75" s="43" t="str">
        <f aca="false">IF($B75="","",IFERROR(VLOOKUP($B75,资产台账!$B$4:$N$53,3,0)&amp;"",""))</f>
        <v/>
      </c>
      <c r="E75" s="43" t="str">
        <f aca="false">IF($B75="","",IFERROR(VLOOKUP($B75,资产台账!$B$4:$N$53,10,0)&amp;"",""))</f>
        <v/>
      </c>
      <c r="F75" s="49" t="str">
        <f aca="false">IF($B75="","",IFERROR(VLOOKUP($B75,资产台账!$B$4:$N$53,9,0),0))</f>
        <v/>
      </c>
      <c r="G75" s="45" t="n">
        <f aca="false">IF(OR($A75="",$W75=0),0,INDEX(仪器设备工时分配表!$F$6:$F$245,$W75))</f>
        <v>0</v>
      </c>
      <c r="H75" s="45" t="n">
        <f aca="false">IF(OR($A75="",$W75=0),0,INDEX(仪器设备工时分配表!$R$6:$R$245,$W75))</f>
        <v>0</v>
      </c>
      <c r="I75" s="28" t="str">
        <f aca="false">IF(OR($A75="",$G75=0),"",$H75/$G75)</f>
        <v/>
      </c>
      <c r="J75" s="27" t="str">
        <f aca="false">IF(OR($A75="",$G75=0),"",ROUND($F75*INDEX(仪器设备工时分配表!$H$6:$H$245,$W75)/$G75,2))</f>
        <v/>
      </c>
      <c r="K75" s="27" t="str">
        <f aca="false">IF(OR($A75="",$G75=0),"",ROUND($F75*INDEX(仪器设备工时分配表!$I$6:$I$245,$W75)/$G75,2))</f>
        <v/>
      </c>
      <c r="L75" s="27" t="str">
        <f aca="false">IF(OR($A75="",$G75=0),"",ROUND($F75*INDEX(仪器设备工时分配表!$J$6:$J$245,$W75)/$G75,2))</f>
        <v/>
      </c>
      <c r="M75" s="27" t="str">
        <f aca="false">IF(OR($A75="",$G75=0),"",ROUND($F75*INDEX(仪器设备工时分配表!$K$6:$K$245,$W75)/$G75,2))</f>
        <v/>
      </c>
      <c r="N75" s="27" t="str">
        <f aca="false">IF(OR($A75="",$G75=0),"",ROUND($F75*INDEX(仪器设备工时分配表!$L$6:$L$245,$W75)/$G75,2))</f>
        <v/>
      </c>
      <c r="O75" s="27" t="str">
        <f aca="false">IF(OR($A75="",$G75=0),"",ROUND($F75*INDEX(仪器设备工时分配表!$M$6:$M$245,$W75)/$G75,2))</f>
        <v/>
      </c>
      <c r="P75" s="27" t="str">
        <f aca="false">IF(OR($A75="",$G75=0),"",ROUND($F75*INDEX(仪器设备工时分配表!$N$6:$N$245,$W75)/$G75,2))</f>
        <v/>
      </c>
      <c r="Q75" s="27" t="str">
        <f aca="false">IF(OR($A75="",$G75=0),"",ROUND($F75*INDEX(仪器设备工时分配表!$O$6:$O$245,$W75)/$G75,2))</f>
        <v/>
      </c>
      <c r="R75" s="27" t="str">
        <f aca="false">IF(OR($A75="",$G75=0),"",ROUND($F75*INDEX(仪器设备工时分配表!$P$6:$P$245,$W75)/$G75,2))</f>
        <v/>
      </c>
      <c r="S75" s="27" t="str">
        <f aca="false">IF(OR($A75="",$G75=0),"",ROUND($F75*INDEX(仪器设备工时分配表!$Q$6:$Q$245,$W75)/$G75,2))</f>
        <v/>
      </c>
      <c r="T75" s="27" t="str">
        <f aca="false">IF($A75="","",ROUND(SUM(J75:S75),2))</f>
        <v/>
      </c>
      <c r="U75" s="27" t="str">
        <f aca="false">IF($A75="","",ROUND($F75-T75,2))</f>
        <v/>
      </c>
      <c r="V75" s="43" t="str">
        <f aca="false">IF($A75="","",IF($D75="无形资产","⚠ 无形资产请在无形资产费用分配表登记",IF($W75=0,"⚠ 工时分配表无此资产当月记录",IF($X75&gt;1,"⚠ 工时分配表存在重复行","√ 正常"))))</f>
        <v/>
      </c>
      <c r="W75" s="47" t="n">
        <f aca="false">IF($A75="",0,IFERROR(MATCH($A75&amp;"|"&amp;$B75,仪器设备工时分配表!$V$6:$V$245,0),0))</f>
        <v>0</v>
      </c>
      <c r="X75" s="47" t="n">
        <f aca="false">IF($A75="",0,COUNTIFS(仪器设备工时分配表!$A$6:$A$245,$A75,仪器设备工时分配表!$B$6:$B$245,$B75))</f>
        <v>0</v>
      </c>
    </row>
    <row r="76" customFormat="false" ht="18" hidden="false" customHeight="true" outlineLevel="0" collapsed="false">
      <c r="A76" s="36"/>
      <c r="B76" s="36"/>
      <c r="C76" s="48" t="str">
        <f aca="false">IF($B76="","",IFERROR(VLOOKUP($B76,资产台账!$B$4:$N$53,2,0)&amp;"","台账中未登记"))</f>
        <v/>
      </c>
      <c r="D76" s="43" t="str">
        <f aca="false">IF($B76="","",IFERROR(VLOOKUP($B76,资产台账!$B$4:$N$53,3,0)&amp;"",""))</f>
        <v/>
      </c>
      <c r="E76" s="43" t="str">
        <f aca="false">IF($B76="","",IFERROR(VLOOKUP($B76,资产台账!$B$4:$N$53,10,0)&amp;"",""))</f>
        <v/>
      </c>
      <c r="F76" s="49" t="str">
        <f aca="false">IF($B76="","",IFERROR(VLOOKUP($B76,资产台账!$B$4:$N$53,9,0),0))</f>
        <v/>
      </c>
      <c r="G76" s="45" t="n">
        <f aca="false">IF(OR($A76="",$W76=0),0,INDEX(仪器设备工时分配表!$F$6:$F$245,$W76))</f>
        <v>0</v>
      </c>
      <c r="H76" s="45" t="n">
        <f aca="false">IF(OR($A76="",$W76=0),0,INDEX(仪器设备工时分配表!$R$6:$R$245,$W76))</f>
        <v>0</v>
      </c>
      <c r="I76" s="28" t="str">
        <f aca="false">IF(OR($A76="",$G76=0),"",$H76/$G76)</f>
        <v/>
      </c>
      <c r="J76" s="27" t="str">
        <f aca="false">IF(OR($A76="",$G76=0),"",ROUND($F76*INDEX(仪器设备工时分配表!$H$6:$H$245,$W76)/$G76,2))</f>
        <v/>
      </c>
      <c r="K76" s="27" t="str">
        <f aca="false">IF(OR($A76="",$G76=0),"",ROUND($F76*INDEX(仪器设备工时分配表!$I$6:$I$245,$W76)/$G76,2))</f>
        <v/>
      </c>
      <c r="L76" s="27" t="str">
        <f aca="false">IF(OR($A76="",$G76=0),"",ROUND($F76*INDEX(仪器设备工时分配表!$J$6:$J$245,$W76)/$G76,2))</f>
        <v/>
      </c>
      <c r="M76" s="27" t="str">
        <f aca="false">IF(OR($A76="",$G76=0),"",ROUND($F76*INDEX(仪器设备工时分配表!$K$6:$K$245,$W76)/$G76,2))</f>
        <v/>
      </c>
      <c r="N76" s="27" t="str">
        <f aca="false">IF(OR($A76="",$G76=0),"",ROUND($F76*INDEX(仪器设备工时分配表!$L$6:$L$245,$W76)/$G76,2))</f>
        <v/>
      </c>
      <c r="O76" s="27" t="str">
        <f aca="false">IF(OR($A76="",$G76=0),"",ROUND($F76*INDEX(仪器设备工时分配表!$M$6:$M$245,$W76)/$G76,2))</f>
        <v/>
      </c>
      <c r="P76" s="27" t="str">
        <f aca="false">IF(OR($A76="",$G76=0),"",ROUND($F76*INDEX(仪器设备工时分配表!$N$6:$N$245,$W76)/$G76,2))</f>
        <v/>
      </c>
      <c r="Q76" s="27" t="str">
        <f aca="false">IF(OR($A76="",$G76=0),"",ROUND($F76*INDEX(仪器设备工时分配表!$O$6:$O$245,$W76)/$G76,2))</f>
        <v/>
      </c>
      <c r="R76" s="27" t="str">
        <f aca="false">IF(OR($A76="",$G76=0),"",ROUND($F76*INDEX(仪器设备工时分配表!$P$6:$P$245,$W76)/$G76,2))</f>
        <v/>
      </c>
      <c r="S76" s="27" t="str">
        <f aca="false">IF(OR($A76="",$G76=0),"",ROUND($F76*INDEX(仪器设备工时分配表!$Q$6:$Q$245,$W76)/$G76,2))</f>
        <v/>
      </c>
      <c r="T76" s="27" t="str">
        <f aca="false">IF($A76="","",ROUND(SUM(J76:S76),2))</f>
        <v/>
      </c>
      <c r="U76" s="27" t="str">
        <f aca="false">IF($A76="","",ROUND($F76-T76,2))</f>
        <v/>
      </c>
      <c r="V76" s="43" t="str">
        <f aca="false">IF($A76="","",IF($D76="无形资产","⚠ 无形资产请在无形资产费用分配表登记",IF($W76=0,"⚠ 工时分配表无此资产当月记录",IF($X76&gt;1,"⚠ 工时分配表存在重复行","√ 正常"))))</f>
        <v/>
      </c>
      <c r="W76" s="47" t="n">
        <f aca="false">IF($A76="",0,IFERROR(MATCH($A76&amp;"|"&amp;$B76,仪器设备工时分配表!$V$6:$V$245,0),0))</f>
        <v>0</v>
      </c>
      <c r="X76" s="47" t="n">
        <f aca="false">IF($A76="",0,COUNTIFS(仪器设备工时分配表!$A$6:$A$245,$A76,仪器设备工时分配表!$B$6:$B$245,$B76))</f>
        <v>0</v>
      </c>
    </row>
    <row r="77" customFormat="false" ht="18" hidden="false" customHeight="true" outlineLevel="0" collapsed="false">
      <c r="A77" s="36"/>
      <c r="B77" s="36"/>
      <c r="C77" s="48" t="str">
        <f aca="false">IF($B77="","",IFERROR(VLOOKUP($B77,资产台账!$B$4:$N$53,2,0)&amp;"","台账中未登记"))</f>
        <v/>
      </c>
      <c r="D77" s="43" t="str">
        <f aca="false">IF($B77="","",IFERROR(VLOOKUP($B77,资产台账!$B$4:$N$53,3,0)&amp;"",""))</f>
        <v/>
      </c>
      <c r="E77" s="43" t="str">
        <f aca="false">IF($B77="","",IFERROR(VLOOKUP($B77,资产台账!$B$4:$N$53,10,0)&amp;"",""))</f>
        <v/>
      </c>
      <c r="F77" s="49" t="str">
        <f aca="false">IF($B77="","",IFERROR(VLOOKUP($B77,资产台账!$B$4:$N$53,9,0),0))</f>
        <v/>
      </c>
      <c r="G77" s="45" t="n">
        <f aca="false">IF(OR($A77="",$W77=0),0,INDEX(仪器设备工时分配表!$F$6:$F$245,$W77))</f>
        <v>0</v>
      </c>
      <c r="H77" s="45" t="n">
        <f aca="false">IF(OR($A77="",$W77=0),0,INDEX(仪器设备工时分配表!$R$6:$R$245,$W77))</f>
        <v>0</v>
      </c>
      <c r="I77" s="28" t="str">
        <f aca="false">IF(OR($A77="",$G77=0),"",$H77/$G77)</f>
        <v/>
      </c>
      <c r="J77" s="27" t="str">
        <f aca="false">IF(OR($A77="",$G77=0),"",ROUND($F77*INDEX(仪器设备工时分配表!$H$6:$H$245,$W77)/$G77,2))</f>
        <v/>
      </c>
      <c r="K77" s="27" t="str">
        <f aca="false">IF(OR($A77="",$G77=0),"",ROUND($F77*INDEX(仪器设备工时分配表!$I$6:$I$245,$W77)/$G77,2))</f>
        <v/>
      </c>
      <c r="L77" s="27" t="str">
        <f aca="false">IF(OR($A77="",$G77=0),"",ROUND($F77*INDEX(仪器设备工时分配表!$J$6:$J$245,$W77)/$G77,2))</f>
        <v/>
      </c>
      <c r="M77" s="27" t="str">
        <f aca="false">IF(OR($A77="",$G77=0),"",ROUND($F77*INDEX(仪器设备工时分配表!$K$6:$K$245,$W77)/$G77,2))</f>
        <v/>
      </c>
      <c r="N77" s="27" t="str">
        <f aca="false">IF(OR($A77="",$G77=0),"",ROUND($F77*INDEX(仪器设备工时分配表!$L$6:$L$245,$W77)/$G77,2))</f>
        <v/>
      </c>
      <c r="O77" s="27" t="str">
        <f aca="false">IF(OR($A77="",$G77=0),"",ROUND($F77*INDEX(仪器设备工时分配表!$M$6:$M$245,$W77)/$G77,2))</f>
        <v/>
      </c>
      <c r="P77" s="27" t="str">
        <f aca="false">IF(OR($A77="",$G77=0),"",ROUND($F77*INDEX(仪器设备工时分配表!$N$6:$N$245,$W77)/$G77,2))</f>
        <v/>
      </c>
      <c r="Q77" s="27" t="str">
        <f aca="false">IF(OR($A77="",$G77=0),"",ROUND($F77*INDEX(仪器设备工时分配表!$O$6:$O$245,$W77)/$G77,2))</f>
        <v/>
      </c>
      <c r="R77" s="27" t="str">
        <f aca="false">IF(OR($A77="",$G77=0),"",ROUND($F77*INDEX(仪器设备工时分配表!$P$6:$P$245,$W77)/$G77,2))</f>
        <v/>
      </c>
      <c r="S77" s="27" t="str">
        <f aca="false">IF(OR($A77="",$G77=0),"",ROUND($F77*INDEX(仪器设备工时分配表!$Q$6:$Q$245,$W77)/$G77,2))</f>
        <v/>
      </c>
      <c r="T77" s="27" t="str">
        <f aca="false">IF($A77="","",ROUND(SUM(J77:S77),2))</f>
        <v/>
      </c>
      <c r="U77" s="27" t="str">
        <f aca="false">IF($A77="","",ROUND($F77-T77,2))</f>
        <v/>
      </c>
      <c r="V77" s="43" t="str">
        <f aca="false">IF($A77="","",IF($D77="无形资产","⚠ 无形资产请在无形资产费用分配表登记",IF($W77=0,"⚠ 工时分配表无此资产当月记录",IF($X77&gt;1,"⚠ 工时分配表存在重复行","√ 正常"))))</f>
        <v/>
      </c>
      <c r="W77" s="47" t="n">
        <f aca="false">IF($A77="",0,IFERROR(MATCH($A77&amp;"|"&amp;$B77,仪器设备工时分配表!$V$6:$V$245,0),0))</f>
        <v>0</v>
      </c>
      <c r="X77" s="47" t="n">
        <f aca="false">IF($A77="",0,COUNTIFS(仪器设备工时分配表!$A$6:$A$245,$A77,仪器设备工时分配表!$B$6:$B$245,$B77))</f>
        <v>0</v>
      </c>
    </row>
    <row r="78" customFormat="false" ht="18" hidden="false" customHeight="true" outlineLevel="0" collapsed="false">
      <c r="A78" s="36"/>
      <c r="B78" s="36"/>
      <c r="C78" s="48" t="str">
        <f aca="false">IF($B78="","",IFERROR(VLOOKUP($B78,资产台账!$B$4:$N$53,2,0)&amp;"","台账中未登记"))</f>
        <v/>
      </c>
      <c r="D78" s="43" t="str">
        <f aca="false">IF($B78="","",IFERROR(VLOOKUP($B78,资产台账!$B$4:$N$53,3,0)&amp;"",""))</f>
        <v/>
      </c>
      <c r="E78" s="43" t="str">
        <f aca="false">IF($B78="","",IFERROR(VLOOKUP($B78,资产台账!$B$4:$N$53,10,0)&amp;"",""))</f>
        <v/>
      </c>
      <c r="F78" s="49" t="str">
        <f aca="false">IF($B78="","",IFERROR(VLOOKUP($B78,资产台账!$B$4:$N$53,9,0),0))</f>
        <v/>
      </c>
      <c r="G78" s="45" t="n">
        <f aca="false">IF(OR($A78="",$W78=0),0,INDEX(仪器设备工时分配表!$F$6:$F$245,$W78))</f>
        <v>0</v>
      </c>
      <c r="H78" s="45" t="n">
        <f aca="false">IF(OR($A78="",$W78=0),0,INDEX(仪器设备工时分配表!$R$6:$R$245,$W78))</f>
        <v>0</v>
      </c>
      <c r="I78" s="28" t="str">
        <f aca="false">IF(OR($A78="",$G78=0),"",$H78/$G78)</f>
        <v/>
      </c>
      <c r="J78" s="27" t="str">
        <f aca="false">IF(OR($A78="",$G78=0),"",ROUND($F78*INDEX(仪器设备工时分配表!$H$6:$H$245,$W78)/$G78,2))</f>
        <v/>
      </c>
      <c r="K78" s="27" t="str">
        <f aca="false">IF(OR($A78="",$G78=0),"",ROUND($F78*INDEX(仪器设备工时分配表!$I$6:$I$245,$W78)/$G78,2))</f>
        <v/>
      </c>
      <c r="L78" s="27" t="str">
        <f aca="false">IF(OR($A78="",$G78=0),"",ROUND($F78*INDEX(仪器设备工时分配表!$J$6:$J$245,$W78)/$G78,2))</f>
        <v/>
      </c>
      <c r="M78" s="27" t="str">
        <f aca="false">IF(OR($A78="",$G78=0),"",ROUND($F78*INDEX(仪器设备工时分配表!$K$6:$K$245,$W78)/$G78,2))</f>
        <v/>
      </c>
      <c r="N78" s="27" t="str">
        <f aca="false">IF(OR($A78="",$G78=0),"",ROUND($F78*INDEX(仪器设备工时分配表!$L$6:$L$245,$W78)/$G78,2))</f>
        <v/>
      </c>
      <c r="O78" s="27" t="str">
        <f aca="false">IF(OR($A78="",$G78=0),"",ROUND($F78*INDEX(仪器设备工时分配表!$M$6:$M$245,$W78)/$G78,2))</f>
        <v/>
      </c>
      <c r="P78" s="27" t="str">
        <f aca="false">IF(OR($A78="",$G78=0),"",ROUND($F78*INDEX(仪器设备工时分配表!$N$6:$N$245,$W78)/$G78,2))</f>
        <v/>
      </c>
      <c r="Q78" s="27" t="str">
        <f aca="false">IF(OR($A78="",$G78=0),"",ROUND($F78*INDEX(仪器设备工时分配表!$O$6:$O$245,$W78)/$G78,2))</f>
        <v/>
      </c>
      <c r="R78" s="27" t="str">
        <f aca="false">IF(OR($A78="",$G78=0),"",ROUND($F78*INDEX(仪器设备工时分配表!$P$6:$P$245,$W78)/$G78,2))</f>
        <v/>
      </c>
      <c r="S78" s="27" t="str">
        <f aca="false">IF(OR($A78="",$G78=0),"",ROUND($F78*INDEX(仪器设备工时分配表!$Q$6:$Q$245,$W78)/$G78,2))</f>
        <v/>
      </c>
      <c r="T78" s="27" t="str">
        <f aca="false">IF($A78="","",ROUND(SUM(J78:S78),2))</f>
        <v/>
      </c>
      <c r="U78" s="27" t="str">
        <f aca="false">IF($A78="","",ROUND($F78-T78,2))</f>
        <v/>
      </c>
      <c r="V78" s="43" t="str">
        <f aca="false">IF($A78="","",IF($D78="无形资产","⚠ 无形资产请在无形资产费用分配表登记",IF($W78=0,"⚠ 工时分配表无此资产当月记录",IF($X78&gt;1,"⚠ 工时分配表存在重复行","√ 正常"))))</f>
        <v/>
      </c>
      <c r="W78" s="47" t="n">
        <f aca="false">IF($A78="",0,IFERROR(MATCH($A78&amp;"|"&amp;$B78,仪器设备工时分配表!$V$6:$V$245,0),0))</f>
        <v>0</v>
      </c>
      <c r="X78" s="47" t="n">
        <f aca="false">IF($A78="",0,COUNTIFS(仪器设备工时分配表!$A$6:$A$245,$A78,仪器设备工时分配表!$B$6:$B$245,$B78))</f>
        <v>0</v>
      </c>
    </row>
    <row r="79" customFormat="false" ht="18" hidden="false" customHeight="true" outlineLevel="0" collapsed="false">
      <c r="A79" s="36"/>
      <c r="B79" s="36"/>
      <c r="C79" s="48" t="str">
        <f aca="false">IF($B79="","",IFERROR(VLOOKUP($B79,资产台账!$B$4:$N$53,2,0)&amp;"","台账中未登记"))</f>
        <v/>
      </c>
      <c r="D79" s="43" t="str">
        <f aca="false">IF($B79="","",IFERROR(VLOOKUP($B79,资产台账!$B$4:$N$53,3,0)&amp;"",""))</f>
        <v/>
      </c>
      <c r="E79" s="43" t="str">
        <f aca="false">IF($B79="","",IFERROR(VLOOKUP($B79,资产台账!$B$4:$N$53,10,0)&amp;"",""))</f>
        <v/>
      </c>
      <c r="F79" s="49" t="str">
        <f aca="false">IF($B79="","",IFERROR(VLOOKUP($B79,资产台账!$B$4:$N$53,9,0),0))</f>
        <v/>
      </c>
      <c r="G79" s="45" t="n">
        <f aca="false">IF(OR($A79="",$W79=0),0,INDEX(仪器设备工时分配表!$F$6:$F$245,$W79))</f>
        <v>0</v>
      </c>
      <c r="H79" s="45" t="n">
        <f aca="false">IF(OR($A79="",$W79=0),0,INDEX(仪器设备工时分配表!$R$6:$R$245,$W79))</f>
        <v>0</v>
      </c>
      <c r="I79" s="28" t="str">
        <f aca="false">IF(OR($A79="",$G79=0),"",$H79/$G79)</f>
        <v/>
      </c>
      <c r="J79" s="27" t="str">
        <f aca="false">IF(OR($A79="",$G79=0),"",ROUND($F79*INDEX(仪器设备工时分配表!$H$6:$H$245,$W79)/$G79,2))</f>
        <v/>
      </c>
      <c r="K79" s="27" t="str">
        <f aca="false">IF(OR($A79="",$G79=0),"",ROUND($F79*INDEX(仪器设备工时分配表!$I$6:$I$245,$W79)/$G79,2))</f>
        <v/>
      </c>
      <c r="L79" s="27" t="str">
        <f aca="false">IF(OR($A79="",$G79=0),"",ROUND($F79*INDEX(仪器设备工时分配表!$J$6:$J$245,$W79)/$G79,2))</f>
        <v/>
      </c>
      <c r="M79" s="27" t="str">
        <f aca="false">IF(OR($A79="",$G79=0),"",ROUND($F79*INDEX(仪器设备工时分配表!$K$6:$K$245,$W79)/$G79,2))</f>
        <v/>
      </c>
      <c r="N79" s="27" t="str">
        <f aca="false">IF(OR($A79="",$G79=0),"",ROUND($F79*INDEX(仪器设备工时分配表!$L$6:$L$245,$W79)/$G79,2))</f>
        <v/>
      </c>
      <c r="O79" s="27" t="str">
        <f aca="false">IF(OR($A79="",$G79=0),"",ROUND($F79*INDEX(仪器设备工时分配表!$M$6:$M$245,$W79)/$G79,2))</f>
        <v/>
      </c>
      <c r="P79" s="27" t="str">
        <f aca="false">IF(OR($A79="",$G79=0),"",ROUND($F79*INDEX(仪器设备工时分配表!$N$6:$N$245,$W79)/$G79,2))</f>
        <v/>
      </c>
      <c r="Q79" s="27" t="str">
        <f aca="false">IF(OR($A79="",$G79=0),"",ROUND($F79*INDEX(仪器设备工时分配表!$O$6:$O$245,$W79)/$G79,2))</f>
        <v/>
      </c>
      <c r="R79" s="27" t="str">
        <f aca="false">IF(OR($A79="",$G79=0),"",ROUND($F79*INDEX(仪器设备工时分配表!$P$6:$P$245,$W79)/$G79,2))</f>
        <v/>
      </c>
      <c r="S79" s="27" t="str">
        <f aca="false">IF(OR($A79="",$G79=0),"",ROUND($F79*INDEX(仪器设备工时分配表!$Q$6:$Q$245,$W79)/$G79,2))</f>
        <v/>
      </c>
      <c r="T79" s="27" t="str">
        <f aca="false">IF($A79="","",ROUND(SUM(J79:S79),2))</f>
        <v/>
      </c>
      <c r="U79" s="27" t="str">
        <f aca="false">IF($A79="","",ROUND($F79-T79,2))</f>
        <v/>
      </c>
      <c r="V79" s="43" t="str">
        <f aca="false">IF($A79="","",IF($D79="无形资产","⚠ 无形资产请在无形资产费用分配表登记",IF($W79=0,"⚠ 工时分配表无此资产当月记录",IF($X79&gt;1,"⚠ 工时分配表存在重复行","√ 正常"))))</f>
        <v/>
      </c>
      <c r="W79" s="47" t="n">
        <f aca="false">IF($A79="",0,IFERROR(MATCH($A79&amp;"|"&amp;$B79,仪器设备工时分配表!$V$6:$V$245,0),0))</f>
        <v>0</v>
      </c>
      <c r="X79" s="47" t="n">
        <f aca="false">IF($A79="",0,COUNTIFS(仪器设备工时分配表!$A$6:$A$245,$A79,仪器设备工时分配表!$B$6:$B$245,$B79))</f>
        <v>0</v>
      </c>
    </row>
    <row r="80" customFormat="false" ht="18" hidden="false" customHeight="true" outlineLevel="0" collapsed="false">
      <c r="A80" s="36"/>
      <c r="B80" s="36"/>
      <c r="C80" s="48" t="str">
        <f aca="false">IF($B80="","",IFERROR(VLOOKUP($B80,资产台账!$B$4:$N$53,2,0)&amp;"","台账中未登记"))</f>
        <v/>
      </c>
      <c r="D80" s="43" t="str">
        <f aca="false">IF($B80="","",IFERROR(VLOOKUP($B80,资产台账!$B$4:$N$53,3,0)&amp;"",""))</f>
        <v/>
      </c>
      <c r="E80" s="43" t="str">
        <f aca="false">IF($B80="","",IFERROR(VLOOKUP($B80,资产台账!$B$4:$N$53,10,0)&amp;"",""))</f>
        <v/>
      </c>
      <c r="F80" s="49" t="str">
        <f aca="false">IF($B80="","",IFERROR(VLOOKUP($B80,资产台账!$B$4:$N$53,9,0),0))</f>
        <v/>
      </c>
      <c r="G80" s="45" t="n">
        <f aca="false">IF(OR($A80="",$W80=0),0,INDEX(仪器设备工时分配表!$F$6:$F$245,$W80))</f>
        <v>0</v>
      </c>
      <c r="H80" s="45" t="n">
        <f aca="false">IF(OR($A80="",$W80=0),0,INDEX(仪器设备工时分配表!$R$6:$R$245,$W80))</f>
        <v>0</v>
      </c>
      <c r="I80" s="28" t="str">
        <f aca="false">IF(OR($A80="",$G80=0),"",$H80/$G80)</f>
        <v/>
      </c>
      <c r="J80" s="27" t="str">
        <f aca="false">IF(OR($A80="",$G80=0),"",ROUND($F80*INDEX(仪器设备工时分配表!$H$6:$H$245,$W80)/$G80,2))</f>
        <v/>
      </c>
      <c r="K80" s="27" t="str">
        <f aca="false">IF(OR($A80="",$G80=0),"",ROUND($F80*INDEX(仪器设备工时分配表!$I$6:$I$245,$W80)/$G80,2))</f>
        <v/>
      </c>
      <c r="L80" s="27" t="str">
        <f aca="false">IF(OR($A80="",$G80=0),"",ROUND($F80*INDEX(仪器设备工时分配表!$J$6:$J$245,$W80)/$G80,2))</f>
        <v/>
      </c>
      <c r="M80" s="27" t="str">
        <f aca="false">IF(OR($A80="",$G80=0),"",ROUND($F80*INDEX(仪器设备工时分配表!$K$6:$K$245,$W80)/$G80,2))</f>
        <v/>
      </c>
      <c r="N80" s="27" t="str">
        <f aca="false">IF(OR($A80="",$G80=0),"",ROUND($F80*INDEX(仪器设备工时分配表!$L$6:$L$245,$W80)/$G80,2))</f>
        <v/>
      </c>
      <c r="O80" s="27" t="str">
        <f aca="false">IF(OR($A80="",$G80=0),"",ROUND($F80*INDEX(仪器设备工时分配表!$M$6:$M$245,$W80)/$G80,2))</f>
        <v/>
      </c>
      <c r="P80" s="27" t="str">
        <f aca="false">IF(OR($A80="",$G80=0),"",ROUND($F80*INDEX(仪器设备工时分配表!$N$6:$N$245,$W80)/$G80,2))</f>
        <v/>
      </c>
      <c r="Q80" s="27" t="str">
        <f aca="false">IF(OR($A80="",$G80=0),"",ROUND($F80*INDEX(仪器设备工时分配表!$O$6:$O$245,$W80)/$G80,2))</f>
        <v/>
      </c>
      <c r="R80" s="27" t="str">
        <f aca="false">IF(OR($A80="",$G80=0),"",ROUND($F80*INDEX(仪器设备工时分配表!$P$6:$P$245,$W80)/$G80,2))</f>
        <v/>
      </c>
      <c r="S80" s="27" t="str">
        <f aca="false">IF(OR($A80="",$G80=0),"",ROUND($F80*INDEX(仪器设备工时分配表!$Q$6:$Q$245,$W80)/$G80,2))</f>
        <v/>
      </c>
      <c r="T80" s="27" t="str">
        <f aca="false">IF($A80="","",ROUND(SUM(J80:S80),2))</f>
        <v/>
      </c>
      <c r="U80" s="27" t="str">
        <f aca="false">IF($A80="","",ROUND($F80-T80,2))</f>
        <v/>
      </c>
      <c r="V80" s="43" t="str">
        <f aca="false">IF($A80="","",IF($D80="无形资产","⚠ 无形资产请在无形资产费用分配表登记",IF($W80=0,"⚠ 工时分配表无此资产当月记录",IF($X80&gt;1,"⚠ 工时分配表存在重复行","√ 正常"))))</f>
        <v/>
      </c>
      <c r="W80" s="47" t="n">
        <f aca="false">IF($A80="",0,IFERROR(MATCH($A80&amp;"|"&amp;$B80,仪器设备工时分配表!$V$6:$V$245,0),0))</f>
        <v>0</v>
      </c>
      <c r="X80" s="47" t="n">
        <f aca="false">IF($A80="",0,COUNTIFS(仪器设备工时分配表!$A$6:$A$245,$A80,仪器设备工时分配表!$B$6:$B$245,$B80))</f>
        <v>0</v>
      </c>
    </row>
    <row r="81" customFormat="false" ht="18" hidden="false" customHeight="true" outlineLevel="0" collapsed="false">
      <c r="A81" s="36"/>
      <c r="B81" s="36"/>
      <c r="C81" s="48" t="str">
        <f aca="false">IF($B81="","",IFERROR(VLOOKUP($B81,资产台账!$B$4:$N$53,2,0)&amp;"","台账中未登记"))</f>
        <v/>
      </c>
      <c r="D81" s="43" t="str">
        <f aca="false">IF($B81="","",IFERROR(VLOOKUP($B81,资产台账!$B$4:$N$53,3,0)&amp;"",""))</f>
        <v/>
      </c>
      <c r="E81" s="43" t="str">
        <f aca="false">IF($B81="","",IFERROR(VLOOKUP($B81,资产台账!$B$4:$N$53,10,0)&amp;"",""))</f>
        <v/>
      </c>
      <c r="F81" s="49" t="str">
        <f aca="false">IF($B81="","",IFERROR(VLOOKUP($B81,资产台账!$B$4:$N$53,9,0),0))</f>
        <v/>
      </c>
      <c r="G81" s="45" t="n">
        <f aca="false">IF(OR($A81="",$W81=0),0,INDEX(仪器设备工时分配表!$F$6:$F$245,$W81))</f>
        <v>0</v>
      </c>
      <c r="H81" s="45" t="n">
        <f aca="false">IF(OR($A81="",$W81=0),0,INDEX(仪器设备工时分配表!$R$6:$R$245,$W81))</f>
        <v>0</v>
      </c>
      <c r="I81" s="28" t="str">
        <f aca="false">IF(OR($A81="",$G81=0),"",$H81/$G81)</f>
        <v/>
      </c>
      <c r="J81" s="27" t="str">
        <f aca="false">IF(OR($A81="",$G81=0),"",ROUND($F81*INDEX(仪器设备工时分配表!$H$6:$H$245,$W81)/$G81,2))</f>
        <v/>
      </c>
      <c r="K81" s="27" t="str">
        <f aca="false">IF(OR($A81="",$G81=0),"",ROUND($F81*INDEX(仪器设备工时分配表!$I$6:$I$245,$W81)/$G81,2))</f>
        <v/>
      </c>
      <c r="L81" s="27" t="str">
        <f aca="false">IF(OR($A81="",$G81=0),"",ROUND($F81*INDEX(仪器设备工时分配表!$J$6:$J$245,$W81)/$G81,2))</f>
        <v/>
      </c>
      <c r="M81" s="27" t="str">
        <f aca="false">IF(OR($A81="",$G81=0),"",ROUND($F81*INDEX(仪器设备工时分配表!$K$6:$K$245,$W81)/$G81,2))</f>
        <v/>
      </c>
      <c r="N81" s="27" t="str">
        <f aca="false">IF(OR($A81="",$G81=0),"",ROUND($F81*INDEX(仪器设备工时分配表!$L$6:$L$245,$W81)/$G81,2))</f>
        <v/>
      </c>
      <c r="O81" s="27" t="str">
        <f aca="false">IF(OR($A81="",$G81=0),"",ROUND($F81*INDEX(仪器设备工时分配表!$M$6:$M$245,$W81)/$G81,2))</f>
        <v/>
      </c>
      <c r="P81" s="27" t="str">
        <f aca="false">IF(OR($A81="",$G81=0),"",ROUND($F81*INDEX(仪器设备工时分配表!$N$6:$N$245,$W81)/$G81,2))</f>
        <v/>
      </c>
      <c r="Q81" s="27" t="str">
        <f aca="false">IF(OR($A81="",$G81=0),"",ROUND($F81*INDEX(仪器设备工时分配表!$O$6:$O$245,$W81)/$G81,2))</f>
        <v/>
      </c>
      <c r="R81" s="27" t="str">
        <f aca="false">IF(OR($A81="",$G81=0),"",ROUND($F81*INDEX(仪器设备工时分配表!$P$6:$P$245,$W81)/$G81,2))</f>
        <v/>
      </c>
      <c r="S81" s="27" t="str">
        <f aca="false">IF(OR($A81="",$G81=0),"",ROUND($F81*INDEX(仪器设备工时分配表!$Q$6:$Q$245,$W81)/$G81,2))</f>
        <v/>
      </c>
      <c r="T81" s="27" t="str">
        <f aca="false">IF($A81="","",ROUND(SUM(J81:S81),2))</f>
        <v/>
      </c>
      <c r="U81" s="27" t="str">
        <f aca="false">IF($A81="","",ROUND($F81-T81,2))</f>
        <v/>
      </c>
      <c r="V81" s="43" t="str">
        <f aca="false">IF($A81="","",IF($D81="无形资产","⚠ 无形资产请在无形资产费用分配表登记",IF($W81=0,"⚠ 工时分配表无此资产当月记录",IF($X81&gt;1,"⚠ 工时分配表存在重复行","√ 正常"))))</f>
        <v/>
      </c>
      <c r="W81" s="47" t="n">
        <f aca="false">IF($A81="",0,IFERROR(MATCH($A81&amp;"|"&amp;$B81,仪器设备工时分配表!$V$6:$V$245,0),0))</f>
        <v>0</v>
      </c>
      <c r="X81" s="47" t="n">
        <f aca="false">IF($A81="",0,COUNTIFS(仪器设备工时分配表!$A$6:$A$245,$A81,仪器设备工时分配表!$B$6:$B$245,$B81))</f>
        <v>0</v>
      </c>
    </row>
    <row r="82" customFormat="false" ht="18" hidden="false" customHeight="true" outlineLevel="0" collapsed="false">
      <c r="A82" s="36"/>
      <c r="B82" s="36"/>
      <c r="C82" s="48" t="str">
        <f aca="false">IF($B82="","",IFERROR(VLOOKUP($B82,资产台账!$B$4:$N$53,2,0)&amp;"","台账中未登记"))</f>
        <v/>
      </c>
      <c r="D82" s="43" t="str">
        <f aca="false">IF($B82="","",IFERROR(VLOOKUP($B82,资产台账!$B$4:$N$53,3,0)&amp;"",""))</f>
        <v/>
      </c>
      <c r="E82" s="43" t="str">
        <f aca="false">IF($B82="","",IFERROR(VLOOKUP($B82,资产台账!$B$4:$N$53,10,0)&amp;"",""))</f>
        <v/>
      </c>
      <c r="F82" s="49" t="str">
        <f aca="false">IF($B82="","",IFERROR(VLOOKUP($B82,资产台账!$B$4:$N$53,9,0),0))</f>
        <v/>
      </c>
      <c r="G82" s="45" t="n">
        <f aca="false">IF(OR($A82="",$W82=0),0,INDEX(仪器设备工时分配表!$F$6:$F$245,$W82))</f>
        <v>0</v>
      </c>
      <c r="H82" s="45" t="n">
        <f aca="false">IF(OR($A82="",$W82=0),0,INDEX(仪器设备工时分配表!$R$6:$R$245,$W82))</f>
        <v>0</v>
      </c>
      <c r="I82" s="28" t="str">
        <f aca="false">IF(OR($A82="",$G82=0),"",$H82/$G82)</f>
        <v/>
      </c>
      <c r="J82" s="27" t="str">
        <f aca="false">IF(OR($A82="",$G82=0),"",ROUND($F82*INDEX(仪器设备工时分配表!$H$6:$H$245,$W82)/$G82,2))</f>
        <v/>
      </c>
      <c r="K82" s="27" t="str">
        <f aca="false">IF(OR($A82="",$G82=0),"",ROUND($F82*INDEX(仪器设备工时分配表!$I$6:$I$245,$W82)/$G82,2))</f>
        <v/>
      </c>
      <c r="L82" s="27" t="str">
        <f aca="false">IF(OR($A82="",$G82=0),"",ROUND($F82*INDEX(仪器设备工时分配表!$J$6:$J$245,$W82)/$G82,2))</f>
        <v/>
      </c>
      <c r="M82" s="27" t="str">
        <f aca="false">IF(OR($A82="",$G82=0),"",ROUND($F82*INDEX(仪器设备工时分配表!$K$6:$K$245,$W82)/$G82,2))</f>
        <v/>
      </c>
      <c r="N82" s="27" t="str">
        <f aca="false">IF(OR($A82="",$G82=0),"",ROUND($F82*INDEX(仪器设备工时分配表!$L$6:$L$245,$W82)/$G82,2))</f>
        <v/>
      </c>
      <c r="O82" s="27" t="str">
        <f aca="false">IF(OR($A82="",$G82=0),"",ROUND($F82*INDEX(仪器设备工时分配表!$M$6:$M$245,$W82)/$G82,2))</f>
        <v/>
      </c>
      <c r="P82" s="27" t="str">
        <f aca="false">IF(OR($A82="",$G82=0),"",ROUND($F82*INDEX(仪器设备工时分配表!$N$6:$N$245,$W82)/$G82,2))</f>
        <v/>
      </c>
      <c r="Q82" s="27" t="str">
        <f aca="false">IF(OR($A82="",$G82=0),"",ROUND($F82*INDEX(仪器设备工时分配表!$O$6:$O$245,$W82)/$G82,2))</f>
        <v/>
      </c>
      <c r="R82" s="27" t="str">
        <f aca="false">IF(OR($A82="",$G82=0),"",ROUND($F82*INDEX(仪器设备工时分配表!$P$6:$P$245,$W82)/$G82,2))</f>
        <v/>
      </c>
      <c r="S82" s="27" t="str">
        <f aca="false">IF(OR($A82="",$G82=0),"",ROUND($F82*INDEX(仪器设备工时分配表!$Q$6:$Q$245,$W82)/$G82,2))</f>
        <v/>
      </c>
      <c r="T82" s="27" t="str">
        <f aca="false">IF($A82="","",ROUND(SUM(J82:S82),2))</f>
        <v/>
      </c>
      <c r="U82" s="27" t="str">
        <f aca="false">IF($A82="","",ROUND($F82-T82,2))</f>
        <v/>
      </c>
      <c r="V82" s="43" t="str">
        <f aca="false">IF($A82="","",IF($D82="无形资产","⚠ 无形资产请在无形资产费用分配表登记",IF($W82=0,"⚠ 工时分配表无此资产当月记录",IF($X82&gt;1,"⚠ 工时分配表存在重复行","√ 正常"))))</f>
        <v/>
      </c>
      <c r="W82" s="47" t="n">
        <f aca="false">IF($A82="",0,IFERROR(MATCH($A82&amp;"|"&amp;$B82,仪器设备工时分配表!$V$6:$V$245,0),0))</f>
        <v>0</v>
      </c>
      <c r="X82" s="47" t="n">
        <f aca="false">IF($A82="",0,COUNTIFS(仪器设备工时分配表!$A$6:$A$245,$A82,仪器设备工时分配表!$B$6:$B$245,$B82))</f>
        <v>0</v>
      </c>
    </row>
    <row r="83" customFormat="false" ht="18" hidden="false" customHeight="true" outlineLevel="0" collapsed="false">
      <c r="A83" s="36"/>
      <c r="B83" s="36"/>
      <c r="C83" s="48" t="str">
        <f aca="false">IF($B83="","",IFERROR(VLOOKUP($B83,资产台账!$B$4:$N$53,2,0)&amp;"","台账中未登记"))</f>
        <v/>
      </c>
      <c r="D83" s="43" t="str">
        <f aca="false">IF($B83="","",IFERROR(VLOOKUP($B83,资产台账!$B$4:$N$53,3,0)&amp;"",""))</f>
        <v/>
      </c>
      <c r="E83" s="43" t="str">
        <f aca="false">IF($B83="","",IFERROR(VLOOKUP($B83,资产台账!$B$4:$N$53,10,0)&amp;"",""))</f>
        <v/>
      </c>
      <c r="F83" s="49" t="str">
        <f aca="false">IF($B83="","",IFERROR(VLOOKUP($B83,资产台账!$B$4:$N$53,9,0),0))</f>
        <v/>
      </c>
      <c r="G83" s="45" t="n">
        <f aca="false">IF(OR($A83="",$W83=0),0,INDEX(仪器设备工时分配表!$F$6:$F$245,$W83))</f>
        <v>0</v>
      </c>
      <c r="H83" s="45" t="n">
        <f aca="false">IF(OR($A83="",$W83=0),0,INDEX(仪器设备工时分配表!$R$6:$R$245,$W83))</f>
        <v>0</v>
      </c>
      <c r="I83" s="28" t="str">
        <f aca="false">IF(OR($A83="",$G83=0),"",$H83/$G83)</f>
        <v/>
      </c>
      <c r="J83" s="27" t="str">
        <f aca="false">IF(OR($A83="",$G83=0),"",ROUND($F83*INDEX(仪器设备工时分配表!$H$6:$H$245,$W83)/$G83,2))</f>
        <v/>
      </c>
      <c r="K83" s="27" t="str">
        <f aca="false">IF(OR($A83="",$G83=0),"",ROUND($F83*INDEX(仪器设备工时分配表!$I$6:$I$245,$W83)/$G83,2))</f>
        <v/>
      </c>
      <c r="L83" s="27" t="str">
        <f aca="false">IF(OR($A83="",$G83=0),"",ROUND($F83*INDEX(仪器设备工时分配表!$J$6:$J$245,$W83)/$G83,2))</f>
        <v/>
      </c>
      <c r="M83" s="27" t="str">
        <f aca="false">IF(OR($A83="",$G83=0),"",ROUND($F83*INDEX(仪器设备工时分配表!$K$6:$K$245,$W83)/$G83,2))</f>
        <v/>
      </c>
      <c r="N83" s="27" t="str">
        <f aca="false">IF(OR($A83="",$G83=0),"",ROUND($F83*INDEX(仪器设备工时分配表!$L$6:$L$245,$W83)/$G83,2))</f>
        <v/>
      </c>
      <c r="O83" s="27" t="str">
        <f aca="false">IF(OR($A83="",$G83=0),"",ROUND($F83*INDEX(仪器设备工时分配表!$M$6:$M$245,$W83)/$G83,2))</f>
        <v/>
      </c>
      <c r="P83" s="27" t="str">
        <f aca="false">IF(OR($A83="",$G83=0),"",ROUND($F83*INDEX(仪器设备工时分配表!$N$6:$N$245,$W83)/$G83,2))</f>
        <v/>
      </c>
      <c r="Q83" s="27" t="str">
        <f aca="false">IF(OR($A83="",$G83=0),"",ROUND($F83*INDEX(仪器设备工时分配表!$O$6:$O$245,$W83)/$G83,2))</f>
        <v/>
      </c>
      <c r="R83" s="27" t="str">
        <f aca="false">IF(OR($A83="",$G83=0),"",ROUND($F83*INDEX(仪器设备工时分配表!$P$6:$P$245,$W83)/$G83,2))</f>
        <v/>
      </c>
      <c r="S83" s="27" t="str">
        <f aca="false">IF(OR($A83="",$G83=0),"",ROUND($F83*INDEX(仪器设备工时分配表!$Q$6:$Q$245,$W83)/$G83,2))</f>
        <v/>
      </c>
      <c r="T83" s="27" t="str">
        <f aca="false">IF($A83="","",ROUND(SUM(J83:S83),2))</f>
        <v/>
      </c>
      <c r="U83" s="27" t="str">
        <f aca="false">IF($A83="","",ROUND($F83-T83,2))</f>
        <v/>
      </c>
      <c r="V83" s="43" t="str">
        <f aca="false">IF($A83="","",IF($D83="无形资产","⚠ 无形资产请在无形资产费用分配表登记",IF($W83=0,"⚠ 工时分配表无此资产当月记录",IF($X83&gt;1,"⚠ 工时分配表存在重复行","√ 正常"))))</f>
        <v/>
      </c>
      <c r="W83" s="47" t="n">
        <f aca="false">IF($A83="",0,IFERROR(MATCH($A83&amp;"|"&amp;$B83,仪器设备工时分配表!$V$6:$V$245,0),0))</f>
        <v>0</v>
      </c>
      <c r="X83" s="47" t="n">
        <f aca="false">IF($A83="",0,COUNTIFS(仪器设备工时分配表!$A$6:$A$245,$A83,仪器设备工时分配表!$B$6:$B$245,$B83))</f>
        <v>0</v>
      </c>
    </row>
    <row r="84" customFormat="false" ht="18" hidden="false" customHeight="true" outlineLevel="0" collapsed="false">
      <c r="A84" s="36"/>
      <c r="B84" s="36"/>
      <c r="C84" s="48" t="str">
        <f aca="false">IF($B84="","",IFERROR(VLOOKUP($B84,资产台账!$B$4:$N$53,2,0)&amp;"","台账中未登记"))</f>
        <v/>
      </c>
      <c r="D84" s="43" t="str">
        <f aca="false">IF($B84="","",IFERROR(VLOOKUP($B84,资产台账!$B$4:$N$53,3,0)&amp;"",""))</f>
        <v/>
      </c>
      <c r="E84" s="43" t="str">
        <f aca="false">IF($B84="","",IFERROR(VLOOKUP($B84,资产台账!$B$4:$N$53,10,0)&amp;"",""))</f>
        <v/>
      </c>
      <c r="F84" s="49" t="str">
        <f aca="false">IF($B84="","",IFERROR(VLOOKUP($B84,资产台账!$B$4:$N$53,9,0),0))</f>
        <v/>
      </c>
      <c r="G84" s="45" t="n">
        <f aca="false">IF(OR($A84="",$W84=0),0,INDEX(仪器设备工时分配表!$F$6:$F$245,$W84))</f>
        <v>0</v>
      </c>
      <c r="H84" s="45" t="n">
        <f aca="false">IF(OR($A84="",$W84=0),0,INDEX(仪器设备工时分配表!$R$6:$R$245,$W84))</f>
        <v>0</v>
      </c>
      <c r="I84" s="28" t="str">
        <f aca="false">IF(OR($A84="",$G84=0),"",$H84/$G84)</f>
        <v/>
      </c>
      <c r="J84" s="27" t="str">
        <f aca="false">IF(OR($A84="",$G84=0),"",ROUND($F84*INDEX(仪器设备工时分配表!$H$6:$H$245,$W84)/$G84,2))</f>
        <v/>
      </c>
      <c r="K84" s="27" t="str">
        <f aca="false">IF(OR($A84="",$G84=0),"",ROUND($F84*INDEX(仪器设备工时分配表!$I$6:$I$245,$W84)/$G84,2))</f>
        <v/>
      </c>
      <c r="L84" s="27" t="str">
        <f aca="false">IF(OR($A84="",$G84=0),"",ROUND($F84*INDEX(仪器设备工时分配表!$J$6:$J$245,$W84)/$G84,2))</f>
        <v/>
      </c>
      <c r="M84" s="27" t="str">
        <f aca="false">IF(OR($A84="",$G84=0),"",ROUND($F84*INDEX(仪器设备工时分配表!$K$6:$K$245,$W84)/$G84,2))</f>
        <v/>
      </c>
      <c r="N84" s="27" t="str">
        <f aca="false">IF(OR($A84="",$G84=0),"",ROUND($F84*INDEX(仪器设备工时分配表!$L$6:$L$245,$W84)/$G84,2))</f>
        <v/>
      </c>
      <c r="O84" s="27" t="str">
        <f aca="false">IF(OR($A84="",$G84=0),"",ROUND($F84*INDEX(仪器设备工时分配表!$M$6:$M$245,$W84)/$G84,2))</f>
        <v/>
      </c>
      <c r="P84" s="27" t="str">
        <f aca="false">IF(OR($A84="",$G84=0),"",ROUND($F84*INDEX(仪器设备工时分配表!$N$6:$N$245,$W84)/$G84,2))</f>
        <v/>
      </c>
      <c r="Q84" s="27" t="str">
        <f aca="false">IF(OR($A84="",$G84=0),"",ROUND($F84*INDEX(仪器设备工时分配表!$O$6:$O$245,$W84)/$G84,2))</f>
        <v/>
      </c>
      <c r="R84" s="27" t="str">
        <f aca="false">IF(OR($A84="",$G84=0),"",ROUND($F84*INDEX(仪器设备工时分配表!$P$6:$P$245,$W84)/$G84,2))</f>
        <v/>
      </c>
      <c r="S84" s="27" t="str">
        <f aca="false">IF(OR($A84="",$G84=0),"",ROUND($F84*INDEX(仪器设备工时分配表!$Q$6:$Q$245,$W84)/$G84,2))</f>
        <v/>
      </c>
      <c r="T84" s="27" t="str">
        <f aca="false">IF($A84="","",ROUND(SUM(J84:S84),2))</f>
        <v/>
      </c>
      <c r="U84" s="27" t="str">
        <f aca="false">IF($A84="","",ROUND($F84-T84,2))</f>
        <v/>
      </c>
      <c r="V84" s="43" t="str">
        <f aca="false">IF($A84="","",IF($D84="无形资产","⚠ 无形资产请在无形资产费用分配表登记",IF($W84=0,"⚠ 工时分配表无此资产当月记录",IF($X84&gt;1,"⚠ 工时分配表存在重复行","√ 正常"))))</f>
        <v/>
      </c>
      <c r="W84" s="47" t="n">
        <f aca="false">IF($A84="",0,IFERROR(MATCH($A84&amp;"|"&amp;$B84,仪器设备工时分配表!$V$6:$V$245,0),0))</f>
        <v>0</v>
      </c>
      <c r="X84" s="47" t="n">
        <f aca="false">IF($A84="",0,COUNTIFS(仪器设备工时分配表!$A$6:$A$245,$A84,仪器设备工时分配表!$B$6:$B$245,$B84))</f>
        <v>0</v>
      </c>
    </row>
    <row r="85" customFormat="false" ht="18" hidden="false" customHeight="true" outlineLevel="0" collapsed="false">
      <c r="A85" s="36"/>
      <c r="B85" s="36"/>
      <c r="C85" s="48" t="str">
        <f aca="false">IF($B85="","",IFERROR(VLOOKUP($B85,资产台账!$B$4:$N$53,2,0)&amp;"","台账中未登记"))</f>
        <v/>
      </c>
      <c r="D85" s="43" t="str">
        <f aca="false">IF($B85="","",IFERROR(VLOOKUP($B85,资产台账!$B$4:$N$53,3,0)&amp;"",""))</f>
        <v/>
      </c>
      <c r="E85" s="43" t="str">
        <f aca="false">IF($B85="","",IFERROR(VLOOKUP($B85,资产台账!$B$4:$N$53,10,0)&amp;"",""))</f>
        <v/>
      </c>
      <c r="F85" s="49" t="str">
        <f aca="false">IF($B85="","",IFERROR(VLOOKUP($B85,资产台账!$B$4:$N$53,9,0),0))</f>
        <v/>
      </c>
      <c r="G85" s="45" t="n">
        <f aca="false">IF(OR($A85="",$W85=0),0,INDEX(仪器设备工时分配表!$F$6:$F$245,$W85))</f>
        <v>0</v>
      </c>
      <c r="H85" s="45" t="n">
        <f aca="false">IF(OR($A85="",$W85=0),0,INDEX(仪器设备工时分配表!$R$6:$R$245,$W85))</f>
        <v>0</v>
      </c>
      <c r="I85" s="28" t="str">
        <f aca="false">IF(OR($A85="",$G85=0),"",$H85/$G85)</f>
        <v/>
      </c>
      <c r="J85" s="27" t="str">
        <f aca="false">IF(OR($A85="",$G85=0),"",ROUND($F85*INDEX(仪器设备工时分配表!$H$6:$H$245,$W85)/$G85,2))</f>
        <v/>
      </c>
      <c r="K85" s="27" t="str">
        <f aca="false">IF(OR($A85="",$G85=0),"",ROUND($F85*INDEX(仪器设备工时分配表!$I$6:$I$245,$W85)/$G85,2))</f>
        <v/>
      </c>
      <c r="L85" s="27" t="str">
        <f aca="false">IF(OR($A85="",$G85=0),"",ROUND($F85*INDEX(仪器设备工时分配表!$J$6:$J$245,$W85)/$G85,2))</f>
        <v/>
      </c>
      <c r="M85" s="27" t="str">
        <f aca="false">IF(OR($A85="",$G85=0),"",ROUND($F85*INDEX(仪器设备工时分配表!$K$6:$K$245,$W85)/$G85,2))</f>
        <v/>
      </c>
      <c r="N85" s="27" t="str">
        <f aca="false">IF(OR($A85="",$G85=0),"",ROUND($F85*INDEX(仪器设备工时分配表!$L$6:$L$245,$W85)/$G85,2))</f>
        <v/>
      </c>
      <c r="O85" s="27" t="str">
        <f aca="false">IF(OR($A85="",$G85=0),"",ROUND($F85*INDEX(仪器设备工时分配表!$M$6:$M$245,$W85)/$G85,2))</f>
        <v/>
      </c>
      <c r="P85" s="27" t="str">
        <f aca="false">IF(OR($A85="",$G85=0),"",ROUND($F85*INDEX(仪器设备工时分配表!$N$6:$N$245,$W85)/$G85,2))</f>
        <v/>
      </c>
      <c r="Q85" s="27" t="str">
        <f aca="false">IF(OR($A85="",$G85=0),"",ROUND($F85*INDEX(仪器设备工时分配表!$O$6:$O$245,$W85)/$G85,2))</f>
        <v/>
      </c>
      <c r="R85" s="27" t="str">
        <f aca="false">IF(OR($A85="",$G85=0),"",ROUND($F85*INDEX(仪器设备工时分配表!$P$6:$P$245,$W85)/$G85,2))</f>
        <v/>
      </c>
      <c r="S85" s="27" t="str">
        <f aca="false">IF(OR($A85="",$G85=0),"",ROUND($F85*INDEX(仪器设备工时分配表!$Q$6:$Q$245,$W85)/$G85,2))</f>
        <v/>
      </c>
      <c r="T85" s="27" t="str">
        <f aca="false">IF($A85="","",ROUND(SUM(J85:S85),2))</f>
        <v/>
      </c>
      <c r="U85" s="27" t="str">
        <f aca="false">IF($A85="","",ROUND($F85-T85,2))</f>
        <v/>
      </c>
      <c r="V85" s="43" t="str">
        <f aca="false">IF($A85="","",IF($D85="无形资产","⚠ 无形资产请在无形资产费用分配表登记",IF($W85=0,"⚠ 工时分配表无此资产当月记录",IF($X85&gt;1,"⚠ 工时分配表存在重复行","√ 正常"))))</f>
        <v/>
      </c>
      <c r="W85" s="47" t="n">
        <f aca="false">IF($A85="",0,IFERROR(MATCH($A85&amp;"|"&amp;$B85,仪器设备工时分配表!$V$6:$V$245,0),0))</f>
        <v>0</v>
      </c>
      <c r="X85" s="47" t="n">
        <f aca="false">IF($A85="",0,COUNTIFS(仪器设备工时分配表!$A$6:$A$245,$A85,仪器设备工时分配表!$B$6:$B$245,$B85))</f>
        <v>0</v>
      </c>
    </row>
    <row r="86" customFormat="false" ht="18" hidden="false" customHeight="true" outlineLevel="0" collapsed="false">
      <c r="A86" s="36"/>
      <c r="B86" s="36"/>
      <c r="C86" s="48" t="str">
        <f aca="false">IF($B86="","",IFERROR(VLOOKUP($B86,资产台账!$B$4:$N$53,2,0)&amp;"","台账中未登记"))</f>
        <v/>
      </c>
      <c r="D86" s="43" t="str">
        <f aca="false">IF($B86="","",IFERROR(VLOOKUP($B86,资产台账!$B$4:$N$53,3,0)&amp;"",""))</f>
        <v/>
      </c>
      <c r="E86" s="43" t="str">
        <f aca="false">IF($B86="","",IFERROR(VLOOKUP($B86,资产台账!$B$4:$N$53,10,0)&amp;"",""))</f>
        <v/>
      </c>
      <c r="F86" s="49" t="str">
        <f aca="false">IF($B86="","",IFERROR(VLOOKUP($B86,资产台账!$B$4:$N$53,9,0),0))</f>
        <v/>
      </c>
      <c r="G86" s="45" t="n">
        <f aca="false">IF(OR($A86="",$W86=0),0,INDEX(仪器设备工时分配表!$F$6:$F$245,$W86))</f>
        <v>0</v>
      </c>
      <c r="H86" s="45" t="n">
        <f aca="false">IF(OR($A86="",$W86=0),0,INDEX(仪器设备工时分配表!$R$6:$R$245,$W86))</f>
        <v>0</v>
      </c>
      <c r="I86" s="28" t="str">
        <f aca="false">IF(OR($A86="",$G86=0),"",$H86/$G86)</f>
        <v/>
      </c>
      <c r="J86" s="27" t="str">
        <f aca="false">IF(OR($A86="",$G86=0),"",ROUND($F86*INDEX(仪器设备工时分配表!$H$6:$H$245,$W86)/$G86,2))</f>
        <v/>
      </c>
      <c r="K86" s="27" t="str">
        <f aca="false">IF(OR($A86="",$G86=0),"",ROUND($F86*INDEX(仪器设备工时分配表!$I$6:$I$245,$W86)/$G86,2))</f>
        <v/>
      </c>
      <c r="L86" s="27" t="str">
        <f aca="false">IF(OR($A86="",$G86=0),"",ROUND($F86*INDEX(仪器设备工时分配表!$J$6:$J$245,$W86)/$G86,2))</f>
        <v/>
      </c>
      <c r="M86" s="27" t="str">
        <f aca="false">IF(OR($A86="",$G86=0),"",ROUND($F86*INDEX(仪器设备工时分配表!$K$6:$K$245,$W86)/$G86,2))</f>
        <v/>
      </c>
      <c r="N86" s="27" t="str">
        <f aca="false">IF(OR($A86="",$G86=0),"",ROUND($F86*INDEX(仪器设备工时分配表!$L$6:$L$245,$W86)/$G86,2))</f>
        <v/>
      </c>
      <c r="O86" s="27" t="str">
        <f aca="false">IF(OR($A86="",$G86=0),"",ROUND($F86*INDEX(仪器设备工时分配表!$M$6:$M$245,$W86)/$G86,2))</f>
        <v/>
      </c>
      <c r="P86" s="27" t="str">
        <f aca="false">IF(OR($A86="",$G86=0),"",ROUND($F86*INDEX(仪器设备工时分配表!$N$6:$N$245,$W86)/$G86,2))</f>
        <v/>
      </c>
      <c r="Q86" s="27" t="str">
        <f aca="false">IF(OR($A86="",$G86=0),"",ROUND($F86*INDEX(仪器设备工时分配表!$O$6:$O$245,$W86)/$G86,2))</f>
        <v/>
      </c>
      <c r="R86" s="27" t="str">
        <f aca="false">IF(OR($A86="",$G86=0),"",ROUND($F86*INDEX(仪器设备工时分配表!$P$6:$P$245,$W86)/$G86,2))</f>
        <v/>
      </c>
      <c r="S86" s="27" t="str">
        <f aca="false">IF(OR($A86="",$G86=0),"",ROUND($F86*INDEX(仪器设备工时分配表!$Q$6:$Q$245,$W86)/$G86,2))</f>
        <v/>
      </c>
      <c r="T86" s="27" t="str">
        <f aca="false">IF($A86="","",ROUND(SUM(J86:S86),2))</f>
        <v/>
      </c>
      <c r="U86" s="27" t="str">
        <f aca="false">IF($A86="","",ROUND($F86-T86,2))</f>
        <v/>
      </c>
      <c r="V86" s="43" t="str">
        <f aca="false">IF($A86="","",IF($D86="无形资产","⚠ 无形资产请在无形资产费用分配表登记",IF($W86=0,"⚠ 工时分配表无此资产当月记录",IF($X86&gt;1,"⚠ 工时分配表存在重复行","√ 正常"))))</f>
        <v/>
      </c>
      <c r="W86" s="47" t="n">
        <f aca="false">IF($A86="",0,IFERROR(MATCH($A86&amp;"|"&amp;$B86,仪器设备工时分配表!$V$6:$V$245,0),0))</f>
        <v>0</v>
      </c>
      <c r="X86" s="47" t="n">
        <f aca="false">IF($A86="",0,COUNTIFS(仪器设备工时分配表!$A$6:$A$245,$A86,仪器设备工时分配表!$B$6:$B$245,$B86))</f>
        <v>0</v>
      </c>
    </row>
    <row r="87" customFormat="false" ht="18" hidden="false" customHeight="true" outlineLevel="0" collapsed="false">
      <c r="A87" s="36"/>
      <c r="B87" s="36"/>
      <c r="C87" s="48" t="str">
        <f aca="false">IF($B87="","",IFERROR(VLOOKUP($B87,资产台账!$B$4:$N$53,2,0)&amp;"","台账中未登记"))</f>
        <v/>
      </c>
      <c r="D87" s="43" t="str">
        <f aca="false">IF($B87="","",IFERROR(VLOOKUP($B87,资产台账!$B$4:$N$53,3,0)&amp;"",""))</f>
        <v/>
      </c>
      <c r="E87" s="43" t="str">
        <f aca="false">IF($B87="","",IFERROR(VLOOKUP($B87,资产台账!$B$4:$N$53,10,0)&amp;"",""))</f>
        <v/>
      </c>
      <c r="F87" s="49" t="str">
        <f aca="false">IF($B87="","",IFERROR(VLOOKUP($B87,资产台账!$B$4:$N$53,9,0),0))</f>
        <v/>
      </c>
      <c r="G87" s="45" t="n">
        <f aca="false">IF(OR($A87="",$W87=0),0,INDEX(仪器设备工时分配表!$F$6:$F$245,$W87))</f>
        <v>0</v>
      </c>
      <c r="H87" s="45" t="n">
        <f aca="false">IF(OR($A87="",$W87=0),0,INDEX(仪器设备工时分配表!$R$6:$R$245,$W87))</f>
        <v>0</v>
      </c>
      <c r="I87" s="28" t="str">
        <f aca="false">IF(OR($A87="",$G87=0),"",$H87/$G87)</f>
        <v/>
      </c>
      <c r="J87" s="27" t="str">
        <f aca="false">IF(OR($A87="",$G87=0),"",ROUND($F87*INDEX(仪器设备工时分配表!$H$6:$H$245,$W87)/$G87,2))</f>
        <v/>
      </c>
      <c r="K87" s="27" t="str">
        <f aca="false">IF(OR($A87="",$G87=0),"",ROUND($F87*INDEX(仪器设备工时分配表!$I$6:$I$245,$W87)/$G87,2))</f>
        <v/>
      </c>
      <c r="L87" s="27" t="str">
        <f aca="false">IF(OR($A87="",$G87=0),"",ROUND($F87*INDEX(仪器设备工时分配表!$J$6:$J$245,$W87)/$G87,2))</f>
        <v/>
      </c>
      <c r="M87" s="27" t="str">
        <f aca="false">IF(OR($A87="",$G87=0),"",ROUND($F87*INDEX(仪器设备工时分配表!$K$6:$K$245,$W87)/$G87,2))</f>
        <v/>
      </c>
      <c r="N87" s="27" t="str">
        <f aca="false">IF(OR($A87="",$G87=0),"",ROUND($F87*INDEX(仪器设备工时分配表!$L$6:$L$245,$W87)/$G87,2))</f>
        <v/>
      </c>
      <c r="O87" s="27" t="str">
        <f aca="false">IF(OR($A87="",$G87=0),"",ROUND($F87*INDEX(仪器设备工时分配表!$M$6:$M$245,$W87)/$G87,2))</f>
        <v/>
      </c>
      <c r="P87" s="27" t="str">
        <f aca="false">IF(OR($A87="",$G87=0),"",ROUND($F87*INDEX(仪器设备工时分配表!$N$6:$N$245,$W87)/$G87,2))</f>
        <v/>
      </c>
      <c r="Q87" s="27" t="str">
        <f aca="false">IF(OR($A87="",$G87=0),"",ROUND($F87*INDEX(仪器设备工时分配表!$O$6:$O$245,$W87)/$G87,2))</f>
        <v/>
      </c>
      <c r="R87" s="27" t="str">
        <f aca="false">IF(OR($A87="",$G87=0),"",ROUND($F87*INDEX(仪器设备工时分配表!$P$6:$P$245,$W87)/$G87,2))</f>
        <v/>
      </c>
      <c r="S87" s="27" t="str">
        <f aca="false">IF(OR($A87="",$G87=0),"",ROUND($F87*INDEX(仪器设备工时分配表!$Q$6:$Q$245,$W87)/$G87,2))</f>
        <v/>
      </c>
      <c r="T87" s="27" t="str">
        <f aca="false">IF($A87="","",ROUND(SUM(J87:S87),2))</f>
        <v/>
      </c>
      <c r="U87" s="27" t="str">
        <f aca="false">IF($A87="","",ROUND($F87-T87,2))</f>
        <v/>
      </c>
      <c r="V87" s="43" t="str">
        <f aca="false">IF($A87="","",IF($D87="无形资产","⚠ 无形资产请在无形资产费用分配表登记",IF($W87=0,"⚠ 工时分配表无此资产当月记录",IF($X87&gt;1,"⚠ 工时分配表存在重复行","√ 正常"))))</f>
        <v/>
      </c>
      <c r="W87" s="47" t="n">
        <f aca="false">IF($A87="",0,IFERROR(MATCH($A87&amp;"|"&amp;$B87,仪器设备工时分配表!$V$6:$V$245,0),0))</f>
        <v>0</v>
      </c>
      <c r="X87" s="47" t="n">
        <f aca="false">IF($A87="",0,COUNTIFS(仪器设备工时分配表!$A$6:$A$245,$A87,仪器设备工时分配表!$B$6:$B$245,$B87))</f>
        <v>0</v>
      </c>
    </row>
    <row r="88" customFormat="false" ht="18" hidden="false" customHeight="true" outlineLevel="0" collapsed="false">
      <c r="A88" s="36"/>
      <c r="B88" s="36"/>
      <c r="C88" s="48" t="str">
        <f aca="false">IF($B88="","",IFERROR(VLOOKUP($B88,资产台账!$B$4:$N$53,2,0)&amp;"","台账中未登记"))</f>
        <v/>
      </c>
      <c r="D88" s="43" t="str">
        <f aca="false">IF($B88="","",IFERROR(VLOOKUP($B88,资产台账!$B$4:$N$53,3,0)&amp;"",""))</f>
        <v/>
      </c>
      <c r="E88" s="43" t="str">
        <f aca="false">IF($B88="","",IFERROR(VLOOKUP($B88,资产台账!$B$4:$N$53,10,0)&amp;"",""))</f>
        <v/>
      </c>
      <c r="F88" s="49" t="str">
        <f aca="false">IF($B88="","",IFERROR(VLOOKUP($B88,资产台账!$B$4:$N$53,9,0),0))</f>
        <v/>
      </c>
      <c r="G88" s="45" t="n">
        <f aca="false">IF(OR($A88="",$W88=0),0,INDEX(仪器设备工时分配表!$F$6:$F$245,$W88))</f>
        <v>0</v>
      </c>
      <c r="H88" s="45" t="n">
        <f aca="false">IF(OR($A88="",$W88=0),0,INDEX(仪器设备工时分配表!$R$6:$R$245,$W88))</f>
        <v>0</v>
      </c>
      <c r="I88" s="28" t="str">
        <f aca="false">IF(OR($A88="",$G88=0),"",$H88/$G88)</f>
        <v/>
      </c>
      <c r="J88" s="27" t="str">
        <f aca="false">IF(OR($A88="",$G88=0),"",ROUND($F88*INDEX(仪器设备工时分配表!$H$6:$H$245,$W88)/$G88,2))</f>
        <v/>
      </c>
      <c r="K88" s="27" t="str">
        <f aca="false">IF(OR($A88="",$G88=0),"",ROUND($F88*INDEX(仪器设备工时分配表!$I$6:$I$245,$W88)/$G88,2))</f>
        <v/>
      </c>
      <c r="L88" s="27" t="str">
        <f aca="false">IF(OR($A88="",$G88=0),"",ROUND($F88*INDEX(仪器设备工时分配表!$J$6:$J$245,$W88)/$G88,2))</f>
        <v/>
      </c>
      <c r="M88" s="27" t="str">
        <f aca="false">IF(OR($A88="",$G88=0),"",ROUND($F88*INDEX(仪器设备工时分配表!$K$6:$K$245,$W88)/$G88,2))</f>
        <v/>
      </c>
      <c r="N88" s="27" t="str">
        <f aca="false">IF(OR($A88="",$G88=0),"",ROUND($F88*INDEX(仪器设备工时分配表!$L$6:$L$245,$W88)/$G88,2))</f>
        <v/>
      </c>
      <c r="O88" s="27" t="str">
        <f aca="false">IF(OR($A88="",$G88=0),"",ROUND($F88*INDEX(仪器设备工时分配表!$M$6:$M$245,$W88)/$G88,2))</f>
        <v/>
      </c>
      <c r="P88" s="27" t="str">
        <f aca="false">IF(OR($A88="",$G88=0),"",ROUND($F88*INDEX(仪器设备工时分配表!$N$6:$N$245,$W88)/$G88,2))</f>
        <v/>
      </c>
      <c r="Q88" s="27" t="str">
        <f aca="false">IF(OR($A88="",$G88=0),"",ROUND($F88*INDEX(仪器设备工时分配表!$O$6:$O$245,$W88)/$G88,2))</f>
        <v/>
      </c>
      <c r="R88" s="27" t="str">
        <f aca="false">IF(OR($A88="",$G88=0),"",ROUND($F88*INDEX(仪器设备工时分配表!$P$6:$P$245,$W88)/$G88,2))</f>
        <v/>
      </c>
      <c r="S88" s="27" t="str">
        <f aca="false">IF(OR($A88="",$G88=0),"",ROUND($F88*INDEX(仪器设备工时分配表!$Q$6:$Q$245,$W88)/$G88,2))</f>
        <v/>
      </c>
      <c r="T88" s="27" t="str">
        <f aca="false">IF($A88="","",ROUND(SUM(J88:S88),2))</f>
        <v/>
      </c>
      <c r="U88" s="27" t="str">
        <f aca="false">IF($A88="","",ROUND($F88-T88,2))</f>
        <v/>
      </c>
      <c r="V88" s="43" t="str">
        <f aca="false">IF($A88="","",IF($D88="无形资产","⚠ 无形资产请在无形资产费用分配表登记",IF($W88=0,"⚠ 工时分配表无此资产当月记录",IF($X88&gt;1,"⚠ 工时分配表存在重复行","√ 正常"))))</f>
        <v/>
      </c>
      <c r="W88" s="47" t="n">
        <f aca="false">IF($A88="",0,IFERROR(MATCH($A88&amp;"|"&amp;$B88,仪器设备工时分配表!$V$6:$V$245,0),0))</f>
        <v>0</v>
      </c>
      <c r="X88" s="47" t="n">
        <f aca="false">IF($A88="",0,COUNTIFS(仪器设备工时分配表!$A$6:$A$245,$A88,仪器设备工时分配表!$B$6:$B$245,$B88))</f>
        <v>0</v>
      </c>
    </row>
    <row r="89" customFormat="false" ht="18" hidden="false" customHeight="true" outlineLevel="0" collapsed="false">
      <c r="A89" s="36"/>
      <c r="B89" s="36"/>
      <c r="C89" s="48" t="str">
        <f aca="false">IF($B89="","",IFERROR(VLOOKUP($B89,资产台账!$B$4:$N$53,2,0)&amp;"","台账中未登记"))</f>
        <v/>
      </c>
      <c r="D89" s="43" t="str">
        <f aca="false">IF($B89="","",IFERROR(VLOOKUP($B89,资产台账!$B$4:$N$53,3,0)&amp;"",""))</f>
        <v/>
      </c>
      <c r="E89" s="43" t="str">
        <f aca="false">IF($B89="","",IFERROR(VLOOKUP($B89,资产台账!$B$4:$N$53,10,0)&amp;"",""))</f>
        <v/>
      </c>
      <c r="F89" s="49" t="str">
        <f aca="false">IF($B89="","",IFERROR(VLOOKUP($B89,资产台账!$B$4:$N$53,9,0),0))</f>
        <v/>
      </c>
      <c r="G89" s="45" t="n">
        <f aca="false">IF(OR($A89="",$W89=0),0,INDEX(仪器设备工时分配表!$F$6:$F$245,$W89))</f>
        <v>0</v>
      </c>
      <c r="H89" s="45" t="n">
        <f aca="false">IF(OR($A89="",$W89=0),0,INDEX(仪器设备工时分配表!$R$6:$R$245,$W89))</f>
        <v>0</v>
      </c>
      <c r="I89" s="28" t="str">
        <f aca="false">IF(OR($A89="",$G89=0),"",$H89/$G89)</f>
        <v/>
      </c>
      <c r="J89" s="27" t="str">
        <f aca="false">IF(OR($A89="",$G89=0),"",ROUND($F89*INDEX(仪器设备工时分配表!$H$6:$H$245,$W89)/$G89,2))</f>
        <v/>
      </c>
      <c r="K89" s="27" t="str">
        <f aca="false">IF(OR($A89="",$G89=0),"",ROUND($F89*INDEX(仪器设备工时分配表!$I$6:$I$245,$W89)/$G89,2))</f>
        <v/>
      </c>
      <c r="L89" s="27" t="str">
        <f aca="false">IF(OR($A89="",$G89=0),"",ROUND($F89*INDEX(仪器设备工时分配表!$J$6:$J$245,$W89)/$G89,2))</f>
        <v/>
      </c>
      <c r="M89" s="27" t="str">
        <f aca="false">IF(OR($A89="",$G89=0),"",ROUND($F89*INDEX(仪器设备工时分配表!$K$6:$K$245,$W89)/$G89,2))</f>
        <v/>
      </c>
      <c r="N89" s="27" t="str">
        <f aca="false">IF(OR($A89="",$G89=0),"",ROUND($F89*INDEX(仪器设备工时分配表!$L$6:$L$245,$W89)/$G89,2))</f>
        <v/>
      </c>
      <c r="O89" s="27" t="str">
        <f aca="false">IF(OR($A89="",$G89=0),"",ROUND($F89*INDEX(仪器设备工时分配表!$M$6:$M$245,$W89)/$G89,2))</f>
        <v/>
      </c>
      <c r="P89" s="27" t="str">
        <f aca="false">IF(OR($A89="",$G89=0),"",ROUND($F89*INDEX(仪器设备工时分配表!$N$6:$N$245,$W89)/$G89,2))</f>
        <v/>
      </c>
      <c r="Q89" s="27" t="str">
        <f aca="false">IF(OR($A89="",$G89=0),"",ROUND($F89*INDEX(仪器设备工时分配表!$O$6:$O$245,$W89)/$G89,2))</f>
        <v/>
      </c>
      <c r="R89" s="27" t="str">
        <f aca="false">IF(OR($A89="",$G89=0),"",ROUND($F89*INDEX(仪器设备工时分配表!$P$6:$P$245,$W89)/$G89,2))</f>
        <v/>
      </c>
      <c r="S89" s="27" t="str">
        <f aca="false">IF(OR($A89="",$G89=0),"",ROUND($F89*INDEX(仪器设备工时分配表!$Q$6:$Q$245,$W89)/$G89,2))</f>
        <v/>
      </c>
      <c r="T89" s="27" t="str">
        <f aca="false">IF($A89="","",ROUND(SUM(J89:S89),2))</f>
        <v/>
      </c>
      <c r="U89" s="27" t="str">
        <f aca="false">IF($A89="","",ROUND($F89-T89,2))</f>
        <v/>
      </c>
      <c r="V89" s="43" t="str">
        <f aca="false">IF($A89="","",IF($D89="无形资产","⚠ 无形资产请在无形资产费用分配表登记",IF($W89=0,"⚠ 工时分配表无此资产当月记录",IF($X89&gt;1,"⚠ 工时分配表存在重复行","√ 正常"))))</f>
        <v/>
      </c>
      <c r="W89" s="47" t="n">
        <f aca="false">IF($A89="",0,IFERROR(MATCH($A89&amp;"|"&amp;$B89,仪器设备工时分配表!$V$6:$V$245,0),0))</f>
        <v>0</v>
      </c>
      <c r="X89" s="47" t="n">
        <f aca="false">IF($A89="",0,COUNTIFS(仪器设备工时分配表!$A$6:$A$245,$A89,仪器设备工时分配表!$B$6:$B$245,$B89))</f>
        <v>0</v>
      </c>
    </row>
    <row r="90" customFormat="false" ht="18" hidden="false" customHeight="true" outlineLevel="0" collapsed="false">
      <c r="A90" s="36"/>
      <c r="B90" s="36"/>
      <c r="C90" s="48" t="str">
        <f aca="false">IF($B90="","",IFERROR(VLOOKUP($B90,资产台账!$B$4:$N$53,2,0)&amp;"","台账中未登记"))</f>
        <v/>
      </c>
      <c r="D90" s="43" t="str">
        <f aca="false">IF($B90="","",IFERROR(VLOOKUP($B90,资产台账!$B$4:$N$53,3,0)&amp;"",""))</f>
        <v/>
      </c>
      <c r="E90" s="43" t="str">
        <f aca="false">IF($B90="","",IFERROR(VLOOKUP($B90,资产台账!$B$4:$N$53,10,0)&amp;"",""))</f>
        <v/>
      </c>
      <c r="F90" s="49" t="str">
        <f aca="false">IF($B90="","",IFERROR(VLOOKUP($B90,资产台账!$B$4:$N$53,9,0),0))</f>
        <v/>
      </c>
      <c r="G90" s="45" t="n">
        <f aca="false">IF(OR($A90="",$W90=0),0,INDEX(仪器设备工时分配表!$F$6:$F$245,$W90))</f>
        <v>0</v>
      </c>
      <c r="H90" s="45" t="n">
        <f aca="false">IF(OR($A90="",$W90=0),0,INDEX(仪器设备工时分配表!$R$6:$R$245,$W90))</f>
        <v>0</v>
      </c>
      <c r="I90" s="28" t="str">
        <f aca="false">IF(OR($A90="",$G90=0),"",$H90/$G90)</f>
        <v/>
      </c>
      <c r="J90" s="27" t="str">
        <f aca="false">IF(OR($A90="",$G90=0),"",ROUND($F90*INDEX(仪器设备工时分配表!$H$6:$H$245,$W90)/$G90,2))</f>
        <v/>
      </c>
      <c r="K90" s="27" t="str">
        <f aca="false">IF(OR($A90="",$G90=0),"",ROUND($F90*INDEX(仪器设备工时分配表!$I$6:$I$245,$W90)/$G90,2))</f>
        <v/>
      </c>
      <c r="L90" s="27" t="str">
        <f aca="false">IF(OR($A90="",$G90=0),"",ROUND($F90*INDEX(仪器设备工时分配表!$J$6:$J$245,$W90)/$G90,2))</f>
        <v/>
      </c>
      <c r="M90" s="27" t="str">
        <f aca="false">IF(OR($A90="",$G90=0),"",ROUND($F90*INDEX(仪器设备工时分配表!$K$6:$K$245,$W90)/$G90,2))</f>
        <v/>
      </c>
      <c r="N90" s="27" t="str">
        <f aca="false">IF(OR($A90="",$G90=0),"",ROUND($F90*INDEX(仪器设备工时分配表!$L$6:$L$245,$W90)/$G90,2))</f>
        <v/>
      </c>
      <c r="O90" s="27" t="str">
        <f aca="false">IF(OR($A90="",$G90=0),"",ROUND($F90*INDEX(仪器设备工时分配表!$M$6:$M$245,$W90)/$G90,2))</f>
        <v/>
      </c>
      <c r="P90" s="27" t="str">
        <f aca="false">IF(OR($A90="",$G90=0),"",ROUND($F90*INDEX(仪器设备工时分配表!$N$6:$N$245,$W90)/$G90,2))</f>
        <v/>
      </c>
      <c r="Q90" s="27" t="str">
        <f aca="false">IF(OR($A90="",$G90=0),"",ROUND($F90*INDEX(仪器设备工时分配表!$O$6:$O$245,$W90)/$G90,2))</f>
        <v/>
      </c>
      <c r="R90" s="27" t="str">
        <f aca="false">IF(OR($A90="",$G90=0),"",ROUND($F90*INDEX(仪器设备工时分配表!$P$6:$P$245,$W90)/$G90,2))</f>
        <v/>
      </c>
      <c r="S90" s="27" t="str">
        <f aca="false">IF(OR($A90="",$G90=0),"",ROUND($F90*INDEX(仪器设备工时分配表!$Q$6:$Q$245,$W90)/$G90,2))</f>
        <v/>
      </c>
      <c r="T90" s="27" t="str">
        <f aca="false">IF($A90="","",ROUND(SUM(J90:S90),2))</f>
        <v/>
      </c>
      <c r="U90" s="27" t="str">
        <f aca="false">IF($A90="","",ROUND($F90-T90,2))</f>
        <v/>
      </c>
      <c r="V90" s="43" t="str">
        <f aca="false">IF($A90="","",IF($D90="无形资产","⚠ 无形资产请在无形资产费用分配表登记",IF($W90=0,"⚠ 工时分配表无此资产当月记录",IF($X90&gt;1,"⚠ 工时分配表存在重复行","√ 正常"))))</f>
        <v/>
      </c>
      <c r="W90" s="47" t="n">
        <f aca="false">IF($A90="",0,IFERROR(MATCH($A90&amp;"|"&amp;$B90,仪器设备工时分配表!$V$6:$V$245,0),0))</f>
        <v>0</v>
      </c>
      <c r="X90" s="47" t="n">
        <f aca="false">IF($A90="",0,COUNTIFS(仪器设备工时分配表!$A$6:$A$245,$A90,仪器设备工时分配表!$B$6:$B$245,$B90))</f>
        <v>0</v>
      </c>
    </row>
    <row r="91" customFormat="false" ht="18" hidden="false" customHeight="true" outlineLevel="0" collapsed="false">
      <c r="A91" s="36"/>
      <c r="B91" s="36"/>
      <c r="C91" s="48" t="str">
        <f aca="false">IF($B91="","",IFERROR(VLOOKUP($B91,资产台账!$B$4:$N$53,2,0)&amp;"","台账中未登记"))</f>
        <v/>
      </c>
      <c r="D91" s="43" t="str">
        <f aca="false">IF($B91="","",IFERROR(VLOOKUP($B91,资产台账!$B$4:$N$53,3,0)&amp;"",""))</f>
        <v/>
      </c>
      <c r="E91" s="43" t="str">
        <f aca="false">IF($B91="","",IFERROR(VLOOKUP($B91,资产台账!$B$4:$N$53,10,0)&amp;"",""))</f>
        <v/>
      </c>
      <c r="F91" s="49" t="str">
        <f aca="false">IF($B91="","",IFERROR(VLOOKUP($B91,资产台账!$B$4:$N$53,9,0),0))</f>
        <v/>
      </c>
      <c r="G91" s="45" t="n">
        <f aca="false">IF(OR($A91="",$W91=0),0,INDEX(仪器设备工时分配表!$F$6:$F$245,$W91))</f>
        <v>0</v>
      </c>
      <c r="H91" s="45" t="n">
        <f aca="false">IF(OR($A91="",$W91=0),0,INDEX(仪器设备工时分配表!$R$6:$R$245,$W91))</f>
        <v>0</v>
      </c>
      <c r="I91" s="28" t="str">
        <f aca="false">IF(OR($A91="",$G91=0),"",$H91/$G91)</f>
        <v/>
      </c>
      <c r="J91" s="27" t="str">
        <f aca="false">IF(OR($A91="",$G91=0),"",ROUND($F91*INDEX(仪器设备工时分配表!$H$6:$H$245,$W91)/$G91,2))</f>
        <v/>
      </c>
      <c r="K91" s="27" t="str">
        <f aca="false">IF(OR($A91="",$G91=0),"",ROUND($F91*INDEX(仪器设备工时分配表!$I$6:$I$245,$W91)/$G91,2))</f>
        <v/>
      </c>
      <c r="L91" s="27" t="str">
        <f aca="false">IF(OR($A91="",$G91=0),"",ROUND($F91*INDEX(仪器设备工时分配表!$J$6:$J$245,$W91)/$G91,2))</f>
        <v/>
      </c>
      <c r="M91" s="27" t="str">
        <f aca="false">IF(OR($A91="",$G91=0),"",ROUND($F91*INDEX(仪器设备工时分配表!$K$6:$K$245,$W91)/$G91,2))</f>
        <v/>
      </c>
      <c r="N91" s="27" t="str">
        <f aca="false">IF(OR($A91="",$G91=0),"",ROUND($F91*INDEX(仪器设备工时分配表!$L$6:$L$245,$W91)/$G91,2))</f>
        <v/>
      </c>
      <c r="O91" s="27" t="str">
        <f aca="false">IF(OR($A91="",$G91=0),"",ROUND($F91*INDEX(仪器设备工时分配表!$M$6:$M$245,$W91)/$G91,2))</f>
        <v/>
      </c>
      <c r="P91" s="27" t="str">
        <f aca="false">IF(OR($A91="",$G91=0),"",ROUND($F91*INDEX(仪器设备工时分配表!$N$6:$N$245,$W91)/$G91,2))</f>
        <v/>
      </c>
      <c r="Q91" s="27" t="str">
        <f aca="false">IF(OR($A91="",$G91=0),"",ROUND($F91*INDEX(仪器设备工时分配表!$O$6:$O$245,$W91)/$G91,2))</f>
        <v/>
      </c>
      <c r="R91" s="27" t="str">
        <f aca="false">IF(OR($A91="",$G91=0),"",ROUND($F91*INDEX(仪器设备工时分配表!$P$6:$P$245,$W91)/$G91,2))</f>
        <v/>
      </c>
      <c r="S91" s="27" t="str">
        <f aca="false">IF(OR($A91="",$G91=0),"",ROUND($F91*INDEX(仪器设备工时分配表!$Q$6:$Q$245,$W91)/$G91,2))</f>
        <v/>
      </c>
      <c r="T91" s="27" t="str">
        <f aca="false">IF($A91="","",ROUND(SUM(J91:S91),2))</f>
        <v/>
      </c>
      <c r="U91" s="27" t="str">
        <f aca="false">IF($A91="","",ROUND($F91-T91,2))</f>
        <v/>
      </c>
      <c r="V91" s="43" t="str">
        <f aca="false">IF($A91="","",IF($D91="无形资产","⚠ 无形资产请在无形资产费用分配表登记",IF($W91=0,"⚠ 工时分配表无此资产当月记录",IF($X91&gt;1,"⚠ 工时分配表存在重复行","√ 正常"))))</f>
        <v/>
      </c>
      <c r="W91" s="47" t="n">
        <f aca="false">IF($A91="",0,IFERROR(MATCH($A91&amp;"|"&amp;$B91,仪器设备工时分配表!$V$6:$V$245,0),0))</f>
        <v>0</v>
      </c>
      <c r="X91" s="47" t="n">
        <f aca="false">IF($A91="",0,COUNTIFS(仪器设备工时分配表!$A$6:$A$245,$A91,仪器设备工时分配表!$B$6:$B$245,$B91))</f>
        <v>0</v>
      </c>
    </row>
    <row r="92" customFormat="false" ht="18" hidden="false" customHeight="true" outlineLevel="0" collapsed="false">
      <c r="A92" s="36"/>
      <c r="B92" s="36"/>
      <c r="C92" s="48" t="str">
        <f aca="false">IF($B92="","",IFERROR(VLOOKUP($B92,资产台账!$B$4:$N$53,2,0)&amp;"","台账中未登记"))</f>
        <v/>
      </c>
      <c r="D92" s="43" t="str">
        <f aca="false">IF($B92="","",IFERROR(VLOOKUP($B92,资产台账!$B$4:$N$53,3,0)&amp;"",""))</f>
        <v/>
      </c>
      <c r="E92" s="43" t="str">
        <f aca="false">IF($B92="","",IFERROR(VLOOKUP($B92,资产台账!$B$4:$N$53,10,0)&amp;"",""))</f>
        <v/>
      </c>
      <c r="F92" s="49" t="str">
        <f aca="false">IF($B92="","",IFERROR(VLOOKUP($B92,资产台账!$B$4:$N$53,9,0),0))</f>
        <v/>
      </c>
      <c r="G92" s="45" t="n">
        <f aca="false">IF(OR($A92="",$W92=0),0,INDEX(仪器设备工时分配表!$F$6:$F$245,$W92))</f>
        <v>0</v>
      </c>
      <c r="H92" s="45" t="n">
        <f aca="false">IF(OR($A92="",$W92=0),0,INDEX(仪器设备工时分配表!$R$6:$R$245,$W92))</f>
        <v>0</v>
      </c>
      <c r="I92" s="28" t="str">
        <f aca="false">IF(OR($A92="",$G92=0),"",$H92/$G92)</f>
        <v/>
      </c>
      <c r="J92" s="27" t="str">
        <f aca="false">IF(OR($A92="",$G92=0),"",ROUND($F92*INDEX(仪器设备工时分配表!$H$6:$H$245,$W92)/$G92,2))</f>
        <v/>
      </c>
      <c r="K92" s="27" t="str">
        <f aca="false">IF(OR($A92="",$G92=0),"",ROUND($F92*INDEX(仪器设备工时分配表!$I$6:$I$245,$W92)/$G92,2))</f>
        <v/>
      </c>
      <c r="L92" s="27" t="str">
        <f aca="false">IF(OR($A92="",$G92=0),"",ROUND($F92*INDEX(仪器设备工时分配表!$J$6:$J$245,$W92)/$G92,2))</f>
        <v/>
      </c>
      <c r="M92" s="27" t="str">
        <f aca="false">IF(OR($A92="",$G92=0),"",ROUND($F92*INDEX(仪器设备工时分配表!$K$6:$K$245,$W92)/$G92,2))</f>
        <v/>
      </c>
      <c r="N92" s="27" t="str">
        <f aca="false">IF(OR($A92="",$G92=0),"",ROUND($F92*INDEX(仪器设备工时分配表!$L$6:$L$245,$W92)/$G92,2))</f>
        <v/>
      </c>
      <c r="O92" s="27" t="str">
        <f aca="false">IF(OR($A92="",$G92=0),"",ROUND($F92*INDEX(仪器设备工时分配表!$M$6:$M$245,$W92)/$G92,2))</f>
        <v/>
      </c>
      <c r="P92" s="27" t="str">
        <f aca="false">IF(OR($A92="",$G92=0),"",ROUND($F92*INDEX(仪器设备工时分配表!$N$6:$N$245,$W92)/$G92,2))</f>
        <v/>
      </c>
      <c r="Q92" s="27" t="str">
        <f aca="false">IF(OR($A92="",$G92=0),"",ROUND($F92*INDEX(仪器设备工时分配表!$O$6:$O$245,$W92)/$G92,2))</f>
        <v/>
      </c>
      <c r="R92" s="27" t="str">
        <f aca="false">IF(OR($A92="",$G92=0),"",ROUND($F92*INDEX(仪器设备工时分配表!$P$6:$P$245,$W92)/$G92,2))</f>
        <v/>
      </c>
      <c r="S92" s="27" t="str">
        <f aca="false">IF(OR($A92="",$G92=0),"",ROUND($F92*INDEX(仪器设备工时分配表!$Q$6:$Q$245,$W92)/$G92,2))</f>
        <v/>
      </c>
      <c r="T92" s="27" t="str">
        <f aca="false">IF($A92="","",ROUND(SUM(J92:S92),2))</f>
        <v/>
      </c>
      <c r="U92" s="27" t="str">
        <f aca="false">IF($A92="","",ROUND($F92-T92,2))</f>
        <v/>
      </c>
      <c r="V92" s="43" t="str">
        <f aca="false">IF($A92="","",IF($D92="无形资产","⚠ 无形资产请在无形资产费用分配表登记",IF($W92=0,"⚠ 工时分配表无此资产当月记录",IF($X92&gt;1,"⚠ 工时分配表存在重复行","√ 正常"))))</f>
        <v/>
      </c>
      <c r="W92" s="47" t="n">
        <f aca="false">IF($A92="",0,IFERROR(MATCH($A92&amp;"|"&amp;$B92,仪器设备工时分配表!$V$6:$V$245,0),0))</f>
        <v>0</v>
      </c>
      <c r="X92" s="47" t="n">
        <f aca="false">IF($A92="",0,COUNTIFS(仪器设备工时分配表!$A$6:$A$245,$A92,仪器设备工时分配表!$B$6:$B$245,$B92))</f>
        <v>0</v>
      </c>
    </row>
    <row r="93" customFormat="false" ht="18" hidden="false" customHeight="true" outlineLevel="0" collapsed="false">
      <c r="A93" s="36"/>
      <c r="B93" s="36"/>
      <c r="C93" s="48" t="str">
        <f aca="false">IF($B93="","",IFERROR(VLOOKUP($B93,资产台账!$B$4:$N$53,2,0)&amp;"","台账中未登记"))</f>
        <v/>
      </c>
      <c r="D93" s="43" t="str">
        <f aca="false">IF($B93="","",IFERROR(VLOOKUP($B93,资产台账!$B$4:$N$53,3,0)&amp;"",""))</f>
        <v/>
      </c>
      <c r="E93" s="43" t="str">
        <f aca="false">IF($B93="","",IFERROR(VLOOKUP($B93,资产台账!$B$4:$N$53,10,0)&amp;"",""))</f>
        <v/>
      </c>
      <c r="F93" s="49" t="str">
        <f aca="false">IF($B93="","",IFERROR(VLOOKUP($B93,资产台账!$B$4:$N$53,9,0),0))</f>
        <v/>
      </c>
      <c r="G93" s="45" t="n">
        <f aca="false">IF(OR($A93="",$W93=0),0,INDEX(仪器设备工时分配表!$F$6:$F$245,$W93))</f>
        <v>0</v>
      </c>
      <c r="H93" s="45" t="n">
        <f aca="false">IF(OR($A93="",$W93=0),0,INDEX(仪器设备工时分配表!$R$6:$R$245,$W93))</f>
        <v>0</v>
      </c>
      <c r="I93" s="28" t="str">
        <f aca="false">IF(OR($A93="",$G93=0),"",$H93/$G93)</f>
        <v/>
      </c>
      <c r="J93" s="27" t="str">
        <f aca="false">IF(OR($A93="",$G93=0),"",ROUND($F93*INDEX(仪器设备工时分配表!$H$6:$H$245,$W93)/$G93,2))</f>
        <v/>
      </c>
      <c r="K93" s="27" t="str">
        <f aca="false">IF(OR($A93="",$G93=0),"",ROUND($F93*INDEX(仪器设备工时分配表!$I$6:$I$245,$W93)/$G93,2))</f>
        <v/>
      </c>
      <c r="L93" s="27" t="str">
        <f aca="false">IF(OR($A93="",$G93=0),"",ROUND($F93*INDEX(仪器设备工时分配表!$J$6:$J$245,$W93)/$G93,2))</f>
        <v/>
      </c>
      <c r="M93" s="27" t="str">
        <f aca="false">IF(OR($A93="",$G93=0),"",ROUND($F93*INDEX(仪器设备工时分配表!$K$6:$K$245,$W93)/$G93,2))</f>
        <v/>
      </c>
      <c r="N93" s="27" t="str">
        <f aca="false">IF(OR($A93="",$G93=0),"",ROUND($F93*INDEX(仪器设备工时分配表!$L$6:$L$245,$W93)/$G93,2))</f>
        <v/>
      </c>
      <c r="O93" s="27" t="str">
        <f aca="false">IF(OR($A93="",$G93=0),"",ROUND($F93*INDEX(仪器设备工时分配表!$M$6:$M$245,$W93)/$G93,2))</f>
        <v/>
      </c>
      <c r="P93" s="27" t="str">
        <f aca="false">IF(OR($A93="",$G93=0),"",ROUND($F93*INDEX(仪器设备工时分配表!$N$6:$N$245,$W93)/$G93,2))</f>
        <v/>
      </c>
      <c r="Q93" s="27" t="str">
        <f aca="false">IF(OR($A93="",$G93=0),"",ROUND($F93*INDEX(仪器设备工时分配表!$O$6:$O$245,$W93)/$G93,2))</f>
        <v/>
      </c>
      <c r="R93" s="27" t="str">
        <f aca="false">IF(OR($A93="",$G93=0),"",ROUND($F93*INDEX(仪器设备工时分配表!$P$6:$P$245,$W93)/$G93,2))</f>
        <v/>
      </c>
      <c r="S93" s="27" t="str">
        <f aca="false">IF(OR($A93="",$G93=0),"",ROUND($F93*INDEX(仪器设备工时分配表!$Q$6:$Q$245,$W93)/$G93,2))</f>
        <v/>
      </c>
      <c r="T93" s="27" t="str">
        <f aca="false">IF($A93="","",ROUND(SUM(J93:S93),2))</f>
        <v/>
      </c>
      <c r="U93" s="27" t="str">
        <f aca="false">IF($A93="","",ROUND($F93-T93,2))</f>
        <v/>
      </c>
      <c r="V93" s="43" t="str">
        <f aca="false">IF($A93="","",IF($D93="无形资产","⚠ 无形资产请在无形资产费用分配表登记",IF($W93=0,"⚠ 工时分配表无此资产当月记录",IF($X93&gt;1,"⚠ 工时分配表存在重复行","√ 正常"))))</f>
        <v/>
      </c>
      <c r="W93" s="47" t="n">
        <f aca="false">IF($A93="",0,IFERROR(MATCH($A93&amp;"|"&amp;$B93,仪器设备工时分配表!$V$6:$V$245,0),0))</f>
        <v>0</v>
      </c>
      <c r="X93" s="47" t="n">
        <f aca="false">IF($A93="",0,COUNTIFS(仪器设备工时分配表!$A$6:$A$245,$A93,仪器设备工时分配表!$B$6:$B$245,$B93))</f>
        <v>0</v>
      </c>
    </row>
    <row r="94" customFormat="false" ht="18" hidden="false" customHeight="true" outlineLevel="0" collapsed="false">
      <c r="A94" s="36"/>
      <c r="B94" s="36"/>
      <c r="C94" s="48" t="str">
        <f aca="false">IF($B94="","",IFERROR(VLOOKUP($B94,资产台账!$B$4:$N$53,2,0)&amp;"","台账中未登记"))</f>
        <v/>
      </c>
      <c r="D94" s="43" t="str">
        <f aca="false">IF($B94="","",IFERROR(VLOOKUP($B94,资产台账!$B$4:$N$53,3,0)&amp;"",""))</f>
        <v/>
      </c>
      <c r="E94" s="43" t="str">
        <f aca="false">IF($B94="","",IFERROR(VLOOKUP($B94,资产台账!$B$4:$N$53,10,0)&amp;"",""))</f>
        <v/>
      </c>
      <c r="F94" s="49" t="str">
        <f aca="false">IF($B94="","",IFERROR(VLOOKUP($B94,资产台账!$B$4:$N$53,9,0),0))</f>
        <v/>
      </c>
      <c r="G94" s="45" t="n">
        <f aca="false">IF(OR($A94="",$W94=0),0,INDEX(仪器设备工时分配表!$F$6:$F$245,$W94))</f>
        <v>0</v>
      </c>
      <c r="H94" s="45" t="n">
        <f aca="false">IF(OR($A94="",$W94=0),0,INDEX(仪器设备工时分配表!$R$6:$R$245,$W94))</f>
        <v>0</v>
      </c>
      <c r="I94" s="28" t="str">
        <f aca="false">IF(OR($A94="",$G94=0),"",$H94/$G94)</f>
        <v/>
      </c>
      <c r="J94" s="27" t="str">
        <f aca="false">IF(OR($A94="",$G94=0),"",ROUND($F94*INDEX(仪器设备工时分配表!$H$6:$H$245,$W94)/$G94,2))</f>
        <v/>
      </c>
      <c r="K94" s="27" t="str">
        <f aca="false">IF(OR($A94="",$G94=0),"",ROUND($F94*INDEX(仪器设备工时分配表!$I$6:$I$245,$W94)/$G94,2))</f>
        <v/>
      </c>
      <c r="L94" s="27" t="str">
        <f aca="false">IF(OR($A94="",$G94=0),"",ROUND($F94*INDEX(仪器设备工时分配表!$J$6:$J$245,$W94)/$G94,2))</f>
        <v/>
      </c>
      <c r="M94" s="27" t="str">
        <f aca="false">IF(OR($A94="",$G94=0),"",ROUND($F94*INDEX(仪器设备工时分配表!$K$6:$K$245,$W94)/$G94,2))</f>
        <v/>
      </c>
      <c r="N94" s="27" t="str">
        <f aca="false">IF(OR($A94="",$G94=0),"",ROUND($F94*INDEX(仪器设备工时分配表!$L$6:$L$245,$W94)/$G94,2))</f>
        <v/>
      </c>
      <c r="O94" s="27" t="str">
        <f aca="false">IF(OR($A94="",$G94=0),"",ROUND($F94*INDEX(仪器设备工时分配表!$M$6:$M$245,$W94)/$G94,2))</f>
        <v/>
      </c>
      <c r="P94" s="27" t="str">
        <f aca="false">IF(OR($A94="",$G94=0),"",ROUND($F94*INDEX(仪器设备工时分配表!$N$6:$N$245,$W94)/$G94,2))</f>
        <v/>
      </c>
      <c r="Q94" s="27" t="str">
        <f aca="false">IF(OR($A94="",$G94=0),"",ROUND($F94*INDEX(仪器设备工时分配表!$O$6:$O$245,$W94)/$G94,2))</f>
        <v/>
      </c>
      <c r="R94" s="27" t="str">
        <f aca="false">IF(OR($A94="",$G94=0),"",ROUND($F94*INDEX(仪器设备工时分配表!$P$6:$P$245,$W94)/$G94,2))</f>
        <v/>
      </c>
      <c r="S94" s="27" t="str">
        <f aca="false">IF(OR($A94="",$G94=0),"",ROUND($F94*INDEX(仪器设备工时分配表!$Q$6:$Q$245,$W94)/$G94,2))</f>
        <v/>
      </c>
      <c r="T94" s="27" t="str">
        <f aca="false">IF($A94="","",ROUND(SUM(J94:S94),2))</f>
        <v/>
      </c>
      <c r="U94" s="27" t="str">
        <f aca="false">IF($A94="","",ROUND($F94-T94,2))</f>
        <v/>
      </c>
      <c r="V94" s="43" t="str">
        <f aca="false">IF($A94="","",IF($D94="无形资产","⚠ 无形资产请在无形资产费用分配表登记",IF($W94=0,"⚠ 工时分配表无此资产当月记录",IF($X94&gt;1,"⚠ 工时分配表存在重复行","√ 正常"))))</f>
        <v/>
      </c>
      <c r="W94" s="47" t="n">
        <f aca="false">IF($A94="",0,IFERROR(MATCH($A94&amp;"|"&amp;$B94,仪器设备工时分配表!$V$6:$V$245,0),0))</f>
        <v>0</v>
      </c>
      <c r="X94" s="47" t="n">
        <f aca="false">IF($A94="",0,COUNTIFS(仪器设备工时分配表!$A$6:$A$245,$A94,仪器设备工时分配表!$B$6:$B$245,$B94))</f>
        <v>0</v>
      </c>
    </row>
    <row r="95" customFormat="false" ht="18" hidden="false" customHeight="true" outlineLevel="0" collapsed="false">
      <c r="A95" s="36"/>
      <c r="B95" s="36"/>
      <c r="C95" s="48" t="str">
        <f aca="false">IF($B95="","",IFERROR(VLOOKUP($B95,资产台账!$B$4:$N$53,2,0)&amp;"","台账中未登记"))</f>
        <v/>
      </c>
      <c r="D95" s="43" t="str">
        <f aca="false">IF($B95="","",IFERROR(VLOOKUP($B95,资产台账!$B$4:$N$53,3,0)&amp;"",""))</f>
        <v/>
      </c>
      <c r="E95" s="43" t="str">
        <f aca="false">IF($B95="","",IFERROR(VLOOKUP($B95,资产台账!$B$4:$N$53,10,0)&amp;"",""))</f>
        <v/>
      </c>
      <c r="F95" s="49" t="str">
        <f aca="false">IF($B95="","",IFERROR(VLOOKUP($B95,资产台账!$B$4:$N$53,9,0),0))</f>
        <v/>
      </c>
      <c r="G95" s="45" t="n">
        <f aca="false">IF(OR($A95="",$W95=0),0,INDEX(仪器设备工时分配表!$F$6:$F$245,$W95))</f>
        <v>0</v>
      </c>
      <c r="H95" s="45" t="n">
        <f aca="false">IF(OR($A95="",$W95=0),0,INDEX(仪器设备工时分配表!$R$6:$R$245,$W95))</f>
        <v>0</v>
      </c>
      <c r="I95" s="28" t="str">
        <f aca="false">IF(OR($A95="",$G95=0),"",$H95/$G95)</f>
        <v/>
      </c>
      <c r="J95" s="27" t="str">
        <f aca="false">IF(OR($A95="",$G95=0),"",ROUND($F95*INDEX(仪器设备工时分配表!$H$6:$H$245,$W95)/$G95,2))</f>
        <v/>
      </c>
      <c r="K95" s="27" t="str">
        <f aca="false">IF(OR($A95="",$G95=0),"",ROUND($F95*INDEX(仪器设备工时分配表!$I$6:$I$245,$W95)/$G95,2))</f>
        <v/>
      </c>
      <c r="L95" s="27" t="str">
        <f aca="false">IF(OR($A95="",$G95=0),"",ROUND($F95*INDEX(仪器设备工时分配表!$J$6:$J$245,$W95)/$G95,2))</f>
        <v/>
      </c>
      <c r="M95" s="27" t="str">
        <f aca="false">IF(OR($A95="",$G95=0),"",ROUND($F95*INDEX(仪器设备工时分配表!$K$6:$K$245,$W95)/$G95,2))</f>
        <v/>
      </c>
      <c r="N95" s="27" t="str">
        <f aca="false">IF(OR($A95="",$G95=0),"",ROUND($F95*INDEX(仪器设备工时分配表!$L$6:$L$245,$W95)/$G95,2))</f>
        <v/>
      </c>
      <c r="O95" s="27" t="str">
        <f aca="false">IF(OR($A95="",$G95=0),"",ROUND($F95*INDEX(仪器设备工时分配表!$M$6:$M$245,$W95)/$G95,2))</f>
        <v/>
      </c>
      <c r="P95" s="27" t="str">
        <f aca="false">IF(OR($A95="",$G95=0),"",ROUND($F95*INDEX(仪器设备工时分配表!$N$6:$N$245,$W95)/$G95,2))</f>
        <v/>
      </c>
      <c r="Q95" s="27" t="str">
        <f aca="false">IF(OR($A95="",$G95=0),"",ROUND($F95*INDEX(仪器设备工时分配表!$O$6:$O$245,$W95)/$G95,2))</f>
        <v/>
      </c>
      <c r="R95" s="27" t="str">
        <f aca="false">IF(OR($A95="",$G95=0),"",ROUND($F95*INDEX(仪器设备工时分配表!$P$6:$P$245,$W95)/$G95,2))</f>
        <v/>
      </c>
      <c r="S95" s="27" t="str">
        <f aca="false">IF(OR($A95="",$G95=0),"",ROUND($F95*INDEX(仪器设备工时分配表!$Q$6:$Q$245,$W95)/$G95,2))</f>
        <v/>
      </c>
      <c r="T95" s="27" t="str">
        <f aca="false">IF($A95="","",ROUND(SUM(J95:S95),2))</f>
        <v/>
      </c>
      <c r="U95" s="27" t="str">
        <f aca="false">IF($A95="","",ROUND($F95-T95,2))</f>
        <v/>
      </c>
      <c r="V95" s="43" t="str">
        <f aca="false">IF($A95="","",IF($D95="无形资产","⚠ 无形资产请在无形资产费用分配表登记",IF($W95=0,"⚠ 工时分配表无此资产当月记录",IF($X95&gt;1,"⚠ 工时分配表存在重复行","√ 正常"))))</f>
        <v/>
      </c>
      <c r="W95" s="47" t="n">
        <f aca="false">IF($A95="",0,IFERROR(MATCH($A95&amp;"|"&amp;$B95,仪器设备工时分配表!$V$6:$V$245,0),0))</f>
        <v>0</v>
      </c>
      <c r="X95" s="47" t="n">
        <f aca="false">IF($A95="",0,COUNTIFS(仪器设备工时分配表!$A$6:$A$245,$A95,仪器设备工时分配表!$B$6:$B$245,$B95))</f>
        <v>0</v>
      </c>
    </row>
    <row r="96" customFormat="false" ht="18" hidden="false" customHeight="true" outlineLevel="0" collapsed="false">
      <c r="A96" s="36"/>
      <c r="B96" s="36"/>
      <c r="C96" s="48" t="str">
        <f aca="false">IF($B96="","",IFERROR(VLOOKUP($B96,资产台账!$B$4:$N$53,2,0)&amp;"","台账中未登记"))</f>
        <v/>
      </c>
      <c r="D96" s="43" t="str">
        <f aca="false">IF($B96="","",IFERROR(VLOOKUP($B96,资产台账!$B$4:$N$53,3,0)&amp;"",""))</f>
        <v/>
      </c>
      <c r="E96" s="43" t="str">
        <f aca="false">IF($B96="","",IFERROR(VLOOKUP($B96,资产台账!$B$4:$N$53,10,0)&amp;"",""))</f>
        <v/>
      </c>
      <c r="F96" s="49" t="str">
        <f aca="false">IF($B96="","",IFERROR(VLOOKUP($B96,资产台账!$B$4:$N$53,9,0),0))</f>
        <v/>
      </c>
      <c r="G96" s="45" t="n">
        <f aca="false">IF(OR($A96="",$W96=0),0,INDEX(仪器设备工时分配表!$F$6:$F$245,$W96))</f>
        <v>0</v>
      </c>
      <c r="H96" s="45" t="n">
        <f aca="false">IF(OR($A96="",$W96=0),0,INDEX(仪器设备工时分配表!$R$6:$R$245,$W96))</f>
        <v>0</v>
      </c>
      <c r="I96" s="28" t="str">
        <f aca="false">IF(OR($A96="",$G96=0),"",$H96/$G96)</f>
        <v/>
      </c>
      <c r="J96" s="27" t="str">
        <f aca="false">IF(OR($A96="",$G96=0),"",ROUND($F96*INDEX(仪器设备工时分配表!$H$6:$H$245,$W96)/$G96,2))</f>
        <v/>
      </c>
      <c r="K96" s="27" t="str">
        <f aca="false">IF(OR($A96="",$G96=0),"",ROUND($F96*INDEX(仪器设备工时分配表!$I$6:$I$245,$W96)/$G96,2))</f>
        <v/>
      </c>
      <c r="L96" s="27" t="str">
        <f aca="false">IF(OR($A96="",$G96=0),"",ROUND($F96*INDEX(仪器设备工时分配表!$J$6:$J$245,$W96)/$G96,2))</f>
        <v/>
      </c>
      <c r="M96" s="27" t="str">
        <f aca="false">IF(OR($A96="",$G96=0),"",ROUND($F96*INDEX(仪器设备工时分配表!$K$6:$K$245,$W96)/$G96,2))</f>
        <v/>
      </c>
      <c r="N96" s="27" t="str">
        <f aca="false">IF(OR($A96="",$G96=0),"",ROUND($F96*INDEX(仪器设备工时分配表!$L$6:$L$245,$W96)/$G96,2))</f>
        <v/>
      </c>
      <c r="O96" s="27" t="str">
        <f aca="false">IF(OR($A96="",$G96=0),"",ROUND($F96*INDEX(仪器设备工时分配表!$M$6:$M$245,$W96)/$G96,2))</f>
        <v/>
      </c>
      <c r="P96" s="27" t="str">
        <f aca="false">IF(OR($A96="",$G96=0),"",ROUND($F96*INDEX(仪器设备工时分配表!$N$6:$N$245,$W96)/$G96,2))</f>
        <v/>
      </c>
      <c r="Q96" s="27" t="str">
        <f aca="false">IF(OR($A96="",$G96=0),"",ROUND($F96*INDEX(仪器设备工时分配表!$O$6:$O$245,$W96)/$G96,2))</f>
        <v/>
      </c>
      <c r="R96" s="27" t="str">
        <f aca="false">IF(OR($A96="",$G96=0),"",ROUND($F96*INDEX(仪器设备工时分配表!$P$6:$P$245,$W96)/$G96,2))</f>
        <v/>
      </c>
      <c r="S96" s="27" t="str">
        <f aca="false">IF(OR($A96="",$G96=0),"",ROUND($F96*INDEX(仪器设备工时分配表!$Q$6:$Q$245,$W96)/$G96,2))</f>
        <v/>
      </c>
      <c r="T96" s="27" t="str">
        <f aca="false">IF($A96="","",ROUND(SUM(J96:S96),2))</f>
        <v/>
      </c>
      <c r="U96" s="27" t="str">
        <f aca="false">IF($A96="","",ROUND($F96-T96,2))</f>
        <v/>
      </c>
      <c r="V96" s="43" t="str">
        <f aca="false">IF($A96="","",IF($D96="无形资产","⚠ 无形资产请在无形资产费用分配表登记",IF($W96=0,"⚠ 工时分配表无此资产当月记录",IF($X96&gt;1,"⚠ 工时分配表存在重复行","√ 正常"))))</f>
        <v/>
      </c>
      <c r="W96" s="47" t="n">
        <f aca="false">IF($A96="",0,IFERROR(MATCH($A96&amp;"|"&amp;$B96,仪器设备工时分配表!$V$6:$V$245,0),0))</f>
        <v>0</v>
      </c>
      <c r="X96" s="47" t="n">
        <f aca="false">IF($A96="",0,COUNTIFS(仪器设备工时分配表!$A$6:$A$245,$A96,仪器设备工时分配表!$B$6:$B$245,$B96))</f>
        <v>0</v>
      </c>
    </row>
    <row r="97" customFormat="false" ht="18" hidden="false" customHeight="true" outlineLevel="0" collapsed="false">
      <c r="A97" s="36"/>
      <c r="B97" s="36"/>
      <c r="C97" s="48" t="str">
        <f aca="false">IF($B97="","",IFERROR(VLOOKUP($B97,资产台账!$B$4:$N$53,2,0)&amp;"","台账中未登记"))</f>
        <v/>
      </c>
      <c r="D97" s="43" t="str">
        <f aca="false">IF($B97="","",IFERROR(VLOOKUP($B97,资产台账!$B$4:$N$53,3,0)&amp;"",""))</f>
        <v/>
      </c>
      <c r="E97" s="43" t="str">
        <f aca="false">IF($B97="","",IFERROR(VLOOKUP($B97,资产台账!$B$4:$N$53,10,0)&amp;"",""))</f>
        <v/>
      </c>
      <c r="F97" s="49" t="str">
        <f aca="false">IF($B97="","",IFERROR(VLOOKUP($B97,资产台账!$B$4:$N$53,9,0),0))</f>
        <v/>
      </c>
      <c r="G97" s="45" t="n">
        <f aca="false">IF(OR($A97="",$W97=0),0,INDEX(仪器设备工时分配表!$F$6:$F$245,$W97))</f>
        <v>0</v>
      </c>
      <c r="H97" s="45" t="n">
        <f aca="false">IF(OR($A97="",$W97=0),0,INDEX(仪器设备工时分配表!$R$6:$R$245,$W97))</f>
        <v>0</v>
      </c>
      <c r="I97" s="28" t="str">
        <f aca="false">IF(OR($A97="",$G97=0),"",$H97/$G97)</f>
        <v/>
      </c>
      <c r="J97" s="27" t="str">
        <f aca="false">IF(OR($A97="",$G97=0),"",ROUND($F97*INDEX(仪器设备工时分配表!$H$6:$H$245,$W97)/$G97,2))</f>
        <v/>
      </c>
      <c r="K97" s="27" t="str">
        <f aca="false">IF(OR($A97="",$G97=0),"",ROUND($F97*INDEX(仪器设备工时分配表!$I$6:$I$245,$W97)/$G97,2))</f>
        <v/>
      </c>
      <c r="L97" s="27" t="str">
        <f aca="false">IF(OR($A97="",$G97=0),"",ROUND($F97*INDEX(仪器设备工时分配表!$J$6:$J$245,$W97)/$G97,2))</f>
        <v/>
      </c>
      <c r="M97" s="27" t="str">
        <f aca="false">IF(OR($A97="",$G97=0),"",ROUND($F97*INDEX(仪器设备工时分配表!$K$6:$K$245,$W97)/$G97,2))</f>
        <v/>
      </c>
      <c r="N97" s="27" t="str">
        <f aca="false">IF(OR($A97="",$G97=0),"",ROUND($F97*INDEX(仪器设备工时分配表!$L$6:$L$245,$W97)/$G97,2))</f>
        <v/>
      </c>
      <c r="O97" s="27" t="str">
        <f aca="false">IF(OR($A97="",$G97=0),"",ROUND($F97*INDEX(仪器设备工时分配表!$M$6:$M$245,$W97)/$G97,2))</f>
        <v/>
      </c>
      <c r="P97" s="27" t="str">
        <f aca="false">IF(OR($A97="",$G97=0),"",ROUND($F97*INDEX(仪器设备工时分配表!$N$6:$N$245,$W97)/$G97,2))</f>
        <v/>
      </c>
      <c r="Q97" s="27" t="str">
        <f aca="false">IF(OR($A97="",$G97=0),"",ROUND($F97*INDEX(仪器设备工时分配表!$O$6:$O$245,$W97)/$G97,2))</f>
        <v/>
      </c>
      <c r="R97" s="27" t="str">
        <f aca="false">IF(OR($A97="",$G97=0),"",ROUND($F97*INDEX(仪器设备工时分配表!$P$6:$P$245,$W97)/$G97,2))</f>
        <v/>
      </c>
      <c r="S97" s="27" t="str">
        <f aca="false">IF(OR($A97="",$G97=0),"",ROUND($F97*INDEX(仪器设备工时分配表!$Q$6:$Q$245,$W97)/$G97,2))</f>
        <v/>
      </c>
      <c r="T97" s="27" t="str">
        <f aca="false">IF($A97="","",ROUND(SUM(J97:S97),2))</f>
        <v/>
      </c>
      <c r="U97" s="27" t="str">
        <f aca="false">IF($A97="","",ROUND($F97-T97,2))</f>
        <v/>
      </c>
      <c r="V97" s="43" t="str">
        <f aca="false">IF($A97="","",IF($D97="无形资产","⚠ 无形资产请在无形资产费用分配表登记",IF($W97=0,"⚠ 工时分配表无此资产当月记录",IF($X97&gt;1,"⚠ 工时分配表存在重复行","√ 正常"))))</f>
        <v/>
      </c>
      <c r="W97" s="47" t="n">
        <f aca="false">IF($A97="",0,IFERROR(MATCH($A97&amp;"|"&amp;$B97,仪器设备工时分配表!$V$6:$V$245,0),0))</f>
        <v>0</v>
      </c>
      <c r="X97" s="47" t="n">
        <f aca="false">IF($A97="",0,COUNTIFS(仪器设备工时分配表!$A$6:$A$245,$A97,仪器设备工时分配表!$B$6:$B$245,$B97))</f>
        <v>0</v>
      </c>
    </row>
    <row r="98" customFormat="false" ht="18" hidden="false" customHeight="true" outlineLevel="0" collapsed="false">
      <c r="A98" s="36"/>
      <c r="B98" s="36"/>
      <c r="C98" s="48" t="str">
        <f aca="false">IF($B98="","",IFERROR(VLOOKUP($B98,资产台账!$B$4:$N$53,2,0)&amp;"","台账中未登记"))</f>
        <v/>
      </c>
      <c r="D98" s="43" t="str">
        <f aca="false">IF($B98="","",IFERROR(VLOOKUP($B98,资产台账!$B$4:$N$53,3,0)&amp;"",""))</f>
        <v/>
      </c>
      <c r="E98" s="43" t="str">
        <f aca="false">IF($B98="","",IFERROR(VLOOKUP($B98,资产台账!$B$4:$N$53,10,0)&amp;"",""))</f>
        <v/>
      </c>
      <c r="F98" s="49" t="str">
        <f aca="false">IF($B98="","",IFERROR(VLOOKUP($B98,资产台账!$B$4:$N$53,9,0),0))</f>
        <v/>
      </c>
      <c r="G98" s="45" t="n">
        <f aca="false">IF(OR($A98="",$W98=0),0,INDEX(仪器设备工时分配表!$F$6:$F$245,$W98))</f>
        <v>0</v>
      </c>
      <c r="H98" s="45" t="n">
        <f aca="false">IF(OR($A98="",$W98=0),0,INDEX(仪器设备工时分配表!$R$6:$R$245,$W98))</f>
        <v>0</v>
      </c>
      <c r="I98" s="28" t="str">
        <f aca="false">IF(OR($A98="",$G98=0),"",$H98/$G98)</f>
        <v/>
      </c>
      <c r="J98" s="27" t="str">
        <f aca="false">IF(OR($A98="",$G98=0),"",ROUND($F98*INDEX(仪器设备工时分配表!$H$6:$H$245,$W98)/$G98,2))</f>
        <v/>
      </c>
      <c r="K98" s="27" t="str">
        <f aca="false">IF(OR($A98="",$G98=0),"",ROUND($F98*INDEX(仪器设备工时分配表!$I$6:$I$245,$W98)/$G98,2))</f>
        <v/>
      </c>
      <c r="L98" s="27" t="str">
        <f aca="false">IF(OR($A98="",$G98=0),"",ROUND($F98*INDEX(仪器设备工时分配表!$J$6:$J$245,$W98)/$G98,2))</f>
        <v/>
      </c>
      <c r="M98" s="27" t="str">
        <f aca="false">IF(OR($A98="",$G98=0),"",ROUND($F98*INDEX(仪器设备工时分配表!$K$6:$K$245,$W98)/$G98,2))</f>
        <v/>
      </c>
      <c r="N98" s="27" t="str">
        <f aca="false">IF(OR($A98="",$G98=0),"",ROUND($F98*INDEX(仪器设备工时分配表!$L$6:$L$245,$W98)/$G98,2))</f>
        <v/>
      </c>
      <c r="O98" s="27" t="str">
        <f aca="false">IF(OR($A98="",$G98=0),"",ROUND($F98*INDEX(仪器设备工时分配表!$M$6:$M$245,$W98)/$G98,2))</f>
        <v/>
      </c>
      <c r="P98" s="27" t="str">
        <f aca="false">IF(OR($A98="",$G98=0),"",ROUND($F98*INDEX(仪器设备工时分配表!$N$6:$N$245,$W98)/$G98,2))</f>
        <v/>
      </c>
      <c r="Q98" s="27" t="str">
        <f aca="false">IF(OR($A98="",$G98=0),"",ROUND($F98*INDEX(仪器设备工时分配表!$O$6:$O$245,$W98)/$G98,2))</f>
        <v/>
      </c>
      <c r="R98" s="27" t="str">
        <f aca="false">IF(OR($A98="",$G98=0),"",ROUND($F98*INDEX(仪器设备工时分配表!$P$6:$P$245,$W98)/$G98,2))</f>
        <v/>
      </c>
      <c r="S98" s="27" t="str">
        <f aca="false">IF(OR($A98="",$G98=0),"",ROUND($F98*INDEX(仪器设备工时分配表!$Q$6:$Q$245,$W98)/$G98,2))</f>
        <v/>
      </c>
      <c r="T98" s="27" t="str">
        <f aca="false">IF($A98="","",ROUND(SUM(J98:S98),2))</f>
        <v/>
      </c>
      <c r="U98" s="27" t="str">
        <f aca="false">IF($A98="","",ROUND($F98-T98,2))</f>
        <v/>
      </c>
      <c r="V98" s="43" t="str">
        <f aca="false">IF($A98="","",IF($D98="无形资产","⚠ 无形资产请在无形资产费用分配表登记",IF($W98=0,"⚠ 工时分配表无此资产当月记录",IF($X98&gt;1,"⚠ 工时分配表存在重复行","√ 正常"))))</f>
        <v/>
      </c>
      <c r="W98" s="47" t="n">
        <f aca="false">IF($A98="",0,IFERROR(MATCH($A98&amp;"|"&amp;$B98,仪器设备工时分配表!$V$6:$V$245,0),0))</f>
        <v>0</v>
      </c>
      <c r="X98" s="47" t="n">
        <f aca="false">IF($A98="",0,COUNTIFS(仪器设备工时分配表!$A$6:$A$245,$A98,仪器设备工时分配表!$B$6:$B$245,$B98))</f>
        <v>0</v>
      </c>
    </row>
    <row r="99" customFormat="false" ht="18" hidden="false" customHeight="true" outlineLevel="0" collapsed="false">
      <c r="A99" s="36"/>
      <c r="B99" s="36"/>
      <c r="C99" s="48" t="str">
        <f aca="false">IF($B99="","",IFERROR(VLOOKUP($B99,资产台账!$B$4:$N$53,2,0)&amp;"","台账中未登记"))</f>
        <v/>
      </c>
      <c r="D99" s="43" t="str">
        <f aca="false">IF($B99="","",IFERROR(VLOOKUP($B99,资产台账!$B$4:$N$53,3,0)&amp;"",""))</f>
        <v/>
      </c>
      <c r="E99" s="43" t="str">
        <f aca="false">IF($B99="","",IFERROR(VLOOKUP($B99,资产台账!$B$4:$N$53,10,0)&amp;"",""))</f>
        <v/>
      </c>
      <c r="F99" s="49" t="str">
        <f aca="false">IF($B99="","",IFERROR(VLOOKUP($B99,资产台账!$B$4:$N$53,9,0),0))</f>
        <v/>
      </c>
      <c r="G99" s="45" t="n">
        <f aca="false">IF(OR($A99="",$W99=0),0,INDEX(仪器设备工时分配表!$F$6:$F$245,$W99))</f>
        <v>0</v>
      </c>
      <c r="H99" s="45" t="n">
        <f aca="false">IF(OR($A99="",$W99=0),0,INDEX(仪器设备工时分配表!$R$6:$R$245,$W99))</f>
        <v>0</v>
      </c>
      <c r="I99" s="28" t="str">
        <f aca="false">IF(OR($A99="",$G99=0),"",$H99/$G99)</f>
        <v/>
      </c>
      <c r="J99" s="27" t="str">
        <f aca="false">IF(OR($A99="",$G99=0),"",ROUND($F99*INDEX(仪器设备工时分配表!$H$6:$H$245,$W99)/$G99,2))</f>
        <v/>
      </c>
      <c r="K99" s="27" t="str">
        <f aca="false">IF(OR($A99="",$G99=0),"",ROUND($F99*INDEX(仪器设备工时分配表!$I$6:$I$245,$W99)/$G99,2))</f>
        <v/>
      </c>
      <c r="L99" s="27" t="str">
        <f aca="false">IF(OR($A99="",$G99=0),"",ROUND($F99*INDEX(仪器设备工时分配表!$J$6:$J$245,$W99)/$G99,2))</f>
        <v/>
      </c>
      <c r="M99" s="27" t="str">
        <f aca="false">IF(OR($A99="",$G99=0),"",ROUND($F99*INDEX(仪器设备工时分配表!$K$6:$K$245,$W99)/$G99,2))</f>
        <v/>
      </c>
      <c r="N99" s="27" t="str">
        <f aca="false">IF(OR($A99="",$G99=0),"",ROUND($F99*INDEX(仪器设备工时分配表!$L$6:$L$245,$W99)/$G99,2))</f>
        <v/>
      </c>
      <c r="O99" s="27" t="str">
        <f aca="false">IF(OR($A99="",$G99=0),"",ROUND($F99*INDEX(仪器设备工时分配表!$M$6:$M$245,$W99)/$G99,2))</f>
        <v/>
      </c>
      <c r="P99" s="27" t="str">
        <f aca="false">IF(OR($A99="",$G99=0),"",ROUND($F99*INDEX(仪器设备工时分配表!$N$6:$N$245,$W99)/$G99,2))</f>
        <v/>
      </c>
      <c r="Q99" s="27" t="str">
        <f aca="false">IF(OR($A99="",$G99=0),"",ROUND($F99*INDEX(仪器设备工时分配表!$O$6:$O$245,$W99)/$G99,2))</f>
        <v/>
      </c>
      <c r="R99" s="27" t="str">
        <f aca="false">IF(OR($A99="",$G99=0),"",ROUND($F99*INDEX(仪器设备工时分配表!$P$6:$P$245,$W99)/$G99,2))</f>
        <v/>
      </c>
      <c r="S99" s="27" t="str">
        <f aca="false">IF(OR($A99="",$G99=0),"",ROUND($F99*INDEX(仪器设备工时分配表!$Q$6:$Q$245,$W99)/$G99,2))</f>
        <v/>
      </c>
      <c r="T99" s="27" t="str">
        <f aca="false">IF($A99="","",ROUND(SUM(J99:S99),2))</f>
        <v/>
      </c>
      <c r="U99" s="27" t="str">
        <f aca="false">IF($A99="","",ROUND($F99-T99,2))</f>
        <v/>
      </c>
      <c r="V99" s="43" t="str">
        <f aca="false">IF($A99="","",IF($D99="无形资产","⚠ 无形资产请在无形资产费用分配表登记",IF($W99=0,"⚠ 工时分配表无此资产当月记录",IF($X99&gt;1,"⚠ 工时分配表存在重复行","√ 正常"))))</f>
        <v/>
      </c>
      <c r="W99" s="47" t="n">
        <f aca="false">IF($A99="",0,IFERROR(MATCH($A99&amp;"|"&amp;$B99,仪器设备工时分配表!$V$6:$V$245,0),0))</f>
        <v>0</v>
      </c>
      <c r="X99" s="47" t="n">
        <f aca="false">IF($A99="",0,COUNTIFS(仪器设备工时分配表!$A$6:$A$245,$A99,仪器设备工时分配表!$B$6:$B$245,$B99))</f>
        <v>0</v>
      </c>
    </row>
    <row r="100" customFormat="false" ht="18" hidden="false" customHeight="true" outlineLevel="0" collapsed="false">
      <c r="A100" s="36"/>
      <c r="B100" s="36"/>
      <c r="C100" s="48" t="str">
        <f aca="false">IF($B100="","",IFERROR(VLOOKUP($B100,资产台账!$B$4:$N$53,2,0)&amp;"","台账中未登记"))</f>
        <v/>
      </c>
      <c r="D100" s="43" t="str">
        <f aca="false">IF($B100="","",IFERROR(VLOOKUP($B100,资产台账!$B$4:$N$53,3,0)&amp;"",""))</f>
        <v/>
      </c>
      <c r="E100" s="43" t="str">
        <f aca="false">IF($B100="","",IFERROR(VLOOKUP($B100,资产台账!$B$4:$N$53,10,0)&amp;"",""))</f>
        <v/>
      </c>
      <c r="F100" s="49" t="str">
        <f aca="false">IF($B100="","",IFERROR(VLOOKUP($B100,资产台账!$B$4:$N$53,9,0),0))</f>
        <v/>
      </c>
      <c r="G100" s="45" t="n">
        <f aca="false">IF(OR($A100="",$W100=0),0,INDEX(仪器设备工时分配表!$F$6:$F$245,$W100))</f>
        <v>0</v>
      </c>
      <c r="H100" s="45" t="n">
        <f aca="false">IF(OR($A100="",$W100=0),0,INDEX(仪器设备工时分配表!$R$6:$R$245,$W100))</f>
        <v>0</v>
      </c>
      <c r="I100" s="28" t="str">
        <f aca="false">IF(OR($A100="",$G100=0),"",$H100/$G100)</f>
        <v/>
      </c>
      <c r="J100" s="27" t="str">
        <f aca="false">IF(OR($A100="",$G100=0),"",ROUND($F100*INDEX(仪器设备工时分配表!$H$6:$H$245,$W100)/$G100,2))</f>
        <v/>
      </c>
      <c r="K100" s="27" t="str">
        <f aca="false">IF(OR($A100="",$G100=0),"",ROUND($F100*INDEX(仪器设备工时分配表!$I$6:$I$245,$W100)/$G100,2))</f>
        <v/>
      </c>
      <c r="L100" s="27" t="str">
        <f aca="false">IF(OR($A100="",$G100=0),"",ROUND($F100*INDEX(仪器设备工时分配表!$J$6:$J$245,$W100)/$G100,2))</f>
        <v/>
      </c>
      <c r="M100" s="27" t="str">
        <f aca="false">IF(OR($A100="",$G100=0),"",ROUND($F100*INDEX(仪器设备工时分配表!$K$6:$K$245,$W100)/$G100,2))</f>
        <v/>
      </c>
      <c r="N100" s="27" t="str">
        <f aca="false">IF(OR($A100="",$G100=0),"",ROUND($F100*INDEX(仪器设备工时分配表!$L$6:$L$245,$W100)/$G100,2))</f>
        <v/>
      </c>
      <c r="O100" s="27" t="str">
        <f aca="false">IF(OR($A100="",$G100=0),"",ROUND($F100*INDEX(仪器设备工时分配表!$M$6:$M$245,$W100)/$G100,2))</f>
        <v/>
      </c>
      <c r="P100" s="27" t="str">
        <f aca="false">IF(OR($A100="",$G100=0),"",ROUND($F100*INDEX(仪器设备工时分配表!$N$6:$N$245,$W100)/$G100,2))</f>
        <v/>
      </c>
      <c r="Q100" s="27" t="str">
        <f aca="false">IF(OR($A100="",$G100=0),"",ROUND($F100*INDEX(仪器设备工时分配表!$O$6:$O$245,$W100)/$G100,2))</f>
        <v/>
      </c>
      <c r="R100" s="27" t="str">
        <f aca="false">IF(OR($A100="",$G100=0),"",ROUND($F100*INDEX(仪器设备工时分配表!$P$6:$P$245,$W100)/$G100,2))</f>
        <v/>
      </c>
      <c r="S100" s="27" t="str">
        <f aca="false">IF(OR($A100="",$G100=0),"",ROUND($F100*INDEX(仪器设备工时分配表!$Q$6:$Q$245,$W100)/$G100,2))</f>
        <v/>
      </c>
      <c r="T100" s="27" t="str">
        <f aca="false">IF($A100="","",ROUND(SUM(J100:S100),2))</f>
        <v/>
      </c>
      <c r="U100" s="27" t="str">
        <f aca="false">IF($A100="","",ROUND($F100-T100,2))</f>
        <v/>
      </c>
      <c r="V100" s="43" t="str">
        <f aca="false">IF($A100="","",IF($D100="无形资产","⚠ 无形资产请在无形资产费用分配表登记",IF($W100=0,"⚠ 工时分配表无此资产当月记录",IF($X100&gt;1,"⚠ 工时分配表存在重复行","√ 正常"))))</f>
        <v/>
      </c>
      <c r="W100" s="47" t="n">
        <f aca="false">IF($A100="",0,IFERROR(MATCH($A100&amp;"|"&amp;$B100,仪器设备工时分配表!$V$6:$V$245,0),0))</f>
        <v>0</v>
      </c>
      <c r="X100" s="47" t="n">
        <f aca="false">IF($A100="",0,COUNTIFS(仪器设备工时分配表!$A$6:$A$245,$A100,仪器设备工时分配表!$B$6:$B$245,$B100))</f>
        <v>0</v>
      </c>
    </row>
    <row r="101" customFormat="false" ht="18" hidden="false" customHeight="true" outlineLevel="0" collapsed="false">
      <c r="A101" s="36"/>
      <c r="B101" s="36"/>
      <c r="C101" s="48" t="str">
        <f aca="false">IF($B101="","",IFERROR(VLOOKUP($B101,资产台账!$B$4:$N$53,2,0)&amp;"","台账中未登记"))</f>
        <v/>
      </c>
      <c r="D101" s="43" t="str">
        <f aca="false">IF($B101="","",IFERROR(VLOOKUP($B101,资产台账!$B$4:$N$53,3,0)&amp;"",""))</f>
        <v/>
      </c>
      <c r="E101" s="43" t="str">
        <f aca="false">IF($B101="","",IFERROR(VLOOKUP($B101,资产台账!$B$4:$N$53,10,0)&amp;"",""))</f>
        <v/>
      </c>
      <c r="F101" s="49" t="str">
        <f aca="false">IF($B101="","",IFERROR(VLOOKUP($B101,资产台账!$B$4:$N$53,9,0),0))</f>
        <v/>
      </c>
      <c r="G101" s="45" t="n">
        <f aca="false">IF(OR($A101="",$W101=0),0,INDEX(仪器设备工时分配表!$F$6:$F$245,$W101))</f>
        <v>0</v>
      </c>
      <c r="H101" s="45" t="n">
        <f aca="false">IF(OR($A101="",$W101=0),0,INDEX(仪器设备工时分配表!$R$6:$R$245,$W101))</f>
        <v>0</v>
      </c>
      <c r="I101" s="28" t="str">
        <f aca="false">IF(OR($A101="",$G101=0),"",$H101/$G101)</f>
        <v/>
      </c>
      <c r="J101" s="27" t="str">
        <f aca="false">IF(OR($A101="",$G101=0),"",ROUND($F101*INDEX(仪器设备工时分配表!$H$6:$H$245,$W101)/$G101,2))</f>
        <v/>
      </c>
      <c r="K101" s="27" t="str">
        <f aca="false">IF(OR($A101="",$G101=0),"",ROUND($F101*INDEX(仪器设备工时分配表!$I$6:$I$245,$W101)/$G101,2))</f>
        <v/>
      </c>
      <c r="L101" s="27" t="str">
        <f aca="false">IF(OR($A101="",$G101=0),"",ROUND($F101*INDEX(仪器设备工时分配表!$J$6:$J$245,$W101)/$G101,2))</f>
        <v/>
      </c>
      <c r="M101" s="27" t="str">
        <f aca="false">IF(OR($A101="",$G101=0),"",ROUND($F101*INDEX(仪器设备工时分配表!$K$6:$K$245,$W101)/$G101,2))</f>
        <v/>
      </c>
      <c r="N101" s="27" t="str">
        <f aca="false">IF(OR($A101="",$G101=0),"",ROUND($F101*INDEX(仪器设备工时分配表!$L$6:$L$245,$W101)/$G101,2))</f>
        <v/>
      </c>
      <c r="O101" s="27" t="str">
        <f aca="false">IF(OR($A101="",$G101=0),"",ROUND($F101*INDEX(仪器设备工时分配表!$M$6:$M$245,$W101)/$G101,2))</f>
        <v/>
      </c>
      <c r="P101" s="27" t="str">
        <f aca="false">IF(OR($A101="",$G101=0),"",ROUND($F101*INDEX(仪器设备工时分配表!$N$6:$N$245,$W101)/$G101,2))</f>
        <v/>
      </c>
      <c r="Q101" s="27" t="str">
        <f aca="false">IF(OR($A101="",$G101=0),"",ROUND($F101*INDEX(仪器设备工时分配表!$O$6:$O$245,$W101)/$G101,2))</f>
        <v/>
      </c>
      <c r="R101" s="27" t="str">
        <f aca="false">IF(OR($A101="",$G101=0),"",ROUND($F101*INDEX(仪器设备工时分配表!$P$6:$P$245,$W101)/$G101,2))</f>
        <v/>
      </c>
      <c r="S101" s="27" t="str">
        <f aca="false">IF(OR($A101="",$G101=0),"",ROUND($F101*INDEX(仪器设备工时分配表!$Q$6:$Q$245,$W101)/$G101,2))</f>
        <v/>
      </c>
      <c r="T101" s="27" t="str">
        <f aca="false">IF($A101="","",ROUND(SUM(J101:S101),2))</f>
        <v/>
      </c>
      <c r="U101" s="27" t="str">
        <f aca="false">IF($A101="","",ROUND($F101-T101,2))</f>
        <v/>
      </c>
      <c r="V101" s="43" t="str">
        <f aca="false">IF($A101="","",IF($D101="无形资产","⚠ 无形资产请在无形资产费用分配表登记",IF($W101=0,"⚠ 工时分配表无此资产当月记录",IF($X101&gt;1,"⚠ 工时分配表存在重复行","√ 正常"))))</f>
        <v/>
      </c>
      <c r="W101" s="47" t="n">
        <f aca="false">IF($A101="",0,IFERROR(MATCH($A101&amp;"|"&amp;$B101,仪器设备工时分配表!$V$6:$V$245,0),0))</f>
        <v>0</v>
      </c>
      <c r="X101" s="47" t="n">
        <f aca="false">IF($A101="",0,COUNTIFS(仪器设备工时分配表!$A$6:$A$245,$A101,仪器设备工时分配表!$B$6:$B$245,$B101))</f>
        <v>0</v>
      </c>
    </row>
    <row r="102" customFormat="false" ht="18" hidden="false" customHeight="true" outlineLevel="0" collapsed="false">
      <c r="A102" s="36"/>
      <c r="B102" s="36"/>
      <c r="C102" s="48" t="str">
        <f aca="false">IF($B102="","",IFERROR(VLOOKUP($B102,资产台账!$B$4:$N$53,2,0)&amp;"","台账中未登记"))</f>
        <v/>
      </c>
      <c r="D102" s="43" t="str">
        <f aca="false">IF($B102="","",IFERROR(VLOOKUP($B102,资产台账!$B$4:$N$53,3,0)&amp;"",""))</f>
        <v/>
      </c>
      <c r="E102" s="43" t="str">
        <f aca="false">IF($B102="","",IFERROR(VLOOKUP($B102,资产台账!$B$4:$N$53,10,0)&amp;"",""))</f>
        <v/>
      </c>
      <c r="F102" s="49" t="str">
        <f aca="false">IF($B102="","",IFERROR(VLOOKUP($B102,资产台账!$B$4:$N$53,9,0),0))</f>
        <v/>
      </c>
      <c r="G102" s="45" t="n">
        <f aca="false">IF(OR($A102="",$W102=0),0,INDEX(仪器设备工时分配表!$F$6:$F$245,$W102))</f>
        <v>0</v>
      </c>
      <c r="H102" s="45" t="n">
        <f aca="false">IF(OR($A102="",$W102=0),0,INDEX(仪器设备工时分配表!$R$6:$R$245,$W102))</f>
        <v>0</v>
      </c>
      <c r="I102" s="28" t="str">
        <f aca="false">IF(OR($A102="",$G102=0),"",$H102/$G102)</f>
        <v/>
      </c>
      <c r="J102" s="27" t="str">
        <f aca="false">IF(OR($A102="",$G102=0),"",ROUND($F102*INDEX(仪器设备工时分配表!$H$6:$H$245,$W102)/$G102,2))</f>
        <v/>
      </c>
      <c r="K102" s="27" t="str">
        <f aca="false">IF(OR($A102="",$G102=0),"",ROUND($F102*INDEX(仪器设备工时分配表!$I$6:$I$245,$W102)/$G102,2))</f>
        <v/>
      </c>
      <c r="L102" s="27" t="str">
        <f aca="false">IF(OR($A102="",$G102=0),"",ROUND($F102*INDEX(仪器设备工时分配表!$J$6:$J$245,$W102)/$G102,2))</f>
        <v/>
      </c>
      <c r="M102" s="27" t="str">
        <f aca="false">IF(OR($A102="",$G102=0),"",ROUND($F102*INDEX(仪器设备工时分配表!$K$6:$K$245,$W102)/$G102,2))</f>
        <v/>
      </c>
      <c r="N102" s="27" t="str">
        <f aca="false">IF(OR($A102="",$G102=0),"",ROUND($F102*INDEX(仪器设备工时分配表!$L$6:$L$245,$W102)/$G102,2))</f>
        <v/>
      </c>
      <c r="O102" s="27" t="str">
        <f aca="false">IF(OR($A102="",$G102=0),"",ROUND($F102*INDEX(仪器设备工时分配表!$M$6:$M$245,$W102)/$G102,2))</f>
        <v/>
      </c>
      <c r="P102" s="27" t="str">
        <f aca="false">IF(OR($A102="",$G102=0),"",ROUND($F102*INDEX(仪器设备工时分配表!$N$6:$N$245,$W102)/$G102,2))</f>
        <v/>
      </c>
      <c r="Q102" s="27" t="str">
        <f aca="false">IF(OR($A102="",$G102=0),"",ROUND($F102*INDEX(仪器设备工时分配表!$O$6:$O$245,$W102)/$G102,2))</f>
        <v/>
      </c>
      <c r="R102" s="27" t="str">
        <f aca="false">IF(OR($A102="",$G102=0),"",ROUND($F102*INDEX(仪器设备工时分配表!$P$6:$P$245,$W102)/$G102,2))</f>
        <v/>
      </c>
      <c r="S102" s="27" t="str">
        <f aca="false">IF(OR($A102="",$G102=0),"",ROUND($F102*INDEX(仪器设备工时分配表!$Q$6:$Q$245,$W102)/$G102,2))</f>
        <v/>
      </c>
      <c r="T102" s="27" t="str">
        <f aca="false">IF($A102="","",ROUND(SUM(J102:S102),2))</f>
        <v/>
      </c>
      <c r="U102" s="27" t="str">
        <f aca="false">IF($A102="","",ROUND($F102-T102,2))</f>
        <v/>
      </c>
      <c r="V102" s="43" t="str">
        <f aca="false">IF($A102="","",IF($D102="无形资产","⚠ 无形资产请在无形资产费用分配表登记",IF($W102=0,"⚠ 工时分配表无此资产当月记录",IF($X102&gt;1,"⚠ 工时分配表存在重复行","√ 正常"))))</f>
        <v/>
      </c>
      <c r="W102" s="47" t="n">
        <f aca="false">IF($A102="",0,IFERROR(MATCH($A102&amp;"|"&amp;$B102,仪器设备工时分配表!$V$6:$V$245,0),0))</f>
        <v>0</v>
      </c>
      <c r="X102" s="47" t="n">
        <f aca="false">IF($A102="",0,COUNTIFS(仪器设备工时分配表!$A$6:$A$245,$A102,仪器设备工时分配表!$B$6:$B$245,$B102))</f>
        <v>0</v>
      </c>
    </row>
    <row r="103" customFormat="false" ht="18" hidden="false" customHeight="true" outlineLevel="0" collapsed="false">
      <c r="A103" s="36"/>
      <c r="B103" s="36"/>
      <c r="C103" s="48" t="str">
        <f aca="false">IF($B103="","",IFERROR(VLOOKUP($B103,资产台账!$B$4:$N$53,2,0)&amp;"","台账中未登记"))</f>
        <v/>
      </c>
      <c r="D103" s="43" t="str">
        <f aca="false">IF($B103="","",IFERROR(VLOOKUP($B103,资产台账!$B$4:$N$53,3,0)&amp;"",""))</f>
        <v/>
      </c>
      <c r="E103" s="43" t="str">
        <f aca="false">IF($B103="","",IFERROR(VLOOKUP($B103,资产台账!$B$4:$N$53,10,0)&amp;"",""))</f>
        <v/>
      </c>
      <c r="F103" s="49" t="str">
        <f aca="false">IF($B103="","",IFERROR(VLOOKUP($B103,资产台账!$B$4:$N$53,9,0),0))</f>
        <v/>
      </c>
      <c r="G103" s="45" t="n">
        <f aca="false">IF(OR($A103="",$W103=0),0,INDEX(仪器设备工时分配表!$F$6:$F$245,$W103))</f>
        <v>0</v>
      </c>
      <c r="H103" s="45" t="n">
        <f aca="false">IF(OR($A103="",$W103=0),0,INDEX(仪器设备工时分配表!$R$6:$R$245,$W103))</f>
        <v>0</v>
      </c>
      <c r="I103" s="28" t="str">
        <f aca="false">IF(OR($A103="",$G103=0),"",$H103/$G103)</f>
        <v/>
      </c>
      <c r="J103" s="27" t="str">
        <f aca="false">IF(OR($A103="",$G103=0),"",ROUND($F103*INDEX(仪器设备工时分配表!$H$6:$H$245,$W103)/$G103,2))</f>
        <v/>
      </c>
      <c r="K103" s="27" t="str">
        <f aca="false">IF(OR($A103="",$G103=0),"",ROUND($F103*INDEX(仪器设备工时分配表!$I$6:$I$245,$W103)/$G103,2))</f>
        <v/>
      </c>
      <c r="L103" s="27" t="str">
        <f aca="false">IF(OR($A103="",$G103=0),"",ROUND($F103*INDEX(仪器设备工时分配表!$J$6:$J$245,$W103)/$G103,2))</f>
        <v/>
      </c>
      <c r="M103" s="27" t="str">
        <f aca="false">IF(OR($A103="",$G103=0),"",ROUND($F103*INDEX(仪器设备工时分配表!$K$6:$K$245,$W103)/$G103,2))</f>
        <v/>
      </c>
      <c r="N103" s="27" t="str">
        <f aca="false">IF(OR($A103="",$G103=0),"",ROUND($F103*INDEX(仪器设备工时分配表!$L$6:$L$245,$W103)/$G103,2))</f>
        <v/>
      </c>
      <c r="O103" s="27" t="str">
        <f aca="false">IF(OR($A103="",$G103=0),"",ROUND($F103*INDEX(仪器设备工时分配表!$M$6:$M$245,$W103)/$G103,2))</f>
        <v/>
      </c>
      <c r="P103" s="27" t="str">
        <f aca="false">IF(OR($A103="",$G103=0),"",ROUND($F103*INDEX(仪器设备工时分配表!$N$6:$N$245,$W103)/$G103,2))</f>
        <v/>
      </c>
      <c r="Q103" s="27" t="str">
        <f aca="false">IF(OR($A103="",$G103=0),"",ROUND($F103*INDEX(仪器设备工时分配表!$O$6:$O$245,$W103)/$G103,2))</f>
        <v/>
      </c>
      <c r="R103" s="27" t="str">
        <f aca="false">IF(OR($A103="",$G103=0),"",ROUND($F103*INDEX(仪器设备工时分配表!$P$6:$P$245,$W103)/$G103,2))</f>
        <v/>
      </c>
      <c r="S103" s="27" t="str">
        <f aca="false">IF(OR($A103="",$G103=0),"",ROUND($F103*INDEX(仪器设备工时分配表!$Q$6:$Q$245,$W103)/$G103,2))</f>
        <v/>
      </c>
      <c r="T103" s="27" t="str">
        <f aca="false">IF($A103="","",ROUND(SUM(J103:S103),2))</f>
        <v/>
      </c>
      <c r="U103" s="27" t="str">
        <f aca="false">IF($A103="","",ROUND($F103-T103,2))</f>
        <v/>
      </c>
      <c r="V103" s="43" t="str">
        <f aca="false">IF($A103="","",IF($D103="无形资产","⚠ 无形资产请在无形资产费用分配表登记",IF($W103=0,"⚠ 工时分配表无此资产当月记录",IF($X103&gt;1,"⚠ 工时分配表存在重复行","√ 正常"))))</f>
        <v/>
      </c>
      <c r="W103" s="47" t="n">
        <f aca="false">IF($A103="",0,IFERROR(MATCH($A103&amp;"|"&amp;$B103,仪器设备工时分配表!$V$6:$V$245,0),0))</f>
        <v>0</v>
      </c>
      <c r="X103" s="47" t="n">
        <f aca="false">IF($A103="",0,COUNTIFS(仪器设备工时分配表!$A$6:$A$245,$A103,仪器设备工时分配表!$B$6:$B$245,$B103))</f>
        <v>0</v>
      </c>
    </row>
    <row r="104" customFormat="false" ht="18" hidden="false" customHeight="true" outlineLevel="0" collapsed="false">
      <c r="A104" s="36"/>
      <c r="B104" s="36"/>
      <c r="C104" s="48" t="str">
        <f aca="false">IF($B104="","",IFERROR(VLOOKUP($B104,资产台账!$B$4:$N$53,2,0)&amp;"","台账中未登记"))</f>
        <v/>
      </c>
      <c r="D104" s="43" t="str">
        <f aca="false">IF($B104="","",IFERROR(VLOOKUP($B104,资产台账!$B$4:$N$53,3,0)&amp;"",""))</f>
        <v/>
      </c>
      <c r="E104" s="43" t="str">
        <f aca="false">IF($B104="","",IFERROR(VLOOKUP($B104,资产台账!$B$4:$N$53,10,0)&amp;"",""))</f>
        <v/>
      </c>
      <c r="F104" s="49" t="str">
        <f aca="false">IF($B104="","",IFERROR(VLOOKUP($B104,资产台账!$B$4:$N$53,9,0),0))</f>
        <v/>
      </c>
      <c r="G104" s="45" t="n">
        <f aca="false">IF(OR($A104="",$W104=0),0,INDEX(仪器设备工时分配表!$F$6:$F$245,$W104))</f>
        <v>0</v>
      </c>
      <c r="H104" s="45" t="n">
        <f aca="false">IF(OR($A104="",$W104=0),0,INDEX(仪器设备工时分配表!$R$6:$R$245,$W104))</f>
        <v>0</v>
      </c>
      <c r="I104" s="28" t="str">
        <f aca="false">IF(OR($A104="",$G104=0),"",$H104/$G104)</f>
        <v/>
      </c>
      <c r="J104" s="27" t="str">
        <f aca="false">IF(OR($A104="",$G104=0),"",ROUND($F104*INDEX(仪器设备工时分配表!$H$6:$H$245,$W104)/$G104,2))</f>
        <v/>
      </c>
      <c r="K104" s="27" t="str">
        <f aca="false">IF(OR($A104="",$G104=0),"",ROUND($F104*INDEX(仪器设备工时分配表!$I$6:$I$245,$W104)/$G104,2))</f>
        <v/>
      </c>
      <c r="L104" s="27" t="str">
        <f aca="false">IF(OR($A104="",$G104=0),"",ROUND($F104*INDEX(仪器设备工时分配表!$J$6:$J$245,$W104)/$G104,2))</f>
        <v/>
      </c>
      <c r="M104" s="27" t="str">
        <f aca="false">IF(OR($A104="",$G104=0),"",ROUND($F104*INDEX(仪器设备工时分配表!$K$6:$K$245,$W104)/$G104,2))</f>
        <v/>
      </c>
      <c r="N104" s="27" t="str">
        <f aca="false">IF(OR($A104="",$G104=0),"",ROUND($F104*INDEX(仪器设备工时分配表!$L$6:$L$245,$W104)/$G104,2))</f>
        <v/>
      </c>
      <c r="O104" s="27" t="str">
        <f aca="false">IF(OR($A104="",$G104=0),"",ROUND($F104*INDEX(仪器设备工时分配表!$M$6:$M$245,$W104)/$G104,2))</f>
        <v/>
      </c>
      <c r="P104" s="27" t="str">
        <f aca="false">IF(OR($A104="",$G104=0),"",ROUND($F104*INDEX(仪器设备工时分配表!$N$6:$N$245,$W104)/$G104,2))</f>
        <v/>
      </c>
      <c r="Q104" s="27" t="str">
        <f aca="false">IF(OR($A104="",$G104=0),"",ROUND($F104*INDEX(仪器设备工时分配表!$O$6:$O$245,$W104)/$G104,2))</f>
        <v/>
      </c>
      <c r="R104" s="27" t="str">
        <f aca="false">IF(OR($A104="",$G104=0),"",ROUND($F104*INDEX(仪器设备工时分配表!$P$6:$P$245,$W104)/$G104,2))</f>
        <v/>
      </c>
      <c r="S104" s="27" t="str">
        <f aca="false">IF(OR($A104="",$G104=0),"",ROUND($F104*INDEX(仪器设备工时分配表!$Q$6:$Q$245,$W104)/$G104,2))</f>
        <v/>
      </c>
      <c r="T104" s="27" t="str">
        <f aca="false">IF($A104="","",ROUND(SUM(J104:S104),2))</f>
        <v/>
      </c>
      <c r="U104" s="27" t="str">
        <f aca="false">IF($A104="","",ROUND($F104-T104,2))</f>
        <v/>
      </c>
      <c r="V104" s="43" t="str">
        <f aca="false">IF($A104="","",IF($D104="无形资产","⚠ 无形资产请在无形资产费用分配表登记",IF($W104=0,"⚠ 工时分配表无此资产当月记录",IF($X104&gt;1,"⚠ 工时分配表存在重复行","√ 正常"))))</f>
        <v/>
      </c>
      <c r="W104" s="47" t="n">
        <f aca="false">IF($A104="",0,IFERROR(MATCH($A104&amp;"|"&amp;$B104,仪器设备工时分配表!$V$6:$V$245,0),0))</f>
        <v>0</v>
      </c>
      <c r="X104" s="47" t="n">
        <f aca="false">IF($A104="",0,COUNTIFS(仪器设备工时分配表!$A$6:$A$245,$A104,仪器设备工时分配表!$B$6:$B$245,$B104))</f>
        <v>0</v>
      </c>
    </row>
    <row r="105" customFormat="false" ht="18" hidden="false" customHeight="true" outlineLevel="0" collapsed="false">
      <c r="A105" s="36"/>
      <c r="B105" s="36"/>
      <c r="C105" s="48" t="str">
        <f aca="false">IF($B105="","",IFERROR(VLOOKUP($B105,资产台账!$B$4:$N$53,2,0)&amp;"","台账中未登记"))</f>
        <v/>
      </c>
      <c r="D105" s="43" t="str">
        <f aca="false">IF($B105="","",IFERROR(VLOOKUP($B105,资产台账!$B$4:$N$53,3,0)&amp;"",""))</f>
        <v/>
      </c>
      <c r="E105" s="43" t="str">
        <f aca="false">IF($B105="","",IFERROR(VLOOKUP($B105,资产台账!$B$4:$N$53,10,0)&amp;"",""))</f>
        <v/>
      </c>
      <c r="F105" s="49" t="str">
        <f aca="false">IF($B105="","",IFERROR(VLOOKUP($B105,资产台账!$B$4:$N$53,9,0),0))</f>
        <v/>
      </c>
      <c r="G105" s="45" t="n">
        <f aca="false">IF(OR($A105="",$W105=0),0,INDEX(仪器设备工时分配表!$F$6:$F$245,$W105))</f>
        <v>0</v>
      </c>
      <c r="H105" s="45" t="n">
        <f aca="false">IF(OR($A105="",$W105=0),0,INDEX(仪器设备工时分配表!$R$6:$R$245,$W105))</f>
        <v>0</v>
      </c>
      <c r="I105" s="28" t="str">
        <f aca="false">IF(OR($A105="",$G105=0),"",$H105/$G105)</f>
        <v/>
      </c>
      <c r="J105" s="27" t="str">
        <f aca="false">IF(OR($A105="",$G105=0),"",ROUND($F105*INDEX(仪器设备工时分配表!$H$6:$H$245,$W105)/$G105,2))</f>
        <v/>
      </c>
      <c r="K105" s="27" t="str">
        <f aca="false">IF(OR($A105="",$G105=0),"",ROUND($F105*INDEX(仪器设备工时分配表!$I$6:$I$245,$W105)/$G105,2))</f>
        <v/>
      </c>
      <c r="L105" s="27" t="str">
        <f aca="false">IF(OR($A105="",$G105=0),"",ROUND($F105*INDEX(仪器设备工时分配表!$J$6:$J$245,$W105)/$G105,2))</f>
        <v/>
      </c>
      <c r="M105" s="27" t="str">
        <f aca="false">IF(OR($A105="",$G105=0),"",ROUND($F105*INDEX(仪器设备工时分配表!$K$6:$K$245,$W105)/$G105,2))</f>
        <v/>
      </c>
      <c r="N105" s="27" t="str">
        <f aca="false">IF(OR($A105="",$G105=0),"",ROUND($F105*INDEX(仪器设备工时分配表!$L$6:$L$245,$W105)/$G105,2))</f>
        <v/>
      </c>
      <c r="O105" s="27" t="str">
        <f aca="false">IF(OR($A105="",$G105=0),"",ROUND($F105*INDEX(仪器设备工时分配表!$M$6:$M$245,$W105)/$G105,2))</f>
        <v/>
      </c>
      <c r="P105" s="27" t="str">
        <f aca="false">IF(OR($A105="",$G105=0),"",ROUND($F105*INDEX(仪器设备工时分配表!$N$6:$N$245,$W105)/$G105,2))</f>
        <v/>
      </c>
      <c r="Q105" s="27" t="str">
        <f aca="false">IF(OR($A105="",$G105=0),"",ROUND($F105*INDEX(仪器设备工时分配表!$O$6:$O$245,$W105)/$G105,2))</f>
        <v/>
      </c>
      <c r="R105" s="27" t="str">
        <f aca="false">IF(OR($A105="",$G105=0),"",ROUND($F105*INDEX(仪器设备工时分配表!$P$6:$P$245,$W105)/$G105,2))</f>
        <v/>
      </c>
      <c r="S105" s="27" t="str">
        <f aca="false">IF(OR($A105="",$G105=0),"",ROUND($F105*INDEX(仪器设备工时分配表!$Q$6:$Q$245,$W105)/$G105,2))</f>
        <v/>
      </c>
      <c r="T105" s="27" t="str">
        <f aca="false">IF($A105="","",ROUND(SUM(J105:S105),2))</f>
        <v/>
      </c>
      <c r="U105" s="27" t="str">
        <f aca="false">IF($A105="","",ROUND($F105-T105,2))</f>
        <v/>
      </c>
      <c r="V105" s="43" t="str">
        <f aca="false">IF($A105="","",IF($D105="无形资产","⚠ 无形资产请在无形资产费用分配表登记",IF($W105=0,"⚠ 工时分配表无此资产当月记录",IF($X105&gt;1,"⚠ 工时分配表存在重复行","√ 正常"))))</f>
        <v/>
      </c>
      <c r="W105" s="47" t="n">
        <f aca="false">IF($A105="",0,IFERROR(MATCH($A105&amp;"|"&amp;$B105,仪器设备工时分配表!$V$6:$V$245,0),0))</f>
        <v>0</v>
      </c>
      <c r="X105" s="47" t="n">
        <f aca="false">IF($A105="",0,COUNTIFS(仪器设备工时分配表!$A$6:$A$245,$A105,仪器设备工时分配表!$B$6:$B$245,$B105))</f>
        <v>0</v>
      </c>
    </row>
    <row r="106" customFormat="false" ht="18" hidden="false" customHeight="true" outlineLevel="0" collapsed="false">
      <c r="A106" s="36"/>
      <c r="B106" s="36"/>
      <c r="C106" s="48" t="str">
        <f aca="false">IF($B106="","",IFERROR(VLOOKUP($B106,资产台账!$B$4:$N$53,2,0)&amp;"","台账中未登记"))</f>
        <v/>
      </c>
      <c r="D106" s="43" t="str">
        <f aca="false">IF($B106="","",IFERROR(VLOOKUP($B106,资产台账!$B$4:$N$53,3,0)&amp;"",""))</f>
        <v/>
      </c>
      <c r="E106" s="43" t="str">
        <f aca="false">IF($B106="","",IFERROR(VLOOKUP($B106,资产台账!$B$4:$N$53,10,0)&amp;"",""))</f>
        <v/>
      </c>
      <c r="F106" s="49" t="str">
        <f aca="false">IF($B106="","",IFERROR(VLOOKUP($B106,资产台账!$B$4:$N$53,9,0),0))</f>
        <v/>
      </c>
      <c r="G106" s="45" t="n">
        <f aca="false">IF(OR($A106="",$W106=0),0,INDEX(仪器设备工时分配表!$F$6:$F$245,$W106))</f>
        <v>0</v>
      </c>
      <c r="H106" s="45" t="n">
        <f aca="false">IF(OR($A106="",$W106=0),0,INDEX(仪器设备工时分配表!$R$6:$R$245,$W106))</f>
        <v>0</v>
      </c>
      <c r="I106" s="28" t="str">
        <f aca="false">IF(OR($A106="",$G106=0),"",$H106/$G106)</f>
        <v/>
      </c>
      <c r="J106" s="27" t="str">
        <f aca="false">IF(OR($A106="",$G106=0),"",ROUND($F106*INDEX(仪器设备工时分配表!$H$6:$H$245,$W106)/$G106,2))</f>
        <v/>
      </c>
      <c r="K106" s="27" t="str">
        <f aca="false">IF(OR($A106="",$G106=0),"",ROUND($F106*INDEX(仪器设备工时分配表!$I$6:$I$245,$W106)/$G106,2))</f>
        <v/>
      </c>
      <c r="L106" s="27" t="str">
        <f aca="false">IF(OR($A106="",$G106=0),"",ROUND($F106*INDEX(仪器设备工时分配表!$J$6:$J$245,$W106)/$G106,2))</f>
        <v/>
      </c>
      <c r="M106" s="27" t="str">
        <f aca="false">IF(OR($A106="",$G106=0),"",ROUND($F106*INDEX(仪器设备工时分配表!$K$6:$K$245,$W106)/$G106,2))</f>
        <v/>
      </c>
      <c r="N106" s="27" t="str">
        <f aca="false">IF(OR($A106="",$G106=0),"",ROUND($F106*INDEX(仪器设备工时分配表!$L$6:$L$245,$W106)/$G106,2))</f>
        <v/>
      </c>
      <c r="O106" s="27" t="str">
        <f aca="false">IF(OR($A106="",$G106=0),"",ROUND($F106*INDEX(仪器设备工时分配表!$M$6:$M$245,$W106)/$G106,2))</f>
        <v/>
      </c>
      <c r="P106" s="27" t="str">
        <f aca="false">IF(OR($A106="",$G106=0),"",ROUND($F106*INDEX(仪器设备工时分配表!$N$6:$N$245,$W106)/$G106,2))</f>
        <v/>
      </c>
      <c r="Q106" s="27" t="str">
        <f aca="false">IF(OR($A106="",$G106=0),"",ROUND($F106*INDEX(仪器设备工时分配表!$O$6:$O$245,$W106)/$G106,2))</f>
        <v/>
      </c>
      <c r="R106" s="27" t="str">
        <f aca="false">IF(OR($A106="",$G106=0),"",ROUND($F106*INDEX(仪器设备工时分配表!$P$6:$P$245,$W106)/$G106,2))</f>
        <v/>
      </c>
      <c r="S106" s="27" t="str">
        <f aca="false">IF(OR($A106="",$G106=0),"",ROUND($F106*INDEX(仪器设备工时分配表!$Q$6:$Q$245,$W106)/$G106,2))</f>
        <v/>
      </c>
      <c r="T106" s="27" t="str">
        <f aca="false">IF($A106="","",ROUND(SUM(J106:S106),2))</f>
        <v/>
      </c>
      <c r="U106" s="27" t="str">
        <f aca="false">IF($A106="","",ROUND($F106-T106,2))</f>
        <v/>
      </c>
      <c r="V106" s="43" t="str">
        <f aca="false">IF($A106="","",IF($D106="无形资产","⚠ 无形资产请在无形资产费用分配表登记",IF($W106=0,"⚠ 工时分配表无此资产当月记录",IF($X106&gt;1,"⚠ 工时分配表存在重复行","√ 正常"))))</f>
        <v/>
      </c>
      <c r="W106" s="47" t="n">
        <f aca="false">IF($A106="",0,IFERROR(MATCH($A106&amp;"|"&amp;$B106,仪器设备工时分配表!$V$6:$V$245,0),0))</f>
        <v>0</v>
      </c>
      <c r="X106" s="47" t="n">
        <f aca="false">IF($A106="",0,COUNTIFS(仪器设备工时分配表!$A$6:$A$245,$A106,仪器设备工时分配表!$B$6:$B$245,$B106))</f>
        <v>0</v>
      </c>
    </row>
    <row r="107" customFormat="false" ht="18" hidden="false" customHeight="true" outlineLevel="0" collapsed="false">
      <c r="A107" s="36"/>
      <c r="B107" s="36"/>
      <c r="C107" s="48" t="str">
        <f aca="false">IF($B107="","",IFERROR(VLOOKUP($B107,资产台账!$B$4:$N$53,2,0)&amp;"","台账中未登记"))</f>
        <v/>
      </c>
      <c r="D107" s="43" t="str">
        <f aca="false">IF($B107="","",IFERROR(VLOOKUP($B107,资产台账!$B$4:$N$53,3,0)&amp;"",""))</f>
        <v/>
      </c>
      <c r="E107" s="43" t="str">
        <f aca="false">IF($B107="","",IFERROR(VLOOKUP($B107,资产台账!$B$4:$N$53,10,0)&amp;"",""))</f>
        <v/>
      </c>
      <c r="F107" s="49" t="str">
        <f aca="false">IF($B107="","",IFERROR(VLOOKUP($B107,资产台账!$B$4:$N$53,9,0),0))</f>
        <v/>
      </c>
      <c r="G107" s="45" t="n">
        <f aca="false">IF(OR($A107="",$W107=0),0,INDEX(仪器设备工时分配表!$F$6:$F$245,$W107))</f>
        <v>0</v>
      </c>
      <c r="H107" s="45" t="n">
        <f aca="false">IF(OR($A107="",$W107=0),0,INDEX(仪器设备工时分配表!$R$6:$R$245,$W107))</f>
        <v>0</v>
      </c>
      <c r="I107" s="28" t="str">
        <f aca="false">IF(OR($A107="",$G107=0),"",$H107/$G107)</f>
        <v/>
      </c>
      <c r="J107" s="27" t="str">
        <f aca="false">IF(OR($A107="",$G107=0),"",ROUND($F107*INDEX(仪器设备工时分配表!$H$6:$H$245,$W107)/$G107,2))</f>
        <v/>
      </c>
      <c r="K107" s="27" t="str">
        <f aca="false">IF(OR($A107="",$G107=0),"",ROUND($F107*INDEX(仪器设备工时分配表!$I$6:$I$245,$W107)/$G107,2))</f>
        <v/>
      </c>
      <c r="L107" s="27" t="str">
        <f aca="false">IF(OR($A107="",$G107=0),"",ROUND($F107*INDEX(仪器设备工时分配表!$J$6:$J$245,$W107)/$G107,2))</f>
        <v/>
      </c>
      <c r="M107" s="27" t="str">
        <f aca="false">IF(OR($A107="",$G107=0),"",ROUND($F107*INDEX(仪器设备工时分配表!$K$6:$K$245,$W107)/$G107,2))</f>
        <v/>
      </c>
      <c r="N107" s="27" t="str">
        <f aca="false">IF(OR($A107="",$G107=0),"",ROUND($F107*INDEX(仪器设备工时分配表!$L$6:$L$245,$W107)/$G107,2))</f>
        <v/>
      </c>
      <c r="O107" s="27" t="str">
        <f aca="false">IF(OR($A107="",$G107=0),"",ROUND($F107*INDEX(仪器设备工时分配表!$M$6:$M$245,$W107)/$G107,2))</f>
        <v/>
      </c>
      <c r="P107" s="27" t="str">
        <f aca="false">IF(OR($A107="",$G107=0),"",ROUND($F107*INDEX(仪器设备工时分配表!$N$6:$N$245,$W107)/$G107,2))</f>
        <v/>
      </c>
      <c r="Q107" s="27" t="str">
        <f aca="false">IF(OR($A107="",$G107=0),"",ROUND($F107*INDEX(仪器设备工时分配表!$O$6:$O$245,$W107)/$G107,2))</f>
        <v/>
      </c>
      <c r="R107" s="27" t="str">
        <f aca="false">IF(OR($A107="",$G107=0),"",ROUND($F107*INDEX(仪器设备工时分配表!$P$6:$P$245,$W107)/$G107,2))</f>
        <v/>
      </c>
      <c r="S107" s="27" t="str">
        <f aca="false">IF(OR($A107="",$G107=0),"",ROUND($F107*INDEX(仪器设备工时分配表!$Q$6:$Q$245,$W107)/$G107,2))</f>
        <v/>
      </c>
      <c r="T107" s="27" t="str">
        <f aca="false">IF($A107="","",ROUND(SUM(J107:S107),2))</f>
        <v/>
      </c>
      <c r="U107" s="27" t="str">
        <f aca="false">IF($A107="","",ROUND($F107-T107,2))</f>
        <v/>
      </c>
      <c r="V107" s="43" t="str">
        <f aca="false">IF($A107="","",IF($D107="无形资产","⚠ 无形资产请在无形资产费用分配表登记",IF($W107=0,"⚠ 工时分配表无此资产当月记录",IF($X107&gt;1,"⚠ 工时分配表存在重复行","√ 正常"))))</f>
        <v/>
      </c>
      <c r="W107" s="47" t="n">
        <f aca="false">IF($A107="",0,IFERROR(MATCH($A107&amp;"|"&amp;$B107,仪器设备工时分配表!$V$6:$V$245,0),0))</f>
        <v>0</v>
      </c>
      <c r="X107" s="47" t="n">
        <f aca="false">IF($A107="",0,COUNTIFS(仪器设备工时分配表!$A$6:$A$245,$A107,仪器设备工时分配表!$B$6:$B$245,$B107))</f>
        <v>0</v>
      </c>
    </row>
    <row r="108" customFormat="false" ht="18" hidden="false" customHeight="true" outlineLevel="0" collapsed="false">
      <c r="A108" s="36"/>
      <c r="B108" s="36"/>
      <c r="C108" s="48" t="str">
        <f aca="false">IF($B108="","",IFERROR(VLOOKUP($B108,资产台账!$B$4:$N$53,2,0)&amp;"","台账中未登记"))</f>
        <v/>
      </c>
      <c r="D108" s="43" t="str">
        <f aca="false">IF($B108="","",IFERROR(VLOOKUP($B108,资产台账!$B$4:$N$53,3,0)&amp;"",""))</f>
        <v/>
      </c>
      <c r="E108" s="43" t="str">
        <f aca="false">IF($B108="","",IFERROR(VLOOKUP($B108,资产台账!$B$4:$N$53,10,0)&amp;"",""))</f>
        <v/>
      </c>
      <c r="F108" s="49" t="str">
        <f aca="false">IF($B108="","",IFERROR(VLOOKUP($B108,资产台账!$B$4:$N$53,9,0),0))</f>
        <v/>
      </c>
      <c r="G108" s="45" t="n">
        <f aca="false">IF(OR($A108="",$W108=0),0,INDEX(仪器设备工时分配表!$F$6:$F$245,$W108))</f>
        <v>0</v>
      </c>
      <c r="H108" s="45" t="n">
        <f aca="false">IF(OR($A108="",$W108=0),0,INDEX(仪器设备工时分配表!$R$6:$R$245,$W108))</f>
        <v>0</v>
      </c>
      <c r="I108" s="28" t="str">
        <f aca="false">IF(OR($A108="",$G108=0),"",$H108/$G108)</f>
        <v/>
      </c>
      <c r="J108" s="27" t="str">
        <f aca="false">IF(OR($A108="",$G108=0),"",ROUND($F108*INDEX(仪器设备工时分配表!$H$6:$H$245,$W108)/$G108,2))</f>
        <v/>
      </c>
      <c r="K108" s="27" t="str">
        <f aca="false">IF(OR($A108="",$G108=0),"",ROUND($F108*INDEX(仪器设备工时分配表!$I$6:$I$245,$W108)/$G108,2))</f>
        <v/>
      </c>
      <c r="L108" s="27" t="str">
        <f aca="false">IF(OR($A108="",$G108=0),"",ROUND($F108*INDEX(仪器设备工时分配表!$J$6:$J$245,$W108)/$G108,2))</f>
        <v/>
      </c>
      <c r="M108" s="27" t="str">
        <f aca="false">IF(OR($A108="",$G108=0),"",ROUND($F108*INDEX(仪器设备工时分配表!$K$6:$K$245,$W108)/$G108,2))</f>
        <v/>
      </c>
      <c r="N108" s="27" t="str">
        <f aca="false">IF(OR($A108="",$G108=0),"",ROUND($F108*INDEX(仪器设备工时分配表!$L$6:$L$245,$W108)/$G108,2))</f>
        <v/>
      </c>
      <c r="O108" s="27" t="str">
        <f aca="false">IF(OR($A108="",$G108=0),"",ROUND($F108*INDEX(仪器设备工时分配表!$M$6:$M$245,$W108)/$G108,2))</f>
        <v/>
      </c>
      <c r="P108" s="27" t="str">
        <f aca="false">IF(OR($A108="",$G108=0),"",ROUND($F108*INDEX(仪器设备工时分配表!$N$6:$N$245,$W108)/$G108,2))</f>
        <v/>
      </c>
      <c r="Q108" s="27" t="str">
        <f aca="false">IF(OR($A108="",$G108=0),"",ROUND($F108*INDEX(仪器设备工时分配表!$O$6:$O$245,$W108)/$G108,2))</f>
        <v/>
      </c>
      <c r="R108" s="27" t="str">
        <f aca="false">IF(OR($A108="",$G108=0),"",ROUND($F108*INDEX(仪器设备工时分配表!$P$6:$P$245,$W108)/$G108,2))</f>
        <v/>
      </c>
      <c r="S108" s="27" t="str">
        <f aca="false">IF(OR($A108="",$G108=0),"",ROUND($F108*INDEX(仪器设备工时分配表!$Q$6:$Q$245,$W108)/$G108,2))</f>
        <v/>
      </c>
      <c r="T108" s="27" t="str">
        <f aca="false">IF($A108="","",ROUND(SUM(J108:S108),2))</f>
        <v/>
      </c>
      <c r="U108" s="27" t="str">
        <f aca="false">IF($A108="","",ROUND($F108-T108,2))</f>
        <v/>
      </c>
      <c r="V108" s="43" t="str">
        <f aca="false">IF($A108="","",IF($D108="无形资产","⚠ 无形资产请在无形资产费用分配表登记",IF($W108=0,"⚠ 工时分配表无此资产当月记录",IF($X108&gt;1,"⚠ 工时分配表存在重复行","√ 正常"))))</f>
        <v/>
      </c>
      <c r="W108" s="47" t="n">
        <f aca="false">IF($A108="",0,IFERROR(MATCH($A108&amp;"|"&amp;$B108,仪器设备工时分配表!$V$6:$V$245,0),0))</f>
        <v>0</v>
      </c>
      <c r="X108" s="47" t="n">
        <f aca="false">IF($A108="",0,COUNTIFS(仪器设备工时分配表!$A$6:$A$245,$A108,仪器设备工时分配表!$B$6:$B$245,$B108))</f>
        <v>0</v>
      </c>
    </row>
    <row r="109" customFormat="false" ht="18" hidden="false" customHeight="true" outlineLevel="0" collapsed="false">
      <c r="A109" s="36"/>
      <c r="B109" s="36"/>
      <c r="C109" s="48" t="str">
        <f aca="false">IF($B109="","",IFERROR(VLOOKUP($B109,资产台账!$B$4:$N$53,2,0)&amp;"","台账中未登记"))</f>
        <v/>
      </c>
      <c r="D109" s="43" t="str">
        <f aca="false">IF($B109="","",IFERROR(VLOOKUP($B109,资产台账!$B$4:$N$53,3,0)&amp;"",""))</f>
        <v/>
      </c>
      <c r="E109" s="43" t="str">
        <f aca="false">IF($B109="","",IFERROR(VLOOKUP($B109,资产台账!$B$4:$N$53,10,0)&amp;"",""))</f>
        <v/>
      </c>
      <c r="F109" s="49" t="str">
        <f aca="false">IF($B109="","",IFERROR(VLOOKUP($B109,资产台账!$B$4:$N$53,9,0),0))</f>
        <v/>
      </c>
      <c r="G109" s="45" t="n">
        <f aca="false">IF(OR($A109="",$W109=0),0,INDEX(仪器设备工时分配表!$F$6:$F$245,$W109))</f>
        <v>0</v>
      </c>
      <c r="H109" s="45" t="n">
        <f aca="false">IF(OR($A109="",$W109=0),0,INDEX(仪器设备工时分配表!$R$6:$R$245,$W109))</f>
        <v>0</v>
      </c>
      <c r="I109" s="28" t="str">
        <f aca="false">IF(OR($A109="",$G109=0),"",$H109/$G109)</f>
        <v/>
      </c>
      <c r="J109" s="27" t="str">
        <f aca="false">IF(OR($A109="",$G109=0),"",ROUND($F109*INDEX(仪器设备工时分配表!$H$6:$H$245,$W109)/$G109,2))</f>
        <v/>
      </c>
      <c r="K109" s="27" t="str">
        <f aca="false">IF(OR($A109="",$G109=0),"",ROUND($F109*INDEX(仪器设备工时分配表!$I$6:$I$245,$W109)/$G109,2))</f>
        <v/>
      </c>
      <c r="L109" s="27" t="str">
        <f aca="false">IF(OR($A109="",$G109=0),"",ROUND($F109*INDEX(仪器设备工时分配表!$J$6:$J$245,$W109)/$G109,2))</f>
        <v/>
      </c>
      <c r="M109" s="27" t="str">
        <f aca="false">IF(OR($A109="",$G109=0),"",ROUND($F109*INDEX(仪器设备工时分配表!$K$6:$K$245,$W109)/$G109,2))</f>
        <v/>
      </c>
      <c r="N109" s="27" t="str">
        <f aca="false">IF(OR($A109="",$G109=0),"",ROUND($F109*INDEX(仪器设备工时分配表!$L$6:$L$245,$W109)/$G109,2))</f>
        <v/>
      </c>
      <c r="O109" s="27" t="str">
        <f aca="false">IF(OR($A109="",$G109=0),"",ROUND($F109*INDEX(仪器设备工时分配表!$M$6:$M$245,$W109)/$G109,2))</f>
        <v/>
      </c>
      <c r="P109" s="27" t="str">
        <f aca="false">IF(OR($A109="",$G109=0),"",ROUND($F109*INDEX(仪器设备工时分配表!$N$6:$N$245,$W109)/$G109,2))</f>
        <v/>
      </c>
      <c r="Q109" s="27" t="str">
        <f aca="false">IF(OR($A109="",$G109=0),"",ROUND($F109*INDEX(仪器设备工时分配表!$O$6:$O$245,$W109)/$G109,2))</f>
        <v/>
      </c>
      <c r="R109" s="27" t="str">
        <f aca="false">IF(OR($A109="",$G109=0),"",ROUND($F109*INDEX(仪器设备工时分配表!$P$6:$P$245,$W109)/$G109,2))</f>
        <v/>
      </c>
      <c r="S109" s="27" t="str">
        <f aca="false">IF(OR($A109="",$G109=0),"",ROUND($F109*INDEX(仪器设备工时分配表!$Q$6:$Q$245,$W109)/$G109,2))</f>
        <v/>
      </c>
      <c r="T109" s="27" t="str">
        <f aca="false">IF($A109="","",ROUND(SUM(J109:S109),2))</f>
        <v/>
      </c>
      <c r="U109" s="27" t="str">
        <f aca="false">IF($A109="","",ROUND($F109-T109,2))</f>
        <v/>
      </c>
      <c r="V109" s="43" t="str">
        <f aca="false">IF($A109="","",IF($D109="无形资产","⚠ 无形资产请在无形资产费用分配表登记",IF($W109=0,"⚠ 工时分配表无此资产当月记录",IF($X109&gt;1,"⚠ 工时分配表存在重复行","√ 正常"))))</f>
        <v/>
      </c>
      <c r="W109" s="47" t="n">
        <f aca="false">IF($A109="",0,IFERROR(MATCH($A109&amp;"|"&amp;$B109,仪器设备工时分配表!$V$6:$V$245,0),0))</f>
        <v>0</v>
      </c>
      <c r="X109" s="47" t="n">
        <f aca="false">IF($A109="",0,COUNTIFS(仪器设备工时分配表!$A$6:$A$245,$A109,仪器设备工时分配表!$B$6:$B$245,$B109))</f>
        <v>0</v>
      </c>
    </row>
    <row r="110" customFormat="false" ht="18" hidden="false" customHeight="true" outlineLevel="0" collapsed="false">
      <c r="A110" s="36"/>
      <c r="B110" s="36"/>
      <c r="C110" s="48" t="str">
        <f aca="false">IF($B110="","",IFERROR(VLOOKUP($B110,资产台账!$B$4:$N$53,2,0)&amp;"","台账中未登记"))</f>
        <v/>
      </c>
      <c r="D110" s="43" t="str">
        <f aca="false">IF($B110="","",IFERROR(VLOOKUP($B110,资产台账!$B$4:$N$53,3,0)&amp;"",""))</f>
        <v/>
      </c>
      <c r="E110" s="43" t="str">
        <f aca="false">IF($B110="","",IFERROR(VLOOKUP($B110,资产台账!$B$4:$N$53,10,0)&amp;"",""))</f>
        <v/>
      </c>
      <c r="F110" s="49" t="str">
        <f aca="false">IF($B110="","",IFERROR(VLOOKUP($B110,资产台账!$B$4:$N$53,9,0),0))</f>
        <v/>
      </c>
      <c r="G110" s="45" t="n">
        <f aca="false">IF(OR($A110="",$W110=0),0,INDEX(仪器设备工时分配表!$F$6:$F$245,$W110))</f>
        <v>0</v>
      </c>
      <c r="H110" s="45" t="n">
        <f aca="false">IF(OR($A110="",$W110=0),0,INDEX(仪器设备工时分配表!$R$6:$R$245,$W110))</f>
        <v>0</v>
      </c>
      <c r="I110" s="28" t="str">
        <f aca="false">IF(OR($A110="",$G110=0),"",$H110/$G110)</f>
        <v/>
      </c>
      <c r="J110" s="27" t="str">
        <f aca="false">IF(OR($A110="",$G110=0),"",ROUND($F110*INDEX(仪器设备工时分配表!$H$6:$H$245,$W110)/$G110,2))</f>
        <v/>
      </c>
      <c r="K110" s="27" t="str">
        <f aca="false">IF(OR($A110="",$G110=0),"",ROUND($F110*INDEX(仪器设备工时分配表!$I$6:$I$245,$W110)/$G110,2))</f>
        <v/>
      </c>
      <c r="L110" s="27" t="str">
        <f aca="false">IF(OR($A110="",$G110=0),"",ROUND($F110*INDEX(仪器设备工时分配表!$J$6:$J$245,$W110)/$G110,2))</f>
        <v/>
      </c>
      <c r="M110" s="27" t="str">
        <f aca="false">IF(OR($A110="",$G110=0),"",ROUND($F110*INDEX(仪器设备工时分配表!$K$6:$K$245,$W110)/$G110,2))</f>
        <v/>
      </c>
      <c r="N110" s="27" t="str">
        <f aca="false">IF(OR($A110="",$G110=0),"",ROUND($F110*INDEX(仪器设备工时分配表!$L$6:$L$245,$W110)/$G110,2))</f>
        <v/>
      </c>
      <c r="O110" s="27" t="str">
        <f aca="false">IF(OR($A110="",$G110=0),"",ROUND($F110*INDEX(仪器设备工时分配表!$M$6:$M$245,$W110)/$G110,2))</f>
        <v/>
      </c>
      <c r="P110" s="27" t="str">
        <f aca="false">IF(OR($A110="",$G110=0),"",ROUND($F110*INDEX(仪器设备工时分配表!$N$6:$N$245,$W110)/$G110,2))</f>
        <v/>
      </c>
      <c r="Q110" s="27" t="str">
        <f aca="false">IF(OR($A110="",$G110=0),"",ROUND($F110*INDEX(仪器设备工时分配表!$O$6:$O$245,$W110)/$G110,2))</f>
        <v/>
      </c>
      <c r="R110" s="27" t="str">
        <f aca="false">IF(OR($A110="",$G110=0),"",ROUND($F110*INDEX(仪器设备工时分配表!$P$6:$P$245,$W110)/$G110,2))</f>
        <v/>
      </c>
      <c r="S110" s="27" t="str">
        <f aca="false">IF(OR($A110="",$G110=0),"",ROUND($F110*INDEX(仪器设备工时分配表!$Q$6:$Q$245,$W110)/$G110,2))</f>
        <v/>
      </c>
      <c r="T110" s="27" t="str">
        <f aca="false">IF($A110="","",ROUND(SUM(J110:S110),2))</f>
        <v/>
      </c>
      <c r="U110" s="27" t="str">
        <f aca="false">IF($A110="","",ROUND($F110-T110,2))</f>
        <v/>
      </c>
      <c r="V110" s="43" t="str">
        <f aca="false">IF($A110="","",IF($D110="无形资产","⚠ 无形资产请在无形资产费用分配表登记",IF($W110=0,"⚠ 工时分配表无此资产当月记录",IF($X110&gt;1,"⚠ 工时分配表存在重复行","√ 正常"))))</f>
        <v/>
      </c>
      <c r="W110" s="47" t="n">
        <f aca="false">IF($A110="",0,IFERROR(MATCH($A110&amp;"|"&amp;$B110,仪器设备工时分配表!$V$6:$V$245,0),0))</f>
        <v>0</v>
      </c>
      <c r="X110" s="47" t="n">
        <f aca="false">IF($A110="",0,COUNTIFS(仪器设备工时分配表!$A$6:$A$245,$A110,仪器设备工时分配表!$B$6:$B$245,$B110))</f>
        <v>0</v>
      </c>
    </row>
    <row r="111" customFormat="false" ht="18" hidden="false" customHeight="true" outlineLevel="0" collapsed="false">
      <c r="A111" s="36"/>
      <c r="B111" s="36"/>
      <c r="C111" s="48" t="str">
        <f aca="false">IF($B111="","",IFERROR(VLOOKUP($B111,资产台账!$B$4:$N$53,2,0)&amp;"","台账中未登记"))</f>
        <v/>
      </c>
      <c r="D111" s="43" t="str">
        <f aca="false">IF($B111="","",IFERROR(VLOOKUP($B111,资产台账!$B$4:$N$53,3,0)&amp;"",""))</f>
        <v/>
      </c>
      <c r="E111" s="43" t="str">
        <f aca="false">IF($B111="","",IFERROR(VLOOKUP($B111,资产台账!$B$4:$N$53,10,0)&amp;"",""))</f>
        <v/>
      </c>
      <c r="F111" s="49" t="str">
        <f aca="false">IF($B111="","",IFERROR(VLOOKUP($B111,资产台账!$B$4:$N$53,9,0),0))</f>
        <v/>
      </c>
      <c r="G111" s="45" t="n">
        <f aca="false">IF(OR($A111="",$W111=0),0,INDEX(仪器设备工时分配表!$F$6:$F$245,$W111))</f>
        <v>0</v>
      </c>
      <c r="H111" s="45" t="n">
        <f aca="false">IF(OR($A111="",$W111=0),0,INDEX(仪器设备工时分配表!$R$6:$R$245,$W111))</f>
        <v>0</v>
      </c>
      <c r="I111" s="28" t="str">
        <f aca="false">IF(OR($A111="",$G111=0),"",$H111/$G111)</f>
        <v/>
      </c>
      <c r="J111" s="27" t="str">
        <f aca="false">IF(OR($A111="",$G111=0),"",ROUND($F111*INDEX(仪器设备工时分配表!$H$6:$H$245,$W111)/$G111,2))</f>
        <v/>
      </c>
      <c r="K111" s="27" t="str">
        <f aca="false">IF(OR($A111="",$G111=0),"",ROUND($F111*INDEX(仪器设备工时分配表!$I$6:$I$245,$W111)/$G111,2))</f>
        <v/>
      </c>
      <c r="L111" s="27" t="str">
        <f aca="false">IF(OR($A111="",$G111=0),"",ROUND($F111*INDEX(仪器设备工时分配表!$J$6:$J$245,$W111)/$G111,2))</f>
        <v/>
      </c>
      <c r="M111" s="27" t="str">
        <f aca="false">IF(OR($A111="",$G111=0),"",ROUND($F111*INDEX(仪器设备工时分配表!$K$6:$K$245,$W111)/$G111,2))</f>
        <v/>
      </c>
      <c r="N111" s="27" t="str">
        <f aca="false">IF(OR($A111="",$G111=0),"",ROUND($F111*INDEX(仪器设备工时分配表!$L$6:$L$245,$W111)/$G111,2))</f>
        <v/>
      </c>
      <c r="O111" s="27" t="str">
        <f aca="false">IF(OR($A111="",$G111=0),"",ROUND($F111*INDEX(仪器设备工时分配表!$M$6:$M$245,$W111)/$G111,2))</f>
        <v/>
      </c>
      <c r="P111" s="27" t="str">
        <f aca="false">IF(OR($A111="",$G111=0),"",ROUND($F111*INDEX(仪器设备工时分配表!$N$6:$N$245,$W111)/$G111,2))</f>
        <v/>
      </c>
      <c r="Q111" s="27" t="str">
        <f aca="false">IF(OR($A111="",$G111=0),"",ROUND($F111*INDEX(仪器设备工时分配表!$O$6:$O$245,$W111)/$G111,2))</f>
        <v/>
      </c>
      <c r="R111" s="27" t="str">
        <f aca="false">IF(OR($A111="",$G111=0),"",ROUND($F111*INDEX(仪器设备工时分配表!$P$6:$P$245,$W111)/$G111,2))</f>
        <v/>
      </c>
      <c r="S111" s="27" t="str">
        <f aca="false">IF(OR($A111="",$G111=0),"",ROUND($F111*INDEX(仪器设备工时分配表!$Q$6:$Q$245,$W111)/$G111,2))</f>
        <v/>
      </c>
      <c r="T111" s="27" t="str">
        <f aca="false">IF($A111="","",ROUND(SUM(J111:S111),2))</f>
        <v/>
      </c>
      <c r="U111" s="27" t="str">
        <f aca="false">IF($A111="","",ROUND($F111-T111,2))</f>
        <v/>
      </c>
      <c r="V111" s="43" t="str">
        <f aca="false">IF($A111="","",IF($D111="无形资产","⚠ 无形资产请在无形资产费用分配表登记",IF($W111=0,"⚠ 工时分配表无此资产当月记录",IF($X111&gt;1,"⚠ 工时分配表存在重复行","√ 正常"))))</f>
        <v/>
      </c>
      <c r="W111" s="47" t="n">
        <f aca="false">IF($A111="",0,IFERROR(MATCH($A111&amp;"|"&amp;$B111,仪器设备工时分配表!$V$6:$V$245,0),0))</f>
        <v>0</v>
      </c>
      <c r="X111" s="47" t="n">
        <f aca="false">IF($A111="",0,COUNTIFS(仪器设备工时分配表!$A$6:$A$245,$A111,仪器设备工时分配表!$B$6:$B$245,$B111))</f>
        <v>0</v>
      </c>
    </row>
    <row r="112" customFormat="false" ht="18" hidden="false" customHeight="true" outlineLevel="0" collapsed="false">
      <c r="A112" s="36"/>
      <c r="B112" s="36"/>
      <c r="C112" s="48" t="str">
        <f aca="false">IF($B112="","",IFERROR(VLOOKUP($B112,资产台账!$B$4:$N$53,2,0)&amp;"","台账中未登记"))</f>
        <v/>
      </c>
      <c r="D112" s="43" t="str">
        <f aca="false">IF($B112="","",IFERROR(VLOOKUP($B112,资产台账!$B$4:$N$53,3,0)&amp;"",""))</f>
        <v/>
      </c>
      <c r="E112" s="43" t="str">
        <f aca="false">IF($B112="","",IFERROR(VLOOKUP($B112,资产台账!$B$4:$N$53,10,0)&amp;"",""))</f>
        <v/>
      </c>
      <c r="F112" s="49" t="str">
        <f aca="false">IF($B112="","",IFERROR(VLOOKUP($B112,资产台账!$B$4:$N$53,9,0),0))</f>
        <v/>
      </c>
      <c r="G112" s="45" t="n">
        <f aca="false">IF(OR($A112="",$W112=0),0,INDEX(仪器设备工时分配表!$F$6:$F$245,$W112))</f>
        <v>0</v>
      </c>
      <c r="H112" s="45" t="n">
        <f aca="false">IF(OR($A112="",$W112=0),0,INDEX(仪器设备工时分配表!$R$6:$R$245,$W112))</f>
        <v>0</v>
      </c>
      <c r="I112" s="28" t="str">
        <f aca="false">IF(OR($A112="",$G112=0),"",$H112/$G112)</f>
        <v/>
      </c>
      <c r="J112" s="27" t="str">
        <f aca="false">IF(OR($A112="",$G112=0),"",ROUND($F112*INDEX(仪器设备工时分配表!$H$6:$H$245,$W112)/$G112,2))</f>
        <v/>
      </c>
      <c r="K112" s="27" t="str">
        <f aca="false">IF(OR($A112="",$G112=0),"",ROUND($F112*INDEX(仪器设备工时分配表!$I$6:$I$245,$W112)/$G112,2))</f>
        <v/>
      </c>
      <c r="L112" s="27" t="str">
        <f aca="false">IF(OR($A112="",$G112=0),"",ROUND($F112*INDEX(仪器设备工时分配表!$J$6:$J$245,$W112)/$G112,2))</f>
        <v/>
      </c>
      <c r="M112" s="27" t="str">
        <f aca="false">IF(OR($A112="",$G112=0),"",ROUND($F112*INDEX(仪器设备工时分配表!$K$6:$K$245,$W112)/$G112,2))</f>
        <v/>
      </c>
      <c r="N112" s="27" t="str">
        <f aca="false">IF(OR($A112="",$G112=0),"",ROUND($F112*INDEX(仪器设备工时分配表!$L$6:$L$245,$W112)/$G112,2))</f>
        <v/>
      </c>
      <c r="O112" s="27" t="str">
        <f aca="false">IF(OR($A112="",$G112=0),"",ROUND($F112*INDEX(仪器设备工时分配表!$M$6:$M$245,$W112)/$G112,2))</f>
        <v/>
      </c>
      <c r="P112" s="27" t="str">
        <f aca="false">IF(OR($A112="",$G112=0),"",ROUND($F112*INDEX(仪器设备工时分配表!$N$6:$N$245,$W112)/$G112,2))</f>
        <v/>
      </c>
      <c r="Q112" s="27" t="str">
        <f aca="false">IF(OR($A112="",$G112=0),"",ROUND($F112*INDEX(仪器设备工时分配表!$O$6:$O$245,$W112)/$G112,2))</f>
        <v/>
      </c>
      <c r="R112" s="27" t="str">
        <f aca="false">IF(OR($A112="",$G112=0),"",ROUND($F112*INDEX(仪器设备工时分配表!$P$6:$P$245,$W112)/$G112,2))</f>
        <v/>
      </c>
      <c r="S112" s="27" t="str">
        <f aca="false">IF(OR($A112="",$G112=0),"",ROUND($F112*INDEX(仪器设备工时分配表!$Q$6:$Q$245,$W112)/$G112,2))</f>
        <v/>
      </c>
      <c r="T112" s="27" t="str">
        <f aca="false">IF($A112="","",ROUND(SUM(J112:S112),2))</f>
        <v/>
      </c>
      <c r="U112" s="27" t="str">
        <f aca="false">IF($A112="","",ROUND($F112-T112,2))</f>
        <v/>
      </c>
      <c r="V112" s="43" t="str">
        <f aca="false">IF($A112="","",IF($D112="无形资产","⚠ 无形资产请在无形资产费用分配表登记",IF($W112=0,"⚠ 工时分配表无此资产当月记录",IF($X112&gt;1,"⚠ 工时分配表存在重复行","√ 正常"))))</f>
        <v/>
      </c>
      <c r="W112" s="47" t="n">
        <f aca="false">IF($A112="",0,IFERROR(MATCH($A112&amp;"|"&amp;$B112,仪器设备工时分配表!$V$6:$V$245,0),0))</f>
        <v>0</v>
      </c>
      <c r="X112" s="47" t="n">
        <f aca="false">IF($A112="",0,COUNTIFS(仪器设备工时分配表!$A$6:$A$245,$A112,仪器设备工时分配表!$B$6:$B$245,$B112))</f>
        <v>0</v>
      </c>
    </row>
    <row r="113" customFormat="false" ht="18" hidden="false" customHeight="true" outlineLevel="0" collapsed="false">
      <c r="A113" s="36"/>
      <c r="B113" s="36"/>
      <c r="C113" s="48" t="str">
        <f aca="false">IF($B113="","",IFERROR(VLOOKUP($B113,资产台账!$B$4:$N$53,2,0)&amp;"","台账中未登记"))</f>
        <v/>
      </c>
      <c r="D113" s="43" t="str">
        <f aca="false">IF($B113="","",IFERROR(VLOOKUP($B113,资产台账!$B$4:$N$53,3,0)&amp;"",""))</f>
        <v/>
      </c>
      <c r="E113" s="43" t="str">
        <f aca="false">IF($B113="","",IFERROR(VLOOKUP($B113,资产台账!$B$4:$N$53,10,0)&amp;"",""))</f>
        <v/>
      </c>
      <c r="F113" s="49" t="str">
        <f aca="false">IF($B113="","",IFERROR(VLOOKUP($B113,资产台账!$B$4:$N$53,9,0),0))</f>
        <v/>
      </c>
      <c r="G113" s="45" t="n">
        <f aca="false">IF(OR($A113="",$W113=0),0,INDEX(仪器设备工时分配表!$F$6:$F$245,$W113))</f>
        <v>0</v>
      </c>
      <c r="H113" s="45" t="n">
        <f aca="false">IF(OR($A113="",$W113=0),0,INDEX(仪器设备工时分配表!$R$6:$R$245,$W113))</f>
        <v>0</v>
      </c>
      <c r="I113" s="28" t="str">
        <f aca="false">IF(OR($A113="",$G113=0),"",$H113/$G113)</f>
        <v/>
      </c>
      <c r="J113" s="27" t="str">
        <f aca="false">IF(OR($A113="",$G113=0),"",ROUND($F113*INDEX(仪器设备工时分配表!$H$6:$H$245,$W113)/$G113,2))</f>
        <v/>
      </c>
      <c r="K113" s="27" t="str">
        <f aca="false">IF(OR($A113="",$G113=0),"",ROUND($F113*INDEX(仪器设备工时分配表!$I$6:$I$245,$W113)/$G113,2))</f>
        <v/>
      </c>
      <c r="L113" s="27" t="str">
        <f aca="false">IF(OR($A113="",$G113=0),"",ROUND($F113*INDEX(仪器设备工时分配表!$J$6:$J$245,$W113)/$G113,2))</f>
        <v/>
      </c>
      <c r="M113" s="27" t="str">
        <f aca="false">IF(OR($A113="",$G113=0),"",ROUND($F113*INDEX(仪器设备工时分配表!$K$6:$K$245,$W113)/$G113,2))</f>
        <v/>
      </c>
      <c r="N113" s="27" t="str">
        <f aca="false">IF(OR($A113="",$G113=0),"",ROUND($F113*INDEX(仪器设备工时分配表!$L$6:$L$245,$W113)/$G113,2))</f>
        <v/>
      </c>
      <c r="O113" s="27" t="str">
        <f aca="false">IF(OR($A113="",$G113=0),"",ROUND($F113*INDEX(仪器设备工时分配表!$M$6:$M$245,$W113)/$G113,2))</f>
        <v/>
      </c>
      <c r="P113" s="27" t="str">
        <f aca="false">IF(OR($A113="",$G113=0),"",ROUND($F113*INDEX(仪器设备工时分配表!$N$6:$N$245,$W113)/$G113,2))</f>
        <v/>
      </c>
      <c r="Q113" s="27" t="str">
        <f aca="false">IF(OR($A113="",$G113=0),"",ROUND($F113*INDEX(仪器设备工时分配表!$O$6:$O$245,$W113)/$G113,2))</f>
        <v/>
      </c>
      <c r="R113" s="27" t="str">
        <f aca="false">IF(OR($A113="",$G113=0),"",ROUND($F113*INDEX(仪器设备工时分配表!$P$6:$P$245,$W113)/$G113,2))</f>
        <v/>
      </c>
      <c r="S113" s="27" t="str">
        <f aca="false">IF(OR($A113="",$G113=0),"",ROUND($F113*INDEX(仪器设备工时分配表!$Q$6:$Q$245,$W113)/$G113,2))</f>
        <v/>
      </c>
      <c r="T113" s="27" t="str">
        <f aca="false">IF($A113="","",ROUND(SUM(J113:S113),2))</f>
        <v/>
      </c>
      <c r="U113" s="27" t="str">
        <f aca="false">IF($A113="","",ROUND($F113-T113,2))</f>
        <v/>
      </c>
      <c r="V113" s="43" t="str">
        <f aca="false">IF($A113="","",IF($D113="无形资产","⚠ 无形资产请在无形资产费用分配表登记",IF($W113=0,"⚠ 工时分配表无此资产当月记录",IF($X113&gt;1,"⚠ 工时分配表存在重复行","√ 正常"))))</f>
        <v/>
      </c>
      <c r="W113" s="47" t="n">
        <f aca="false">IF($A113="",0,IFERROR(MATCH($A113&amp;"|"&amp;$B113,仪器设备工时分配表!$V$6:$V$245,0),0))</f>
        <v>0</v>
      </c>
      <c r="X113" s="47" t="n">
        <f aca="false">IF($A113="",0,COUNTIFS(仪器设备工时分配表!$A$6:$A$245,$A113,仪器设备工时分配表!$B$6:$B$245,$B113))</f>
        <v>0</v>
      </c>
    </row>
    <row r="114" customFormat="false" ht="18" hidden="false" customHeight="true" outlineLevel="0" collapsed="false">
      <c r="A114" s="36"/>
      <c r="B114" s="36"/>
      <c r="C114" s="48" t="str">
        <f aca="false">IF($B114="","",IFERROR(VLOOKUP($B114,资产台账!$B$4:$N$53,2,0)&amp;"","台账中未登记"))</f>
        <v/>
      </c>
      <c r="D114" s="43" t="str">
        <f aca="false">IF($B114="","",IFERROR(VLOOKUP($B114,资产台账!$B$4:$N$53,3,0)&amp;"",""))</f>
        <v/>
      </c>
      <c r="E114" s="43" t="str">
        <f aca="false">IF($B114="","",IFERROR(VLOOKUP($B114,资产台账!$B$4:$N$53,10,0)&amp;"",""))</f>
        <v/>
      </c>
      <c r="F114" s="49" t="str">
        <f aca="false">IF($B114="","",IFERROR(VLOOKUP($B114,资产台账!$B$4:$N$53,9,0),0))</f>
        <v/>
      </c>
      <c r="G114" s="45" t="n">
        <f aca="false">IF(OR($A114="",$W114=0),0,INDEX(仪器设备工时分配表!$F$6:$F$245,$W114))</f>
        <v>0</v>
      </c>
      <c r="H114" s="45" t="n">
        <f aca="false">IF(OR($A114="",$W114=0),0,INDEX(仪器设备工时分配表!$R$6:$R$245,$W114))</f>
        <v>0</v>
      </c>
      <c r="I114" s="28" t="str">
        <f aca="false">IF(OR($A114="",$G114=0),"",$H114/$G114)</f>
        <v/>
      </c>
      <c r="J114" s="27" t="str">
        <f aca="false">IF(OR($A114="",$G114=0),"",ROUND($F114*INDEX(仪器设备工时分配表!$H$6:$H$245,$W114)/$G114,2))</f>
        <v/>
      </c>
      <c r="K114" s="27" t="str">
        <f aca="false">IF(OR($A114="",$G114=0),"",ROUND($F114*INDEX(仪器设备工时分配表!$I$6:$I$245,$W114)/$G114,2))</f>
        <v/>
      </c>
      <c r="L114" s="27" t="str">
        <f aca="false">IF(OR($A114="",$G114=0),"",ROUND($F114*INDEX(仪器设备工时分配表!$J$6:$J$245,$W114)/$G114,2))</f>
        <v/>
      </c>
      <c r="M114" s="27" t="str">
        <f aca="false">IF(OR($A114="",$G114=0),"",ROUND($F114*INDEX(仪器设备工时分配表!$K$6:$K$245,$W114)/$G114,2))</f>
        <v/>
      </c>
      <c r="N114" s="27" t="str">
        <f aca="false">IF(OR($A114="",$G114=0),"",ROUND($F114*INDEX(仪器设备工时分配表!$L$6:$L$245,$W114)/$G114,2))</f>
        <v/>
      </c>
      <c r="O114" s="27" t="str">
        <f aca="false">IF(OR($A114="",$G114=0),"",ROUND($F114*INDEX(仪器设备工时分配表!$M$6:$M$245,$W114)/$G114,2))</f>
        <v/>
      </c>
      <c r="P114" s="27" t="str">
        <f aca="false">IF(OR($A114="",$G114=0),"",ROUND($F114*INDEX(仪器设备工时分配表!$N$6:$N$245,$W114)/$G114,2))</f>
        <v/>
      </c>
      <c r="Q114" s="27" t="str">
        <f aca="false">IF(OR($A114="",$G114=0),"",ROUND($F114*INDEX(仪器设备工时分配表!$O$6:$O$245,$W114)/$G114,2))</f>
        <v/>
      </c>
      <c r="R114" s="27" t="str">
        <f aca="false">IF(OR($A114="",$G114=0),"",ROUND($F114*INDEX(仪器设备工时分配表!$P$6:$P$245,$W114)/$G114,2))</f>
        <v/>
      </c>
      <c r="S114" s="27" t="str">
        <f aca="false">IF(OR($A114="",$G114=0),"",ROUND($F114*INDEX(仪器设备工时分配表!$Q$6:$Q$245,$W114)/$G114,2))</f>
        <v/>
      </c>
      <c r="T114" s="27" t="str">
        <f aca="false">IF($A114="","",ROUND(SUM(J114:S114),2))</f>
        <v/>
      </c>
      <c r="U114" s="27" t="str">
        <f aca="false">IF($A114="","",ROUND($F114-T114,2))</f>
        <v/>
      </c>
      <c r="V114" s="43" t="str">
        <f aca="false">IF($A114="","",IF($D114="无形资产","⚠ 无形资产请在无形资产费用分配表登记",IF($W114=0,"⚠ 工时分配表无此资产当月记录",IF($X114&gt;1,"⚠ 工时分配表存在重复行","√ 正常"))))</f>
        <v/>
      </c>
      <c r="W114" s="47" t="n">
        <f aca="false">IF($A114="",0,IFERROR(MATCH($A114&amp;"|"&amp;$B114,仪器设备工时分配表!$V$6:$V$245,0),0))</f>
        <v>0</v>
      </c>
      <c r="X114" s="47" t="n">
        <f aca="false">IF($A114="",0,COUNTIFS(仪器设备工时分配表!$A$6:$A$245,$A114,仪器设备工时分配表!$B$6:$B$245,$B114))</f>
        <v>0</v>
      </c>
    </row>
    <row r="115" customFormat="false" ht="18" hidden="false" customHeight="true" outlineLevel="0" collapsed="false">
      <c r="A115" s="36"/>
      <c r="B115" s="36"/>
      <c r="C115" s="48" t="str">
        <f aca="false">IF($B115="","",IFERROR(VLOOKUP($B115,资产台账!$B$4:$N$53,2,0)&amp;"","台账中未登记"))</f>
        <v/>
      </c>
      <c r="D115" s="43" t="str">
        <f aca="false">IF($B115="","",IFERROR(VLOOKUP($B115,资产台账!$B$4:$N$53,3,0)&amp;"",""))</f>
        <v/>
      </c>
      <c r="E115" s="43" t="str">
        <f aca="false">IF($B115="","",IFERROR(VLOOKUP($B115,资产台账!$B$4:$N$53,10,0)&amp;"",""))</f>
        <v/>
      </c>
      <c r="F115" s="49" t="str">
        <f aca="false">IF($B115="","",IFERROR(VLOOKUP($B115,资产台账!$B$4:$N$53,9,0),0))</f>
        <v/>
      </c>
      <c r="G115" s="45" t="n">
        <f aca="false">IF(OR($A115="",$W115=0),0,INDEX(仪器设备工时分配表!$F$6:$F$245,$W115))</f>
        <v>0</v>
      </c>
      <c r="H115" s="45" t="n">
        <f aca="false">IF(OR($A115="",$W115=0),0,INDEX(仪器设备工时分配表!$R$6:$R$245,$W115))</f>
        <v>0</v>
      </c>
      <c r="I115" s="28" t="str">
        <f aca="false">IF(OR($A115="",$G115=0),"",$H115/$G115)</f>
        <v/>
      </c>
      <c r="J115" s="27" t="str">
        <f aca="false">IF(OR($A115="",$G115=0),"",ROUND($F115*INDEX(仪器设备工时分配表!$H$6:$H$245,$W115)/$G115,2))</f>
        <v/>
      </c>
      <c r="K115" s="27" t="str">
        <f aca="false">IF(OR($A115="",$G115=0),"",ROUND($F115*INDEX(仪器设备工时分配表!$I$6:$I$245,$W115)/$G115,2))</f>
        <v/>
      </c>
      <c r="L115" s="27" t="str">
        <f aca="false">IF(OR($A115="",$G115=0),"",ROUND($F115*INDEX(仪器设备工时分配表!$J$6:$J$245,$W115)/$G115,2))</f>
        <v/>
      </c>
      <c r="M115" s="27" t="str">
        <f aca="false">IF(OR($A115="",$G115=0),"",ROUND($F115*INDEX(仪器设备工时分配表!$K$6:$K$245,$W115)/$G115,2))</f>
        <v/>
      </c>
      <c r="N115" s="27" t="str">
        <f aca="false">IF(OR($A115="",$G115=0),"",ROUND($F115*INDEX(仪器设备工时分配表!$L$6:$L$245,$W115)/$G115,2))</f>
        <v/>
      </c>
      <c r="O115" s="27" t="str">
        <f aca="false">IF(OR($A115="",$G115=0),"",ROUND($F115*INDEX(仪器设备工时分配表!$M$6:$M$245,$W115)/$G115,2))</f>
        <v/>
      </c>
      <c r="P115" s="27" t="str">
        <f aca="false">IF(OR($A115="",$G115=0),"",ROUND($F115*INDEX(仪器设备工时分配表!$N$6:$N$245,$W115)/$G115,2))</f>
        <v/>
      </c>
      <c r="Q115" s="27" t="str">
        <f aca="false">IF(OR($A115="",$G115=0),"",ROUND($F115*INDEX(仪器设备工时分配表!$O$6:$O$245,$W115)/$G115,2))</f>
        <v/>
      </c>
      <c r="R115" s="27" t="str">
        <f aca="false">IF(OR($A115="",$G115=0),"",ROUND($F115*INDEX(仪器设备工时分配表!$P$6:$P$245,$W115)/$G115,2))</f>
        <v/>
      </c>
      <c r="S115" s="27" t="str">
        <f aca="false">IF(OR($A115="",$G115=0),"",ROUND($F115*INDEX(仪器设备工时分配表!$Q$6:$Q$245,$W115)/$G115,2))</f>
        <v/>
      </c>
      <c r="T115" s="27" t="str">
        <f aca="false">IF($A115="","",ROUND(SUM(J115:S115),2))</f>
        <v/>
      </c>
      <c r="U115" s="27" t="str">
        <f aca="false">IF($A115="","",ROUND($F115-T115,2))</f>
        <v/>
      </c>
      <c r="V115" s="43" t="str">
        <f aca="false">IF($A115="","",IF($D115="无形资产","⚠ 无形资产请在无形资产费用分配表登记",IF($W115=0,"⚠ 工时分配表无此资产当月记录",IF($X115&gt;1,"⚠ 工时分配表存在重复行","√ 正常"))))</f>
        <v/>
      </c>
      <c r="W115" s="47" t="n">
        <f aca="false">IF($A115="",0,IFERROR(MATCH($A115&amp;"|"&amp;$B115,仪器设备工时分配表!$V$6:$V$245,0),0))</f>
        <v>0</v>
      </c>
      <c r="X115" s="47" t="n">
        <f aca="false">IF($A115="",0,COUNTIFS(仪器设备工时分配表!$A$6:$A$245,$A115,仪器设备工时分配表!$B$6:$B$245,$B115))</f>
        <v>0</v>
      </c>
    </row>
    <row r="116" customFormat="false" ht="18" hidden="false" customHeight="true" outlineLevel="0" collapsed="false">
      <c r="A116" s="36"/>
      <c r="B116" s="36"/>
      <c r="C116" s="48" t="str">
        <f aca="false">IF($B116="","",IFERROR(VLOOKUP($B116,资产台账!$B$4:$N$53,2,0)&amp;"","台账中未登记"))</f>
        <v/>
      </c>
      <c r="D116" s="43" t="str">
        <f aca="false">IF($B116="","",IFERROR(VLOOKUP($B116,资产台账!$B$4:$N$53,3,0)&amp;"",""))</f>
        <v/>
      </c>
      <c r="E116" s="43" t="str">
        <f aca="false">IF($B116="","",IFERROR(VLOOKUP($B116,资产台账!$B$4:$N$53,10,0)&amp;"",""))</f>
        <v/>
      </c>
      <c r="F116" s="49" t="str">
        <f aca="false">IF($B116="","",IFERROR(VLOOKUP($B116,资产台账!$B$4:$N$53,9,0),0))</f>
        <v/>
      </c>
      <c r="G116" s="45" t="n">
        <f aca="false">IF(OR($A116="",$W116=0),0,INDEX(仪器设备工时分配表!$F$6:$F$245,$W116))</f>
        <v>0</v>
      </c>
      <c r="H116" s="45" t="n">
        <f aca="false">IF(OR($A116="",$W116=0),0,INDEX(仪器设备工时分配表!$R$6:$R$245,$W116))</f>
        <v>0</v>
      </c>
      <c r="I116" s="28" t="str">
        <f aca="false">IF(OR($A116="",$G116=0),"",$H116/$G116)</f>
        <v/>
      </c>
      <c r="J116" s="27" t="str">
        <f aca="false">IF(OR($A116="",$G116=0),"",ROUND($F116*INDEX(仪器设备工时分配表!$H$6:$H$245,$W116)/$G116,2))</f>
        <v/>
      </c>
      <c r="K116" s="27" t="str">
        <f aca="false">IF(OR($A116="",$G116=0),"",ROUND($F116*INDEX(仪器设备工时分配表!$I$6:$I$245,$W116)/$G116,2))</f>
        <v/>
      </c>
      <c r="L116" s="27" t="str">
        <f aca="false">IF(OR($A116="",$G116=0),"",ROUND($F116*INDEX(仪器设备工时分配表!$J$6:$J$245,$W116)/$G116,2))</f>
        <v/>
      </c>
      <c r="M116" s="27" t="str">
        <f aca="false">IF(OR($A116="",$G116=0),"",ROUND($F116*INDEX(仪器设备工时分配表!$K$6:$K$245,$W116)/$G116,2))</f>
        <v/>
      </c>
      <c r="N116" s="27" t="str">
        <f aca="false">IF(OR($A116="",$G116=0),"",ROUND($F116*INDEX(仪器设备工时分配表!$L$6:$L$245,$W116)/$G116,2))</f>
        <v/>
      </c>
      <c r="O116" s="27" t="str">
        <f aca="false">IF(OR($A116="",$G116=0),"",ROUND($F116*INDEX(仪器设备工时分配表!$M$6:$M$245,$W116)/$G116,2))</f>
        <v/>
      </c>
      <c r="P116" s="27" t="str">
        <f aca="false">IF(OR($A116="",$G116=0),"",ROUND($F116*INDEX(仪器设备工时分配表!$N$6:$N$245,$W116)/$G116,2))</f>
        <v/>
      </c>
      <c r="Q116" s="27" t="str">
        <f aca="false">IF(OR($A116="",$G116=0),"",ROUND($F116*INDEX(仪器设备工时分配表!$O$6:$O$245,$W116)/$G116,2))</f>
        <v/>
      </c>
      <c r="R116" s="27" t="str">
        <f aca="false">IF(OR($A116="",$G116=0),"",ROUND($F116*INDEX(仪器设备工时分配表!$P$6:$P$245,$W116)/$G116,2))</f>
        <v/>
      </c>
      <c r="S116" s="27" t="str">
        <f aca="false">IF(OR($A116="",$G116=0),"",ROUND($F116*INDEX(仪器设备工时分配表!$Q$6:$Q$245,$W116)/$G116,2))</f>
        <v/>
      </c>
      <c r="T116" s="27" t="str">
        <f aca="false">IF($A116="","",ROUND(SUM(J116:S116),2))</f>
        <v/>
      </c>
      <c r="U116" s="27" t="str">
        <f aca="false">IF($A116="","",ROUND($F116-T116,2))</f>
        <v/>
      </c>
      <c r="V116" s="43" t="str">
        <f aca="false">IF($A116="","",IF($D116="无形资产","⚠ 无形资产请在无形资产费用分配表登记",IF($W116=0,"⚠ 工时分配表无此资产当月记录",IF($X116&gt;1,"⚠ 工时分配表存在重复行","√ 正常"))))</f>
        <v/>
      </c>
      <c r="W116" s="47" t="n">
        <f aca="false">IF($A116="",0,IFERROR(MATCH($A116&amp;"|"&amp;$B116,仪器设备工时分配表!$V$6:$V$245,0),0))</f>
        <v>0</v>
      </c>
      <c r="X116" s="47" t="n">
        <f aca="false">IF($A116="",0,COUNTIFS(仪器设备工时分配表!$A$6:$A$245,$A116,仪器设备工时分配表!$B$6:$B$245,$B116))</f>
        <v>0</v>
      </c>
    </row>
    <row r="117" customFormat="false" ht="18" hidden="false" customHeight="true" outlineLevel="0" collapsed="false">
      <c r="A117" s="36"/>
      <c r="B117" s="36"/>
      <c r="C117" s="48" t="str">
        <f aca="false">IF($B117="","",IFERROR(VLOOKUP($B117,资产台账!$B$4:$N$53,2,0)&amp;"","台账中未登记"))</f>
        <v/>
      </c>
      <c r="D117" s="43" t="str">
        <f aca="false">IF($B117="","",IFERROR(VLOOKUP($B117,资产台账!$B$4:$N$53,3,0)&amp;"",""))</f>
        <v/>
      </c>
      <c r="E117" s="43" t="str">
        <f aca="false">IF($B117="","",IFERROR(VLOOKUP($B117,资产台账!$B$4:$N$53,10,0)&amp;"",""))</f>
        <v/>
      </c>
      <c r="F117" s="49" t="str">
        <f aca="false">IF($B117="","",IFERROR(VLOOKUP($B117,资产台账!$B$4:$N$53,9,0),0))</f>
        <v/>
      </c>
      <c r="G117" s="45" t="n">
        <f aca="false">IF(OR($A117="",$W117=0),0,INDEX(仪器设备工时分配表!$F$6:$F$245,$W117))</f>
        <v>0</v>
      </c>
      <c r="H117" s="45" t="n">
        <f aca="false">IF(OR($A117="",$W117=0),0,INDEX(仪器设备工时分配表!$R$6:$R$245,$W117))</f>
        <v>0</v>
      </c>
      <c r="I117" s="28" t="str">
        <f aca="false">IF(OR($A117="",$G117=0),"",$H117/$G117)</f>
        <v/>
      </c>
      <c r="J117" s="27" t="str">
        <f aca="false">IF(OR($A117="",$G117=0),"",ROUND($F117*INDEX(仪器设备工时分配表!$H$6:$H$245,$W117)/$G117,2))</f>
        <v/>
      </c>
      <c r="K117" s="27" t="str">
        <f aca="false">IF(OR($A117="",$G117=0),"",ROUND($F117*INDEX(仪器设备工时分配表!$I$6:$I$245,$W117)/$G117,2))</f>
        <v/>
      </c>
      <c r="L117" s="27" t="str">
        <f aca="false">IF(OR($A117="",$G117=0),"",ROUND($F117*INDEX(仪器设备工时分配表!$J$6:$J$245,$W117)/$G117,2))</f>
        <v/>
      </c>
      <c r="M117" s="27" t="str">
        <f aca="false">IF(OR($A117="",$G117=0),"",ROUND($F117*INDEX(仪器设备工时分配表!$K$6:$K$245,$W117)/$G117,2))</f>
        <v/>
      </c>
      <c r="N117" s="27" t="str">
        <f aca="false">IF(OR($A117="",$G117=0),"",ROUND($F117*INDEX(仪器设备工时分配表!$L$6:$L$245,$W117)/$G117,2))</f>
        <v/>
      </c>
      <c r="O117" s="27" t="str">
        <f aca="false">IF(OR($A117="",$G117=0),"",ROUND($F117*INDEX(仪器设备工时分配表!$M$6:$M$245,$W117)/$G117,2))</f>
        <v/>
      </c>
      <c r="P117" s="27" t="str">
        <f aca="false">IF(OR($A117="",$G117=0),"",ROUND($F117*INDEX(仪器设备工时分配表!$N$6:$N$245,$W117)/$G117,2))</f>
        <v/>
      </c>
      <c r="Q117" s="27" t="str">
        <f aca="false">IF(OR($A117="",$G117=0),"",ROUND($F117*INDEX(仪器设备工时分配表!$O$6:$O$245,$W117)/$G117,2))</f>
        <v/>
      </c>
      <c r="R117" s="27" t="str">
        <f aca="false">IF(OR($A117="",$G117=0),"",ROUND($F117*INDEX(仪器设备工时分配表!$P$6:$P$245,$W117)/$G117,2))</f>
        <v/>
      </c>
      <c r="S117" s="27" t="str">
        <f aca="false">IF(OR($A117="",$G117=0),"",ROUND($F117*INDEX(仪器设备工时分配表!$Q$6:$Q$245,$W117)/$G117,2))</f>
        <v/>
      </c>
      <c r="T117" s="27" t="str">
        <f aca="false">IF($A117="","",ROUND(SUM(J117:S117),2))</f>
        <v/>
      </c>
      <c r="U117" s="27" t="str">
        <f aca="false">IF($A117="","",ROUND($F117-T117,2))</f>
        <v/>
      </c>
      <c r="V117" s="43" t="str">
        <f aca="false">IF($A117="","",IF($D117="无形资产","⚠ 无形资产请在无形资产费用分配表登记",IF($W117=0,"⚠ 工时分配表无此资产当月记录",IF($X117&gt;1,"⚠ 工时分配表存在重复行","√ 正常"))))</f>
        <v/>
      </c>
      <c r="W117" s="47" t="n">
        <f aca="false">IF($A117="",0,IFERROR(MATCH($A117&amp;"|"&amp;$B117,仪器设备工时分配表!$V$6:$V$245,0),0))</f>
        <v>0</v>
      </c>
      <c r="X117" s="47" t="n">
        <f aca="false">IF($A117="",0,COUNTIFS(仪器设备工时分配表!$A$6:$A$245,$A117,仪器设备工时分配表!$B$6:$B$245,$B117))</f>
        <v>0</v>
      </c>
    </row>
    <row r="118" customFormat="false" ht="18" hidden="false" customHeight="true" outlineLevel="0" collapsed="false">
      <c r="A118" s="36"/>
      <c r="B118" s="36"/>
      <c r="C118" s="48" t="str">
        <f aca="false">IF($B118="","",IFERROR(VLOOKUP($B118,资产台账!$B$4:$N$53,2,0)&amp;"","台账中未登记"))</f>
        <v/>
      </c>
      <c r="D118" s="43" t="str">
        <f aca="false">IF($B118="","",IFERROR(VLOOKUP($B118,资产台账!$B$4:$N$53,3,0)&amp;"",""))</f>
        <v/>
      </c>
      <c r="E118" s="43" t="str">
        <f aca="false">IF($B118="","",IFERROR(VLOOKUP($B118,资产台账!$B$4:$N$53,10,0)&amp;"",""))</f>
        <v/>
      </c>
      <c r="F118" s="49" t="str">
        <f aca="false">IF($B118="","",IFERROR(VLOOKUP($B118,资产台账!$B$4:$N$53,9,0),0))</f>
        <v/>
      </c>
      <c r="G118" s="45" t="n">
        <f aca="false">IF(OR($A118="",$W118=0),0,INDEX(仪器设备工时分配表!$F$6:$F$245,$W118))</f>
        <v>0</v>
      </c>
      <c r="H118" s="45" t="n">
        <f aca="false">IF(OR($A118="",$W118=0),0,INDEX(仪器设备工时分配表!$R$6:$R$245,$W118))</f>
        <v>0</v>
      </c>
      <c r="I118" s="28" t="str">
        <f aca="false">IF(OR($A118="",$G118=0),"",$H118/$G118)</f>
        <v/>
      </c>
      <c r="J118" s="27" t="str">
        <f aca="false">IF(OR($A118="",$G118=0),"",ROUND($F118*INDEX(仪器设备工时分配表!$H$6:$H$245,$W118)/$G118,2))</f>
        <v/>
      </c>
      <c r="K118" s="27" t="str">
        <f aca="false">IF(OR($A118="",$G118=0),"",ROUND($F118*INDEX(仪器设备工时分配表!$I$6:$I$245,$W118)/$G118,2))</f>
        <v/>
      </c>
      <c r="L118" s="27" t="str">
        <f aca="false">IF(OR($A118="",$G118=0),"",ROUND($F118*INDEX(仪器设备工时分配表!$J$6:$J$245,$W118)/$G118,2))</f>
        <v/>
      </c>
      <c r="M118" s="27" t="str">
        <f aca="false">IF(OR($A118="",$G118=0),"",ROUND($F118*INDEX(仪器设备工时分配表!$K$6:$K$245,$W118)/$G118,2))</f>
        <v/>
      </c>
      <c r="N118" s="27" t="str">
        <f aca="false">IF(OR($A118="",$G118=0),"",ROUND($F118*INDEX(仪器设备工时分配表!$L$6:$L$245,$W118)/$G118,2))</f>
        <v/>
      </c>
      <c r="O118" s="27" t="str">
        <f aca="false">IF(OR($A118="",$G118=0),"",ROUND($F118*INDEX(仪器设备工时分配表!$M$6:$M$245,$W118)/$G118,2))</f>
        <v/>
      </c>
      <c r="P118" s="27" t="str">
        <f aca="false">IF(OR($A118="",$G118=0),"",ROUND($F118*INDEX(仪器设备工时分配表!$N$6:$N$245,$W118)/$G118,2))</f>
        <v/>
      </c>
      <c r="Q118" s="27" t="str">
        <f aca="false">IF(OR($A118="",$G118=0),"",ROUND($F118*INDEX(仪器设备工时分配表!$O$6:$O$245,$W118)/$G118,2))</f>
        <v/>
      </c>
      <c r="R118" s="27" t="str">
        <f aca="false">IF(OR($A118="",$G118=0),"",ROUND($F118*INDEX(仪器设备工时分配表!$P$6:$P$245,$W118)/$G118,2))</f>
        <v/>
      </c>
      <c r="S118" s="27" t="str">
        <f aca="false">IF(OR($A118="",$G118=0),"",ROUND($F118*INDEX(仪器设备工时分配表!$Q$6:$Q$245,$W118)/$G118,2))</f>
        <v/>
      </c>
      <c r="T118" s="27" t="str">
        <f aca="false">IF($A118="","",ROUND(SUM(J118:S118),2))</f>
        <v/>
      </c>
      <c r="U118" s="27" t="str">
        <f aca="false">IF($A118="","",ROUND($F118-T118,2))</f>
        <v/>
      </c>
      <c r="V118" s="43" t="str">
        <f aca="false">IF($A118="","",IF($D118="无形资产","⚠ 无形资产请在无形资产费用分配表登记",IF($W118=0,"⚠ 工时分配表无此资产当月记录",IF($X118&gt;1,"⚠ 工时分配表存在重复行","√ 正常"))))</f>
        <v/>
      </c>
      <c r="W118" s="47" t="n">
        <f aca="false">IF($A118="",0,IFERROR(MATCH($A118&amp;"|"&amp;$B118,仪器设备工时分配表!$V$6:$V$245,0),0))</f>
        <v>0</v>
      </c>
      <c r="X118" s="47" t="n">
        <f aca="false">IF($A118="",0,COUNTIFS(仪器设备工时分配表!$A$6:$A$245,$A118,仪器设备工时分配表!$B$6:$B$245,$B118))</f>
        <v>0</v>
      </c>
    </row>
    <row r="119" customFormat="false" ht="18" hidden="false" customHeight="true" outlineLevel="0" collapsed="false">
      <c r="A119" s="36"/>
      <c r="B119" s="36"/>
      <c r="C119" s="48" t="str">
        <f aca="false">IF($B119="","",IFERROR(VLOOKUP($B119,资产台账!$B$4:$N$53,2,0)&amp;"","台账中未登记"))</f>
        <v/>
      </c>
      <c r="D119" s="43" t="str">
        <f aca="false">IF($B119="","",IFERROR(VLOOKUP($B119,资产台账!$B$4:$N$53,3,0)&amp;"",""))</f>
        <v/>
      </c>
      <c r="E119" s="43" t="str">
        <f aca="false">IF($B119="","",IFERROR(VLOOKUP($B119,资产台账!$B$4:$N$53,10,0)&amp;"",""))</f>
        <v/>
      </c>
      <c r="F119" s="49" t="str">
        <f aca="false">IF($B119="","",IFERROR(VLOOKUP($B119,资产台账!$B$4:$N$53,9,0),0))</f>
        <v/>
      </c>
      <c r="G119" s="45" t="n">
        <f aca="false">IF(OR($A119="",$W119=0),0,INDEX(仪器设备工时分配表!$F$6:$F$245,$W119))</f>
        <v>0</v>
      </c>
      <c r="H119" s="45" t="n">
        <f aca="false">IF(OR($A119="",$W119=0),0,INDEX(仪器设备工时分配表!$R$6:$R$245,$W119))</f>
        <v>0</v>
      </c>
      <c r="I119" s="28" t="str">
        <f aca="false">IF(OR($A119="",$G119=0),"",$H119/$G119)</f>
        <v/>
      </c>
      <c r="J119" s="27" t="str">
        <f aca="false">IF(OR($A119="",$G119=0),"",ROUND($F119*INDEX(仪器设备工时分配表!$H$6:$H$245,$W119)/$G119,2))</f>
        <v/>
      </c>
      <c r="K119" s="27" t="str">
        <f aca="false">IF(OR($A119="",$G119=0),"",ROUND($F119*INDEX(仪器设备工时分配表!$I$6:$I$245,$W119)/$G119,2))</f>
        <v/>
      </c>
      <c r="L119" s="27" t="str">
        <f aca="false">IF(OR($A119="",$G119=0),"",ROUND($F119*INDEX(仪器设备工时分配表!$J$6:$J$245,$W119)/$G119,2))</f>
        <v/>
      </c>
      <c r="M119" s="27" t="str">
        <f aca="false">IF(OR($A119="",$G119=0),"",ROUND($F119*INDEX(仪器设备工时分配表!$K$6:$K$245,$W119)/$G119,2))</f>
        <v/>
      </c>
      <c r="N119" s="27" t="str">
        <f aca="false">IF(OR($A119="",$G119=0),"",ROUND($F119*INDEX(仪器设备工时分配表!$L$6:$L$245,$W119)/$G119,2))</f>
        <v/>
      </c>
      <c r="O119" s="27" t="str">
        <f aca="false">IF(OR($A119="",$G119=0),"",ROUND($F119*INDEX(仪器设备工时分配表!$M$6:$M$245,$W119)/$G119,2))</f>
        <v/>
      </c>
      <c r="P119" s="27" t="str">
        <f aca="false">IF(OR($A119="",$G119=0),"",ROUND($F119*INDEX(仪器设备工时分配表!$N$6:$N$245,$W119)/$G119,2))</f>
        <v/>
      </c>
      <c r="Q119" s="27" t="str">
        <f aca="false">IF(OR($A119="",$G119=0),"",ROUND($F119*INDEX(仪器设备工时分配表!$O$6:$O$245,$W119)/$G119,2))</f>
        <v/>
      </c>
      <c r="R119" s="27" t="str">
        <f aca="false">IF(OR($A119="",$G119=0),"",ROUND($F119*INDEX(仪器设备工时分配表!$P$6:$P$245,$W119)/$G119,2))</f>
        <v/>
      </c>
      <c r="S119" s="27" t="str">
        <f aca="false">IF(OR($A119="",$G119=0),"",ROUND($F119*INDEX(仪器设备工时分配表!$Q$6:$Q$245,$W119)/$G119,2))</f>
        <v/>
      </c>
      <c r="T119" s="27" t="str">
        <f aca="false">IF($A119="","",ROUND(SUM(J119:S119),2))</f>
        <v/>
      </c>
      <c r="U119" s="27" t="str">
        <f aca="false">IF($A119="","",ROUND($F119-T119,2))</f>
        <v/>
      </c>
      <c r="V119" s="43" t="str">
        <f aca="false">IF($A119="","",IF($D119="无形资产","⚠ 无形资产请在无形资产费用分配表登记",IF($W119=0,"⚠ 工时分配表无此资产当月记录",IF($X119&gt;1,"⚠ 工时分配表存在重复行","√ 正常"))))</f>
        <v/>
      </c>
      <c r="W119" s="47" t="n">
        <f aca="false">IF($A119="",0,IFERROR(MATCH($A119&amp;"|"&amp;$B119,仪器设备工时分配表!$V$6:$V$245,0),0))</f>
        <v>0</v>
      </c>
      <c r="X119" s="47" t="n">
        <f aca="false">IF($A119="",0,COUNTIFS(仪器设备工时分配表!$A$6:$A$245,$A119,仪器设备工时分配表!$B$6:$B$245,$B119))</f>
        <v>0</v>
      </c>
    </row>
    <row r="120" customFormat="false" ht="18" hidden="false" customHeight="true" outlineLevel="0" collapsed="false">
      <c r="A120" s="36"/>
      <c r="B120" s="36"/>
      <c r="C120" s="48" t="str">
        <f aca="false">IF($B120="","",IFERROR(VLOOKUP($B120,资产台账!$B$4:$N$53,2,0)&amp;"","台账中未登记"))</f>
        <v/>
      </c>
      <c r="D120" s="43" t="str">
        <f aca="false">IF($B120="","",IFERROR(VLOOKUP($B120,资产台账!$B$4:$N$53,3,0)&amp;"",""))</f>
        <v/>
      </c>
      <c r="E120" s="43" t="str">
        <f aca="false">IF($B120="","",IFERROR(VLOOKUP($B120,资产台账!$B$4:$N$53,10,0)&amp;"",""))</f>
        <v/>
      </c>
      <c r="F120" s="49" t="str">
        <f aca="false">IF($B120="","",IFERROR(VLOOKUP($B120,资产台账!$B$4:$N$53,9,0),0))</f>
        <v/>
      </c>
      <c r="G120" s="45" t="n">
        <f aca="false">IF(OR($A120="",$W120=0),0,INDEX(仪器设备工时分配表!$F$6:$F$245,$W120))</f>
        <v>0</v>
      </c>
      <c r="H120" s="45" t="n">
        <f aca="false">IF(OR($A120="",$W120=0),0,INDEX(仪器设备工时分配表!$R$6:$R$245,$W120))</f>
        <v>0</v>
      </c>
      <c r="I120" s="28" t="str">
        <f aca="false">IF(OR($A120="",$G120=0),"",$H120/$G120)</f>
        <v/>
      </c>
      <c r="J120" s="27" t="str">
        <f aca="false">IF(OR($A120="",$G120=0),"",ROUND($F120*INDEX(仪器设备工时分配表!$H$6:$H$245,$W120)/$G120,2))</f>
        <v/>
      </c>
      <c r="K120" s="27" t="str">
        <f aca="false">IF(OR($A120="",$G120=0),"",ROUND($F120*INDEX(仪器设备工时分配表!$I$6:$I$245,$W120)/$G120,2))</f>
        <v/>
      </c>
      <c r="L120" s="27" t="str">
        <f aca="false">IF(OR($A120="",$G120=0),"",ROUND($F120*INDEX(仪器设备工时分配表!$J$6:$J$245,$W120)/$G120,2))</f>
        <v/>
      </c>
      <c r="M120" s="27" t="str">
        <f aca="false">IF(OR($A120="",$G120=0),"",ROUND($F120*INDEX(仪器设备工时分配表!$K$6:$K$245,$W120)/$G120,2))</f>
        <v/>
      </c>
      <c r="N120" s="27" t="str">
        <f aca="false">IF(OR($A120="",$G120=0),"",ROUND($F120*INDEX(仪器设备工时分配表!$L$6:$L$245,$W120)/$G120,2))</f>
        <v/>
      </c>
      <c r="O120" s="27" t="str">
        <f aca="false">IF(OR($A120="",$G120=0),"",ROUND($F120*INDEX(仪器设备工时分配表!$M$6:$M$245,$W120)/$G120,2))</f>
        <v/>
      </c>
      <c r="P120" s="27" t="str">
        <f aca="false">IF(OR($A120="",$G120=0),"",ROUND($F120*INDEX(仪器设备工时分配表!$N$6:$N$245,$W120)/$G120,2))</f>
        <v/>
      </c>
      <c r="Q120" s="27" t="str">
        <f aca="false">IF(OR($A120="",$G120=0),"",ROUND($F120*INDEX(仪器设备工时分配表!$O$6:$O$245,$W120)/$G120,2))</f>
        <v/>
      </c>
      <c r="R120" s="27" t="str">
        <f aca="false">IF(OR($A120="",$G120=0),"",ROUND($F120*INDEX(仪器设备工时分配表!$P$6:$P$245,$W120)/$G120,2))</f>
        <v/>
      </c>
      <c r="S120" s="27" t="str">
        <f aca="false">IF(OR($A120="",$G120=0),"",ROUND($F120*INDEX(仪器设备工时分配表!$Q$6:$Q$245,$W120)/$G120,2))</f>
        <v/>
      </c>
      <c r="T120" s="27" t="str">
        <f aca="false">IF($A120="","",ROUND(SUM(J120:S120),2))</f>
        <v/>
      </c>
      <c r="U120" s="27" t="str">
        <f aca="false">IF($A120="","",ROUND($F120-T120,2))</f>
        <v/>
      </c>
      <c r="V120" s="43" t="str">
        <f aca="false">IF($A120="","",IF($D120="无形资产","⚠ 无形资产请在无形资产费用分配表登记",IF($W120=0,"⚠ 工时分配表无此资产当月记录",IF($X120&gt;1,"⚠ 工时分配表存在重复行","√ 正常"))))</f>
        <v/>
      </c>
      <c r="W120" s="47" t="n">
        <f aca="false">IF($A120="",0,IFERROR(MATCH($A120&amp;"|"&amp;$B120,仪器设备工时分配表!$V$6:$V$245,0),0))</f>
        <v>0</v>
      </c>
      <c r="X120" s="47" t="n">
        <f aca="false">IF($A120="",0,COUNTIFS(仪器设备工时分配表!$A$6:$A$245,$A120,仪器设备工时分配表!$B$6:$B$245,$B120))</f>
        <v>0</v>
      </c>
    </row>
    <row r="121" customFormat="false" ht="18" hidden="false" customHeight="true" outlineLevel="0" collapsed="false">
      <c r="A121" s="36"/>
      <c r="B121" s="36"/>
      <c r="C121" s="48" t="str">
        <f aca="false">IF($B121="","",IFERROR(VLOOKUP($B121,资产台账!$B$4:$N$53,2,0)&amp;"","台账中未登记"))</f>
        <v/>
      </c>
      <c r="D121" s="43" t="str">
        <f aca="false">IF($B121="","",IFERROR(VLOOKUP($B121,资产台账!$B$4:$N$53,3,0)&amp;"",""))</f>
        <v/>
      </c>
      <c r="E121" s="43" t="str">
        <f aca="false">IF($B121="","",IFERROR(VLOOKUP($B121,资产台账!$B$4:$N$53,10,0)&amp;"",""))</f>
        <v/>
      </c>
      <c r="F121" s="49" t="str">
        <f aca="false">IF($B121="","",IFERROR(VLOOKUP($B121,资产台账!$B$4:$N$53,9,0),0))</f>
        <v/>
      </c>
      <c r="G121" s="45" t="n">
        <f aca="false">IF(OR($A121="",$W121=0),0,INDEX(仪器设备工时分配表!$F$6:$F$245,$W121))</f>
        <v>0</v>
      </c>
      <c r="H121" s="45" t="n">
        <f aca="false">IF(OR($A121="",$W121=0),0,INDEX(仪器设备工时分配表!$R$6:$R$245,$W121))</f>
        <v>0</v>
      </c>
      <c r="I121" s="28" t="str">
        <f aca="false">IF(OR($A121="",$G121=0),"",$H121/$G121)</f>
        <v/>
      </c>
      <c r="J121" s="27" t="str">
        <f aca="false">IF(OR($A121="",$G121=0),"",ROUND($F121*INDEX(仪器设备工时分配表!$H$6:$H$245,$W121)/$G121,2))</f>
        <v/>
      </c>
      <c r="K121" s="27" t="str">
        <f aca="false">IF(OR($A121="",$G121=0),"",ROUND($F121*INDEX(仪器设备工时分配表!$I$6:$I$245,$W121)/$G121,2))</f>
        <v/>
      </c>
      <c r="L121" s="27" t="str">
        <f aca="false">IF(OR($A121="",$G121=0),"",ROUND($F121*INDEX(仪器设备工时分配表!$J$6:$J$245,$W121)/$G121,2))</f>
        <v/>
      </c>
      <c r="M121" s="27" t="str">
        <f aca="false">IF(OR($A121="",$G121=0),"",ROUND($F121*INDEX(仪器设备工时分配表!$K$6:$K$245,$W121)/$G121,2))</f>
        <v/>
      </c>
      <c r="N121" s="27" t="str">
        <f aca="false">IF(OR($A121="",$G121=0),"",ROUND($F121*INDEX(仪器设备工时分配表!$L$6:$L$245,$W121)/$G121,2))</f>
        <v/>
      </c>
      <c r="O121" s="27" t="str">
        <f aca="false">IF(OR($A121="",$G121=0),"",ROUND($F121*INDEX(仪器设备工时分配表!$M$6:$M$245,$W121)/$G121,2))</f>
        <v/>
      </c>
      <c r="P121" s="27" t="str">
        <f aca="false">IF(OR($A121="",$G121=0),"",ROUND($F121*INDEX(仪器设备工时分配表!$N$6:$N$245,$W121)/$G121,2))</f>
        <v/>
      </c>
      <c r="Q121" s="27" t="str">
        <f aca="false">IF(OR($A121="",$G121=0),"",ROUND($F121*INDEX(仪器设备工时分配表!$O$6:$O$245,$W121)/$G121,2))</f>
        <v/>
      </c>
      <c r="R121" s="27" t="str">
        <f aca="false">IF(OR($A121="",$G121=0),"",ROUND($F121*INDEX(仪器设备工时分配表!$P$6:$P$245,$W121)/$G121,2))</f>
        <v/>
      </c>
      <c r="S121" s="27" t="str">
        <f aca="false">IF(OR($A121="",$G121=0),"",ROUND($F121*INDEX(仪器设备工时分配表!$Q$6:$Q$245,$W121)/$G121,2))</f>
        <v/>
      </c>
      <c r="T121" s="27" t="str">
        <f aca="false">IF($A121="","",ROUND(SUM(J121:S121),2))</f>
        <v/>
      </c>
      <c r="U121" s="27" t="str">
        <f aca="false">IF($A121="","",ROUND($F121-T121,2))</f>
        <v/>
      </c>
      <c r="V121" s="43" t="str">
        <f aca="false">IF($A121="","",IF($D121="无形资产","⚠ 无形资产请在无形资产费用分配表登记",IF($W121=0,"⚠ 工时分配表无此资产当月记录",IF($X121&gt;1,"⚠ 工时分配表存在重复行","√ 正常"))))</f>
        <v/>
      </c>
      <c r="W121" s="47" t="n">
        <f aca="false">IF($A121="",0,IFERROR(MATCH($A121&amp;"|"&amp;$B121,仪器设备工时分配表!$V$6:$V$245,0),0))</f>
        <v>0</v>
      </c>
      <c r="X121" s="47" t="n">
        <f aca="false">IF($A121="",0,COUNTIFS(仪器设备工时分配表!$A$6:$A$245,$A121,仪器设备工时分配表!$B$6:$B$245,$B121))</f>
        <v>0</v>
      </c>
    </row>
    <row r="122" customFormat="false" ht="18" hidden="false" customHeight="true" outlineLevel="0" collapsed="false">
      <c r="A122" s="36"/>
      <c r="B122" s="36"/>
      <c r="C122" s="48" t="str">
        <f aca="false">IF($B122="","",IFERROR(VLOOKUP($B122,资产台账!$B$4:$N$53,2,0)&amp;"","台账中未登记"))</f>
        <v/>
      </c>
      <c r="D122" s="43" t="str">
        <f aca="false">IF($B122="","",IFERROR(VLOOKUP($B122,资产台账!$B$4:$N$53,3,0)&amp;"",""))</f>
        <v/>
      </c>
      <c r="E122" s="43" t="str">
        <f aca="false">IF($B122="","",IFERROR(VLOOKUP($B122,资产台账!$B$4:$N$53,10,0)&amp;"",""))</f>
        <v/>
      </c>
      <c r="F122" s="49" t="str">
        <f aca="false">IF($B122="","",IFERROR(VLOOKUP($B122,资产台账!$B$4:$N$53,9,0),0))</f>
        <v/>
      </c>
      <c r="G122" s="45" t="n">
        <f aca="false">IF(OR($A122="",$W122=0),0,INDEX(仪器设备工时分配表!$F$6:$F$245,$W122))</f>
        <v>0</v>
      </c>
      <c r="H122" s="45" t="n">
        <f aca="false">IF(OR($A122="",$W122=0),0,INDEX(仪器设备工时分配表!$R$6:$R$245,$W122))</f>
        <v>0</v>
      </c>
      <c r="I122" s="28" t="str">
        <f aca="false">IF(OR($A122="",$G122=0),"",$H122/$G122)</f>
        <v/>
      </c>
      <c r="J122" s="27" t="str">
        <f aca="false">IF(OR($A122="",$G122=0),"",ROUND($F122*INDEX(仪器设备工时分配表!$H$6:$H$245,$W122)/$G122,2))</f>
        <v/>
      </c>
      <c r="K122" s="27" t="str">
        <f aca="false">IF(OR($A122="",$G122=0),"",ROUND($F122*INDEX(仪器设备工时分配表!$I$6:$I$245,$W122)/$G122,2))</f>
        <v/>
      </c>
      <c r="L122" s="27" t="str">
        <f aca="false">IF(OR($A122="",$G122=0),"",ROUND($F122*INDEX(仪器设备工时分配表!$J$6:$J$245,$W122)/$G122,2))</f>
        <v/>
      </c>
      <c r="M122" s="27" t="str">
        <f aca="false">IF(OR($A122="",$G122=0),"",ROUND($F122*INDEX(仪器设备工时分配表!$K$6:$K$245,$W122)/$G122,2))</f>
        <v/>
      </c>
      <c r="N122" s="27" t="str">
        <f aca="false">IF(OR($A122="",$G122=0),"",ROUND($F122*INDEX(仪器设备工时分配表!$L$6:$L$245,$W122)/$G122,2))</f>
        <v/>
      </c>
      <c r="O122" s="27" t="str">
        <f aca="false">IF(OR($A122="",$G122=0),"",ROUND($F122*INDEX(仪器设备工时分配表!$M$6:$M$245,$W122)/$G122,2))</f>
        <v/>
      </c>
      <c r="P122" s="27" t="str">
        <f aca="false">IF(OR($A122="",$G122=0),"",ROUND($F122*INDEX(仪器设备工时分配表!$N$6:$N$245,$W122)/$G122,2))</f>
        <v/>
      </c>
      <c r="Q122" s="27" t="str">
        <f aca="false">IF(OR($A122="",$G122=0),"",ROUND($F122*INDEX(仪器设备工时分配表!$O$6:$O$245,$W122)/$G122,2))</f>
        <v/>
      </c>
      <c r="R122" s="27" t="str">
        <f aca="false">IF(OR($A122="",$G122=0),"",ROUND($F122*INDEX(仪器设备工时分配表!$P$6:$P$245,$W122)/$G122,2))</f>
        <v/>
      </c>
      <c r="S122" s="27" t="str">
        <f aca="false">IF(OR($A122="",$G122=0),"",ROUND($F122*INDEX(仪器设备工时分配表!$Q$6:$Q$245,$W122)/$G122,2))</f>
        <v/>
      </c>
      <c r="T122" s="27" t="str">
        <f aca="false">IF($A122="","",ROUND(SUM(J122:S122),2))</f>
        <v/>
      </c>
      <c r="U122" s="27" t="str">
        <f aca="false">IF($A122="","",ROUND($F122-T122,2))</f>
        <v/>
      </c>
      <c r="V122" s="43" t="str">
        <f aca="false">IF($A122="","",IF($D122="无形资产","⚠ 无形资产请在无形资产费用分配表登记",IF($W122=0,"⚠ 工时分配表无此资产当月记录",IF($X122&gt;1,"⚠ 工时分配表存在重复行","√ 正常"))))</f>
        <v/>
      </c>
      <c r="W122" s="47" t="n">
        <f aca="false">IF($A122="",0,IFERROR(MATCH($A122&amp;"|"&amp;$B122,仪器设备工时分配表!$V$6:$V$245,0),0))</f>
        <v>0</v>
      </c>
      <c r="X122" s="47" t="n">
        <f aca="false">IF($A122="",0,COUNTIFS(仪器设备工时分配表!$A$6:$A$245,$A122,仪器设备工时分配表!$B$6:$B$245,$B122))</f>
        <v>0</v>
      </c>
    </row>
    <row r="123" customFormat="false" ht="18" hidden="false" customHeight="true" outlineLevel="0" collapsed="false">
      <c r="A123" s="36"/>
      <c r="B123" s="36"/>
      <c r="C123" s="48" t="str">
        <f aca="false">IF($B123="","",IFERROR(VLOOKUP($B123,资产台账!$B$4:$N$53,2,0)&amp;"","台账中未登记"))</f>
        <v/>
      </c>
      <c r="D123" s="43" t="str">
        <f aca="false">IF($B123="","",IFERROR(VLOOKUP($B123,资产台账!$B$4:$N$53,3,0)&amp;"",""))</f>
        <v/>
      </c>
      <c r="E123" s="43" t="str">
        <f aca="false">IF($B123="","",IFERROR(VLOOKUP($B123,资产台账!$B$4:$N$53,10,0)&amp;"",""))</f>
        <v/>
      </c>
      <c r="F123" s="49" t="str">
        <f aca="false">IF($B123="","",IFERROR(VLOOKUP($B123,资产台账!$B$4:$N$53,9,0),0))</f>
        <v/>
      </c>
      <c r="G123" s="45" t="n">
        <f aca="false">IF(OR($A123="",$W123=0),0,INDEX(仪器设备工时分配表!$F$6:$F$245,$W123))</f>
        <v>0</v>
      </c>
      <c r="H123" s="45" t="n">
        <f aca="false">IF(OR($A123="",$W123=0),0,INDEX(仪器设备工时分配表!$R$6:$R$245,$W123))</f>
        <v>0</v>
      </c>
      <c r="I123" s="28" t="str">
        <f aca="false">IF(OR($A123="",$G123=0),"",$H123/$G123)</f>
        <v/>
      </c>
      <c r="J123" s="27" t="str">
        <f aca="false">IF(OR($A123="",$G123=0),"",ROUND($F123*INDEX(仪器设备工时分配表!$H$6:$H$245,$W123)/$G123,2))</f>
        <v/>
      </c>
      <c r="K123" s="27" t="str">
        <f aca="false">IF(OR($A123="",$G123=0),"",ROUND($F123*INDEX(仪器设备工时分配表!$I$6:$I$245,$W123)/$G123,2))</f>
        <v/>
      </c>
      <c r="L123" s="27" t="str">
        <f aca="false">IF(OR($A123="",$G123=0),"",ROUND($F123*INDEX(仪器设备工时分配表!$J$6:$J$245,$W123)/$G123,2))</f>
        <v/>
      </c>
      <c r="M123" s="27" t="str">
        <f aca="false">IF(OR($A123="",$G123=0),"",ROUND($F123*INDEX(仪器设备工时分配表!$K$6:$K$245,$W123)/$G123,2))</f>
        <v/>
      </c>
      <c r="N123" s="27" t="str">
        <f aca="false">IF(OR($A123="",$G123=0),"",ROUND($F123*INDEX(仪器设备工时分配表!$L$6:$L$245,$W123)/$G123,2))</f>
        <v/>
      </c>
      <c r="O123" s="27" t="str">
        <f aca="false">IF(OR($A123="",$G123=0),"",ROUND($F123*INDEX(仪器设备工时分配表!$M$6:$M$245,$W123)/$G123,2))</f>
        <v/>
      </c>
      <c r="P123" s="27" t="str">
        <f aca="false">IF(OR($A123="",$G123=0),"",ROUND($F123*INDEX(仪器设备工时分配表!$N$6:$N$245,$W123)/$G123,2))</f>
        <v/>
      </c>
      <c r="Q123" s="27" t="str">
        <f aca="false">IF(OR($A123="",$G123=0),"",ROUND($F123*INDEX(仪器设备工时分配表!$O$6:$O$245,$W123)/$G123,2))</f>
        <v/>
      </c>
      <c r="R123" s="27" t="str">
        <f aca="false">IF(OR($A123="",$G123=0),"",ROUND($F123*INDEX(仪器设备工时分配表!$P$6:$P$245,$W123)/$G123,2))</f>
        <v/>
      </c>
      <c r="S123" s="27" t="str">
        <f aca="false">IF(OR($A123="",$G123=0),"",ROUND($F123*INDEX(仪器设备工时分配表!$Q$6:$Q$245,$W123)/$G123,2))</f>
        <v/>
      </c>
      <c r="T123" s="27" t="str">
        <f aca="false">IF($A123="","",ROUND(SUM(J123:S123),2))</f>
        <v/>
      </c>
      <c r="U123" s="27" t="str">
        <f aca="false">IF($A123="","",ROUND($F123-T123,2))</f>
        <v/>
      </c>
      <c r="V123" s="43" t="str">
        <f aca="false">IF($A123="","",IF($D123="无形资产","⚠ 无形资产请在无形资产费用分配表登记",IF($W123=0,"⚠ 工时分配表无此资产当月记录",IF($X123&gt;1,"⚠ 工时分配表存在重复行","√ 正常"))))</f>
        <v/>
      </c>
      <c r="W123" s="47" t="n">
        <f aca="false">IF($A123="",0,IFERROR(MATCH($A123&amp;"|"&amp;$B123,仪器设备工时分配表!$V$6:$V$245,0),0))</f>
        <v>0</v>
      </c>
      <c r="X123" s="47" t="n">
        <f aca="false">IF($A123="",0,COUNTIFS(仪器设备工时分配表!$A$6:$A$245,$A123,仪器设备工时分配表!$B$6:$B$245,$B123))</f>
        <v>0</v>
      </c>
    </row>
    <row r="124" customFormat="false" ht="18" hidden="false" customHeight="true" outlineLevel="0" collapsed="false">
      <c r="A124" s="36"/>
      <c r="B124" s="36"/>
      <c r="C124" s="48" t="str">
        <f aca="false">IF($B124="","",IFERROR(VLOOKUP($B124,资产台账!$B$4:$N$53,2,0)&amp;"","台账中未登记"))</f>
        <v/>
      </c>
      <c r="D124" s="43" t="str">
        <f aca="false">IF($B124="","",IFERROR(VLOOKUP($B124,资产台账!$B$4:$N$53,3,0)&amp;"",""))</f>
        <v/>
      </c>
      <c r="E124" s="43" t="str">
        <f aca="false">IF($B124="","",IFERROR(VLOOKUP($B124,资产台账!$B$4:$N$53,10,0)&amp;"",""))</f>
        <v/>
      </c>
      <c r="F124" s="49" t="str">
        <f aca="false">IF($B124="","",IFERROR(VLOOKUP($B124,资产台账!$B$4:$N$53,9,0),0))</f>
        <v/>
      </c>
      <c r="G124" s="45" t="n">
        <f aca="false">IF(OR($A124="",$W124=0),0,INDEX(仪器设备工时分配表!$F$6:$F$245,$W124))</f>
        <v>0</v>
      </c>
      <c r="H124" s="45" t="n">
        <f aca="false">IF(OR($A124="",$W124=0),0,INDEX(仪器设备工时分配表!$R$6:$R$245,$W124))</f>
        <v>0</v>
      </c>
      <c r="I124" s="28" t="str">
        <f aca="false">IF(OR($A124="",$G124=0),"",$H124/$G124)</f>
        <v/>
      </c>
      <c r="J124" s="27" t="str">
        <f aca="false">IF(OR($A124="",$G124=0),"",ROUND($F124*INDEX(仪器设备工时分配表!$H$6:$H$245,$W124)/$G124,2))</f>
        <v/>
      </c>
      <c r="K124" s="27" t="str">
        <f aca="false">IF(OR($A124="",$G124=0),"",ROUND($F124*INDEX(仪器设备工时分配表!$I$6:$I$245,$W124)/$G124,2))</f>
        <v/>
      </c>
      <c r="L124" s="27" t="str">
        <f aca="false">IF(OR($A124="",$G124=0),"",ROUND($F124*INDEX(仪器设备工时分配表!$J$6:$J$245,$W124)/$G124,2))</f>
        <v/>
      </c>
      <c r="M124" s="27" t="str">
        <f aca="false">IF(OR($A124="",$G124=0),"",ROUND($F124*INDEX(仪器设备工时分配表!$K$6:$K$245,$W124)/$G124,2))</f>
        <v/>
      </c>
      <c r="N124" s="27" t="str">
        <f aca="false">IF(OR($A124="",$G124=0),"",ROUND($F124*INDEX(仪器设备工时分配表!$L$6:$L$245,$W124)/$G124,2))</f>
        <v/>
      </c>
      <c r="O124" s="27" t="str">
        <f aca="false">IF(OR($A124="",$G124=0),"",ROUND($F124*INDEX(仪器设备工时分配表!$M$6:$M$245,$W124)/$G124,2))</f>
        <v/>
      </c>
      <c r="P124" s="27" t="str">
        <f aca="false">IF(OR($A124="",$G124=0),"",ROUND($F124*INDEX(仪器设备工时分配表!$N$6:$N$245,$W124)/$G124,2))</f>
        <v/>
      </c>
      <c r="Q124" s="27" t="str">
        <f aca="false">IF(OR($A124="",$G124=0),"",ROUND($F124*INDEX(仪器设备工时分配表!$O$6:$O$245,$W124)/$G124,2))</f>
        <v/>
      </c>
      <c r="R124" s="27" t="str">
        <f aca="false">IF(OR($A124="",$G124=0),"",ROUND($F124*INDEX(仪器设备工时分配表!$P$6:$P$245,$W124)/$G124,2))</f>
        <v/>
      </c>
      <c r="S124" s="27" t="str">
        <f aca="false">IF(OR($A124="",$G124=0),"",ROUND($F124*INDEX(仪器设备工时分配表!$Q$6:$Q$245,$W124)/$G124,2))</f>
        <v/>
      </c>
      <c r="T124" s="27" t="str">
        <f aca="false">IF($A124="","",ROUND(SUM(J124:S124),2))</f>
        <v/>
      </c>
      <c r="U124" s="27" t="str">
        <f aca="false">IF($A124="","",ROUND($F124-T124,2))</f>
        <v/>
      </c>
      <c r="V124" s="43" t="str">
        <f aca="false">IF($A124="","",IF($D124="无形资产","⚠ 无形资产请在无形资产费用分配表登记",IF($W124=0,"⚠ 工时分配表无此资产当月记录",IF($X124&gt;1,"⚠ 工时分配表存在重复行","√ 正常"))))</f>
        <v/>
      </c>
      <c r="W124" s="47" t="n">
        <f aca="false">IF($A124="",0,IFERROR(MATCH($A124&amp;"|"&amp;$B124,仪器设备工时分配表!$V$6:$V$245,0),0))</f>
        <v>0</v>
      </c>
      <c r="X124" s="47" t="n">
        <f aca="false">IF($A124="",0,COUNTIFS(仪器设备工时分配表!$A$6:$A$245,$A124,仪器设备工时分配表!$B$6:$B$245,$B124))</f>
        <v>0</v>
      </c>
    </row>
    <row r="125" customFormat="false" ht="18" hidden="false" customHeight="true" outlineLevel="0" collapsed="false">
      <c r="A125" s="36"/>
      <c r="B125" s="36"/>
      <c r="C125" s="48" t="str">
        <f aca="false">IF($B125="","",IFERROR(VLOOKUP($B125,资产台账!$B$4:$N$53,2,0)&amp;"","台账中未登记"))</f>
        <v/>
      </c>
      <c r="D125" s="43" t="str">
        <f aca="false">IF($B125="","",IFERROR(VLOOKUP($B125,资产台账!$B$4:$N$53,3,0)&amp;"",""))</f>
        <v/>
      </c>
      <c r="E125" s="43" t="str">
        <f aca="false">IF($B125="","",IFERROR(VLOOKUP($B125,资产台账!$B$4:$N$53,10,0)&amp;"",""))</f>
        <v/>
      </c>
      <c r="F125" s="49" t="str">
        <f aca="false">IF($B125="","",IFERROR(VLOOKUP($B125,资产台账!$B$4:$N$53,9,0),0))</f>
        <v/>
      </c>
      <c r="G125" s="45" t="n">
        <f aca="false">IF(OR($A125="",$W125=0),0,INDEX(仪器设备工时分配表!$F$6:$F$245,$W125))</f>
        <v>0</v>
      </c>
      <c r="H125" s="45" t="n">
        <f aca="false">IF(OR($A125="",$W125=0),0,INDEX(仪器设备工时分配表!$R$6:$R$245,$W125))</f>
        <v>0</v>
      </c>
      <c r="I125" s="28" t="str">
        <f aca="false">IF(OR($A125="",$G125=0),"",$H125/$G125)</f>
        <v/>
      </c>
      <c r="J125" s="27" t="str">
        <f aca="false">IF(OR($A125="",$G125=0),"",ROUND($F125*INDEX(仪器设备工时分配表!$H$6:$H$245,$W125)/$G125,2))</f>
        <v/>
      </c>
      <c r="K125" s="27" t="str">
        <f aca="false">IF(OR($A125="",$G125=0),"",ROUND($F125*INDEX(仪器设备工时分配表!$I$6:$I$245,$W125)/$G125,2))</f>
        <v/>
      </c>
      <c r="L125" s="27" t="str">
        <f aca="false">IF(OR($A125="",$G125=0),"",ROUND($F125*INDEX(仪器设备工时分配表!$J$6:$J$245,$W125)/$G125,2))</f>
        <v/>
      </c>
      <c r="M125" s="27" t="str">
        <f aca="false">IF(OR($A125="",$G125=0),"",ROUND($F125*INDEX(仪器设备工时分配表!$K$6:$K$245,$W125)/$G125,2))</f>
        <v/>
      </c>
      <c r="N125" s="27" t="str">
        <f aca="false">IF(OR($A125="",$G125=0),"",ROUND($F125*INDEX(仪器设备工时分配表!$L$6:$L$245,$W125)/$G125,2))</f>
        <v/>
      </c>
      <c r="O125" s="27" t="str">
        <f aca="false">IF(OR($A125="",$G125=0),"",ROUND($F125*INDEX(仪器设备工时分配表!$M$6:$M$245,$W125)/$G125,2))</f>
        <v/>
      </c>
      <c r="P125" s="27" t="str">
        <f aca="false">IF(OR($A125="",$G125=0),"",ROUND($F125*INDEX(仪器设备工时分配表!$N$6:$N$245,$W125)/$G125,2))</f>
        <v/>
      </c>
      <c r="Q125" s="27" t="str">
        <f aca="false">IF(OR($A125="",$G125=0),"",ROUND($F125*INDEX(仪器设备工时分配表!$O$6:$O$245,$W125)/$G125,2))</f>
        <v/>
      </c>
      <c r="R125" s="27" t="str">
        <f aca="false">IF(OR($A125="",$G125=0),"",ROUND($F125*INDEX(仪器设备工时分配表!$P$6:$P$245,$W125)/$G125,2))</f>
        <v/>
      </c>
      <c r="S125" s="27" t="str">
        <f aca="false">IF(OR($A125="",$G125=0),"",ROUND($F125*INDEX(仪器设备工时分配表!$Q$6:$Q$245,$W125)/$G125,2))</f>
        <v/>
      </c>
      <c r="T125" s="27" t="str">
        <f aca="false">IF($A125="","",ROUND(SUM(J125:S125),2))</f>
        <v/>
      </c>
      <c r="U125" s="27" t="str">
        <f aca="false">IF($A125="","",ROUND($F125-T125,2))</f>
        <v/>
      </c>
      <c r="V125" s="43" t="str">
        <f aca="false">IF($A125="","",IF($D125="无形资产","⚠ 无形资产请在无形资产费用分配表登记",IF($W125=0,"⚠ 工时分配表无此资产当月记录",IF($X125&gt;1,"⚠ 工时分配表存在重复行","√ 正常"))))</f>
        <v/>
      </c>
      <c r="W125" s="47" t="n">
        <f aca="false">IF($A125="",0,IFERROR(MATCH($A125&amp;"|"&amp;$B125,仪器设备工时分配表!$V$6:$V$245,0),0))</f>
        <v>0</v>
      </c>
      <c r="X125" s="47" t="n">
        <f aca="false">IF($A125="",0,COUNTIFS(仪器设备工时分配表!$A$6:$A$245,$A125,仪器设备工时分配表!$B$6:$B$245,$B125))</f>
        <v>0</v>
      </c>
    </row>
    <row r="126" customFormat="false" ht="18" hidden="false" customHeight="true" outlineLevel="0" collapsed="false">
      <c r="A126" s="36"/>
      <c r="B126" s="36"/>
      <c r="C126" s="48" t="str">
        <f aca="false">IF($B126="","",IFERROR(VLOOKUP($B126,资产台账!$B$4:$N$53,2,0)&amp;"","台账中未登记"))</f>
        <v/>
      </c>
      <c r="D126" s="43" t="str">
        <f aca="false">IF($B126="","",IFERROR(VLOOKUP($B126,资产台账!$B$4:$N$53,3,0)&amp;"",""))</f>
        <v/>
      </c>
      <c r="E126" s="43" t="str">
        <f aca="false">IF($B126="","",IFERROR(VLOOKUP($B126,资产台账!$B$4:$N$53,10,0)&amp;"",""))</f>
        <v/>
      </c>
      <c r="F126" s="49" t="str">
        <f aca="false">IF($B126="","",IFERROR(VLOOKUP($B126,资产台账!$B$4:$N$53,9,0),0))</f>
        <v/>
      </c>
      <c r="G126" s="45" t="n">
        <f aca="false">IF(OR($A126="",$W126=0),0,INDEX(仪器设备工时分配表!$F$6:$F$245,$W126))</f>
        <v>0</v>
      </c>
      <c r="H126" s="45" t="n">
        <f aca="false">IF(OR($A126="",$W126=0),0,INDEX(仪器设备工时分配表!$R$6:$R$245,$W126))</f>
        <v>0</v>
      </c>
      <c r="I126" s="28" t="str">
        <f aca="false">IF(OR($A126="",$G126=0),"",$H126/$G126)</f>
        <v/>
      </c>
      <c r="J126" s="27" t="str">
        <f aca="false">IF(OR($A126="",$G126=0),"",ROUND($F126*INDEX(仪器设备工时分配表!$H$6:$H$245,$W126)/$G126,2))</f>
        <v/>
      </c>
      <c r="K126" s="27" t="str">
        <f aca="false">IF(OR($A126="",$G126=0),"",ROUND($F126*INDEX(仪器设备工时分配表!$I$6:$I$245,$W126)/$G126,2))</f>
        <v/>
      </c>
      <c r="L126" s="27" t="str">
        <f aca="false">IF(OR($A126="",$G126=0),"",ROUND($F126*INDEX(仪器设备工时分配表!$J$6:$J$245,$W126)/$G126,2))</f>
        <v/>
      </c>
      <c r="M126" s="27" t="str">
        <f aca="false">IF(OR($A126="",$G126=0),"",ROUND($F126*INDEX(仪器设备工时分配表!$K$6:$K$245,$W126)/$G126,2))</f>
        <v/>
      </c>
      <c r="N126" s="27" t="str">
        <f aca="false">IF(OR($A126="",$G126=0),"",ROUND($F126*INDEX(仪器设备工时分配表!$L$6:$L$245,$W126)/$G126,2))</f>
        <v/>
      </c>
      <c r="O126" s="27" t="str">
        <f aca="false">IF(OR($A126="",$G126=0),"",ROUND($F126*INDEX(仪器设备工时分配表!$M$6:$M$245,$W126)/$G126,2))</f>
        <v/>
      </c>
      <c r="P126" s="27" t="str">
        <f aca="false">IF(OR($A126="",$G126=0),"",ROUND($F126*INDEX(仪器设备工时分配表!$N$6:$N$245,$W126)/$G126,2))</f>
        <v/>
      </c>
      <c r="Q126" s="27" t="str">
        <f aca="false">IF(OR($A126="",$G126=0),"",ROUND($F126*INDEX(仪器设备工时分配表!$O$6:$O$245,$W126)/$G126,2))</f>
        <v/>
      </c>
      <c r="R126" s="27" t="str">
        <f aca="false">IF(OR($A126="",$G126=0),"",ROUND($F126*INDEX(仪器设备工时分配表!$P$6:$P$245,$W126)/$G126,2))</f>
        <v/>
      </c>
      <c r="S126" s="27" t="str">
        <f aca="false">IF(OR($A126="",$G126=0),"",ROUND($F126*INDEX(仪器设备工时分配表!$Q$6:$Q$245,$W126)/$G126,2))</f>
        <v/>
      </c>
      <c r="T126" s="27" t="str">
        <f aca="false">IF($A126="","",ROUND(SUM(J126:S126),2))</f>
        <v/>
      </c>
      <c r="U126" s="27" t="str">
        <f aca="false">IF($A126="","",ROUND($F126-T126,2))</f>
        <v/>
      </c>
      <c r="V126" s="43" t="str">
        <f aca="false">IF($A126="","",IF($D126="无形资产","⚠ 无形资产请在无形资产费用分配表登记",IF($W126=0,"⚠ 工时分配表无此资产当月记录",IF($X126&gt;1,"⚠ 工时分配表存在重复行","√ 正常"))))</f>
        <v/>
      </c>
      <c r="W126" s="47" t="n">
        <f aca="false">IF($A126="",0,IFERROR(MATCH($A126&amp;"|"&amp;$B126,仪器设备工时分配表!$V$6:$V$245,0),0))</f>
        <v>0</v>
      </c>
      <c r="X126" s="47" t="n">
        <f aca="false">IF($A126="",0,COUNTIFS(仪器设备工时分配表!$A$6:$A$245,$A126,仪器设备工时分配表!$B$6:$B$245,$B126))</f>
        <v>0</v>
      </c>
    </row>
    <row r="127" customFormat="false" ht="18" hidden="false" customHeight="true" outlineLevel="0" collapsed="false">
      <c r="A127" s="36"/>
      <c r="B127" s="36"/>
      <c r="C127" s="48" t="str">
        <f aca="false">IF($B127="","",IFERROR(VLOOKUP($B127,资产台账!$B$4:$N$53,2,0)&amp;"","台账中未登记"))</f>
        <v/>
      </c>
      <c r="D127" s="43" t="str">
        <f aca="false">IF($B127="","",IFERROR(VLOOKUP($B127,资产台账!$B$4:$N$53,3,0)&amp;"",""))</f>
        <v/>
      </c>
      <c r="E127" s="43" t="str">
        <f aca="false">IF($B127="","",IFERROR(VLOOKUP($B127,资产台账!$B$4:$N$53,10,0)&amp;"",""))</f>
        <v/>
      </c>
      <c r="F127" s="49" t="str">
        <f aca="false">IF($B127="","",IFERROR(VLOOKUP($B127,资产台账!$B$4:$N$53,9,0),0))</f>
        <v/>
      </c>
      <c r="G127" s="45" t="n">
        <f aca="false">IF(OR($A127="",$W127=0),0,INDEX(仪器设备工时分配表!$F$6:$F$245,$W127))</f>
        <v>0</v>
      </c>
      <c r="H127" s="45" t="n">
        <f aca="false">IF(OR($A127="",$W127=0),0,INDEX(仪器设备工时分配表!$R$6:$R$245,$W127))</f>
        <v>0</v>
      </c>
      <c r="I127" s="28" t="str">
        <f aca="false">IF(OR($A127="",$G127=0),"",$H127/$G127)</f>
        <v/>
      </c>
      <c r="J127" s="27" t="str">
        <f aca="false">IF(OR($A127="",$G127=0),"",ROUND($F127*INDEX(仪器设备工时分配表!$H$6:$H$245,$W127)/$G127,2))</f>
        <v/>
      </c>
      <c r="K127" s="27" t="str">
        <f aca="false">IF(OR($A127="",$G127=0),"",ROUND($F127*INDEX(仪器设备工时分配表!$I$6:$I$245,$W127)/$G127,2))</f>
        <v/>
      </c>
      <c r="L127" s="27" t="str">
        <f aca="false">IF(OR($A127="",$G127=0),"",ROUND($F127*INDEX(仪器设备工时分配表!$J$6:$J$245,$W127)/$G127,2))</f>
        <v/>
      </c>
      <c r="M127" s="27" t="str">
        <f aca="false">IF(OR($A127="",$G127=0),"",ROUND($F127*INDEX(仪器设备工时分配表!$K$6:$K$245,$W127)/$G127,2))</f>
        <v/>
      </c>
      <c r="N127" s="27" t="str">
        <f aca="false">IF(OR($A127="",$G127=0),"",ROUND($F127*INDEX(仪器设备工时分配表!$L$6:$L$245,$W127)/$G127,2))</f>
        <v/>
      </c>
      <c r="O127" s="27" t="str">
        <f aca="false">IF(OR($A127="",$G127=0),"",ROUND($F127*INDEX(仪器设备工时分配表!$M$6:$M$245,$W127)/$G127,2))</f>
        <v/>
      </c>
      <c r="P127" s="27" t="str">
        <f aca="false">IF(OR($A127="",$G127=0),"",ROUND($F127*INDEX(仪器设备工时分配表!$N$6:$N$245,$W127)/$G127,2))</f>
        <v/>
      </c>
      <c r="Q127" s="27" t="str">
        <f aca="false">IF(OR($A127="",$G127=0),"",ROUND($F127*INDEX(仪器设备工时分配表!$O$6:$O$245,$W127)/$G127,2))</f>
        <v/>
      </c>
      <c r="R127" s="27" t="str">
        <f aca="false">IF(OR($A127="",$G127=0),"",ROUND($F127*INDEX(仪器设备工时分配表!$P$6:$P$245,$W127)/$G127,2))</f>
        <v/>
      </c>
      <c r="S127" s="27" t="str">
        <f aca="false">IF(OR($A127="",$G127=0),"",ROUND($F127*INDEX(仪器设备工时分配表!$Q$6:$Q$245,$W127)/$G127,2))</f>
        <v/>
      </c>
      <c r="T127" s="27" t="str">
        <f aca="false">IF($A127="","",ROUND(SUM(J127:S127),2))</f>
        <v/>
      </c>
      <c r="U127" s="27" t="str">
        <f aca="false">IF($A127="","",ROUND($F127-T127,2))</f>
        <v/>
      </c>
      <c r="V127" s="43" t="str">
        <f aca="false">IF($A127="","",IF($D127="无形资产","⚠ 无形资产请在无形资产费用分配表登记",IF($W127=0,"⚠ 工时分配表无此资产当月记录",IF($X127&gt;1,"⚠ 工时分配表存在重复行","√ 正常"))))</f>
        <v/>
      </c>
      <c r="W127" s="47" t="n">
        <f aca="false">IF($A127="",0,IFERROR(MATCH($A127&amp;"|"&amp;$B127,仪器设备工时分配表!$V$6:$V$245,0),0))</f>
        <v>0</v>
      </c>
      <c r="X127" s="47" t="n">
        <f aca="false">IF($A127="",0,COUNTIFS(仪器设备工时分配表!$A$6:$A$245,$A127,仪器设备工时分配表!$B$6:$B$245,$B127))</f>
        <v>0</v>
      </c>
    </row>
    <row r="128" customFormat="false" ht="18" hidden="false" customHeight="true" outlineLevel="0" collapsed="false">
      <c r="A128" s="36"/>
      <c r="B128" s="36"/>
      <c r="C128" s="48" t="str">
        <f aca="false">IF($B128="","",IFERROR(VLOOKUP($B128,资产台账!$B$4:$N$53,2,0)&amp;"","台账中未登记"))</f>
        <v/>
      </c>
      <c r="D128" s="43" t="str">
        <f aca="false">IF($B128="","",IFERROR(VLOOKUP($B128,资产台账!$B$4:$N$53,3,0)&amp;"",""))</f>
        <v/>
      </c>
      <c r="E128" s="43" t="str">
        <f aca="false">IF($B128="","",IFERROR(VLOOKUP($B128,资产台账!$B$4:$N$53,10,0)&amp;"",""))</f>
        <v/>
      </c>
      <c r="F128" s="49" t="str">
        <f aca="false">IF($B128="","",IFERROR(VLOOKUP($B128,资产台账!$B$4:$N$53,9,0),0))</f>
        <v/>
      </c>
      <c r="G128" s="45" t="n">
        <f aca="false">IF(OR($A128="",$W128=0),0,INDEX(仪器设备工时分配表!$F$6:$F$245,$W128))</f>
        <v>0</v>
      </c>
      <c r="H128" s="45" t="n">
        <f aca="false">IF(OR($A128="",$W128=0),0,INDEX(仪器设备工时分配表!$R$6:$R$245,$W128))</f>
        <v>0</v>
      </c>
      <c r="I128" s="28" t="str">
        <f aca="false">IF(OR($A128="",$G128=0),"",$H128/$G128)</f>
        <v/>
      </c>
      <c r="J128" s="27" t="str">
        <f aca="false">IF(OR($A128="",$G128=0),"",ROUND($F128*INDEX(仪器设备工时分配表!$H$6:$H$245,$W128)/$G128,2))</f>
        <v/>
      </c>
      <c r="K128" s="27" t="str">
        <f aca="false">IF(OR($A128="",$G128=0),"",ROUND($F128*INDEX(仪器设备工时分配表!$I$6:$I$245,$W128)/$G128,2))</f>
        <v/>
      </c>
      <c r="L128" s="27" t="str">
        <f aca="false">IF(OR($A128="",$G128=0),"",ROUND($F128*INDEX(仪器设备工时分配表!$J$6:$J$245,$W128)/$G128,2))</f>
        <v/>
      </c>
      <c r="M128" s="27" t="str">
        <f aca="false">IF(OR($A128="",$G128=0),"",ROUND($F128*INDEX(仪器设备工时分配表!$K$6:$K$245,$W128)/$G128,2))</f>
        <v/>
      </c>
      <c r="N128" s="27" t="str">
        <f aca="false">IF(OR($A128="",$G128=0),"",ROUND($F128*INDEX(仪器设备工时分配表!$L$6:$L$245,$W128)/$G128,2))</f>
        <v/>
      </c>
      <c r="O128" s="27" t="str">
        <f aca="false">IF(OR($A128="",$G128=0),"",ROUND($F128*INDEX(仪器设备工时分配表!$M$6:$M$245,$W128)/$G128,2))</f>
        <v/>
      </c>
      <c r="P128" s="27" t="str">
        <f aca="false">IF(OR($A128="",$G128=0),"",ROUND($F128*INDEX(仪器设备工时分配表!$N$6:$N$245,$W128)/$G128,2))</f>
        <v/>
      </c>
      <c r="Q128" s="27" t="str">
        <f aca="false">IF(OR($A128="",$G128=0),"",ROUND($F128*INDEX(仪器设备工时分配表!$O$6:$O$245,$W128)/$G128,2))</f>
        <v/>
      </c>
      <c r="R128" s="27" t="str">
        <f aca="false">IF(OR($A128="",$G128=0),"",ROUND($F128*INDEX(仪器设备工时分配表!$P$6:$P$245,$W128)/$G128,2))</f>
        <v/>
      </c>
      <c r="S128" s="27" t="str">
        <f aca="false">IF(OR($A128="",$G128=0),"",ROUND($F128*INDEX(仪器设备工时分配表!$Q$6:$Q$245,$W128)/$G128,2))</f>
        <v/>
      </c>
      <c r="T128" s="27" t="str">
        <f aca="false">IF($A128="","",ROUND(SUM(J128:S128),2))</f>
        <v/>
      </c>
      <c r="U128" s="27" t="str">
        <f aca="false">IF($A128="","",ROUND($F128-T128,2))</f>
        <v/>
      </c>
      <c r="V128" s="43" t="str">
        <f aca="false">IF($A128="","",IF($D128="无形资产","⚠ 无形资产请在无形资产费用分配表登记",IF($W128=0,"⚠ 工时分配表无此资产当月记录",IF($X128&gt;1,"⚠ 工时分配表存在重复行","√ 正常"))))</f>
        <v/>
      </c>
      <c r="W128" s="47" t="n">
        <f aca="false">IF($A128="",0,IFERROR(MATCH($A128&amp;"|"&amp;$B128,仪器设备工时分配表!$V$6:$V$245,0),0))</f>
        <v>0</v>
      </c>
      <c r="X128" s="47" t="n">
        <f aca="false">IF($A128="",0,COUNTIFS(仪器设备工时分配表!$A$6:$A$245,$A128,仪器设备工时分配表!$B$6:$B$245,$B128))</f>
        <v>0</v>
      </c>
    </row>
    <row r="129" customFormat="false" ht="18" hidden="false" customHeight="true" outlineLevel="0" collapsed="false">
      <c r="A129" s="36"/>
      <c r="B129" s="36"/>
      <c r="C129" s="48" t="str">
        <f aca="false">IF($B129="","",IFERROR(VLOOKUP($B129,资产台账!$B$4:$N$53,2,0)&amp;"","台账中未登记"))</f>
        <v/>
      </c>
      <c r="D129" s="43" t="str">
        <f aca="false">IF($B129="","",IFERROR(VLOOKUP($B129,资产台账!$B$4:$N$53,3,0)&amp;"",""))</f>
        <v/>
      </c>
      <c r="E129" s="43" t="str">
        <f aca="false">IF($B129="","",IFERROR(VLOOKUP($B129,资产台账!$B$4:$N$53,10,0)&amp;"",""))</f>
        <v/>
      </c>
      <c r="F129" s="49" t="str">
        <f aca="false">IF($B129="","",IFERROR(VLOOKUP($B129,资产台账!$B$4:$N$53,9,0),0))</f>
        <v/>
      </c>
      <c r="G129" s="45" t="n">
        <f aca="false">IF(OR($A129="",$W129=0),0,INDEX(仪器设备工时分配表!$F$6:$F$245,$W129))</f>
        <v>0</v>
      </c>
      <c r="H129" s="45" t="n">
        <f aca="false">IF(OR($A129="",$W129=0),0,INDEX(仪器设备工时分配表!$R$6:$R$245,$W129))</f>
        <v>0</v>
      </c>
      <c r="I129" s="28" t="str">
        <f aca="false">IF(OR($A129="",$G129=0),"",$H129/$G129)</f>
        <v/>
      </c>
      <c r="J129" s="27" t="str">
        <f aca="false">IF(OR($A129="",$G129=0),"",ROUND($F129*INDEX(仪器设备工时分配表!$H$6:$H$245,$W129)/$G129,2))</f>
        <v/>
      </c>
      <c r="K129" s="27" t="str">
        <f aca="false">IF(OR($A129="",$G129=0),"",ROUND($F129*INDEX(仪器设备工时分配表!$I$6:$I$245,$W129)/$G129,2))</f>
        <v/>
      </c>
      <c r="L129" s="27" t="str">
        <f aca="false">IF(OR($A129="",$G129=0),"",ROUND($F129*INDEX(仪器设备工时分配表!$J$6:$J$245,$W129)/$G129,2))</f>
        <v/>
      </c>
      <c r="M129" s="27" t="str">
        <f aca="false">IF(OR($A129="",$G129=0),"",ROUND($F129*INDEX(仪器设备工时分配表!$K$6:$K$245,$W129)/$G129,2))</f>
        <v/>
      </c>
      <c r="N129" s="27" t="str">
        <f aca="false">IF(OR($A129="",$G129=0),"",ROUND($F129*INDEX(仪器设备工时分配表!$L$6:$L$245,$W129)/$G129,2))</f>
        <v/>
      </c>
      <c r="O129" s="27" t="str">
        <f aca="false">IF(OR($A129="",$G129=0),"",ROUND($F129*INDEX(仪器设备工时分配表!$M$6:$M$245,$W129)/$G129,2))</f>
        <v/>
      </c>
      <c r="P129" s="27" t="str">
        <f aca="false">IF(OR($A129="",$G129=0),"",ROUND($F129*INDEX(仪器设备工时分配表!$N$6:$N$245,$W129)/$G129,2))</f>
        <v/>
      </c>
      <c r="Q129" s="27" t="str">
        <f aca="false">IF(OR($A129="",$G129=0),"",ROUND($F129*INDEX(仪器设备工时分配表!$O$6:$O$245,$W129)/$G129,2))</f>
        <v/>
      </c>
      <c r="R129" s="27" t="str">
        <f aca="false">IF(OR($A129="",$G129=0),"",ROUND($F129*INDEX(仪器设备工时分配表!$P$6:$P$245,$W129)/$G129,2))</f>
        <v/>
      </c>
      <c r="S129" s="27" t="str">
        <f aca="false">IF(OR($A129="",$G129=0),"",ROUND($F129*INDEX(仪器设备工时分配表!$Q$6:$Q$245,$W129)/$G129,2))</f>
        <v/>
      </c>
      <c r="T129" s="27" t="str">
        <f aca="false">IF($A129="","",ROUND(SUM(J129:S129),2))</f>
        <v/>
      </c>
      <c r="U129" s="27" t="str">
        <f aca="false">IF($A129="","",ROUND($F129-T129,2))</f>
        <v/>
      </c>
      <c r="V129" s="43" t="str">
        <f aca="false">IF($A129="","",IF($D129="无形资产","⚠ 无形资产请在无形资产费用分配表登记",IF($W129=0,"⚠ 工时分配表无此资产当月记录",IF($X129&gt;1,"⚠ 工时分配表存在重复行","√ 正常"))))</f>
        <v/>
      </c>
      <c r="W129" s="47" t="n">
        <f aca="false">IF($A129="",0,IFERROR(MATCH($A129&amp;"|"&amp;$B129,仪器设备工时分配表!$V$6:$V$245,0),0))</f>
        <v>0</v>
      </c>
      <c r="X129" s="47" t="n">
        <f aca="false">IF($A129="",0,COUNTIFS(仪器设备工时分配表!$A$6:$A$245,$A129,仪器设备工时分配表!$B$6:$B$245,$B129))</f>
        <v>0</v>
      </c>
    </row>
    <row r="130" customFormat="false" ht="18" hidden="false" customHeight="true" outlineLevel="0" collapsed="false">
      <c r="A130" s="36"/>
      <c r="B130" s="36"/>
      <c r="C130" s="48" t="str">
        <f aca="false">IF($B130="","",IFERROR(VLOOKUP($B130,资产台账!$B$4:$N$53,2,0)&amp;"","台账中未登记"))</f>
        <v/>
      </c>
      <c r="D130" s="43" t="str">
        <f aca="false">IF($B130="","",IFERROR(VLOOKUP($B130,资产台账!$B$4:$N$53,3,0)&amp;"",""))</f>
        <v/>
      </c>
      <c r="E130" s="43" t="str">
        <f aca="false">IF($B130="","",IFERROR(VLOOKUP($B130,资产台账!$B$4:$N$53,10,0)&amp;"",""))</f>
        <v/>
      </c>
      <c r="F130" s="49" t="str">
        <f aca="false">IF($B130="","",IFERROR(VLOOKUP($B130,资产台账!$B$4:$N$53,9,0),0))</f>
        <v/>
      </c>
      <c r="G130" s="45" t="n">
        <f aca="false">IF(OR($A130="",$W130=0),0,INDEX(仪器设备工时分配表!$F$6:$F$245,$W130))</f>
        <v>0</v>
      </c>
      <c r="H130" s="45" t="n">
        <f aca="false">IF(OR($A130="",$W130=0),0,INDEX(仪器设备工时分配表!$R$6:$R$245,$W130))</f>
        <v>0</v>
      </c>
      <c r="I130" s="28" t="str">
        <f aca="false">IF(OR($A130="",$G130=0),"",$H130/$G130)</f>
        <v/>
      </c>
      <c r="J130" s="27" t="str">
        <f aca="false">IF(OR($A130="",$G130=0),"",ROUND($F130*INDEX(仪器设备工时分配表!$H$6:$H$245,$W130)/$G130,2))</f>
        <v/>
      </c>
      <c r="K130" s="27" t="str">
        <f aca="false">IF(OR($A130="",$G130=0),"",ROUND($F130*INDEX(仪器设备工时分配表!$I$6:$I$245,$W130)/$G130,2))</f>
        <v/>
      </c>
      <c r="L130" s="27" t="str">
        <f aca="false">IF(OR($A130="",$G130=0),"",ROUND($F130*INDEX(仪器设备工时分配表!$J$6:$J$245,$W130)/$G130,2))</f>
        <v/>
      </c>
      <c r="M130" s="27" t="str">
        <f aca="false">IF(OR($A130="",$G130=0),"",ROUND($F130*INDEX(仪器设备工时分配表!$K$6:$K$245,$W130)/$G130,2))</f>
        <v/>
      </c>
      <c r="N130" s="27" t="str">
        <f aca="false">IF(OR($A130="",$G130=0),"",ROUND($F130*INDEX(仪器设备工时分配表!$L$6:$L$245,$W130)/$G130,2))</f>
        <v/>
      </c>
      <c r="O130" s="27" t="str">
        <f aca="false">IF(OR($A130="",$G130=0),"",ROUND($F130*INDEX(仪器设备工时分配表!$M$6:$M$245,$W130)/$G130,2))</f>
        <v/>
      </c>
      <c r="P130" s="27" t="str">
        <f aca="false">IF(OR($A130="",$G130=0),"",ROUND($F130*INDEX(仪器设备工时分配表!$N$6:$N$245,$W130)/$G130,2))</f>
        <v/>
      </c>
      <c r="Q130" s="27" t="str">
        <f aca="false">IF(OR($A130="",$G130=0),"",ROUND($F130*INDEX(仪器设备工时分配表!$O$6:$O$245,$W130)/$G130,2))</f>
        <v/>
      </c>
      <c r="R130" s="27" t="str">
        <f aca="false">IF(OR($A130="",$G130=0),"",ROUND($F130*INDEX(仪器设备工时分配表!$P$6:$P$245,$W130)/$G130,2))</f>
        <v/>
      </c>
      <c r="S130" s="27" t="str">
        <f aca="false">IF(OR($A130="",$G130=0),"",ROUND($F130*INDEX(仪器设备工时分配表!$Q$6:$Q$245,$W130)/$G130,2))</f>
        <v/>
      </c>
      <c r="T130" s="27" t="str">
        <f aca="false">IF($A130="","",ROUND(SUM(J130:S130),2))</f>
        <v/>
      </c>
      <c r="U130" s="27" t="str">
        <f aca="false">IF($A130="","",ROUND($F130-T130,2))</f>
        <v/>
      </c>
      <c r="V130" s="43" t="str">
        <f aca="false">IF($A130="","",IF($D130="无形资产","⚠ 无形资产请在无形资产费用分配表登记",IF($W130=0,"⚠ 工时分配表无此资产当月记录",IF($X130&gt;1,"⚠ 工时分配表存在重复行","√ 正常"))))</f>
        <v/>
      </c>
      <c r="W130" s="47" t="n">
        <f aca="false">IF($A130="",0,IFERROR(MATCH($A130&amp;"|"&amp;$B130,仪器设备工时分配表!$V$6:$V$245,0),0))</f>
        <v>0</v>
      </c>
      <c r="X130" s="47" t="n">
        <f aca="false">IF($A130="",0,COUNTIFS(仪器设备工时分配表!$A$6:$A$245,$A130,仪器设备工时分配表!$B$6:$B$245,$B130))</f>
        <v>0</v>
      </c>
    </row>
    <row r="131" customFormat="false" ht="18" hidden="false" customHeight="true" outlineLevel="0" collapsed="false">
      <c r="A131" s="36"/>
      <c r="B131" s="36"/>
      <c r="C131" s="48" t="str">
        <f aca="false">IF($B131="","",IFERROR(VLOOKUP($B131,资产台账!$B$4:$N$53,2,0)&amp;"","台账中未登记"))</f>
        <v/>
      </c>
      <c r="D131" s="43" t="str">
        <f aca="false">IF($B131="","",IFERROR(VLOOKUP($B131,资产台账!$B$4:$N$53,3,0)&amp;"",""))</f>
        <v/>
      </c>
      <c r="E131" s="43" t="str">
        <f aca="false">IF($B131="","",IFERROR(VLOOKUP($B131,资产台账!$B$4:$N$53,10,0)&amp;"",""))</f>
        <v/>
      </c>
      <c r="F131" s="49" t="str">
        <f aca="false">IF($B131="","",IFERROR(VLOOKUP($B131,资产台账!$B$4:$N$53,9,0),0))</f>
        <v/>
      </c>
      <c r="G131" s="45" t="n">
        <f aca="false">IF(OR($A131="",$W131=0),0,INDEX(仪器设备工时分配表!$F$6:$F$245,$W131))</f>
        <v>0</v>
      </c>
      <c r="H131" s="45" t="n">
        <f aca="false">IF(OR($A131="",$W131=0),0,INDEX(仪器设备工时分配表!$R$6:$R$245,$W131))</f>
        <v>0</v>
      </c>
      <c r="I131" s="28" t="str">
        <f aca="false">IF(OR($A131="",$G131=0),"",$H131/$G131)</f>
        <v/>
      </c>
      <c r="J131" s="27" t="str">
        <f aca="false">IF(OR($A131="",$G131=0),"",ROUND($F131*INDEX(仪器设备工时分配表!$H$6:$H$245,$W131)/$G131,2))</f>
        <v/>
      </c>
      <c r="K131" s="27" t="str">
        <f aca="false">IF(OR($A131="",$G131=0),"",ROUND($F131*INDEX(仪器设备工时分配表!$I$6:$I$245,$W131)/$G131,2))</f>
        <v/>
      </c>
      <c r="L131" s="27" t="str">
        <f aca="false">IF(OR($A131="",$G131=0),"",ROUND($F131*INDEX(仪器设备工时分配表!$J$6:$J$245,$W131)/$G131,2))</f>
        <v/>
      </c>
      <c r="M131" s="27" t="str">
        <f aca="false">IF(OR($A131="",$G131=0),"",ROUND($F131*INDEX(仪器设备工时分配表!$K$6:$K$245,$W131)/$G131,2))</f>
        <v/>
      </c>
      <c r="N131" s="27" t="str">
        <f aca="false">IF(OR($A131="",$G131=0),"",ROUND($F131*INDEX(仪器设备工时分配表!$L$6:$L$245,$W131)/$G131,2))</f>
        <v/>
      </c>
      <c r="O131" s="27" t="str">
        <f aca="false">IF(OR($A131="",$G131=0),"",ROUND($F131*INDEX(仪器设备工时分配表!$M$6:$M$245,$W131)/$G131,2))</f>
        <v/>
      </c>
      <c r="P131" s="27" t="str">
        <f aca="false">IF(OR($A131="",$G131=0),"",ROUND($F131*INDEX(仪器设备工时分配表!$N$6:$N$245,$W131)/$G131,2))</f>
        <v/>
      </c>
      <c r="Q131" s="27" t="str">
        <f aca="false">IF(OR($A131="",$G131=0),"",ROUND($F131*INDEX(仪器设备工时分配表!$O$6:$O$245,$W131)/$G131,2))</f>
        <v/>
      </c>
      <c r="R131" s="27" t="str">
        <f aca="false">IF(OR($A131="",$G131=0),"",ROUND($F131*INDEX(仪器设备工时分配表!$P$6:$P$245,$W131)/$G131,2))</f>
        <v/>
      </c>
      <c r="S131" s="27" t="str">
        <f aca="false">IF(OR($A131="",$G131=0),"",ROUND($F131*INDEX(仪器设备工时分配表!$Q$6:$Q$245,$W131)/$G131,2))</f>
        <v/>
      </c>
      <c r="T131" s="27" t="str">
        <f aca="false">IF($A131="","",ROUND(SUM(J131:S131),2))</f>
        <v/>
      </c>
      <c r="U131" s="27" t="str">
        <f aca="false">IF($A131="","",ROUND($F131-T131,2))</f>
        <v/>
      </c>
      <c r="V131" s="43" t="str">
        <f aca="false">IF($A131="","",IF($D131="无形资产","⚠ 无形资产请在无形资产费用分配表登记",IF($W131=0,"⚠ 工时分配表无此资产当月记录",IF($X131&gt;1,"⚠ 工时分配表存在重复行","√ 正常"))))</f>
        <v/>
      </c>
      <c r="W131" s="47" t="n">
        <f aca="false">IF($A131="",0,IFERROR(MATCH($A131&amp;"|"&amp;$B131,仪器设备工时分配表!$V$6:$V$245,0),0))</f>
        <v>0</v>
      </c>
      <c r="X131" s="47" t="n">
        <f aca="false">IF($A131="",0,COUNTIFS(仪器设备工时分配表!$A$6:$A$245,$A131,仪器设备工时分配表!$B$6:$B$245,$B131))</f>
        <v>0</v>
      </c>
    </row>
    <row r="132" customFormat="false" ht="18" hidden="false" customHeight="true" outlineLevel="0" collapsed="false">
      <c r="A132" s="36"/>
      <c r="B132" s="36"/>
      <c r="C132" s="48" t="str">
        <f aca="false">IF($B132="","",IFERROR(VLOOKUP($B132,资产台账!$B$4:$N$53,2,0)&amp;"","台账中未登记"))</f>
        <v/>
      </c>
      <c r="D132" s="43" t="str">
        <f aca="false">IF($B132="","",IFERROR(VLOOKUP($B132,资产台账!$B$4:$N$53,3,0)&amp;"",""))</f>
        <v/>
      </c>
      <c r="E132" s="43" t="str">
        <f aca="false">IF($B132="","",IFERROR(VLOOKUP($B132,资产台账!$B$4:$N$53,10,0)&amp;"",""))</f>
        <v/>
      </c>
      <c r="F132" s="49" t="str">
        <f aca="false">IF($B132="","",IFERROR(VLOOKUP($B132,资产台账!$B$4:$N$53,9,0),0))</f>
        <v/>
      </c>
      <c r="G132" s="45" t="n">
        <f aca="false">IF(OR($A132="",$W132=0),0,INDEX(仪器设备工时分配表!$F$6:$F$245,$W132))</f>
        <v>0</v>
      </c>
      <c r="H132" s="45" t="n">
        <f aca="false">IF(OR($A132="",$W132=0),0,INDEX(仪器设备工时分配表!$R$6:$R$245,$W132))</f>
        <v>0</v>
      </c>
      <c r="I132" s="28" t="str">
        <f aca="false">IF(OR($A132="",$G132=0),"",$H132/$G132)</f>
        <v/>
      </c>
      <c r="J132" s="27" t="str">
        <f aca="false">IF(OR($A132="",$G132=0),"",ROUND($F132*INDEX(仪器设备工时分配表!$H$6:$H$245,$W132)/$G132,2))</f>
        <v/>
      </c>
      <c r="K132" s="27" t="str">
        <f aca="false">IF(OR($A132="",$G132=0),"",ROUND($F132*INDEX(仪器设备工时分配表!$I$6:$I$245,$W132)/$G132,2))</f>
        <v/>
      </c>
      <c r="L132" s="27" t="str">
        <f aca="false">IF(OR($A132="",$G132=0),"",ROUND($F132*INDEX(仪器设备工时分配表!$J$6:$J$245,$W132)/$G132,2))</f>
        <v/>
      </c>
      <c r="M132" s="27" t="str">
        <f aca="false">IF(OR($A132="",$G132=0),"",ROUND($F132*INDEX(仪器设备工时分配表!$K$6:$K$245,$W132)/$G132,2))</f>
        <v/>
      </c>
      <c r="N132" s="27" t="str">
        <f aca="false">IF(OR($A132="",$G132=0),"",ROUND($F132*INDEX(仪器设备工时分配表!$L$6:$L$245,$W132)/$G132,2))</f>
        <v/>
      </c>
      <c r="O132" s="27" t="str">
        <f aca="false">IF(OR($A132="",$G132=0),"",ROUND($F132*INDEX(仪器设备工时分配表!$M$6:$M$245,$W132)/$G132,2))</f>
        <v/>
      </c>
      <c r="P132" s="27" t="str">
        <f aca="false">IF(OR($A132="",$G132=0),"",ROUND($F132*INDEX(仪器设备工时分配表!$N$6:$N$245,$W132)/$G132,2))</f>
        <v/>
      </c>
      <c r="Q132" s="27" t="str">
        <f aca="false">IF(OR($A132="",$G132=0),"",ROUND($F132*INDEX(仪器设备工时分配表!$O$6:$O$245,$W132)/$G132,2))</f>
        <v/>
      </c>
      <c r="R132" s="27" t="str">
        <f aca="false">IF(OR($A132="",$G132=0),"",ROUND($F132*INDEX(仪器设备工时分配表!$P$6:$P$245,$W132)/$G132,2))</f>
        <v/>
      </c>
      <c r="S132" s="27" t="str">
        <f aca="false">IF(OR($A132="",$G132=0),"",ROUND($F132*INDEX(仪器设备工时分配表!$Q$6:$Q$245,$W132)/$G132,2))</f>
        <v/>
      </c>
      <c r="T132" s="27" t="str">
        <f aca="false">IF($A132="","",ROUND(SUM(J132:S132),2))</f>
        <v/>
      </c>
      <c r="U132" s="27" t="str">
        <f aca="false">IF($A132="","",ROUND($F132-T132,2))</f>
        <v/>
      </c>
      <c r="V132" s="43" t="str">
        <f aca="false">IF($A132="","",IF($D132="无形资产","⚠ 无形资产请在无形资产费用分配表登记",IF($W132=0,"⚠ 工时分配表无此资产当月记录",IF($X132&gt;1,"⚠ 工时分配表存在重复行","√ 正常"))))</f>
        <v/>
      </c>
      <c r="W132" s="47" t="n">
        <f aca="false">IF($A132="",0,IFERROR(MATCH($A132&amp;"|"&amp;$B132,仪器设备工时分配表!$V$6:$V$245,0),0))</f>
        <v>0</v>
      </c>
      <c r="X132" s="47" t="n">
        <f aca="false">IF($A132="",0,COUNTIFS(仪器设备工时分配表!$A$6:$A$245,$A132,仪器设备工时分配表!$B$6:$B$245,$B132))</f>
        <v>0</v>
      </c>
    </row>
    <row r="133" customFormat="false" ht="18" hidden="false" customHeight="true" outlineLevel="0" collapsed="false">
      <c r="A133" s="36"/>
      <c r="B133" s="36"/>
      <c r="C133" s="48" t="str">
        <f aca="false">IF($B133="","",IFERROR(VLOOKUP($B133,资产台账!$B$4:$N$53,2,0)&amp;"","台账中未登记"))</f>
        <v/>
      </c>
      <c r="D133" s="43" t="str">
        <f aca="false">IF($B133="","",IFERROR(VLOOKUP($B133,资产台账!$B$4:$N$53,3,0)&amp;"",""))</f>
        <v/>
      </c>
      <c r="E133" s="43" t="str">
        <f aca="false">IF($B133="","",IFERROR(VLOOKUP($B133,资产台账!$B$4:$N$53,10,0)&amp;"",""))</f>
        <v/>
      </c>
      <c r="F133" s="49" t="str">
        <f aca="false">IF($B133="","",IFERROR(VLOOKUP($B133,资产台账!$B$4:$N$53,9,0),0))</f>
        <v/>
      </c>
      <c r="G133" s="45" t="n">
        <f aca="false">IF(OR($A133="",$W133=0),0,INDEX(仪器设备工时分配表!$F$6:$F$245,$W133))</f>
        <v>0</v>
      </c>
      <c r="H133" s="45" t="n">
        <f aca="false">IF(OR($A133="",$W133=0),0,INDEX(仪器设备工时分配表!$R$6:$R$245,$W133))</f>
        <v>0</v>
      </c>
      <c r="I133" s="28" t="str">
        <f aca="false">IF(OR($A133="",$G133=0),"",$H133/$G133)</f>
        <v/>
      </c>
      <c r="J133" s="27" t="str">
        <f aca="false">IF(OR($A133="",$G133=0),"",ROUND($F133*INDEX(仪器设备工时分配表!$H$6:$H$245,$W133)/$G133,2))</f>
        <v/>
      </c>
      <c r="K133" s="27" t="str">
        <f aca="false">IF(OR($A133="",$G133=0),"",ROUND($F133*INDEX(仪器设备工时分配表!$I$6:$I$245,$W133)/$G133,2))</f>
        <v/>
      </c>
      <c r="L133" s="27" t="str">
        <f aca="false">IF(OR($A133="",$G133=0),"",ROUND($F133*INDEX(仪器设备工时分配表!$J$6:$J$245,$W133)/$G133,2))</f>
        <v/>
      </c>
      <c r="M133" s="27" t="str">
        <f aca="false">IF(OR($A133="",$G133=0),"",ROUND($F133*INDEX(仪器设备工时分配表!$K$6:$K$245,$W133)/$G133,2))</f>
        <v/>
      </c>
      <c r="N133" s="27" t="str">
        <f aca="false">IF(OR($A133="",$G133=0),"",ROUND($F133*INDEX(仪器设备工时分配表!$L$6:$L$245,$W133)/$G133,2))</f>
        <v/>
      </c>
      <c r="O133" s="27" t="str">
        <f aca="false">IF(OR($A133="",$G133=0),"",ROUND($F133*INDEX(仪器设备工时分配表!$M$6:$M$245,$W133)/$G133,2))</f>
        <v/>
      </c>
      <c r="P133" s="27" t="str">
        <f aca="false">IF(OR($A133="",$G133=0),"",ROUND($F133*INDEX(仪器设备工时分配表!$N$6:$N$245,$W133)/$G133,2))</f>
        <v/>
      </c>
      <c r="Q133" s="27" t="str">
        <f aca="false">IF(OR($A133="",$G133=0),"",ROUND($F133*INDEX(仪器设备工时分配表!$O$6:$O$245,$W133)/$G133,2))</f>
        <v/>
      </c>
      <c r="R133" s="27" t="str">
        <f aca="false">IF(OR($A133="",$G133=0),"",ROUND($F133*INDEX(仪器设备工时分配表!$P$6:$P$245,$W133)/$G133,2))</f>
        <v/>
      </c>
      <c r="S133" s="27" t="str">
        <f aca="false">IF(OR($A133="",$G133=0),"",ROUND($F133*INDEX(仪器设备工时分配表!$Q$6:$Q$245,$W133)/$G133,2))</f>
        <v/>
      </c>
      <c r="T133" s="27" t="str">
        <f aca="false">IF($A133="","",ROUND(SUM(J133:S133),2))</f>
        <v/>
      </c>
      <c r="U133" s="27" t="str">
        <f aca="false">IF($A133="","",ROUND($F133-T133,2))</f>
        <v/>
      </c>
      <c r="V133" s="43" t="str">
        <f aca="false">IF($A133="","",IF($D133="无形资产","⚠ 无形资产请在无形资产费用分配表登记",IF($W133=0,"⚠ 工时分配表无此资产当月记录",IF($X133&gt;1,"⚠ 工时分配表存在重复行","√ 正常"))))</f>
        <v/>
      </c>
      <c r="W133" s="47" t="n">
        <f aca="false">IF($A133="",0,IFERROR(MATCH($A133&amp;"|"&amp;$B133,仪器设备工时分配表!$V$6:$V$245,0),0))</f>
        <v>0</v>
      </c>
      <c r="X133" s="47" t="n">
        <f aca="false">IF($A133="",0,COUNTIFS(仪器设备工时分配表!$A$6:$A$245,$A133,仪器设备工时分配表!$B$6:$B$245,$B133))</f>
        <v>0</v>
      </c>
    </row>
    <row r="134" customFormat="false" ht="18" hidden="false" customHeight="true" outlineLevel="0" collapsed="false">
      <c r="A134" s="36"/>
      <c r="B134" s="36"/>
      <c r="C134" s="48" t="str">
        <f aca="false">IF($B134="","",IFERROR(VLOOKUP($B134,资产台账!$B$4:$N$53,2,0)&amp;"","台账中未登记"))</f>
        <v/>
      </c>
      <c r="D134" s="43" t="str">
        <f aca="false">IF($B134="","",IFERROR(VLOOKUP($B134,资产台账!$B$4:$N$53,3,0)&amp;"",""))</f>
        <v/>
      </c>
      <c r="E134" s="43" t="str">
        <f aca="false">IF($B134="","",IFERROR(VLOOKUP($B134,资产台账!$B$4:$N$53,10,0)&amp;"",""))</f>
        <v/>
      </c>
      <c r="F134" s="49" t="str">
        <f aca="false">IF($B134="","",IFERROR(VLOOKUP($B134,资产台账!$B$4:$N$53,9,0),0))</f>
        <v/>
      </c>
      <c r="G134" s="45" t="n">
        <f aca="false">IF(OR($A134="",$W134=0),0,INDEX(仪器设备工时分配表!$F$6:$F$245,$W134))</f>
        <v>0</v>
      </c>
      <c r="H134" s="45" t="n">
        <f aca="false">IF(OR($A134="",$W134=0),0,INDEX(仪器设备工时分配表!$R$6:$R$245,$W134))</f>
        <v>0</v>
      </c>
      <c r="I134" s="28" t="str">
        <f aca="false">IF(OR($A134="",$G134=0),"",$H134/$G134)</f>
        <v/>
      </c>
      <c r="J134" s="27" t="str">
        <f aca="false">IF(OR($A134="",$G134=0),"",ROUND($F134*INDEX(仪器设备工时分配表!$H$6:$H$245,$W134)/$G134,2))</f>
        <v/>
      </c>
      <c r="K134" s="27" t="str">
        <f aca="false">IF(OR($A134="",$G134=0),"",ROUND($F134*INDEX(仪器设备工时分配表!$I$6:$I$245,$W134)/$G134,2))</f>
        <v/>
      </c>
      <c r="L134" s="27" t="str">
        <f aca="false">IF(OR($A134="",$G134=0),"",ROUND($F134*INDEX(仪器设备工时分配表!$J$6:$J$245,$W134)/$G134,2))</f>
        <v/>
      </c>
      <c r="M134" s="27" t="str">
        <f aca="false">IF(OR($A134="",$G134=0),"",ROUND($F134*INDEX(仪器设备工时分配表!$K$6:$K$245,$W134)/$G134,2))</f>
        <v/>
      </c>
      <c r="N134" s="27" t="str">
        <f aca="false">IF(OR($A134="",$G134=0),"",ROUND($F134*INDEX(仪器设备工时分配表!$L$6:$L$245,$W134)/$G134,2))</f>
        <v/>
      </c>
      <c r="O134" s="27" t="str">
        <f aca="false">IF(OR($A134="",$G134=0),"",ROUND($F134*INDEX(仪器设备工时分配表!$M$6:$M$245,$W134)/$G134,2))</f>
        <v/>
      </c>
      <c r="P134" s="27" t="str">
        <f aca="false">IF(OR($A134="",$G134=0),"",ROUND($F134*INDEX(仪器设备工时分配表!$N$6:$N$245,$W134)/$G134,2))</f>
        <v/>
      </c>
      <c r="Q134" s="27" t="str">
        <f aca="false">IF(OR($A134="",$G134=0),"",ROUND($F134*INDEX(仪器设备工时分配表!$O$6:$O$245,$W134)/$G134,2))</f>
        <v/>
      </c>
      <c r="R134" s="27" t="str">
        <f aca="false">IF(OR($A134="",$G134=0),"",ROUND($F134*INDEX(仪器设备工时分配表!$P$6:$P$245,$W134)/$G134,2))</f>
        <v/>
      </c>
      <c r="S134" s="27" t="str">
        <f aca="false">IF(OR($A134="",$G134=0),"",ROUND($F134*INDEX(仪器设备工时分配表!$Q$6:$Q$245,$W134)/$G134,2))</f>
        <v/>
      </c>
      <c r="T134" s="27" t="str">
        <f aca="false">IF($A134="","",ROUND(SUM(J134:S134),2))</f>
        <v/>
      </c>
      <c r="U134" s="27" t="str">
        <f aca="false">IF($A134="","",ROUND($F134-T134,2))</f>
        <v/>
      </c>
      <c r="V134" s="43" t="str">
        <f aca="false">IF($A134="","",IF($D134="无形资产","⚠ 无形资产请在无形资产费用分配表登记",IF($W134=0,"⚠ 工时分配表无此资产当月记录",IF($X134&gt;1,"⚠ 工时分配表存在重复行","√ 正常"))))</f>
        <v/>
      </c>
      <c r="W134" s="47" t="n">
        <f aca="false">IF($A134="",0,IFERROR(MATCH($A134&amp;"|"&amp;$B134,仪器设备工时分配表!$V$6:$V$245,0),0))</f>
        <v>0</v>
      </c>
      <c r="X134" s="47" t="n">
        <f aca="false">IF($A134="",0,COUNTIFS(仪器设备工时分配表!$A$6:$A$245,$A134,仪器设备工时分配表!$B$6:$B$245,$B134))</f>
        <v>0</v>
      </c>
    </row>
    <row r="135" customFormat="false" ht="18" hidden="false" customHeight="true" outlineLevel="0" collapsed="false">
      <c r="A135" s="36"/>
      <c r="B135" s="36"/>
      <c r="C135" s="48" t="str">
        <f aca="false">IF($B135="","",IFERROR(VLOOKUP($B135,资产台账!$B$4:$N$53,2,0)&amp;"","台账中未登记"))</f>
        <v/>
      </c>
      <c r="D135" s="43" t="str">
        <f aca="false">IF($B135="","",IFERROR(VLOOKUP($B135,资产台账!$B$4:$N$53,3,0)&amp;"",""))</f>
        <v/>
      </c>
      <c r="E135" s="43" t="str">
        <f aca="false">IF($B135="","",IFERROR(VLOOKUP($B135,资产台账!$B$4:$N$53,10,0)&amp;"",""))</f>
        <v/>
      </c>
      <c r="F135" s="49" t="str">
        <f aca="false">IF($B135="","",IFERROR(VLOOKUP($B135,资产台账!$B$4:$N$53,9,0),0))</f>
        <v/>
      </c>
      <c r="G135" s="45" t="n">
        <f aca="false">IF(OR($A135="",$W135=0),0,INDEX(仪器设备工时分配表!$F$6:$F$245,$W135))</f>
        <v>0</v>
      </c>
      <c r="H135" s="45" t="n">
        <f aca="false">IF(OR($A135="",$W135=0),0,INDEX(仪器设备工时分配表!$R$6:$R$245,$W135))</f>
        <v>0</v>
      </c>
      <c r="I135" s="28" t="str">
        <f aca="false">IF(OR($A135="",$G135=0),"",$H135/$G135)</f>
        <v/>
      </c>
      <c r="J135" s="27" t="str">
        <f aca="false">IF(OR($A135="",$G135=0),"",ROUND($F135*INDEX(仪器设备工时分配表!$H$6:$H$245,$W135)/$G135,2))</f>
        <v/>
      </c>
      <c r="K135" s="27" t="str">
        <f aca="false">IF(OR($A135="",$G135=0),"",ROUND($F135*INDEX(仪器设备工时分配表!$I$6:$I$245,$W135)/$G135,2))</f>
        <v/>
      </c>
      <c r="L135" s="27" t="str">
        <f aca="false">IF(OR($A135="",$G135=0),"",ROUND($F135*INDEX(仪器设备工时分配表!$J$6:$J$245,$W135)/$G135,2))</f>
        <v/>
      </c>
      <c r="M135" s="27" t="str">
        <f aca="false">IF(OR($A135="",$G135=0),"",ROUND($F135*INDEX(仪器设备工时分配表!$K$6:$K$245,$W135)/$G135,2))</f>
        <v/>
      </c>
      <c r="N135" s="27" t="str">
        <f aca="false">IF(OR($A135="",$G135=0),"",ROUND($F135*INDEX(仪器设备工时分配表!$L$6:$L$245,$W135)/$G135,2))</f>
        <v/>
      </c>
      <c r="O135" s="27" t="str">
        <f aca="false">IF(OR($A135="",$G135=0),"",ROUND($F135*INDEX(仪器设备工时分配表!$M$6:$M$245,$W135)/$G135,2))</f>
        <v/>
      </c>
      <c r="P135" s="27" t="str">
        <f aca="false">IF(OR($A135="",$G135=0),"",ROUND($F135*INDEX(仪器设备工时分配表!$N$6:$N$245,$W135)/$G135,2))</f>
        <v/>
      </c>
      <c r="Q135" s="27" t="str">
        <f aca="false">IF(OR($A135="",$G135=0),"",ROUND($F135*INDEX(仪器设备工时分配表!$O$6:$O$245,$W135)/$G135,2))</f>
        <v/>
      </c>
      <c r="R135" s="27" t="str">
        <f aca="false">IF(OR($A135="",$G135=0),"",ROUND($F135*INDEX(仪器设备工时分配表!$P$6:$P$245,$W135)/$G135,2))</f>
        <v/>
      </c>
      <c r="S135" s="27" t="str">
        <f aca="false">IF(OR($A135="",$G135=0),"",ROUND($F135*INDEX(仪器设备工时分配表!$Q$6:$Q$245,$W135)/$G135,2))</f>
        <v/>
      </c>
      <c r="T135" s="27" t="str">
        <f aca="false">IF($A135="","",ROUND(SUM(J135:S135),2))</f>
        <v/>
      </c>
      <c r="U135" s="27" t="str">
        <f aca="false">IF($A135="","",ROUND($F135-T135,2))</f>
        <v/>
      </c>
      <c r="V135" s="43" t="str">
        <f aca="false">IF($A135="","",IF($D135="无形资产","⚠ 无形资产请在无形资产费用分配表登记",IF($W135=0,"⚠ 工时分配表无此资产当月记录",IF($X135&gt;1,"⚠ 工时分配表存在重复行","√ 正常"))))</f>
        <v/>
      </c>
      <c r="W135" s="47" t="n">
        <f aca="false">IF($A135="",0,IFERROR(MATCH($A135&amp;"|"&amp;$B135,仪器设备工时分配表!$V$6:$V$245,0),0))</f>
        <v>0</v>
      </c>
      <c r="X135" s="47" t="n">
        <f aca="false">IF($A135="",0,COUNTIFS(仪器设备工时分配表!$A$6:$A$245,$A135,仪器设备工时分配表!$B$6:$B$245,$B135))</f>
        <v>0</v>
      </c>
    </row>
    <row r="136" customFormat="false" ht="18" hidden="false" customHeight="true" outlineLevel="0" collapsed="false">
      <c r="A136" s="36"/>
      <c r="B136" s="36"/>
      <c r="C136" s="48" t="str">
        <f aca="false">IF($B136="","",IFERROR(VLOOKUP($B136,资产台账!$B$4:$N$53,2,0)&amp;"","台账中未登记"))</f>
        <v/>
      </c>
      <c r="D136" s="43" t="str">
        <f aca="false">IF($B136="","",IFERROR(VLOOKUP($B136,资产台账!$B$4:$N$53,3,0)&amp;"",""))</f>
        <v/>
      </c>
      <c r="E136" s="43" t="str">
        <f aca="false">IF($B136="","",IFERROR(VLOOKUP($B136,资产台账!$B$4:$N$53,10,0)&amp;"",""))</f>
        <v/>
      </c>
      <c r="F136" s="49" t="str">
        <f aca="false">IF($B136="","",IFERROR(VLOOKUP($B136,资产台账!$B$4:$N$53,9,0),0))</f>
        <v/>
      </c>
      <c r="G136" s="45" t="n">
        <f aca="false">IF(OR($A136="",$W136=0),0,INDEX(仪器设备工时分配表!$F$6:$F$245,$W136))</f>
        <v>0</v>
      </c>
      <c r="H136" s="45" t="n">
        <f aca="false">IF(OR($A136="",$W136=0),0,INDEX(仪器设备工时分配表!$R$6:$R$245,$W136))</f>
        <v>0</v>
      </c>
      <c r="I136" s="28" t="str">
        <f aca="false">IF(OR($A136="",$G136=0),"",$H136/$G136)</f>
        <v/>
      </c>
      <c r="J136" s="27" t="str">
        <f aca="false">IF(OR($A136="",$G136=0),"",ROUND($F136*INDEX(仪器设备工时分配表!$H$6:$H$245,$W136)/$G136,2))</f>
        <v/>
      </c>
      <c r="K136" s="27" t="str">
        <f aca="false">IF(OR($A136="",$G136=0),"",ROUND($F136*INDEX(仪器设备工时分配表!$I$6:$I$245,$W136)/$G136,2))</f>
        <v/>
      </c>
      <c r="L136" s="27" t="str">
        <f aca="false">IF(OR($A136="",$G136=0),"",ROUND($F136*INDEX(仪器设备工时分配表!$J$6:$J$245,$W136)/$G136,2))</f>
        <v/>
      </c>
      <c r="M136" s="27" t="str">
        <f aca="false">IF(OR($A136="",$G136=0),"",ROUND($F136*INDEX(仪器设备工时分配表!$K$6:$K$245,$W136)/$G136,2))</f>
        <v/>
      </c>
      <c r="N136" s="27" t="str">
        <f aca="false">IF(OR($A136="",$G136=0),"",ROUND($F136*INDEX(仪器设备工时分配表!$L$6:$L$245,$W136)/$G136,2))</f>
        <v/>
      </c>
      <c r="O136" s="27" t="str">
        <f aca="false">IF(OR($A136="",$G136=0),"",ROUND($F136*INDEX(仪器设备工时分配表!$M$6:$M$245,$W136)/$G136,2))</f>
        <v/>
      </c>
      <c r="P136" s="27" t="str">
        <f aca="false">IF(OR($A136="",$G136=0),"",ROUND($F136*INDEX(仪器设备工时分配表!$N$6:$N$245,$W136)/$G136,2))</f>
        <v/>
      </c>
      <c r="Q136" s="27" t="str">
        <f aca="false">IF(OR($A136="",$G136=0),"",ROUND($F136*INDEX(仪器设备工时分配表!$O$6:$O$245,$W136)/$G136,2))</f>
        <v/>
      </c>
      <c r="R136" s="27" t="str">
        <f aca="false">IF(OR($A136="",$G136=0),"",ROUND($F136*INDEX(仪器设备工时分配表!$P$6:$P$245,$W136)/$G136,2))</f>
        <v/>
      </c>
      <c r="S136" s="27" t="str">
        <f aca="false">IF(OR($A136="",$G136=0),"",ROUND($F136*INDEX(仪器设备工时分配表!$Q$6:$Q$245,$W136)/$G136,2))</f>
        <v/>
      </c>
      <c r="T136" s="27" t="str">
        <f aca="false">IF($A136="","",ROUND(SUM(J136:S136),2))</f>
        <v/>
      </c>
      <c r="U136" s="27" t="str">
        <f aca="false">IF($A136="","",ROUND($F136-T136,2))</f>
        <v/>
      </c>
      <c r="V136" s="43" t="str">
        <f aca="false">IF($A136="","",IF($D136="无形资产","⚠ 无形资产请在无形资产费用分配表登记",IF($W136=0,"⚠ 工时分配表无此资产当月记录",IF($X136&gt;1,"⚠ 工时分配表存在重复行","√ 正常"))))</f>
        <v/>
      </c>
      <c r="W136" s="47" t="n">
        <f aca="false">IF($A136="",0,IFERROR(MATCH($A136&amp;"|"&amp;$B136,仪器设备工时分配表!$V$6:$V$245,0),0))</f>
        <v>0</v>
      </c>
      <c r="X136" s="47" t="n">
        <f aca="false">IF($A136="",0,COUNTIFS(仪器设备工时分配表!$A$6:$A$245,$A136,仪器设备工时分配表!$B$6:$B$245,$B136))</f>
        <v>0</v>
      </c>
    </row>
    <row r="137" customFormat="false" ht="18" hidden="false" customHeight="true" outlineLevel="0" collapsed="false">
      <c r="A137" s="36"/>
      <c r="B137" s="36"/>
      <c r="C137" s="48" t="str">
        <f aca="false">IF($B137="","",IFERROR(VLOOKUP($B137,资产台账!$B$4:$N$53,2,0)&amp;"","台账中未登记"))</f>
        <v/>
      </c>
      <c r="D137" s="43" t="str">
        <f aca="false">IF($B137="","",IFERROR(VLOOKUP($B137,资产台账!$B$4:$N$53,3,0)&amp;"",""))</f>
        <v/>
      </c>
      <c r="E137" s="43" t="str">
        <f aca="false">IF($B137="","",IFERROR(VLOOKUP($B137,资产台账!$B$4:$N$53,10,0)&amp;"",""))</f>
        <v/>
      </c>
      <c r="F137" s="49" t="str">
        <f aca="false">IF($B137="","",IFERROR(VLOOKUP($B137,资产台账!$B$4:$N$53,9,0),0))</f>
        <v/>
      </c>
      <c r="G137" s="45" t="n">
        <f aca="false">IF(OR($A137="",$W137=0),0,INDEX(仪器设备工时分配表!$F$6:$F$245,$W137))</f>
        <v>0</v>
      </c>
      <c r="H137" s="45" t="n">
        <f aca="false">IF(OR($A137="",$W137=0),0,INDEX(仪器设备工时分配表!$R$6:$R$245,$W137))</f>
        <v>0</v>
      </c>
      <c r="I137" s="28" t="str">
        <f aca="false">IF(OR($A137="",$G137=0),"",$H137/$G137)</f>
        <v/>
      </c>
      <c r="J137" s="27" t="str">
        <f aca="false">IF(OR($A137="",$G137=0),"",ROUND($F137*INDEX(仪器设备工时分配表!$H$6:$H$245,$W137)/$G137,2))</f>
        <v/>
      </c>
      <c r="K137" s="27" t="str">
        <f aca="false">IF(OR($A137="",$G137=0),"",ROUND($F137*INDEX(仪器设备工时分配表!$I$6:$I$245,$W137)/$G137,2))</f>
        <v/>
      </c>
      <c r="L137" s="27" t="str">
        <f aca="false">IF(OR($A137="",$G137=0),"",ROUND($F137*INDEX(仪器设备工时分配表!$J$6:$J$245,$W137)/$G137,2))</f>
        <v/>
      </c>
      <c r="M137" s="27" t="str">
        <f aca="false">IF(OR($A137="",$G137=0),"",ROUND($F137*INDEX(仪器设备工时分配表!$K$6:$K$245,$W137)/$G137,2))</f>
        <v/>
      </c>
      <c r="N137" s="27" t="str">
        <f aca="false">IF(OR($A137="",$G137=0),"",ROUND($F137*INDEX(仪器设备工时分配表!$L$6:$L$245,$W137)/$G137,2))</f>
        <v/>
      </c>
      <c r="O137" s="27" t="str">
        <f aca="false">IF(OR($A137="",$G137=0),"",ROUND($F137*INDEX(仪器设备工时分配表!$M$6:$M$245,$W137)/$G137,2))</f>
        <v/>
      </c>
      <c r="P137" s="27" t="str">
        <f aca="false">IF(OR($A137="",$G137=0),"",ROUND($F137*INDEX(仪器设备工时分配表!$N$6:$N$245,$W137)/$G137,2))</f>
        <v/>
      </c>
      <c r="Q137" s="27" t="str">
        <f aca="false">IF(OR($A137="",$G137=0),"",ROUND($F137*INDEX(仪器设备工时分配表!$O$6:$O$245,$W137)/$G137,2))</f>
        <v/>
      </c>
      <c r="R137" s="27" t="str">
        <f aca="false">IF(OR($A137="",$G137=0),"",ROUND($F137*INDEX(仪器设备工时分配表!$P$6:$P$245,$W137)/$G137,2))</f>
        <v/>
      </c>
      <c r="S137" s="27" t="str">
        <f aca="false">IF(OR($A137="",$G137=0),"",ROUND($F137*INDEX(仪器设备工时分配表!$Q$6:$Q$245,$W137)/$G137,2))</f>
        <v/>
      </c>
      <c r="T137" s="27" t="str">
        <f aca="false">IF($A137="","",ROUND(SUM(J137:S137),2))</f>
        <v/>
      </c>
      <c r="U137" s="27" t="str">
        <f aca="false">IF($A137="","",ROUND($F137-T137,2))</f>
        <v/>
      </c>
      <c r="V137" s="43" t="str">
        <f aca="false">IF($A137="","",IF($D137="无形资产","⚠ 无形资产请在无形资产费用分配表登记",IF($W137=0,"⚠ 工时分配表无此资产当月记录",IF($X137&gt;1,"⚠ 工时分配表存在重复行","√ 正常"))))</f>
        <v/>
      </c>
      <c r="W137" s="47" t="n">
        <f aca="false">IF($A137="",0,IFERROR(MATCH($A137&amp;"|"&amp;$B137,仪器设备工时分配表!$V$6:$V$245,0),0))</f>
        <v>0</v>
      </c>
      <c r="X137" s="47" t="n">
        <f aca="false">IF($A137="",0,COUNTIFS(仪器设备工时分配表!$A$6:$A$245,$A137,仪器设备工时分配表!$B$6:$B$245,$B137))</f>
        <v>0</v>
      </c>
    </row>
    <row r="138" customFormat="false" ht="18" hidden="false" customHeight="true" outlineLevel="0" collapsed="false">
      <c r="A138" s="36"/>
      <c r="B138" s="36"/>
      <c r="C138" s="48" t="str">
        <f aca="false">IF($B138="","",IFERROR(VLOOKUP($B138,资产台账!$B$4:$N$53,2,0)&amp;"","台账中未登记"))</f>
        <v/>
      </c>
      <c r="D138" s="43" t="str">
        <f aca="false">IF($B138="","",IFERROR(VLOOKUP($B138,资产台账!$B$4:$N$53,3,0)&amp;"",""))</f>
        <v/>
      </c>
      <c r="E138" s="43" t="str">
        <f aca="false">IF($B138="","",IFERROR(VLOOKUP($B138,资产台账!$B$4:$N$53,10,0)&amp;"",""))</f>
        <v/>
      </c>
      <c r="F138" s="49" t="str">
        <f aca="false">IF($B138="","",IFERROR(VLOOKUP($B138,资产台账!$B$4:$N$53,9,0),0))</f>
        <v/>
      </c>
      <c r="G138" s="45" t="n">
        <f aca="false">IF(OR($A138="",$W138=0),0,INDEX(仪器设备工时分配表!$F$6:$F$245,$W138))</f>
        <v>0</v>
      </c>
      <c r="H138" s="45" t="n">
        <f aca="false">IF(OR($A138="",$W138=0),0,INDEX(仪器设备工时分配表!$R$6:$R$245,$W138))</f>
        <v>0</v>
      </c>
      <c r="I138" s="28" t="str">
        <f aca="false">IF(OR($A138="",$G138=0),"",$H138/$G138)</f>
        <v/>
      </c>
      <c r="J138" s="27" t="str">
        <f aca="false">IF(OR($A138="",$G138=0),"",ROUND($F138*INDEX(仪器设备工时分配表!$H$6:$H$245,$W138)/$G138,2))</f>
        <v/>
      </c>
      <c r="K138" s="27" t="str">
        <f aca="false">IF(OR($A138="",$G138=0),"",ROUND($F138*INDEX(仪器设备工时分配表!$I$6:$I$245,$W138)/$G138,2))</f>
        <v/>
      </c>
      <c r="L138" s="27" t="str">
        <f aca="false">IF(OR($A138="",$G138=0),"",ROUND($F138*INDEX(仪器设备工时分配表!$J$6:$J$245,$W138)/$G138,2))</f>
        <v/>
      </c>
      <c r="M138" s="27" t="str">
        <f aca="false">IF(OR($A138="",$G138=0),"",ROUND($F138*INDEX(仪器设备工时分配表!$K$6:$K$245,$W138)/$G138,2))</f>
        <v/>
      </c>
      <c r="N138" s="27" t="str">
        <f aca="false">IF(OR($A138="",$G138=0),"",ROUND($F138*INDEX(仪器设备工时分配表!$L$6:$L$245,$W138)/$G138,2))</f>
        <v/>
      </c>
      <c r="O138" s="27" t="str">
        <f aca="false">IF(OR($A138="",$G138=0),"",ROUND($F138*INDEX(仪器设备工时分配表!$M$6:$M$245,$W138)/$G138,2))</f>
        <v/>
      </c>
      <c r="P138" s="27" t="str">
        <f aca="false">IF(OR($A138="",$G138=0),"",ROUND($F138*INDEX(仪器设备工时分配表!$N$6:$N$245,$W138)/$G138,2))</f>
        <v/>
      </c>
      <c r="Q138" s="27" t="str">
        <f aca="false">IF(OR($A138="",$G138=0),"",ROUND($F138*INDEX(仪器设备工时分配表!$O$6:$O$245,$W138)/$G138,2))</f>
        <v/>
      </c>
      <c r="R138" s="27" t="str">
        <f aca="false">IF(OR($A138="",$G138=0),"",ROUND($F138*INDEX(仪器设备工时分配表!$P$6:$P$245,$W138)/$G138,2))</f>
        <v/>
      </c>
      <c r="S138" s="27" t="str">
        <f aca="false">IF(OR($A138="",$G138=0),"",ROUND($F138*INDEX(仪器设备工时分配表!$Q$6:$Q$245,$W138)/$G138,2))</f>
        <v/>
      </c>
      <c r="T138" s="27" t="str">
        <f aca="false">IF($A138="","",ROUND(SUM(J138:S138),2))</f>
        <v/>
      </c>
      <c r="U138" s="27" t="str">
        <f aca="false">IF($A138="","",ROUND($F138-T138,2))</f>
        <v/>
      </c>
      <c r="V138" s="43" t="str">
        <f aca="false">IF($A138="","",IF($D138="无形资产","⚠ 无形资产请在无形资产费用分配表登记",IF($W138=0,"⚠ 工时分配表无此资产当月记录",IF($X138&gt;1,"⚠ 工时分配表存在重复行","√ 正常"))))</f>
        <v/>
      </c>
      <c r="W138" s="47" t="n">
        <f aca="false">IF($A138="",0,IFERROR(MATCH($A138&amp;"|"&amp;$B138,仪器设备工时分配表!$V$6:$V$245,0),0))</f>
        <v>0</v>
      </c>
      <c r="X138" s="47" t="n">
        <f aca="false">IF($A138="",0,COUNTIFS(仪器设备工时分配表!$A$6:$A$245,$A138,仪器设备工时分配表!$B$6:$B$245,$B138))</f>
        <v>0</v>
      </c>
    </row>
    <row r="139" customFormat="false" ht="18" hidden="false" customHeight="true" outlineLevel="0" collapsed="false">
      <c r="A139" s="36"/>
      <c r="B139" s="36"/>
      <c r="C139" s="48" t="str">
        <f aca="false">IF($B139="","",IFERROR(VLOOKUP($B139,资产台账!$B$4:$N$53,2,0)&amp;"","台账中未登记"))</f>
        <v/>
      </c>
      <c r="D139" s="43" t="str">
        <f aca="false">IF($B139="","",IFERROR(VLOOKUP($B139,资产台账!$B$4:$N$53,3,0)&amp;"",""))</f>
        <v/>
      </c>
      <c r="E139" s="43" t="str">
        <f aca="false">IF($B139="","",IFERROR(VLOOKUP($B139,资产台账!$B$4:$N$53,10,0)&amp;"",""))</f>
        <v/>
      </c>
      <c r="F139" s="49" t="str">
        <f aca="false">IF($B139="","",IFERROR(VLOOKUP($B139,资产台账!$B$4:$N$53,9,0),0))</f>
        <v/>
      </c>
      <c r="G139" s="45" t="n">
        <f aca="false">IF(OR($A139="",$W139=0),0,INDEX(仪器设备工时分配表!$F$6:$F$245,$W139))</f>
        <v>0</v>
      </c>
      <c r="H139" s="45" t="n">
        <f aca="false">IF(OR($A139="",$W139=0),0,INDEX(仪器设备工时分配表!$R$6:$R$245,$W139))</f>
        <v>0</v>
      </c>
      <c r="I139" s="28" t="str">
        <f aca="false">IF(OR($A139="",$G139=0),"",$H139/$G139)</f>
        <v/>
      </c>
      <c r="J139" s="27" t="str">
        <f aca="false">IF(OR($A139="",$G139=0),"",ROUND($F139*INDEX(仪器设备工时分配表!$H$6:$H$245,$W139)/$G139,2))</f>
        <v/>
      </c>
      <c r="K139" s="27" t="str">
        <f aca="false">IF(OR($A139="",$G139=0),"",ROUND($F139*INDEX(仪器设备工时分配表!$I$6:$I$245,$W139)/$G139,2))</f>
        <v/>
      </c>
      <c r="L139" s="27" t="str">
        <f aca="false">IF(OR($A139="",$G139=0),"",ROUND($F139*INDEX(仪器设备工时分配表!$J$6:$J$245,$W139)/$G139,2))</f>
        <v/>
      </c>
      <c r="M139" s="27" t="str">
        <f aca="false">IF(OR($A139="",$G139=0),"",ROUND($F139*INDEX(仪器设备工时分配表!$K$6:$K$245,$W139)/$G139,2))</f>
        <v/>
      </c>
      <c r="N139" s="27" t="str">
        <f aca="false">IF(OR($A139="",$G139=0),"",ROUND($F139*INDEX(仪器设备工时分配表!$L$6:$L$245,$W139)/$G139,2))</f>
        <v/>
      </c>
      <c r="O139" s="27" t="str">
        <f aca="false">IF(OR($A139="",$G139=0),"",ROUND($F139*INDEX(仪器设备工时分配表!$M$6:$M$245,$W139)/$G139,2))</f>
        <v/>
      </c>
      <c r="P139" s="27" t="str">
        <f aca="false">IF(OR($A139="",$G139=0),"",ROUND($F139*INDEX(仪器设备工时分配表!$N$6:$N$245,$W139)/$G139,2))</f>
        <v/>
      </c>
      <c r="Q139" s="27" t="str">
        <f aca="false">IF(OR($A139="",$G139=0),"",ROUND($F139*INDEX(仪器设备工时分配表!$O$6:$O$245,$W139)/$G139,2))</f>
        <v/>
      </c>
      <c r="R139" s="27" t="str">
        <f aca="false">IF(OR($A139="",$G139=0),"",ROUND($F139*INDEX(仪器设备工时分配表!$P$6:$P$245,$W139)/$G139,2))</f>
        <v/>
      </c>
      <c r="S139" s="27" t="str">
        <f aca="false">IF(OR($A139="",$G139=0),"",ROUND($F139*INDEX(仪器设备工时分配表!$Q$6:$Q$245,$W139)/$G139,2))</f>
        <v/>
      </c>
      <c r="T139" s="27" t="str">
        <f aca="false">IF($A139="","",ROUND(SUM(J139:S139),2))</f>
        <v/>
      </c>
      <c r="U139" s="27" t="str">
        <f aca="false">IF($A139="","",ROUND($F139-T139,2))</f>
        <v/>
      </c>
      <c r="V139" s="43" t="str">
        <f aca="false">IF($A139="","",IF($D139="无形资产","⚠ 无形资产请在无形资产费用分配表登记",IF($W139=0,"⚠ 工时分配表无此资产当月记录",IF($X139&gt;1,"⚠ 工时分配表存在重复行","√ 正常"))))</f>
        <v/>
      </c>
      <c r="W139" s="47" t="n">
        <f aca="false">IF($A139="",0,IFERROR(MATCH($A139&amp;"|"&amp;$B139,仪器设备工时分配表!$V$6:$V$245,0),0))</f>
        <v>0</v>
      </c>
      <c r="X139" s="47" t="n">
        <f aca="false">IF($A139="",0,COUNTIFS(仪器设备工时分配表!$A$6:$A$245,$A139,仪器设备工时分配表!$B$6:$B$245,$B139))</f>
        <v>0</v>
      </c>
    </row>
    <row r="140" customFormat="false" ht="18" hidden="false" customHeight="true" outlineLevel="0" collapsed="false">
      <c r="A140" s="36"/>
      <c r="B140" s="36"/>
      <c r="C140" s="48" t="str">
        <f aca="false">IF($B140="","",IFERROR(VLOOKUP($B140,资产台账!$B$4:$N$53,2,0)&amp;"","台账中未登记"))</f>
        <v/>
      </c>
      <c r="D140" s="43" t="str">
        <f aca="false">IF($B140="","",IFERROR(VLOOKUP($B140,资产台账!$B$4:$N$53,3,0)&amp;"",""))</f>
        <v/>
      </c>
      <c r="E140" s="43" t="str">
        <f aca="false">IF($B140="","",IFERROR(VLOOKUP($B140,资产台账!$B$4:$N$53,10,0)&amp;"",""))</f>
        <v/>
      </c>
      <c r="F140" s="49" t="str">
        <f aca="false">IF($B140="","",IFERROR(VLOOKUP($B140,资产台账!$B$4:$N$53,9,0),0))</f>
        <v/>
      </c>
      <c r="G140" s="45" t="n">
        <f aca="false">IF(OR($A140="",$W140=0),0,INDEX(仪器设备工时分配表!$F$6:$F$245,$W140))</f>
        <v>0</v>
      </c>
      <c r="H140" s="45" t="n">
        <f aca="false">IF(OR($A140="",$W140=0),0,INDEX(仪器设备工时分配表!$R$6:$R$245,$W140))</f>
        <v>0</v>
      </c>
      <c r="I140" s="28" t="str">
        <f aca="false">IF(OR($A140="",$G140=0),"",$H140/$G140)</f>
        <v/>
      </c>
      <c r="J140" s="27" t="str">
        <f aca="false">IF(OR($A140="",$G140=0),"",ROUND($F140*INDEX(仪器设备工时分配表!$H$6:$H$245,$W140)/$G140,2))</f>
        <v/>
      </c>
      <c r="K140" s="27" t="str">
        <f aca="false">IF(OR($A140="",$G140=0),"",ROUND($F140*INDEX(仪器设备工时分配表!$I$6:$I$245,$W140)/$G140,2))</f>
        <v/>
      </c>
      <c r="L140" s="27" t="str">
        <f aca="false">IF(OR($A140="",$G140=0),"",ROUND($F140*INDEX(仪器设备工时分配表!$J$6:$J$245,$W140)/$G140,2))</f>
        <v/>
      </c>
      <c r="M140" s="27" t="str">
        <f aca="false">IF(OR($A140="",$G140=0),"",ROUND($F140*INDEX(仪器设备工时分配表!$K$6:$K$245,$W140)/$G140,2))</f>
        <v/>
      </c>
      <c r="N140" s="27" t="str">
        <f aca="false">IF(OR($A140="",$G140=0),"",ROUND($F140*INDEX(仪器设备工时分配表!$L$6:$L$245,$W140)/$G140,2))</f>
        <v/>
      </c>
      <c r="O140" s="27" t="str">
        <f aca="false">IF(OR($A140="",$G140=0),"",ROUND($F140*INDEX(仪器设备工时分配表!$M$6:$M$245,$W140)/$G140,2))</f>
        <v/>
      </c>
      <c r="P140" s="27" t="str">
        <f aca="false">IF(OR($A140="",$G140=0),"",ROUND($F140*INDEX(仪器设备工时分配表!$N$6:$N$245,$W140)/$G140,2))</f>
        <v/>
      </c>
      <c r="Q140" s="27" t="str">
        <f aca="false">IF(OR($A140="",$G140=0),"",ROUND($F140*INDEX(仪器设备工时分配表!$O$6:$O$245,$W140)/$G140,2))</f>
        <v/>
      </c>
      <c r="R140" s="27" t="str">
        <f aca="false">IF(OR($A140="",$G140=0),"",ROUND($F140*INDEX(仪器设备工时分配表!$P$6:$P$245,$W140)/$G140,2))</f>
        <v/>
      </c>
      <c r="S140" s="27" t="str">
        <f aca="false">IF(OR($A140="",$G140=0),"",ROUND($F140*INDEX(仪器设备工时分配表!$Q$6:$Q$245,$W140)/$G140,2))</f>
        <v/>
      </c>
      <c r="T140" s="27" t="str">
        <f aca="false">IF($A140="","",ROUND(SUM(J140:S140),2))</f>
        <v/>
      </c>
      <c r="U140" s="27" t="str">
        <f aca="false">IF($A140="","",ROUND($F140-T140,2))</f>
        <v/>
      </c>
      <c r="V140" s="43" t="str">
        <f aca="false">IF($A140="","",IF($D140="无形资产","⚠ 无形资产请在无形资产费用分配表登记",IF($W140=0,"⚠ 工时分配表无此资产当月记录",IF($X140&gt;1,"⚠ 工时分配表存在重复行","√ 正常"))))</f>
        <v/>
      </c>
      <c r="W140" s="47" t="n">
        <f aca="false">IF($A140="",0,IFERROR(MATCH($A140&amp;"|"&amp;$B140,仪器设备工时分配表!$V$6:$V$245,0),0))</f>
        <v>0</v>
      </c>
      <c r="X140" s="47" t="n">
        <f aca="false">IF($A140="",0,COUNTIFS(仪器设备工时分配表!$A$6:$A$245,$A140,仪器设备工时分配表!$B$6:$B$245,$B140))</f>
        <v>0</v>
      </c>
    </row>
    <row r="141" customFormat="false" ht="18" hidden="false" customHeight="true" outlineLevel="0" collapsed="false">
      <c r="A141" s="36"/>
      <c r="B141" s="36"/>
      <c r="C141" s="48" t="str">
        <f aca="false">IF($B141="","",IFERROR(VLOOKUP($B141,资产台账!$B$4:$N$53,2,0)&amp;"","台账中未登记"))</f>
        <v/>
      </c>
      <c r="D141" s="43" t="str">
        <f aca="false">IF($B141="","",IFERROR(VLOOKUP($B141,资产台账!$B$4:$N$53,3,0)&amp;"",""))</f>
        <v/>
      </c>
      <c r="E141" s="43" t="str">
        <f aca="false">IF($B141="","",IFERROR(VLOOKUP($B141,资产台账!$B$4:$N$53,10,0)&amp;"",""))</f>
        <v/>
      </c>
      <c r="F141" s="49" t="str">
        <f aca="false">IF($B141="","",IFERROR(VLOOKUP($B141,资产台账!$B$4:$N$53,9,0),0))</f>
        <v/>
      </c>
      <c r="G141" s="45" t="n">
        <f aca="false">IF(OR($A141="",$W141=0),0,INDEX(仪器设备工时分配表!$F$6:$F$245,$W141))</f>
        <v>0</v>
      </c>
      <c r="H141" s="45" t="n">
        <f aca="false">IF(OR($A141="",$W141=0),0,INDEX(仪器设备工时分配表!$R$6:$R$245,$W141))</f>
        <v>0</v>
      </c>
      <c r="I141" s="28" t="str">
        <f aca="false">IF(OR($A141="",$G141=0),"",$H141/$G141)</f>
        <v/>
      </c>
      <c r="J141" s="27" t="str">
        <f aca="false">IF(OR($A141="",$G141=0),"",ROUND($F141*INDEX(仪器设备工时分配表!$H$6:$H$245,$W141)/$G141,2))</f>
        <v/>
      </c>
      <c r="K141" s="27" t="str">
        <f aca="false">IF(OR($A141="",$G141=0),"",ROUND($F141*INDEX(仪器设备工时分配表!$I$6:$I$245,$W141)/$G141,2))</f>
        <v/>
      </c>
      <c r="L141" s="27" t="str">
        <f aca="false">IF(OR($A141="",$G141=0),"",ROUND($F141*INDEX(仪器设备工时分配表!$J$6:$J$245,$W141)/$G141,2))</f>
        <v/>
      </c>
      <c r="M141" s="27" t="str">
        <f aca="false">IF(OR($A141="",$G141=0),"",ROUND($F141*INDEX(仪器设备工时分配表!$K$6:$K$245,$W141)/$G141,2))</f>
        <v/>
      </c>
      <c r="N141" s="27" t="str">
        <f aca="false">IF(OR($A141="",$G141=0),"",ROUND($F141*INDEX(仪器设备工时分配表!$L$6:$L$245,$W141)/$G141,2))</f>
        <v/>
      </c>
      <c r="O141" s="27" t="str">
        <f aca="false">IF(OR($A141="",$G141=0),"",ROUND($F141*INDEX(仪器设备工时分配表!$M$6:$M$245,$W141)/$G141,2))</f>
        <v/>
      </c>
      <c r="P141" s="27" t="str">
        <f aca="false">IF(OR($A141="",$G141=0),"",ROUND($F141*INDEX(仪器设备工时分配表!$N$6:$N$245,$W141)/$G141,2))</f>
        <v/>
      </c>
      <c r="Q141" s="27" t="str">
        <f aca="false">IF(OR($A141="",$G141=0),"",ROUND($F141*INDEX(仪器设备工时分配表!$O$6:$O$245,$W141)/$G141,2))</f>
        <v/>
      </c>
      <c r="R141" s="27" t="str">
        <f aca="false">IF(OR($A141="",$G141=0),"",ROUND($F141*INDEX(仪器设备工时分配表!$P$6:$P$245,$W141)/$G141,2))</f>
        <v/>
      </c>
      <c r="S141" s="27" t="str">
        <f aca="false">IF(OR($A141="",$G141=0),"",ROUND($F141*INDEX(仪器设备工时分配表!$Q$6:$Q$245,$W141)/$G141,2))</f>
        <v/>
      </c>
      <c r="T141" s="27" t="str">
        <f aca="false">IF($A141="","",ROUND(SUM(J141:S141),2))</f>
        <v/>
      </c>
      <c r="U141" s="27" t="str">
        <f aca="false">IF($A141="","",ROUND($F141-T141,2))</f>
        <v/>
      </c>
      <c r="V141" s="43" t="str">
        <f aca="false">IF($A141="","",IF($D141="无形资产","⚠ 无形资产请在无形资产费用分配表登记",IF($W141=0,"⚠ 工时分配表无此资产当月记录",IF($X141&gt;1,"⚠ 工时分配表存在重复行","√ 正常"))))</f>
        <v/>
      </c>
      <c r="W141" s="47" t="n">
        <f aca="false">IF($A141="",0,IFERROR(MATCH($A141&amp;"|"&amp;$B141,仪器设备工时分配表!$V$6:$V$245,0),0))</f>
        <v>0</v>
      </c>
      <c r="X141" s="47" t="n">
        <f aca="false">IF($A141="",0,COUNTIFS(仪器设备工时分配表!$A$6:$A$245,$A141,仪器设备工时分配表!$B$6:$B$245,$B141))</f>
        <v>0</v>
      </c>
    </row>
    <row r="142" customFormat="false" ht="18" hidden="false" customHeight="true" outlineLevel="0" collapsed="false">
      <c r="A142" s="36"/>
      <c r="B142" s="36"/>
      <c r="C142" s="48" t="str">
        <f aca="false">IF($B142="","",IFERROR(VLOOKUP($B142,资产台账!$B$4:$N$53,2,0)&amp;"","台账中未登记"))</f>
        <v/>
      </c>
      <c r="D142" s="43" t="str">
        <f aca="false">IF($B142="","",IFERROR(VLOOKUP($B142,资产台账!$B$4:$N$53,3,0)&amp;"",""))</f>
        <v/>
      </c>
      <c r="E142" s="43" t="str">
        <f aca="false">IF($B142="","",IFERROR(VLOOKUP($B142,资产台账!$B$4:$N$53,10,0)&amp;"",""))</f>
        <v/>
      </c>
      <c r="F142" s="49" t="str">
        <f aca="false">IF($B142="","",IFERROR(VLOOKUP($B142,资产台账!$B$4:$N$53,9,0),0))</f>
        <v/>
      </c>
      <c r="G142" s="45" t="n">
        <f aca="false">IF(OR($A142="",$W142=0),0,INDEX(仪器设备工时分配表!$F$6:$F$245,$W142))</f>
        <v>0</v>
      </c>
      <c r="H142" s="45" t="n">
        <f aca="false">IF(OR($A142="",$W142=0),0,INDEX(仪器设备工时分配表!$R$6:$R$245,$W142))</f>
        <v>0</v>
      </c>
      <c r="I142" s="28" t="str">
        <f aca="false">IF(OR($A142="",$G142=0),"",$H142/$G142)</f>
        <v/>
      </c>
      <c r="J142" s="27" t="str">
        <f aca="false">IF(OR($A142="",$G142=0),"",ROUND($F142*INDEX(仪器设备工时分配表!$H$6:$H$245,$W142)/$G142,2))</f>
        <v/>
      </c>
      <c r="K142" s="27" t="str">
        <f aca="false">IF(OR($A142="",$G142=0),"",ROUND($F142*INDEX(仪器设备工时分配表!$I$6:$I$245,$W142)/$G142,2))</f>
        <v/>
      </c>
      <c r="L142" s="27" t="str">
        <f aca="false">IF(OR($A142="",$G142=0),"",ROUND($F142*INDEX(仪器设备工时分配表!$J$6:$J$245,$W142)/$G142,2))</f>
        <v/>
      </c>
      <c r="M142" s="27" t="str">
        <f aca="false">IF(OR($A142="",$G142=0),"",ROUND($F142*INDEX(仪器设备工时分配表!$K$6:$K$245,$W142)/$G142,2))</f>
        <v/>
      </c>
      <c r="N142" s="27" t="str">
        <f aca="false">IF(OR($A142="",$G142=0),"",ROUND($F142*INDEX(仪器设备工时分配表!$L$6:$L$245,$W142)/$G142,2))</f>
        <v/>
      </c>
      <c r="O142" s="27" t="str">
        <f aca="false">IF(OR($A142="",$G142=0),"",ROUND($F142*INDEX(仪器设备工时分配表!$M$6:$M$245,$W142)/$G142,2))</f>
        <v/>
      </c>
      <c r="P142" s="27" t="str">
        <f aca="false">IF(OR($A142="",$G142=0),"",ROUND($F142*INDEX(仪器设备工时分配表!$N$6:$N$245,$W142)/$G142,2))</f>
        <v/>
      </c>
      <c r="Q142" s="27" t="str">
        <f aca="false">IF(OR($A142="",$G142=0),"",ROUND($F142*INDEX(仪器设备工时分配表!$O$6:$O$245,$W142)/$G142,2))</f>
        <v/>
      </c>
      <c r="R142" s="27" t="str">
        <f aca="false">IF(OR($A142="",$G142=0),"",ROUND($F142*INDEX(仪器设备工时分配表!$P$6:$P$245,$W142)/$G142,2))</f>
        <v/>
      </c>
      <c r="S142" s="27" t="str">
        <f aca="false">IF(OR($A142="",$G142=0),"",ROUND($F142*INDEX(仪器设备工时分配表!$Q$6:$Q$245,$W142)/$G142,2))</f>
        <v/>
      </c>
      <c r="T142" s="27" t="str">
        <f aca="false">IF($A142="","",ROUND(SUM(J142:S142),2))</f>
        <v/>
      </c>
      <c r="U142" s="27" t="str">
        <f aca="false">IF($A142="","",ROUND($F142-T142,2))</f>
        <v/>
      </c>
      <c r="V142" s="43" t="str">
        <f aca="false">IF($A142="","",IF($D142="无形资产","⚠ 无形资产请在无形资产费用分配表登记",IF($W142=0,"⚠ 工时分配表无此资产当月记录",IF($X142&gt;1,"⚠ 工时分配表存在重复行","√ 正常"))))</f>
        <v/>
      </c>
      <c r="W142" s="47" t="n">
        <f aca="false">IF($A142="",0,IFERROR(MATCH($A142&amp;"|"&amp;$B142,仪器设备工时分配表!$V$6:$V$245,0),0))</f>
        <v>0</v>
      </c>
      <c r="X142" s="47" t="n">
        <f aca="false">IF($A142="",0,COUNTIFS(仪器设备工时分配表!$A$6:$A$245,$A142,仪器设备工时分配表!$B$6:$B$245,$B142))</f>
        <v>0</v>
      </c>
    </row>
    <row r="143" customFormat="false" ht="18" hidden="false" customHeight="true" outlineLevel="0" collapsed="false">
      <c r="A143" s="36"/>
      <c r="B143" s="36"/>
      <c r="C143" s="48" t="str">
        <f aca="false">IF($B143="","",IFERROR(VLOOKUP($B143,资产台账!$B$4:$N$53,2,0)&amp;"","台账中未登记"))</f>
        <v/>
      </c>
      <c r="D143" s="43" t="str">
        <f aca="false">IF($B143="","",IFERROR(VLOOKUP($B143,资产台账!$B$4:$N$53,3,0)&amp;"",""))</f>
        <v/>
      </c>
      <c r="E143" s="43" t="str">
        <f aca="false">IF($B143="","",IFERROR(VLOOKUP($B143,资产台账!$B$4:$N$53,10,0)&amp;"",""))</f>
        <v/>
      </c>
      <c r="F143" s="49" t="str">
        <f aca="false">IF($B143="","",IFERROR(VLOOKUP($B143,资产台账!$B$4:$N$53,9,0),0))</f>
        <v/>
      </c>
      <c r="G143" s="45" t="n">
        <f aca="false">IF(OR($A143="",$W143=0),0,INDEX(仪器设备工时分配表!$F$6:$F$245,$W143))</f>
        <v>0</v>
      </c>
      <c r="H143" s="45" t="n">
        <f aca="false">IF(OR($A143="",$W143=0),0,INDEX(仪器设备工时分配表!$R$6:$R$245,$W143))</f>
        <v>0</v>
      </c>
      <c r="I143" s="28" t="str">
        <f aca="false">IF(OR($A143="",$G143=0),"",$H143/$G143)</f>
        <v/>
      </c>
      <c r="J143" s="27" t="str">
        <f aca="false">IF(OR($A143="",$G143=0),"",ROUND($F143*INDEX(仪器设备工时分配表!$H$6:$H$245,$W143)/$G143,2))</f>
        <v/>
      </c>
      <c r="K143" s="27" t="str">
        <f aca="false">IF(OR($A143="",$G143=0),"",ROUND($F143*INDEX(仪器设备工时分配表!$I$6:$I$245,$W143)/$G143,2))</f>
        <v/>
      </c>
      <c r="L143" s="27" t="str">
        <f aca="false">IF(OR($A143="",$G143=0),"",ROUND($F143*INDEX(仪器设备工时分配表!$J$6:$J$245,$W143)/$G143,2))</f>
        <v/>
      </c>
      <c r="M143" s="27" t="str">
        <f aca="false">IF(OR($A143="",$G143=0),"",ROUND($F143*INDEX(仪器设备工时分配表!$K$6:$K$245,$W143)/$G143,2))</f>
        <v/>
      </c>
      <c r="N143" s="27" t="str">
        <f aca="false">IF(OR($A143="",$G143=0),"",ROUND($F143*INDEX(仪器设备工时分配表!$L$6:$L$245,$W143)/$G143,2))</f>
        <v/>
      </c>
      <c r="O143" s="27" t="str">
        <f aca="false">IF(OR($A143="",$G143=0),"",ROUND($F143*INDEX(仪器设备工时分配表!$M$6:$M$245,$W143)/$G143,2))</f>
        <v/>
      </c>
      <c r="P143" s="27" t="str">
        <f aca="false">IF(OR($A143="",$G143=0),"",ROUND($F143*INDEX(仪器设备工时分配表!$N$6:$N$245,$W143)/$G143,2))</f>
        <v/>
      </c>
      <c r="Q143" s="27" t="str">
        <f aca="false">IF(OR($A143="",$G143=0),"",ROUND($F143*INDEX(仪器设备工时分配表!$O$6:$O$245,$W143)/$G143,2))</f>
        <v/>
      </c>
      <c r="R143" s="27" t="str">
        <f aca="false">IF(OR($A143="",$G143=0),"",ROUND($F143*INDEX(仪器设备工时分配表!$P$6:$P$245,$W143)/$G143,2))</f>
        <v/>
      </c>
      <c r="S143" s="27" t="str">
        <f aca="false">IF(OR($A143="",$G143=0),"",ROUND($F143*INDEX(仪器设备工时分配表!$Q$6:$Q$245,$W143)/$G143,2))</f>
        <v/>
      </c>
      <c r="T143" s="27" t="str">
        <f aca="false">IF($A143="","",ROUND(SUM(J143:S143),2))</f>
        <v/>
      </c>
      <c r="U143" s="27" t="str">
        <f aca="false">IF($A143="","",ROUND($F143-T143,2))</f>
        <v/>
      </c>
      <c r="V143" s="43" t="str">
        <f aca="false">IF($A143="","",IF($D143="无形资产","⚠ 无形资产请在无形资产费用分配表登记",IF($W143=0,"⚠ 工时分配表无此资产当月记录",IF($X143&gt;1,"⚠ 工时分配表存在重复行","√ 正常"))))</f>
        <v/>
      </c>
      <c r="W143" s="47" t="n">
        <f aca="false">IF($A143="",0,IFERROR(MATCH($A143&amp;"|"&amp;$B143,仪器设备工时分配表!$V$6:$V$245,0),0))</f>
        <v>0</v>
      </c>
      <c r="X143" s="47" t="n">
        <f aca="false">IF($A143="",0,COUNTIFS(仪器设备工时分配表!$A$6:$A$245,$A143,仪器设备工时分配表!$B$6:$B$245,$B143))</f>
        <v>0</v>
      </c>
    </row>
    <row r="144" customFormat="false" ht="18" hidden="false" customHeight="true" outlineLevel="0" collapsed="false">
      <c r="A144" s="36"/>
      <c r="B144" s="36"/>
      <c r="C144" s="48" t="str">
        <f aca="false">IF($B144="","",IFERROR(VLOOKUP($B144,资产台账!$B$4:$N$53,2,0)&amp;"","台账中未登记"))</f>
        <v/>
      </c>
      <c r="D144" s="43" t="str">
        <f aca="false">IF($B144="","",IFERROR(VLOOKUP($B144,资产台账!$B$4:$N$53,3,0)&amp;"",""))</f>
        <v/>
      </c>
      <c r="E144" s="43" t="str">
        <f aca="false">IF($B144="","",IFERROR(VLOOKUP($B144,资产台账!$B$4:$N$53,10,0)&amp;"",""))</f>
        <v/>
      </c>
      <c r="F144" s="49" t="str">
        <f aca="false">IF($B144="","",IFERROR(VLOOKUP($B144,资产台账!$B$4:$N$53,9,0),0))</f>
        <v/>
      </c>
      <c r="G144" s="45" t="n">
        <f aca="false">IF(OR($A144="",$W144=0),0,INDEX(仪器设备工时分配表!$F$6:$F$245,$W144))</f>
        <v>0</v>
      </c>
      <c r="H144" s="45" t="n">
        <f aca="false">IF(OR($A144="",$W144=0),0,INDEX(仪器设备工时分配表!$R$6:$R$245,$W144))</f>
        <v>0</v>
      </c>
      <c r="I144" s="28" t="str">
        <f aca="false">IF(OR($A144="",$G144=0),"",$H144/$G144)</f>
        <v/>
      </c>
      <c r="J144" s="27" t="str">
        <f aca="false">IF(OR($A144="",$G144=0),"",ROUND($F144*INDEX(仪器设备工时分配表!$H$6:$H$245,$W144)/$G144,2))</f>
        <v/>
      </c>
      <c r="K144" s="27" t="str">
        <f aca="false">IF(OR($A144="",$G144=0),"",ROUND($F144*INDEX(仪器设备工时分配表!$I$6:$I$245,$W144)/$G144,2))</f>
        <v/>
      </c>
      <c r="L144" s="27" t="str">
        <f aca="false">IF(OR($A144="",$G144=0),"",ROUND($F144*INDEX(仪器设备工时分配表!$J$6:$J$245,$W144)/$G144,2))</f>
        <v/>
      </c>
      <c r="M144" s="27" t="str">
        <f aca="false">IF(OR($A144="",$G144=0),"",ROUND($F144*INDEX(仪器设备工时分配表!$K$6:$K$245,$W144)/$G144,2))</f>
        <v/>
      </c>
      <c r="N144" s="27" t="str">
        <f aca="false">IF(OR($A144="",$G144=0),"",ROUND($F144*INDEX(仪器设备工时分配表!$L$6:$L$245,$W144)/$G144,2))</f>
        <v/>
      </c>
      <c r="O144" s="27" t="str">
        <f aca="false">IF(OR($A144="",$G144=0),"",ROUND($F144*INDEX(仪器设备工时分配表!$M$6:$M$245,$W144)/$G144,2))</f>
        <v/>
      </c>
      <c r="P144" s="27" t="str">
        <f aca="false">IF(OR($A144="",$G144=0),"",ROUND($F144*INDEX(仪器设备工时分配表!$N$6:$N$245,$W144)/$G144,2))</f>
        <v/>
      </c>
      <c r="Q144" s="27" t="str">
        <f aca="false">IF(OR($A144="",$G144=0),"",ROUND($F144*INDEX(仪器设备工时分配表!$O$6:$O$245,$W144)/$G144,2))</f>
        <v/>
      </c>
      <c r="R144" s="27" t="str">
        <f aca="false">IF(OR($A144="",$G144=0),"",ROUND($F144*INDEX(仪器设备工时分配表!$P$6:$P$245,$W144)/$G144,2))</f>
        <v/>
      </c>
      <c r="S144" s="27" t="str">
        <f aca="false">IF(OR($A144="",$G144=0),"",ROUND($F144*INDEX(仪器设备工时分配表!$Q$6:$Q$245,$W144)/$G144,2))</f>
        <v/>
      </c>
      <c r="T144" s="27" t="str">
        <f aca="false">IF($A144="","",ROUND(SUM(J144:S144),2))</f>
        <v/>
      </c>
      <c r="U144" s="27" t="str">
        <f aca="false">IF($A144="","",ROUND($F144-T144,2))</f>
        <v/>
      </c>
      <c r="V144" s="43" t="str">
        <f aca="false">IF($A144="","",IF($D144="无形资产","⚠ 无形资产请在无形资产费用分配表登记",IF($W144=0,"⚠ 工时分配表无此资产当月记录",IF($X144&gt;1,"⚠ 工时分配表存在重复行","√ 正常"))))</f>
        <v/>
      </c>
      <c r="W144" s="47" t="n">
        <f aca="false">IF($A144="",0,IFERROR(MATCH($A144&amp;"|"&amp;$B144,仪器设备工时分配表!$V$6:$V$245,0),0))</f>
        <v>0</v>
      </c>
      <c r="X144" s="47" t="n">
        <f aca="false">IF($A144="",0,COUNTIFS(仪器设备工时分配表!$A$6:$A$245,$A144,仪器设备工时分配表!$B$6:$B$245,$B144))</f>
        <v>0</v>
      </c>
    </row>
    <row r="145" customFormat="false" ht="18" hidden="false" customHeight="true" outlineLevel="0" collapsed="false">
      <c r="A145" s="36"/>
      <c r="B145" s="36"/>
      <c r="C145" s="48" t="str">
        <f aca="false">IF($B145="","",IFERROR(VLOOKUP($B145,资产台账!$B$4:$N$53,2,0)&amp;"","台账中未登记"))</f>
        <v/>
      </c>
      <c r="D145" s="43" t="str">
        <f aca="false">IF($B145="","",IFERROR(VLOOKUP($B145,资产台账!$B$4:$N$53,3,0)&amp;"",""))</f>
        <v/>
      </c>
      <c r="E145" s="43" t="str">
        <f aca="false">IF($B145="","",IFERROR(VLOOKUP($B145,资产台账!$B$4:$N$53,10,0)&amp;"",""))</f>
        <v/>
      </c>
      <c r="F145" s="49" t="str">
        <f aca="false">IF($B145="","",IFERROR(VLOOKUP($B145,资产台账!$B$4:$N$53,9,0),0))</f>
        <v/>
      </c>
      <c r="G145" s="45" t="n">
        <f aca="false">IF(OR($A145="",$W145=0),0,INDEX(仪器设备工时分配表!$F$6:$F$245,$W145))</f>
        <v>0</v>
      </c>
      <c r="H145" s="45" t="n">
        <f aca="false">IF(OR($A145="",$W145=0),0,INDEX(仪器设备工时分配表!$R$6:$R$245,$W145))</f>
        <v>0</v>
      </c>
      <c r="I145" s="28" t="str">
        <f aca="false">IF(OR($A145="",$G145=0),"",$H145/$G145)</f>
        <v/>
      </c>
      <c r="J145" s="27" t="str">
        <f aca="false">IF(OR($A145="",$G145=0),"",ROUND($F145*INDEX(仪器设备工时分配表!$H$6:$H$245,$W145)/$G145,2))</f>
        <v/>
      </c>
      <c r="K145" s="27" t="str">
        <f aca="false">IF(OR($A145="",$G145=0),"",ROUND($F145*INDEX(仪器设备工时分配表!$I$6:$I$245,$W145)/$G145,2))</f>
        <v/>
      </c>
      <c r="L145" s="27" t="str">
        <f aca="false">IF(OR($A145="",$G145=0),"",ROUND($F145*INDEX(仪器设备工时分配表!$J$6:$J$245,$W145)/$G145,2))</f>
        <v/>
      </c>
      <c r="M145" s="27" t="str">
        <f aca="false">IF(OR($A145="",$G145=0),"",ROUND($F145*INDEX(仪器设备工时分配表!$K$6:$K$245,$W145)/$G145,2))</f>
        <v/>
      </c>
      <c r="N145" s="27" t="str">
        <f aca="false">IF(OR($A145="",$G145=0),"",ROUND($F145*INDEX(仪器设备工时分配表!$L$6:$L$245,$W145)/$G145,2))</f>
        <v/>
      </c>
      <c r="O145" s="27" t="str">
        <f aca="false">IF(OR($A145="",$G145=0),"",ROUND($F145*INDEX(仪器设备工时分配表!$M$6:$M$245,$W145)/$G145,2))</f>
        <v/>
      </c>
      <c r="P145" s="27" t="str">
        <f aca="false">IF(OR($A145="",$G145=0),"",ROUND($F145*INDEX(仪器设备工时分配表!$N$6:$N$245,$W145)/$G145,2))</f>
        <v/>
      </c>
      <c r="Q145" s="27" t="str">
        <f aca="false">IF(OR($A145="",$G145=0),"",ROUND($F145*INDEX(仪器设备工时分配表!$O$6:$O$245,$W145)/$G145,2))</f>
        <v/>
      </c>
      <c r="R145" s="27" t="str">
        <f aca="false">IF(OR($A145="",$G145=0),"",ROUND($F145*INDEX(仪器设备工时分配表!$P$6:$P$245,$W145)/$G145,2))</f>
        <v/>
      </c>
      <c r="S145" s="27" t="str">
        <f aca="false">IF(OR($A145="",$G145=0),"",ROUND($F145*INDEX(仪器设备工时分配表!$Q$6:$Q$245,$W145)/$G145,2))</f>
        <v/>
      </c>
      <c r="T145" s="27" t="str">
        <f aca="false">IF($A145="","",ROUND(SUM(J145:S145),2))</f>
        <v/>
      </c>
      <c r="U145" s="27" t="str">
        <f aca="false">IF($A145="","",ROUND($F145-T145,2))</f>
        <v/>
      </c>
      <c r="V145" s="43" t="str">
        <f aca="false">IF($A145="","",IF($D145="无形资产","⚠ 无形资产请在无形资产费用分配表登记",IF($W145=0,"⚠ 工时分配表无此资产当月记录",IF($X145&gt;1,"⚠ 工时分配表存在重复行","√ 正常"))))</f>
        <v/>
      </c>
      <c r="W145" s="47" t="n">
        <f aca="false">IF($A145="",0,IFERROR(MATCH($A145&amp;"|"&amp;$B145,仪器设备工时分配表!$V$6:$V$245,0),0))</f>
        <v>0</v>
      </c>
      <c r="X145" s="47" t="n">
        <f aca="false">IF($A145="",0,COUNTIFS(仪器设备工时分配表!$A$6:$A$245,$A145,仪器设备工时分配表!$B$6:$B$245,$B145))</f>
        <v>0</v>
      </c>
    </row>
    <row r="146" customFormat="false" ht="18" hidden="false" customHeight="true" outlineLevel="0" collapsed="false">
      <c r="A146" s="36"/>
      <c r="B146" s="36"/>
      <c r="C146" s="48" t="str">
        <f aca="false">IF($B146="","",IFERROR(VLOOKUP($B146,资产台账!$B$4:$N$53,2,0)&amp;"","台账中未登记"))</f>
        <v/>
      </c>
      <c r="D146" s="43" t="str">
        <f aca="false">IF($B146="","",IFERROR(VLOOKUP($B146,资产台账!$B$4:$N$53,3,0)&amp;"",""))</f>
        <v/>
      </c>
      <c r="E146" s="43" t="str">
        <f aca="false">IF($B146="","",IFERROR(VLOOKUP($B146,资产台账!$B$4:$N$53,10,0)&amp;"",""))</f>
        <v/>
      </c>
      <c r="F146" s="49" t="str">
        <f aca="false">IF($B146="","",IFERROR(VLOOKUP($B146,资产台账!$B$4:$N$53,9,0),0))</f>
        <v/>
      </c>
      <c r="G146" s="45" t="n">
        <f aca="false">IF(OR($A146="",$W146=0),0,INDEX(仪器设备工时分配表!$F$6:$F$245,$W146))</f>
        <v>0</v>
      </c>
      <c r="H146" s="45" t="n">
        <f aca="false">IF(OR($A146="",$W146=0),0,INDEX(仪器设备工时分配表!$R$6:$R$245,$W146))</f>
        <v>0</v>
      </c>
      <c r="I146" s="28" t="str">
        <f aca="false">IF(OR($A146="",$G146=0),"",$H146/$G146)</f>
        <v/>
      </c>
      <c r="J146" s="27" t="str">
        <f aca="false">IF(OR($A146="",$G146=0),"",ROUND($F146*INDEX(仪器设备工时分配表!$H$6:$H$245,$W146)/$G146,2))</f>
        <v/>
      </c>
      <c r="K146" s="27" t="str">
        <f aca="false">IF(OR($A146="",$G146=0),"",ROUND($F146*INDEX(仪器设备工时分配表!$I$6:$I$245,$W146)/$G146,2))</f>
        <v/>
      </c>
      <c r="L146" s="27" t="str">
        <f aca="false">IF(OR($A146="",$G146=0),"",ROUND($F146*INDEX(仪器设备工时分配表!$J$6:$J$245,$W146)/$G146,2))</f>
        <v/>
      </c>
      <c r="M146" s="27" t="str">
        <f aca="false">IF(OR($A146="",$G146=0),"",ROUND($F146*INDEX(仪器设备工时分配表!$K$6:$K$245,$W146)/$G146,2))</f>
        <v/>
      </c>
      <c r="N146" s="27" t="str">
        <f aca="false">IF(OR($A146="",$G146=0),"",ROUND($F146*INDEX(仪器设备工时分配表!$L$6:$L$245,$W146)/$G146,2))</f>
        <v/>
      </c>
      <c r="O146" s="27" t="str">
        <f aca="false">IF(OR($A146="",$G146=0),"",ROUND($F146*INDEX(仪器设备工时分配表!$M$6:$M$245,$W146)/$G146,2))</f>
        <v/>
      </c>
      <c r="P146" s="27" t="str">
        <f aca="false">IF(OR($A146="",$G146=0),"",ROUND($F146*INDEX(仪器设备工时分配表!$N$6:$N$245,$W146)/$G146,2))</f>
        <v/>
      </c>
      <c r="Q146" s="27" t="str">
        <f aca="false">IF(OR($A146="",$G146=0),"",ROUND($F146*INDEX(仪器设备工时分配表!$O$6:$O$245,$W146)/$G146,2))</f>
        <v/>
      </c>
      <c r="R146" s="27" t="str">
        <f aca="false">IF(OR($A146="",$G146=0),"",ROUND($F146*INDEX(仪器设备工时分配表!$P$6:$P$245,$W146)/$G146,2))</f>
        <v/>
      </c>
      <c r="S146" s="27" t="str">
        <f aca="false">IF(OR($A146="",$G146=0),"",ROUND($F146*INDEX(仪器设备工时分配表!$Q$6:$Q$245,$W146)/$G146,2))</f>
        <v/>
      </c>
      <c r="T146" s="27" t="str">
        <f aca="false">IF($A146="","",ROUND(SUM(J146:S146),2))</f>
        <v/>
      </c>
      <c r="U146" s="27" t="str">
        <f aca="false">IF($A146="","",ROUND($F146-T146,2))</f>
        <v/>
      </c>
      <c r="V146" s="43" t="str">
        <f aca="false">IF($A146="","",IF($D146="无形资产","⚠ 无形资产请在无形资产费用分配表登记",IF($W146=0,"⚠ 工时分配表无此资产当月记录",IF($X146&gt;1,"⚠ 工时分配表存在重复行","√ 正常"))))</f>
        <v/>
      </c>
      <c r="W146" s="47" t="n">
        <f aca="false">IF($A146="",0,IFERROR(MATCH($A146&amp;"|"&amp;$B146,仪器设备工时分配表!$V$6:$V$245,0),0))</f>
        <v>0</v>
      </c>
      <c r="X146" s="47" t="n">
        <f aca="false">IF($A146="",0,COUNTIFS(仪器设备工时分配表!$A$6:$A$245,$A146,仪器设备工时分配表!$B$6:$B$245,$B146))</f>
        <v>0</v>
      </c>
    </row>
    <row r="147" customFormat="false" ht="18" hidden="false" customHeight="true" outlineLevel="0" collapsed="false">
      <c r="A147" s="36"/>
      <c r="B147" s="36"/>
      <c r="C147" s="48" t="str">
        <f aca="false">IF($B147="","",IFERROR(VLOOKUP($B147,资产台账!$B$4:$N$53,2,0)&amp;"","台账中未登记"))</f>
        <v/>
      </c>
      <c r="D147" s="43" t="str">
        <f aca="false">IF($B147="","",IFERROR(VLOOKUP($B147,资产台账!$B$4:$N$53,3,0)&amp;"",""))</f>
        <v/>
      </c>
      <c r="E147" s="43" t="str">
        <f aca="false">IF($B147="","",IFERROR(VLOOKUP($B147,资产台账!$B$4:$N$53,10,0)&amp;"",""))</f>
        <v/>
      </c>
      <c r="F147" s="49" t="str">
        <f aca="false">IF($B147="","",IFERROR(VLOOKUP($B147,资产台账!$B$4:$N$53,9,0),0))</f>
        <v/>
      </c>
      <c r="G147" s="45" t="n">
        <f aca="false">IF(OR($A147="",$W147=0),0,INDEX(仪器设备工时分配表!$F$6:$F$245,$W147))</f>
        <v>0</v>
      </c>
      <c r="H147" s="45" t="n">
        <f aca="false">IF(OR($A147="",$W147=0),0,INDEX(仪器设备工时分配表!$R$6:$R$245,$W147))</f>
        <v>0</v>
      </c>
      <c r="I147" s="28" t="str">
        <f aca="false">IF(OR($A147="",$G147=0),"",$H147/$G147)</f>
        <v/>
      </c>
      <c r="J147" s="27" t="str">
        <f aca="false">IF(OR($A147="",$G147=0),"",ROUND($F147*INDEX(仪器设备工时分配表!$H$6:$H$245,$W147)/$G147,2))</f>
        <v/>
      </c>
      <c r="K147" s="27" t="str">
        <f aca="false">IF(OR($A147="",$G147=0),"",ROUND($F147*INDEX(仪器设备工时分配表!$I$6:$I$245,$W147)/$G147,2))</f>
        <v/>
      </c>
      <c r="L147" s="27" t="str">
        <f aca="false">IF(OR($A147="",$G147=0),"",ROUND($F147*INDEX(仪器设备工时分配表!$J$6:$J$245,$W147)/$G147,2))</f>
        <v/>
      </c>
      <c r="M147" s="27" t="str">
        <f aca="false">IF(OR($A147="",$G147=0),"",ROUND($F147*INDEX(仪器设备工时分配表!$K$6:$K$245,$W147)/$G147,2))</f>
        <v/>
      </c>
      <c r="N147" s="27" t="str">
        <f aca="false">IF(OR($A147="",$G147=0),"",ROUND($F147*INDEX(仪器设备工时分配表!$L$6:$L$245,$W147)/$G147,2))</f>
        <v/>
      </c>
      <c r="O147" s="27" t="str">
        <f aca="false">IF(OR($A147="",$G147=0),"",ROUND($F147*INDEX(仪器设备工时分配表!$M$6:$M$245,$W147)/$G147,2))</f>
        <v/>
      </c>
      <c r="P147" s="27" t="str">
        <f aca="false">IF(OR($A147="",$G147=0),"",ROUND($F147*INDEX(仪器设备工时分配表!$N$6:$N$245,$W147)/$G147,2))</f>
        <v/>
      </c>
      <c r="Q147" s="27" t="str">
        <f aca="false">IF(OR($A147="",$G147=0),"",ROUND($F147*INDEX(仪器设备工时分配表!$O$6:$O$245,$W147)/$G147,2))</f>
        <v/>
      </c>
      <c r="R147" s="27" t="str">
        <f aca="false">IF(OR($A147="",$G147=0),"",ROUND($F147*INDEX(仪器设备工时分配表!$P$6:$P$245,$W147)/$G147,2))</f>
        <v/>
      </c>
      <c r="S147" s="27" t="str">
        <f aca="false">IF(OR($A147="",$G147=0),"",ROUND($F147*INDEX(仪器设备工时分配表!$Q$6:$Q$245,$W147)/$G147,2))</f>
        <v/>
      </c>
      <c r="T147" s="27" t="str">
        <f aca="false">IF($A147="","",ROUND(SUM(J147:S147),2))</f>
        <v/>
      </c>
      <c r="U147" s="27" t="str">
        <f aca="false">IF($A147="","",ROUND($F147-T147,2))</f>
        <v/>
      </c>
      <c r="V147" s="43" t="str">
        <f aca="false">IF($A147="","",IF($D147="无形资产","⚠ 无形资产请在无形资产费用分配表登记",IF($W147=0,"⚠ 工时分配表无此资产当月记录",IF($X147&gt;1,"⚠ 工时分配表存在重复行","√ 正常"))))</f>
        <v/>
      </c>
      <c r="W147" s="47" t="n">
        <f aca="false">IF($A147="",0,IFERROR(MATCH($A147&amp;"|"&amp;$B147,仪器设备工时分配表!$V$6:$V$245,0),0))</f>
        <v>0</v>
      </c>
      <c r="X147" s="47" t="n">
        <f aca="false">IF($A147="",0,COUNTIFS(仪器设备工时分配表!$A$6:$A$245,$A147,仪器设备工时分配表!$B$6:$B$245,$B147))</f>
        <v>0</v>
      </c>
    </row>
    <row r="148" customFormat="false" ht="18" hidden="false" customHeight="true" outlineLevel="0" collapsed="false">
      <c r="A148" s="36"/>
      <c r="B148" s="36"/>
      <c r="C148" s="48" t="str">
        <f aca="false">IF($B148="","",IFERROR(VLOOKUP($B148,资产台账!$B$4:$N$53,2,0)&amp;"","台账中未登记"))</f>
        <v/>
      </c>
      <c r="D148" s="43" t="str">
        <f aca="false">IF($B148="","",IFERROR(VLOOKUP($B148,资产台账!$B$4:$N$53,3,0)&amp;"",""))</f>
        <v/>
      </c>
      <c r="E148" s="43" t="str">
        <f aca="false">IF($B148="","",IFERROR(VLOOKUP($B148,资产台账!$B$4:$N$53,10,0)&amp;"",""))</f>
        <v/>
      </c>
      <c r="F148" s="49" t="str">
        <f aca="false">IF($B148="","",IFERROR(VLOOKUP($B148,资产台账!$B$4:$N$53,9,0),0))</f>
        <v/>
      </c>
      <c r="G148" s="45" t="n">
        <f aca="false">IF(OR($A148="",$W148=0),0,INDEX(仪器设备工时分配表!$F$6:$F$245,$W148))</f>
        <v>0</v>
      </c>
      <c r="H148" s="45" t="n">
        <f aca="false">IF(OR($A148="",$W148=0),0,INDEX(仪器设备工时分配表!$R$6:$R$245,$W148))</f>
        <v>0</v>
      </c>
      <c r="I148" s="28" t="str">
        <f aca="false">IF(OR($A148="",$G148=0),"",$H148/$G148)</f>
        <v/>
      </c>
      <c r="J148" s="27" t="str">
        <f aca="false">IF(OR($A148="",$G148=0),"",ROUND($F148*INDEX(仪器设备工时分配表!$H$6:$H$245,$W148)/$G148,2))</f>
        <v/>
      </c>
      <c r="K148" s="27" t="str">
        <f aca="false">IF(OR($A148="",$G148=0),"",ROUND($F148*INDEX(仪器设备工时分配表!$I$6:$I$245,$W148)/$G148,2))</f>
        <v/>
      </c>
      <c r="L148" s="27" t="str">
        <f aca="false">IF(OR($A148="",$G148=0),"",ROUND($F148*INDEX(仪器设备工时分配表!$J$6:$J$245,$W148)/$G148,2))</f>
        <v/>
      </c>
      <c r="M148" s="27" t="str">
        <f aca="false">IF(OR($A148="",$G148=0),"",ROUND($F148*INDEX(仪器设备工时分配表!$K$6:$K$245,$W148)/$G148,2))</f>
        <v/>
      </c>
      <c r="N148" s="27" t="str">
        <f aca="false">IF(OR($A148="",$G148=0),"",ROUND($F148*INDEX(仪器设备工时分配表!$L$6:$L$245,$W148)/$G148,2))</f>
        <v/>
      </c>
      <c r="O148" s="27" t="str">
        <f aca="false">IF(OR($A148="",$G148=0),"",ROUND($F148*INDEX(仪器设备工时分配表!$M$6:$M$245,$W148)/$G148,2))</f>
        <v/>
      </c>
      <c r="P148" s="27" t="str">
        <f aca="false">IF(OR($A148="",$G148=0),"",ROUND($F148*INDEX(仪器设备工时分配表!$N$6:$N$245,$W148)/$G148,2))</f>
        <v/>
      </c>
      <c r="Q148" s="27" t="str">
        <f aca="false">IF(OR($A148="",$G148=0),"",ROUND($F148*INDEX(仪器设备工时分配表!$O$6:$O$245,$W148)/$G148,2))</f>
        <v/>
      </c>
      <c r="R148" s="27" t="str">
        <f aca="false">IF(OR($A148="",$G148=0),"",ROUND($F148*INDEX(仪器设备工时分配表!$P$6:$P$245,$W148)/$G148,2))</f>
        <v/>
      </c>
      <c r="S148" s="27" t="str">
        <f aca="false">IF(OR($A148="",$G148=0),"",ROUND($F148*INDEX(仪器设备工时分配表!$Q$6:$Q$245,$W148)/$G148,2))</f>
        <v/>
      </c>
      <c r="T148" s="27" t="str">
        <f aca="false">IF($A148="","",ROUND(SUM(J148:S148),2))</f>
        <v/>
      </c>
      <c r="U148" s="27" t="str">
        <f aca="false">IF($A148="","",ROUND($F148-T148,2))</f>
        <v/>
      </c>
      <c r="V148" s="43" t="str">
        <f aca="false">IF($A148="","",IF($D148="无形资产","⚠ 无形资产请在无形资产费用分配表登记",IF($W148=0,"⚠ 工时分配表无此资产当月记录",IF($X148&gt;1,"⚠ 工时分配表存在重复行","√ 正常"))))</f>
        <v/>
      </c>
      <c r="W148" s="47" t="n">
        <f aca="false">IF($A148="",0,IFERROR(MATCH($A148&amp;"|"&amp;$B148,仪器设备工时分配表!$V$6:$V$245,0),0))</f>
        <v>0</v>
      </c>
      <c r="X148" s="47" t="n">
        <f aca="false">IF($A148="",0,COUNTIFS(仪器设备工时分配表!$A$6:$A$245,$A148,仪器设备工时分配表!$B$6:$B$245,$B148))</f>
        <v>0</v>
      </c>
    </row>
    <row r="149" customFormat="false" ht="18" hidden="false" customHeight="true" outlineLevel="0" collapsed="false">
      <c r="A149" s="36"/>
      <c r="B149" s="36"/>
      <c r="C149" s="48" t="str">
        <f aca="false">IF($B149="","",IFERROR(VLOOKUP($B149,资产台账!$B$4:$N$53,2,0)&amp;"","台账中未登记"))</f>
        <v/>
      </c>
      <c r="D149" s="43" t="str">
        <f aca="false">IF($B149="","",IFERROR(VLOOKUP($B149,资产台账!$B$4:$N$53,3,0)&amp;"",""))</f>
        <v/>
      </c>
      <c r="E149" s="43" t="str">
        <f aca="false">IF($B149="","",IFERROR(VLOOKUP($B149,资产台账!$B$4:$N$53,10,0)&amp;"",""))</f>
        <v/>
      </c>
      <c r="F149" s="49" t="str">
        <f aca="false">IF($B149="","",IFERROR(VLOOKUP($B149,资产台账!$B$4:$N$53,9,0),0))</f>
        <v/>
      </c>
      <c r="G149" s="45" t="n">
        <f aca="false">IF(OR($A149="",$W149=0),0,INDEX(仪器设备工时分配表!$F$6:$F$245,$W149))</f>
        <v>0</v>
      </c>
      <c r="H149" s="45" t="n">
        <f aca="false">IF(OR($A149="",$W149=0),0,INDEX(仪器设备工时分配表!$R$6:$R$245,$W149))</f>
        <v>0</v>
      </c>
      <c r="I149" s="28" t="str">
        <f aca="false">IF(OR($A149="",$G149=0),"",$H149/$G149)</f>
        <v/>
      </c>
      <c r="J149" s="27" t="str">
        <f aca="false">IF(OR($A149="",$G149=0),"",ROUND($F149*INDEX(仪器设备工时分配表!$H$6:$H$245,$W149)/$G149,2))</f>
        <v/>
      </c>
      <c r="K149" s="27" t="str">
        <f aca="false">IF(OR($A149="",$G149=0),"",ROUND($F149*INDEX(仪器设备工时分配表!$I$6:$I$245,$W149)/$G149,2))</f>
        <v/>
      </c>
      <c r="L149" s="27" t="str">
        <f aca="false">IF(OR($A149="",$G149=0),"",ROUND($F149*INDEX(仪器设备工时分配表!$J$6:$J$245,$W149)/$G149,2))</f>
        <v/>
      </c>
      <c r="M149" s="27" t="str">
        <f aca="false">IF(OR($A149="",$G149=0),"",ROUND($F149*INDEX(仪器设备工时分配表!$K$6:$K$245,$W149)/$G149,2))</f>
        <v/>
      </c>
      <c r="N149" s="27" t="str">
        <f aca="false">IF(OR($A149="",$G149=0),"",ROUND($F149*INDEX(仪器设备工时分配表!$L$6:$L$245,$W149)/$G149,2))</f>
        <v/>
      </c>
      <c r="O149" s="27" t="str">
        <f aca="false">IF(OR($A149="",$G149=0),"",ROUND($F149*INDEX(仪器设备工时分配表!$M$6:$M$245,$W149)/$G149,2))</f>
        <v/>
      </c>
      <c r="P149" s="27" t="str">
        <f aca="false">IF(OR($A149="",$G149=0),"",ROUND($F149*INDEX(仪器设备工时分配表!$N$6:$N$245,$W149)/$G149,2))</f>
        <v/>
      </c>
      <c r="Q149" s="27" t="str">
        <f aca="false">IF(OR($A149="",$G149=0),"",ROUND($F149*INDEX(仪器设备工时分配表!$O$6:$O$245,$W149)/$G149,2))</f>
        <v/>
      </c>
      <c r="R149" s="27" t="str">
        <f aca="false">IF(OR($A149="",$G149=0),"",ROUND($F149*INDEX(仪器设备工时分配表!$P$6:$P$245,$W149)/$G149,2))</f>
        <v/>
      </c>
      <c r="S149" s="27" t="str">
        <f aca="false">IF(OR($A149="",$G149=0),"",ROUND($F149*INDEX(仪器设备工时分配表!$Q$6:$Q$245,$W149)/$G149,2))</f>
        <v/>
      </c>
      <c r="T149" s="27" t="str">
        <f aca="false">IF($A149="","",ROUND(SUM(J149:S149),2))</f>
        <v/>
      </c>
      <c r="U149" s="27" t="str">
        <f aca="false">IF($A149="","",ROUND($F149-T149,2))</f>
        <v/>
      </c>
      <c r="V149" s="43" t="str">
        <f aca="false">IF($A149="","",IF($D149="无形资产","⚠ 无形资产请在无形资产费用分配表登记",IF($W149=0,"⚠ 工时分配表无此资产当月记录",IF($X149&gt;1,"⚠ 工时分配表存在重复行","√ 正常"))))</f>
        <v/>
      </c>
      <c r="W149" s="47" t="n">
        <f aca="false">IF($A149="",0,IFERROR(MATCH($A149&amp;"|"&amp;$B149,仪器设备工时分配表!$V$6:$V$245,0),0))</f>
        <v>0</v>
      </c>
      <c r="X149" s="47" t="n">
        <f aca="false">IF($A149="",0,COUNTIFS(仪器设备工时分配表!$A$6:$A$245,$A149,仪器设备工时分配表!$B$6:$B$245,$B149))</f>
        <v>0</v>
      </c>
    </row>
    <row r="150" customFormat="false" ht="18" hidden="false" customHeight="true" outlineLevel="0" collapsed="false">
      <c r="A150" s="36"/>
      <c r="B150" s="36"/>
      <c r="C150" s="48" t="str">
        <f aca="false">IF($B150="","",IFERROR(VLOOKUP($B150,资产台账!$B$4:$N$53,2,0)&amp;"","台账中未登记"))</f>
        <v/>
      </c>
      <c r="D150" s="43" t="str">
        <f aca="false">IF($B150="","",IFERROR(VLOOKUP($B150,资产台账!$B$4:$N$53,3,0)&amp;"",""))</f>
        <v/>
      </c>
      <c r="E150" s="43" t="str">
        <f aca="false">IF($B150="","",IFERROR(VLOOKUP($B150,资产台账!$B$4:$N$53,10,0)&amp;"",""))</f>
        <v/>
      </c>
      <c r="F150" s="49" t="str">
        <f aca="false">IF($B150="","",IFERROR(VLOOKUP($B150,资产台账!$B$4:$N$53,9,0),0))</f>
        <v/>
      </c>
      <c r="G150" s="45" t="n">
        <f aca="false">IF(OR($A150="",$W150=0),0,INDEX(仪器设备工时分配表!$F$6:$F$245,$W150))</f>
        <v>0</v>
      </c>
      <c r="H150" s="45" t="n">
        <f aca="false">IF(OR($A150="",$W150=0),0,INDEX(仪器设备工时分配表!$R$6:$R$245,$W150))</f>
        <v>0</v>
      </c>
      <c r="I150" s="28" t="str">
        <f aca="false">IF(OR($A150="",$G150=0),"",$H150/$G150)</f>
        <v/>
      </c>
      <c r="J150" s="27" t="str">
        <f aca="false">IF(OR($A150="",$G150=0),"",ROUND($F150*INDEX(仪器设备工时分配表!$H$6:$H$245,$W150)/$G150,2))</f>
        <v/>
      </c>
      <c r="K150" s="27" t="str">
        <f aca="false">IF(OR($A150="",$G150=0),"",ROUND($F150*INDEX(仪器设备工时分配表!$I$6:$I$245,$W150)/$G150,2))</f>
        <v/>
      </c>
      <c r="L150" s="27" t="str">
        <f aca="false">IF(OR($A150="",$G150=0),"",ROUND($F150*INDEX(仪器设备工时分配表!$J$6:$J$245,$W150)/$G150,2))</f>
        <v/>
      </c>
      <c r="M150" s="27" t="str">
        <f aca="false">IF(OR($A150="",$G150=0),"",ROUND($F150*INDEX(仪器设备工时分配表!$K$6:$K$245,$W150)/$G150,2))</f>
        <v/>
      </c>
      <c r="N150" s="27" t="str">
        <f aca="false">IF(OR($A150="",$G150=0),"",ROUND($F150*INDEX(仪器设备工时分配表!$L$6:$L$245,$W150)/$G150,2))</f>
        <v/>
      </c>
      <c r="O150" s="27" t="str">
        <f aca="false">IF(OR($A150="",$G150=0),"",ROUND($F150*INDEX(仪器设备工时分配表!$M$6:$M$245,$W150)/$G150,2))</f>
        <v/>
      </c>
      <c r="P150" s="27" t="str">
        <f aca="false">IF(OR($A150="",$G150=0),"",ROUND($F150*INDEX(仪器设备工时分配表!$N$6:$N$245,$W150)/$G150,2))</f>
        <v/>
      </c>
      <c r="Q150" s="27" t="str">
        <f aca="false">IF(OR($A150="",$G150=0),"",ROUND($F150*INDEX(仪器设备工时分配表!$O$6:$O$245,$W150)/$G150,2))</f>
        <v/>
      </c>
      <c r="R150" s="27" t="str">
        <f aca="false">IF(OR($A150="",$G150=0),"",ROUND($F150*INDEX(仪器设备工时分配表!$P$6:$P$245,$W150)/$G150,2))</f>
        <v/>
      </c>
      <c r="S150" s="27" t="str">
        <f aca="false">IF(OR($A150="",$G150=0),"",ROUND($F150*INDEX(仪器设备工时分配表!$Q$6:$Q$245,$W150)/$G150,2))</f>
        <v/>
      </c>
      <c r="T150" s="27" t="str">
        <f aca="false">IF($A150="","",ROUND(SUM(J150:S150),2))</f>
        <v/>
      </c>
      <c r="U150" s="27" t="str">
        <f aca="false">IF($A150="","",ROUND($F150-T150,2))</f>
        <v/>
      </c>
      <c r="V150" s="43" t="str">
        <f aca="false">IF($A150="","",IF($D150="无形资产","⚠ 无形资产请在无形资产费用分配表登记",IF($W150=0,"⚠ 工时分配表无此资产当月记录",IF($X150&gt;1,"⚠ 工时分配表存在重复行","√ 正常"))))</f>
        <v/>
      </c>
      <c r="W150" s="47" t="n">
        <f aca="false">IF($A150="",0,IFERROR(MATCH($A150&amp;"|"&amp;$B150,仪器设备工时分配表!$V$6:$V$245,0),0))</f>
        <v>0</v>
      </c>
      <c r="X150" s="47" t="n">
        <f aca="false">IF($A150="",0,COUNTIFS(仪器设备工时分配表!$A$6:$A$245,$A150,仪器设备工时分配表!$B$6:$B$245,$B150))</f>
        <v>0</v>
      </c>
    </row>
    <row r="151" customFormat="false" ht="18" hidden="false" customHeight="true" outlineLevel="0" collapsed="false">
      <c r="A151" s="36"/>
      <c r="B151" s="36"/>
      <c r="C151" s="48" t="str">
        <f aca="false">IF($B151="","",IFERROR(VLOOKUP($B151,资产台账!$B$4:$N$53,2,0)&amp;"","台账中未登记"))</f>
        <v/>
      </c>
      <c r="D151" s="43" t="str">
        <f aca="false">IF($B151="","",IFERROR(VLOOKUP($B151,资产台账!$B$4:$N$53,3,0)&amp;"",""))</f>
        <v/>
      </c>
      <c r="E151" s="43" t="str">
        <f aca="false">IF($B151="","",IFERROR(VLOOKUP($B151,资产台账!$B$4:$N$53,10,0)&amp;"",""))</f>
        <v/>
      </c>
      <c r="F151" s="49" t="str">
        <f aca="false">IF($B151="","",IFERROR(VLOOKUP($B151,资产台账!$B$4:$N$53,9,0),0))</f>
        <v/>
      </c>
      <c r="G151" s="45" t="n">
        <f aca="false">IF(OR($A151="",$W151=0),0,INDEX(仪器设备工时分配表!$F$6:$F$245,$W151))</f>
        <v>0</v>
      </c>
      <c r="H151" s="45" t="n">
        <f aca="false">IF(OR($A151="",$W151=0),0,INDEX(仪器设备工时分配表!$R$6:$R$245,$W151))</f>
        <v>0</v>
      </c>
      <c r="I151" s="28" t="str">
        <f aca="false">IF(OR($A151="",$G151=0),"",$H151/$G151)</f>
        <v/>
      </c>
      <c r="J151" s="27" t="str">
        <f aca="false">IF(OR($A151="",$G151=0),"",ROUND($F151*INDEX(仪器设备工时分配表!$H$6:$H$245,$W151)/$G151,2))</f>
        <v/>
      </c>
      <c r="K151" s="27" t="str">
        <f aca="false">IF(OR($A151="",$G151=0),"",ROUND($F151*INDEX(仪器设备工时分配表!$I$6:$I$245,$W151)/$G151,2))</f>
        <v/>
      </c>
      <c r="L151" s="27" t="str">
        <f aca="false">IF(OR($A151="",$G151=0),"",ROUND($F151*INDEX(仪器设备工时分配表!$J$6:$J$245,$W151)/$G151,2))</f>
        <v/>
      </c>
      <c r="M151" s="27" t="str">
        <f aca="false">IF(OR($A151="",$G151=0),"",ROUND($F151*INDEX(仪器设备工时分配表!$K$6:$K$245,$W151)/$G151,2))</f>
        <v/>
      </c>
      <c r="N151" s="27" t="str">
        <f aca="false">IF(OR($A151="",$G151=0),"",ROUND($F151*INDEX(仪器设备工时分配表!$L$6:$L$245,$W151)/$G151,2))</f>
        <v/>
      </c>
      <c r="O151" s="27" t="str">
        <f aca="false">IF(OR($A151="",$G151=0),"",ROUND($F151*INDEX(仪器设备工时分配表!$M$6:$M$245,$W151)/$G151,2))</f>
        <v/>
      </c>
      <c r="P151" s="27" t="str">
        <f aca="false">IF(OR($A151="",$G151=0),"",ROUND($F151*INDEX(仪器设备工时分配表!$N$6:$N$245,$W151)/$G151,2))</f>
        <v/>
      </c>
      <c r="Q151" s="27" t="str">
        <f aca="false">IF(OR($A151="",$G151=0),"",ROUND($F151*INDEX(仪器设备工时分配表!$O$6:$O$245,$W151)/$G151,2))</f>
        <v/>
      </c>
      <c r="R151" s="27" t="str">
        <f aca="false">IF(OR($A151="",$G151=0),"",ROUND($F151*INDEX(仪器设备工时分配表!$P$6:$P$245,$W151)/$G151,2))</f>
        <v/>
      </c>
      <c r="S151" s="27" t="str">
        <f aca="false">IF(OR($A151="",$G151=0),"",ROUND($F151*INDEX(仪器设备工时分配表!$Q$6:$Q$245,$W151)/$G151,2))</f>
        <v/>
      </c>
      <c r="T151" s="27" t="str">
        <f aca="false">IF($A151="","",ROUND(SUM(J151:S151),2))</f>
        <v/>
      </c>
      <c r="U151" s="27" t="str">
        <f aca="false">IF($A151="","",ROUND($F151-T151,2))</f>
        <v/>
      </c>
      <c r="V151" s="43" t="str">
        <f aca="false">IF($A151="","",IF($D151="无形资产","⚠ 无形资产请在无形资产费用分配表登记",IF($W151=0,"⚠ 工时分配表无此资产当月记录",IF($X151&gt;1,"⚠ 工时分配表存在重复行","√ 正常"))))</f>
        <v/>
      </c>
      <c r="W151" s="47" t="n">
        <f aca="false">IF($A151="",0,IFERROR(MATCH($A151&amp;"|"&amp;$B151,仪器设备工时分配表!$V$6:$V$245,0),0))</f>
        <v>0</v>
      </c>
      <c r="X151" s="47" t="n">
        <f aca="false">IF($A151="",0,COUNTIFS(仪器设备工时分配表!$A$6:$A$245,$A151,仪器设备工时分配表!$B$6:$B$245,$B151))</f>
        <v>0</v>
      </c>
    </row>
    <row r="152" customFormat="false" ht="18" hidden="false" customHeight="true" outlineLevel="0" collapsed="false">
      <c r="A152" s="36"/>
      <c r="B152" s="36"/>
      <c r="C152" s="48" t="str">
        <f aca="false">IF($B152="","",IFERROR(VLOOKUP($B152,资产台账!$B$4:$N$53,2,0)&amp;"","台账中未登记"))</f>
        <v/>
      </c>
      <c r="D152" s="43" t="str">
        <f aca="false">IF($B152="","",IFERROR(VLOOKUP($B152,资产台账!$B$4:$N$53,3,0)&amp;"",""))</f>
        <v/>
      </c>
      <c r="E152" s="43" t="str">
        <f aca="false">IF($B152="","",IFERROR(VLOOKUP($B152,资产台账!$B$4:$N$53,10,0)&amp;"",""))</f>
        <v/>
      </c>
      <c r="F152" s="49" t="str">
        <f aca="false">IF($B152="","",IFERROR(VLOOKUP($B152,资产台账!$B$4:$N$53,9,0),0))</f>
        <v/>
      </c>
      <c r="G152" s="45" t="n">
        <f aca="false">IF(OR($A152="",$W152=0),0,INDEX(仪器设备工时分配表!$F$6:$F$245,$W152))</f>
        <v>0</v>
      </c>
      <c r="H152" s="45" t="n">
        <f aca="false">IF(OR($A152="",$W152=0),0,INDEX(仪器设备工时分配表!$R$6:$R$245,$W152))</f>
        <v>0</v>
      </c>
      <c r="I152" s="28" t="str">
        <f aca="false">IF(OR($A152="",$G152=0),"",$H152/$G152)</f>
        <v/>
      </c>
      <c r="J152" s="27" t="str">
        <f aca="false">IF(OR($A152="",$G152=0),"",ROUND($F152*INDEX(仪器设备工时分配表!$H$6:$H$245,$W152)/$G152,2))</f>
        <v/>
      </c>
      <c r="K152" s="27" t="str">
        <f aca="false">IF(OR($A152="",$G152=0),"",ROUND($F152*INDEX(仪器设备工时分配表!$I$6:$I$245,$W152)/$G152,2))</f>
        <v/>
      </c>
      <c r="L152" s="27" t="str">
        <f aca="false">IF(OR($A152="",$G152=0),"",ROUND($F152*INDEX(仪器设备工时分配表!$J$6:$J$245,$W152)/$G152,2))</f>
        <v/>
      </c>
      <c r="M152" s="27" t="str">
        <f aca="false">IF(OR($A152="",$G152=0),"",ROUND($F152*INDEX(仪器设备工时分配表!$K$6:$K$245,$W152)/$G152,2))</f>
        <v/>
      </c>
      <c r="N152" s="27" t="str">
        <f aca="false">IF(OR($A152="",$G152=0),"",ROUND($F152*INDEX(仪器设备工时分配表!$L$6:$L$245,$W152)/$G152,2))</f>
        <v/>
      </c>
      <c r="O152" s="27" t="str">
        <f aca="false">IF(OR($A152="",$G152=0),"",ROUND($F152*INDEX(仪器设备工时分配表!$M$6:$M$245,$W152)/$G152,2))</f>
        <v/>
      </c>
      <c r="P152" s="27" t="str">
        <f aca="false">IF(OR($A152="",$G152=0),"",ROUND($F152*INDEX(仪器设备工时分配表!$N$6:$N$245,$W152)/$G152,2))</f>
        <v/>
      </c>
      <c r="Q152" s="27" t="str">
        <f aca="false">IF(OR($A152="",$G152=0),"",ROUND($F152*INDEX(仪器设备工时分配表!$O$6:$O$245,$W152)/$G152,2))</f>
        <v/>
      </c>
      <c r="R152" s="27" t="str">
        <f aca="false">IF(OR($A152="",$G152=0),"",ROUND($F152*INDEX(仪器设备工时分配表!$P$6:$P$245,$W152)/$G152,2))</f>
        <v/>
      </c>
      <c r="S152" s="27" t="str">
        <f aca="false">IF(OR($A152="",$G152=0),"",ROUND($F152*INDEX(仪器设备工时分配表!$Q$6:$Q$245,$W152)/$G152,2))</f>
        <v/>
      </c>
      <c r="T152" s="27" t="str">
        <f aca="false">IF($A152="","",ROUND(SUM(J152:S152),2))</f>
        <v/>
      </c>
      <c r="U152" s="27" t="str">
        <f aca="false">IF($A152="","",ROUND($F152-T152,2))</f>
        <v/>
      </c>
      <c r="V152" s="43" t="str">
        <f aca="false">IF($A152="","",IF($D152="无形资产","⚠ 无形资产请在无形资产费用分配表登记",IF($W152=0,"⚠ 工时分配表无此资产当月记录",IF($X152&gt;1,"⚠ 工时分配表存在重复行","√ 正常"))))</f>
        <v/>
      </c>
      <c r="W152" s="47" t="n">
        <f aca="false">IF($A152="",0,IFERROR(MATCH($A152&amp;"|"&amp;$B152,仪器设备工时分配表!$V$6:$V$245,0),0))</f>
        <v>0</v>
      </c>
      <c r="X152" s="47" t="n">
        <f aca="false">IF($A152="",0,COUNTIFS(仪器设备工时分配表!$A$6:$A$245,$A152,仪器设备工时分配表!$B$6:$B$245,$B152))</f>
        <v>0</v>
      </c>
    </row>
    <row r="153" customFormat="false" ht="18" hidden="false" customHeight="true" outlineLevel="0" collapsed="false">
      <c r="A153" s="36"/>
      <c r="B153" s="36"/>
      <c r="C153" s="48" t="str">
        <f aca="false">IF($B153="","",IFERROR(VLOOKUP($B153,资产台账!$B$4:$N$53,2,0)&amp;"","台账中未登记"))</f>
        <v/>
      </c>
      <c r="D153" s="43" t="str">
        <f aca="false">IF($B153="","",IFERROR(VLOOKUP($B153,资产台账!$B$4:$N$53,3,0)&amp;"",""))</f>
        <v/>
      </c>
      <c r="E153" s="43" t="str">
        <f aca="false">IF($B153="","",IFERROR(VLOOKUP($B153,资产台账!$B$4:$N$53,10,0)&amp;"",""))</f>
        <v/>
      </c>
      <c r="F153" s="49" t="str">
        <f aca="false">IF($B153="","",IFERROR(VLOOKUP($B153,资产台账!$B$4:$N$53,9,0),0))</f>
        <v/>
      </c>
      <c r="G153" s="45" t="n">
        <f aca="false">IF(OR($A153="",$W153=0),0,INDEX(仪器设备工时分配表!$F$6:$F$245,$W153))</f>
        <v>0</v>
      </c>
      <c r="H153" s="45" t="n">
        <f aca="false">IF(OR($A153="",$W153=0),0,INDEX(仪器设备工时分配表!$R$6:$R$245,$W153))</f>
        <v>0</v>
      </c>
      <c r="I153" s="28" t="str">
        <f aca="false">IF(OR($A153="",$G153=0),"",$H153/$G153)</f>
        <v/>
      </c>
      <c r="J153" s="27" t="str">
        <f aca="false">IF(OR($A153="",$G153=0),"",ROUND($F153*INDEX(仪器设备工时分配表!$H$6:$H$245,$W153)/$G153,2))</f>
        <v/>
      </c>
      <c r="K153" s="27" t="str">
        <f aca="false">IF(OR($A153="",$G153=0),"",ROUND($F153*INDEX(仪器设备工时分配表!$I$6:$I$245,$W153)/$G153,2))</f>
        <v/>
      </c>
      <c r="L153" s="27" t="str">
        <f aca="false">IF(OR($A153="",$G153=0),"",ROUND($F153*INDEX(仪器设备工时分配表!$J$6:$J$245,$W153)/$G153,2))</f>
        <v/>
      </c>
      <c r="M153" s="27" t="str">
        <f aca="false">IF(OR($A153="",$G153=0),"",ROUND($F153*INDEX(仪器设备工时分配表!$K$6:$K$245,$W153)/$G153,2))</f>
        <v/>
      </c>
      <c r="N153" s="27" t="str">
        <f aca="false">IF(OR($A153="",$G153=0),"",ROUND($F153*INDEX(仪器设备工时分配表!$L$6:$L$245,$W153)/$G153,2))</f>
        <v/>
      </c>
      <c r="O153" s="27" t="str">
        <f aca="false">IF(OR($A153="",$G153=0),"",ROUND($F153*INDEX(仪器设备工时分配表!$M$6:$M$245,$W153)/$G153,2))</f>
        <v/>
      </c>
      <c r="P153" s="27" t="str">
        <f aca="false">IF(OR($A153="",$G153=0),"",ROUND($F153*INDEX(仪器设备工时分配表!$N$6:$N$245,$W153)/$G153,2))</f>
        <v/>
      </c>
      <c r="Q153" s="27" t="str">
        <f aca="false">IF(OR($A153="",$G153=0),"",ROUND($F153*INDEX(仪器设备工时分配表!$O$6:$O$245,$W153)/$G153,2))</f>
        <v/>
      </c>
      <c r="R153" s="27" t="str">
        <f aca="false">IF(OR($A153="",$G153=0),"",ROUND($F153*INDEX(仪器设备工时分配表!$P$6:$P$245,$W153)/$G153,2))</f>
        <v/>
      </c>
      <c r="S153" s="27" t="str">
        <f aca="false">IF(OR($A153="",$G153=0),"",ROUND($F153*INDEX(仪器设备工时分配表!$Q$6:$Q$245,$W153)/$G153,2))</f>
        <v/>
      </c>
      <c r="T153" s="27" t="str">
        <f aca="false">IF($A153="","",ROUND(SUM(J153:S153),2))</f>
        <v/>
      </c>
      <c r="U153" s="27" t="str">
        <f aca="false">IF($A153="","",ROUND($F153-T153,2))</f>
        <v/>
      </c>
      <c r="V153" s="43" t="str">
        <f aca="false">IF($A153="","",IF($D153="无形资产","⚠ 无形资产请在无形资产费用分配表登记",IF($W153=0,"⚠ 工时分配表无此资产当月记录",IF($X153&gt;1,"⚠ 工时分配表存在重复行","√ 正常"))))</f>
        <v/>
      </c>
      <c r="W153" s="47" t="n">
        <f aca="false">IF($A153="",0,IFERROR(MATCH($A153&amp;"|"&amp;$B153,仪器设备工时分配表!$V$6:$V$245,0),0))</f>
        <v>0</v>
      </c>
      <c r="X153" s="47" t="n">
        <f aca="false">IF($A153="",0,COUNTIFS(仪器设备工时分配表!$A$6:$A$245,$A153,仪器设备工时分配表!$B$6:$B$245,$B153))</f>
        <v>0</v>
      </c>
    </row>
    <row r="154" customFormat="false" ht="18" hidden="false" customHeight="true" outlineLevel="0" collapsed="false">
      <c r="A154" s="36"/>
      <c r="B154" s="36"/>
      <c r="C154" s="48" t="str">
        <f aca="false">IF($B154="","",IFERROR(VLOOKUP($B154,资产台账!$B$4:$N$53,2,0)&amp;"","台账中未登记"))</f>
        <v/>
      </c>
      <c r="D154" s="43" t="str">
        <f aca="false">IF($B154="","",IFERROR(VLOOKUP($B154,资产台账!$B$4:$N$53,3,0)&amp;"",""))</f>
        <v/>
      </c>
      <c r="E154" s="43" t="str">
        <f aca="false">IF($B154="","",IFERROR(VLOOKUP($B154,资产台账!$B$4:$N$53,10,0)&amp;"",""))</f>
        <v/>
      </c>
      <c r="F154" s="49" t="str">
        <f aca="false">IF($B154="","",IFERROR(VLOOKUP($B154,资产台账!$B$4:$N$53,9,0),0))</f>
        <v/>
      </c>
      <c r="G154" s="45" t="n">
        <f aca="false">IF(OR($A154="",$W154=0),0,INDEX(仪器设备工时分配表!$F$6:$F$245,$W154))</f>
        <v>0</v>
      </c>
      <c r="H154" s="45" t="n">
        <f aca="false">IF(OR($A154="",$W154=0),0,INDEX(仪器设备工时分配表!$R$6:$R$245,$W154))</f>
        <v>0</v>
      </c>
      <c r="I154" s="28" t="str">
        <f aca="false">IF(OR($A154="",$G154=0),"",$H154/$G154)</f>
        <v/>
      </c>
      <c r="J154" s="27" t="str">
        <f aca="false">IF(OR($A154="",$G154=0),"",ROUND($F154*INDEX(仪器设备工时分配表!$H$6:$H$245,$W154)/$G154,2))</f>
        <v/>
      </c>
      <c r="K154" s="27" t="str">
        <f aca="false">IF(OR($A154="",$G154=0),"",ROUND($F154*INDEX(仪器设备工时分配表!$I$6:$I$245,$W154)/$G154,2))</f>
        <v/>
      </c>
      <c r="L154" s="27" t="str">
        <f aca="false">IF(OR($A154="",$G154=0),"",ROUND($F154*INDEX(仪器设备工时分配表!$J$6:$J$245,$W154)/$G154,2))</f>
        <v/>
      </c>
      <c r="M154" s="27" t="str">
        <f aca="false">IF(OR($A154="",$G154=0),"",ROUND($F154*INDEX(仪器设备工时分配表!$K$6:$K$245,$W154)/$G154,2))</f>
        <v/>
      </c>
      <c r="N154" s="27" t="str">
        <f aca="false">IF(OR($A154="",$G154=0),"",ROUND($F154*INDEX(仪器设备工时分配表!$L$6:$L$245,$W154)/$G154,2))</f>
        <v/>
      </c>
      <c r="O154" s="27" t="str">
        <f aca="false">IF(OR($A154="",$G154=0),"",ROUND($F154*INDEX(仪器设备工时分配表!$M$6:$M$245,$W154)/$G154,2))</f>
        <v/>
      </c>
      <c r="P154" s="27" t="str">
        <f aca="false">IF(OR($A154="",$G154=0),"",ROUND($F154*INDEX(仪器设备工时分配表!$N$6:$N$245,$W154)/$G154,2))</f>
        <v/>
      </c>
      <c r="Q154" s="27" t="str">
        <f aca="false">IF(OR($A154="",$G154=0),"",ROUND($F154*INDEX(仪器设备工时分配表!$O$6:$O$245,$W154)/$G154,2))</f>
        <v/>
      </c>
      <c r="R154" s="27" t="str">
        <f aca="false">IF(OR($A154="",$G154=0),"",ROUND($F154*INDEX(仪器设备工时分配表!$P$6:$P$245,$W154)/$G154,2))</f>
        <v/>
      </c>
      <c r="S154" s="27" t="str">
        <f aca="false">IF(OR($A154="",$G154=0),"",ROUND($F154*INDEX(仪器设备工时分配表!$Q$6:$Q$245,$W154)/$G154,2))</f>
        <v/>
      </c>
      <c r="T154" s="27" t="str">
        <f aca="false">IF($A154="","",ROUND(SUM(J154:S154),2))</f>
        <v/>
      </c>
      <c r="U154" s="27" t="str">
        <f aca="false">IF($A154="","",ROUND($F154-T154,2))</f>
        <v/>
      </c>
      <c r="V154" s="43" t="str">
        <f aca="false">IF($A154="","",IF($D154="无形资产","⚠ 无形资产请在无形资产费用分配表登记",IF($W154=0,"⚠ 工时分配表无此资产当月记录",IF($X154&gt;1,"⚠ 工时分配表存在重复行","√ 正常"))))</f>
        <v/>
      </c>
      <c r="W154" s="47" t="n">
        <f aca="false">IF($A154="",0,IFERROR(MATCH($A154&amp;"|"&amp;$B154,仪器设备工时分配表!$V$6:$V$245,0),0))</f>
        <v>0</v>
      </c>
      <c r="X154" s="47" t="n">
        <f aca="false">IF($A154="",0,COUNTIFS(仪器设备工时分配表!$A$6:$A$245,$A154,仪器设备工时分配表!$B$6:$B$245,$B154))</f>
        <v>0</v>
      </c>
    </row>
    <row r="155" customFormat="false" ht="18" hidden="false" customHeight="true" outlineLevel="0" collapsed="false">
      <c r="A155" s="36"/>
      <c r="B155" s="36"/>
      <c r="C155" s="48" t="str">
        <f aca="false">IF($B155="","",IFERROR(VLOOKUP($B155,资产台账!$B$4:$N$53,2,0)&amp;"","台账中未登记"))</f>
        <v/>
      </c>
      <c r="D155" s="43" t="str">
        <f aca="false">IF($B155="","",IFERROR(VLOOKUP($B155,资产台账!$B$4:$N$53,3,0)&amp;"",""))</f>
        <v/>
      </c>
      <c r="E155" s="43" t="str">
        <f aca="false">IF($B155="","",IFERROR(VLOOKUP($B155,资产台账!$B$4:$N$53,10,0)&amp;"",""))</f>
        <v/>
      </c>
      <c r="F155" s="49" t="str">
        <f aca="false">IF($B155="","",IFERROR(VLOOKUP($B155,资产台账!$B$4:$N$53,9,0),0))</f>
        <v/>
      </c>
      <c r="G155" s="45" t="n">
        <f aca="false">IF(OR($A155="",$W155=0),0,INDEX(仪器设备工时分配表!$F$6:$F$245,$W155))</f>
        <v>0</v>
      </c>
      <c r="H155" s="45" t="n">
        <f aca="false">IF(OR($A155="",$W155=0),0,INDEX(仪器设备工时分配表!$R$6:$R$245,$W155))</f>
        <v>0</v>
      </c>
      <c r="I155" s="28" t="str">
        <f aca="false">IF(OR($A155="",$G155=0),"",$H155/$G155)</f>
        <v/>
      </c>
      <c r="J155" s="27" t="str">
        <f aca="false">IF(OR($A155="",$G155=0),"",ROUND($F155*INDEX(仪器设备工时分配表!$H$6:$H$245,$W155)/$G155,2))</f>
        <v/>
      </c>
      <c r="K155" s="27" t="str">
        <f aca="false">IF(OR($A155="",$G155=0),"",ROUND($F155*INDEX(仪器设备工时分配表!$I$6:$I$245,$W155)/$G155,2))</f>
        <v/>
      </c>
      <c r="L155" s="27" t="str">
        <f aca="false">IF(OR($A155="",$G155=0),"",ROUND($F155*INDEX(仪器设备工时分配表!$J$6:$J$245,$W155)/$G155,2))</f>
        <v/>
      </c>
      <c r="M155" s="27" t="str">
        <f aca="false">IF(OR($A155="",$G155=0),"",ROUND($F155*INDEX(仪器设备工时分配表!$K$6:$K$245,$W155)/$G155,2))</f>
        <v/>
      </c>
      <c r="N155" s="27" t="str">
        <f aca="false">IF(OR($A155="",$G155=0),"",ROUND($F155*INDEX(仪器设备工时分配表!$L$6:$L$245,$W155)/$G155,2))</f>
        <v/>
      </c>
      <c r="O155" s="27" t="str">
        <f aca="false">IF(OR($A155="",$G155=0),"",ROUND($F155*INDEX(仪器设备工时分配表!$M$6:$M$245,$W155)/$G155,2))</f>
        <v/>
      </c>
      <c r="P155" s="27" t="str">
        <f aca="false">IF(OR($A155="",$G155=0),"",ROUND($F155*INDEX(仪器设备工时分配表!$N$6:$N$245,$W155)/$G155,2))</f>
        <v/>
      </c>
      <c r="Q155" s="27" t="str">
        <f aca="false">IF(OR($A155="",$G155=0),"",ROUND($F155*INDEX(仪器设备工时分配表!$O$6:$O$245,$W155)/$G155,2))</f>
        <v/>
      </c>
      <c r="R155" s="27" t="str">
        <f aca="false">IF(OR($A155="",$G155=0),"",ROUND($F155*INDEX(仪器设备工时分配表!$P$6:$P$245,$W155)/$G155,2))</f>
        <v/>
      </c>
      <c r="S155" s="27" t="str">
        <f aca="false">IF(OR($A155="",$G155=0),"",ROUND($F155*INDEX(仪器设备工时分配表!$Q$6:$Q$245,$W155)/$G155,2))</f>
        <v/>
      </c>
      <c r="T155" s="27" t="str">
        <f aca="false">IF($A155="","",ROUND(SUM(J155:S155),2))</f>
        <v/>
      </c>
      <c r="U155" s="27" t="str">
        <f aca="false">IF($A155="","",ROUND($F155-T155,2))</f>
        <v/>
      </c>
      <c r="V155" s="43" t="str">
        <f aca="false">IF($A155="","",IF($D155="无形资产","⚠ 无形资产请在无形资产费用分配表登记",IF($W155=0,"⚠ 工时分配表无此资产当月记录",IF($X155&gt;1,"⚠ 工时分配表存在重复行","√ 正常"))))</f>
        <v/>
      </c>
      <c r="W155" s="47" t="n">
        <f aca="false">IF($A155="",0,IFERROR(MATCH($A155&amp;"|"&amp;$B155,仪器设备工时分配表!$V$6:$V$245,0),0))</f>
        <v>0</v>
      </c>
      <c r="X155" s="47" t="n">
        <f aca="false">IF($A155="",0,COUNTIFS(仪器设备工时分配表!$A$6:$A$245,$A155,仪器设备工时分配表!$B$6:$B$245,$B155))</f>
        <v>0</v>
      </c>
    </row>
    <row r="156" customFormat="false" ht="18" hidden="false" customHeight="true" outlineLevel="0" collapsed="false">
      <c r="A156" s="36"/>
      <c r="B156" s="36"/>
      <c r="C156" s="48" t="str">
        <f aca="false">IF($B156="","",IFERROR(VLOOKUP($B156,资产台账!$B$4:$N$53,2,0)&amp;"","台账中未登记"))</f>
        <v/>
      </c>
      <c r="D156" s="43" t="str">
        <f aca="false">IF($B156="","",IFERROR(VLOOKUP($B156,资产台账!$B$4:$N$53,3,0)&amp;"",""))</f>
        <v/>
      </c>
      <c r="E156" s="43" t="str">
        <f aca="false">IF($B156="","",IFERROR(VLOOKUP($B156,资产台账!$B$4:$N$53,10,0)&amp;"",""))</f>
        <v/>
      </c>
      <c r="F156" s="49" t="str">
        <f aca="false">IF($B156="","",IFERROR(VLOOKUP($B156,资产台账!$B$4:$N$53,9,0),0))</f>
        <v/>
      </c>
      <c r="G156" s="45" t="n">
        <f aca="false">IF(OR($A156="",$W156=0),0,INDEX(仪器设备工时分配表!$F$6:$F$245,$W156))</f>
        <v>0</v>
      </c>
      <c r="H156" s="45" t="n">
        <f aca="false">IF(OR($A156="",$W156=0),0,INDEX(仪器设备工时分配表!$R$6:$R$245,$W156))</f>
        <v>0</v>
      </c>
      <c r="I156" s="28" t="str">
        <f aca="false">IF(OR($A156="",$G156=0),"",$H156/$G156)</f>
        <v/>
      </c>
      <c r="J156" s="27" t="str">
        <f aca="false">IF(OR($A156="",$G156=0),"",ROUND($F156*INDEX(仪器设备工时分配表!$H$6:$H$245,$W156)/$G156,2))</f>
        <v/>
      </c>
      <c r="K156" s="27" t="str">
        <f aca="false">IF(OR($A156="",$G156=0),"",ROUND($F156*INDEX(仪器设备工时分配表!$I$6:$I$245,$W156)/$G156,2))</f>
        <v/>
      </c>
      <c r="L156" s="27" t="str">
        <f aca="false">IF(OR($A156="",$G156=0),"",ROUND($F156*INDEX(仪器设备工时分配表!$J$6:$J$245,$W156)/$G156,2))</f>
        <v/>
      </c>
      <c r="M156" s="27" t="str">
        <f aca="false">IF(OR($A156="",$G156=0),"",ROUND($F156*INDEX(仪器设备工时分配表!$K$6:$K$245,$W156)/$G156,2))</f>
        <v/>
      </c>
      <c r="N156" s="27" t="str">
        <f aca="false">IF(OR($A156="",$G156=0),"",ROUND($F156*INDEX(仪器设备工时分配表!$L$6:$L$245,$W156)/$G156,2))</f>
        <v/>
      </c>
      <c r="O156" s="27" t="str">
        <f aca="false">IF(OR($A156="",$G156=0),"",ROUND($F156*INDEX(仪器设备工时分配表!$M$6:$M$245,$W156)/$G156,2))</f>
        <v/>
      </c>
      <c r="P156" s="27" t="str">
        <f aca="false">IF(OR($A156="",$G156=0),"",ROUND($F156*INDEX(仪器设备工时分配表!$N$6:$N$245,$W156)/$G156,2))</f>
        <v/>
      </c>
      <c r="Q156" s="27" t="str">
        <f aca="false">IF(OR($A156="",$G156=0),"",ROUND($F156*INDEX(仪器设备工时分配表!$O$6:$O$245,$W156)/$G156,2))</f>
        <v/>
      </c>
      <c r="R156" s="27" t="str">
        <f aca="false">IF(OR($A156="",$G156=0),"",ROUND($F156*INDEX(仪器设备工时分配表!$P$6:$P$245,$W156)/$G156,2))</f>
        <v/>
      </c>
      <c r="S156" s="27" t="str">
        <f aca="false">IF(OR($A156="",$G156=0),"",ROUND($F156*INDEX(仪器设备工时分配表!$Q$6:$Q$245,$W156)/$G156,2))</f>
        <v/>
      </c>
      <c r="T156" s="27" t="str">
        <f aca="false">IF($A156="","",ROUND(SUM(J156:S156),2))</f>
        <v/>
      </c>
      <c r="U156" s="27" t="str">
        <f aca="false">IF($A156="","",ROUND($F156-T156,2))</f>
        <v/>
      </c>
      <c r="V156" s="43" t="str">
        <f aca="false">IF($A156="","",IF($D156="无形资产","⚠ 无形资产请在无形资产费用分配表登记",IF($W156=0,"⚠ 工时分配表无此资产当月记录",IF($X156&gt;1,"⚠ 工时分配表存在重复行","√ 正常"))))</f>
        <v/>
      </c>
      <c r="W156" s="47" t="n">
        <f aca="false">IF($A156="",0,IFERROR(MATCH($A156&amp;"|"&amp;$B156,仪器设备工时分配表!$V$6:$V$245,0),0))</f>
        <v>0</v>
      </c>
      <c r="X156" s="47" t="n">
        <f aca="false">IF($A156="",0,COUNTIFS(仪器设备工时分配表!$A$6:$A$245,$A156,仪器设备工时分配表!$B$6:$B$245,$B156))</f>
        <v>0</v>
      </c>
    </row>
    <row r="157" customFormat="false" ht="18" hidden="false" customHeight="true" outlineLevel="0" collapsed="false">
      <c r="A157" s="36"/>
      <c r="B157" s="36"/>
      <c r="C157" s="48" t="str">
        <f aca="false">IF($B157="","",IFERROR(VLOOKUP($B157,资产台账!$B$4:$N$53,2,0)&amp;"","台账中未登记"))</f>
        <v/>
      </c>
      <c r="D157" s="43" t="str">
        <f aca="false">IF($B157="","",IFERROR(VLOOKUP($B157,资产台账!$B$4:$N$53,3,0)&amp;"",""))</f>
        <v/>
      </c>
      <c r="E157" s="43" t="str">
        <f aca="false">IF($B157="","",IFERROR(VLOOKUP($B157,资产台账!$B$4:$N$53,10,0)&amp;"",""))</f>
        <v/>
      </c>
      <c r="F157" s="49" t="str">
        <f aca="false">IF($B157="","",IFERROR(VLOOKUP($B157,资产台账!$B$4:$N$53,9,0),0))</f>
        <v/>
      </c>
      <c r="G157" s="45" t="n">
        <f aca="false">IF(OR($A157="",$W157=0),0,INDEX(仪器设备工时分配表!$F$6:$F$245,$W157))</f>
        <v>0</v>
      </c>
      <c r="H157" s="45" t="n">
        <f aca="false">IF(OR($A157="",$W157=0),0,INDEX(仪器设备工时分配表!$R$6:$R$245,$W157))</f>
        <v>0</v>
      </c>
      <c r="I157" s="28" t="str">
        <f aca="false">IF(OR($A157="",$G157=0),"",$H157/$G157)</f>
        <v/>
      </c>
      <c r="J157" s="27" t="str">
        <f aca="false">IF(OR($A157="",$G157=0),"",ROUND($F157*INDEX(仪器设备工时分配表!$H$6:$H$245,$W157)/$G157,2))</f>
        <v/>
      </c>
      <c r="K157" s="27" t="str">
        <f aca="false">IF(OR($A157="",$G157=0),"",ROUND($F157*INDEX(仪器设备工时分配表!$I$6:$I$245,$W157)/$G157,2))</f>
        <v/>
      </c>
      <c r="L157" s="27" t="str">
        <f aca="false">IF(OR($A157="",$G157=0),"",ROUND($F157*INDEX(仪器设备工时分配表!$J$6:$J$245,$W157)/$G157,2))</f>
        <v/>
      </c>
      <c r="M157" s="27" t="str">
        <f aca="false">IF(OR($A157="",$G157=0),"",ROUND($F157*INDEX(仪器设备工时分配表!$K$6:$K$245,$W157)/$G157,2))</f>
        <v/>
      </c>
      <c r="N157" s="27" t="str">
        <f aca="false">IF(OR($A157="",$G157=0),"",ROUND($F157*INDEX(仪器设备工时分配表!$L$6:$L$245,$W157)/$G157,2))</f>
        <v/>
      </c>
      <c r="O157" s="27" t="str">
        <f aca="false">IF(OR($A157="",$G157=0),"",ROUND($F157*INDEX(仪器设备工时分配表!$M$6:$M$245,$W157)/$G157,2))</f>
        <v/>
      </c>
      <c r="P157" s="27" t="str">
        <f aca="false">IF(OR($A157="",$G157=0),"",ROUND($F157*INDEX(仪器设备工时分配表!$N$6:$N$245,$W157)/$G157,2))</f>
        <v/>
      </c>
      <c r="Q157" s="27" t="str">
        <f aca="false">IF(OR($A157="",$G157=0),"",ROUND($F157*INDEX(仪器设备工时分配表!$O$6:$O$245,$W157)/$G157,2))</f>
        <v/>
      </c>
      <c r="R157" s="27" t="str">
        <f aca="false">IF(OR($A157="",$G157=0),"",ROUND($F157*INDEX(仪器设备工时分配表!$P$6:$P$245,$W157)/$G157,2))</f>
        <v/>
      </c>
      <c r="S157" s="27" t="str">
        <f aca="false">IF(OR($A157="",$G157=0),"",ROUND($F157*INDEX(仪器设备工时分配表!$Q$6:$Q$245,$W157)/$G157,2))</f>
        <v/>
      </c>
      <c r="T157" s="27" t="str">
        <f aca="false">IF($A157="","",ROUND(SUM(J157:S157),2))</f>
        <v/>
      </c>
      <c r="U157" s="27" t="str">
        <f aca="false">IF($A157="","",ROUND($F157-T157,2))</f>
        <v/>
      </c>
      <c r="V157" s="43" t="str">
        <f aca="false">IF($A157="","",IF($D157="无形资产","⚠ 无形资产请在无形资产费用分配表登记",IF($W157=0,"⚠ 工时分配表无此资产当月记录",IF($X157&gt;1,"⚠ 工时分配表存在重复行","√ 正常"))))</f>
        <v/>
      </c>
      <c r="W157" s="47" t="n">
        <f aca="false">IF($A157="",0,IFERROR(MATCH($A157&amp;"|"&amp;$B157,仪器设备工时分配表!$V$6:$V$245,0),0))</f>
        <v>0</v>
      </c>
      <c r="X157" s="47" t="n">
        <f aca="false">IF($A157="",0,COUNTIFS(仪器设备工时分配表!$A$6:$A$245,$A157,仪器设备工时分配表!$B$6:$B$245,$B157))</f>
        <v>0</v>
      </c>
    </row>
    <row r="158" customFormat="false" ht="18" hidden="false" customHeight="true" outlineLevel="0" collapsed="false">
      <c r="A158" s="36"/>
      <c r="B158" s="36"/>
      <c r="C158" s="48" t="str">
        <f aca="false">IF($B158="","",IFERROR(VLOOKUP($B158,资产台账!$B$4:$N$53,2,0)&amp;"","台账中未登记"))</f>
        <v/>
      </c>
      <c r="D158" s="43" t="str">
        <f aca="false">IF($B158="","",IFERROR(VLOOKUP($B158,资产台账!$B$4:$N$53,3,0)&amp;"",""))</f>
        <v/>
      </c>
      <c r="E158" s="43" t="str">
        <f aca="false">IF($B158="","",IFERROR(VLOOKUP($B158,资产台账!$B$4:$N$53,10,0)&amp;"",""))</f>
        <v/>
      </c>
      <c r="F158" s="49" t="str">
        <f aca="false">IF($B158="","",IFERROR(VLOOKUP($B158,资产台账!$B$4:$N$53,9,0),0))</f>
        <v/>
      </c>
      <c r="G158" s="45" t="n">
        <f aca="false">IF(OR($A158="",$W158=0),0,INDEX(仪器设备工时分配表!$F$6:$F$245,$W158))</f>
        <v>0</v>
      </c>
      <c r="H158" s="45" t="n">
        <f aca="false">IF(OR($A158="",$W158=0),0,INDEX(仪器设备工时分配表!$R$6:$R$245,$W158))</f>
        <v>0</v>
      </c>
      <c r="I158" s="28" t="str">
        <f aca="false">IF(OR($A158="",$G158=0),"",$H158/$G158)</f>
        <v/>
      </c>
      <c r="J158" s="27" t="str">
        <f aca="false">IF(OR($A158="",$G158=0),"",ROUND($F158*INDEX(仪器设备工时分配表!$H$6:$H$245,$W158)/$G158,2))</f>
        <v/>
      </c>
      <c r="K158" s="27" t="str">
        <f aca="false">IF(OR($A158="",$G158=0),"",ROUND($F158*INDEX(仪器设备工时分配表!$I$6:$I$245,$W158)/$G158,2))</f>
        <v/>
      </c>
      <c r="L158" s="27" t="str">
        <f aca="false">IF(OR($A158="",$G158=0),"",ROUND($F158*INDEX(仪器设备工时分配表!$J$6:$J$245,$W158)/$G158,2))</f>
        <v/>
      </c>
      <c r="M158" s="27" t="str">
        <f aca="false">IF(OR($A158="",$G158=0),"",ROUND($F158*INDEX(仪器设备工时分配表!$K$6:$K$245,$W158)/$G158,2))</f>
        <v/>
      </c>
      <c r="N158" s="27" t="str">
        <f aca="false">IF(OR($A158="",$G158=0),"",ROUND($F158*INDEX(仪器设备工时分配表!$L$6:$L$245,$W158)/$G158,2))</f>
        <v/>
      </c>
      <c r="O158" s="27" t="str">
        <f aca="false">IF(OR($A158="",$G158=0),"",ROUND($F158*INDEX(仪器设备工时分配表!$M$6:$M$245,$W158)/$G158,2))</f>
        <v/>
      </c>
      <c r="P158" s="27" t="str">
        <f aca="false">IF(OR($A158="",$G158=0),"",ROUND($F158*INDEX(仪器设备工时分配表!$N$6:$N$245,$W158)/$G158,2))</f>
        <v/>
      </c>
      <c r="Q158" s="27" t="str">
        <f aca="false">IF(OR($A158="",$G158=0),"",ROUND($F158*INDEX(仪器设备工时分配表!$O$6:$O$245,$W158)/$G158,2))</f>
        <v/>
      </c>
      <c r="R158" s="27" t="str">
        <f aca="false">IF(OR($A158="",$G158=0),"",ROUND($F158*INDEX(仪器设备工时分配表!$P$6:$P$245,$W158)/$G158,2))</f>
        <v/>
      </c>
      <c r="S158" s="27" t="str">
        <f aca="false">IF(OR($A158="",$G158=0),"",ROUND($F158*INDEX(仪器设备工时分配表!$Q$6:$Q$245,$W158)/$G158,2))</f>
        <v/>
      </c>
      <c r="T158" s="27" t="str">
        <f aca="false">IF($A158="","",ROUND(SUM(J158:S158),2))</f>
        <v/>
      </c>
      <c r="U158" s="27" t="str">
        <f aca="false">IF($A158="","",ROUND($F158-T158,2))</f>
        <v/>
      </c>
      <c r="V158" s="43" t="str">
        <f aca="false">IF($A158="","",IF($D158="无形资产","⚠ 无形资产请在无形资产费用分配表登记",IF($W158=0,"⚠ 工时分配表无此资产当月记录",IF($X158&gt;1,"⚠ 工时分配表存在重复行","√ 正常"))))</f>
        <v/>
      </c>
      <c r="W158" s="47" t="n">
        <f aca="false">IF($A158="",0,IFERROR(MATCH($A158&amp;"|"&amp;$B158,仪器设备工时分配表!$V$6:$V$245,0),0))</f>
        <v>0</v>
      </c>
      <c r="X158" s="47" t="n">
        <f aca="false">IF($A158="",0,COUNTIFS(仪器设备工时分配表!$A$6:$A$245,$A158,仪器设备工时分配表!$B$6:$B$245,$B158))</f>
        <v>0</v>
      </c>
    </row>
    <row r="159" customFormat="false" ht="18" hidden="false" customHeight="true" outlineLevel="0" collapsed="false">
      <c r="A159" s="36"/>
      <c r="B159" s="36"/>
      <c r="C159" s="48" t="str">
        <f aca="false">IF($B159="","",IFERROR(VLOOKUP($B159,资产台账!$B$4:$N$53,2,0)&amp;"","台账中未登记"))</f>
        <v/>
      </c>
      <c r="D159" s="43" t="str">
        <f aca="false">IF($B159="","",IFERROR(VLOOKUP($B159,资产台账!$B$4:$N$53,3,0)&amp;"",""))</f>
        <v/>
      </c>
      <c r="E159" s="43" t="str">
        <f aca="false">IF($B159="","",IFERROR(VLOOKUP($B159,资产台账!$B$4:$N$53,10,0)&amp;"",""))</f>
        <v/>
      </c>
      <c r="F159" s="49" t="str">
        <f aca="false">IF($B159="","",IFERROR(VLOOKUP($B159,资产台账!$B$4:$N$53,9,0),0))</f>
        <v/>
      </c>
      <c r="G159" s="45" t="n">
        <f aca="false">IF(OR($A159="",$W159=0),0,INDEX(仪器设备工时分配表!$F$6:$F$245,$W159))</f>
        <v>0</v>
      </c>
      <c r="H159" s="45" t="n">
        <f aca="false">IF(OR($A159="",$W159=0),0,INDEX(仪器设备工时分配表!$R$6:$R$245,$W159))</f>
        <v>0</v>
      </c>
      <c r="I159" s="28" t="str">
        <f aca="false">IF(OR($A159="",$G159=0),"",$H159/$G159)</f>
        <v/>
      </c>
      <c r="J159" s="27" t="str">
        <f aca="false">IF(OR($A159="",$G159=0),"",ROUND($F159*INDEX(仪器设备工时分配表!$H$6:$H$245,$W159)/$G159,2))</f>
        <v/>
      </c>
      <c r="K159" s="27" t="str">
        <f aca="false">IF(OR($A159="",$G159=0),"",ROUND($F159*INDEX(仪器设备工时分配表!$I$6:$I$245,$W159)/$G159,2))</f>
        <v/>
      </c>
      <c r="L159" s="27" t="str">
        <f aca="false">IF(OR($A159="",$G159=0),"",ROUND($F159*INDEX(仪器设备工时分配表!$J$6:$J$245,$W159)/$G159,2))</f>
        <v/>
      </c>
      <c r="M159" s="27" t="str">
        <f aca="false">IF(OR($A159="",$G159=0),"",ROUND($F159*INDEX(仪器设备工时分配表!$K$6:$K$245,$W159)/$G159,2))</f>
        <v/>
      </c>
      <c r="N159" s="27" t="str">
        <f aca="false">IF(OR($A159="",$G159=0),"",ROUND($F159*INDEX(仪器设备工时分配表!$L$6:$L$245,$W159)/$G159,2))</f>
        <v/>
      </c>
      <c r="O159" s="27" t="str">
        <f aca="false">IF(OR($A159="",$G159=0),"",ROUND($F159*INDEX(仪器设备工时分配表!$M$6:$M$245,$W159)/$G159,2))</f>
        <v/>
      </c>
      <c r="P159" s="27" t="str">
        <f aca="false">IF(OR($A159="",$G159=0),"",ROUND($F159*INDEX(仪器设备工时分配表!$N$6:$N$245,$W159)/$G159,2))</f>
        <v/>
      </c>
      <c r="Q159" s="27" t="str">
        <f aca="false">IF(OR($A159="",$G159=0),"",ROUND($F159*INDEX(仪器设备工时分配表!$O$6:$O$245,$W159)/$G159,2))</f>
        <v/>
      </c>
      <c r="R159" s="27" t="str">
        <f aca="false">IF(OR($A159="",$G159=0),"",ROUND($F159*INDEX(仪器设备工时分配表!$P$6:$P$245,$W159)/$G159,2))</f>
        <v/>
      </c>
      <c r="S159" s="27" t="str">
        <f aca="false">IF(OR($A159="",$G159=0),"",ROUND($F159*INDEX(仪器设备工时分配表!$Q$6:$Q$245,$W159)/$G159,2))</f>
        <v/>
      </c>
      <c r="T159" s="27" t="str">
        <f aca="false">IF($A159="","",ROUND(SUM(J159:S159),2))</f>
        <v/>
      </c>
      <c r="U159" s="27" t="str">
        <f aca="false">IF($A159="","",ROUND($F159-T159,2))</f>
        <v/>
      </c>
      <c r="V159" s="43" t="str">
        <f aca="false">IF($A159="","",IF($D159="无形资产","⚠ 无形资产请在无形资产费用分配表登记",IF($W159=0,"⚠ 工时分配表无此资产当月记录",IF($X159&gt;1,"⚠ 工时分配表存在重复行","√ 正常"))))</f>
        <v/>
      </c>
      <c r="W159" s="47" t="n">
        <f aca="false">IF($A159="",0,IFERROR(MATCH($A159&amp;"|"&amp;$B159,仪器设备工时分配表!$V$6:$V$245,0),0))</f>
        <v>0</v>
      </c>
      <c r="X159" s="47" t="n">
        <f aca="false">IF($A159="",0,COUNTIFS(仪器设备工时分配表!$A$6:$A$245,$A159,仪器设备工时分配表!$B$6:$B$245,$B159))</f>
        <v>0</v>
      </c>
    </row>
    <row r="160" customFormat="false" ht="18" hidden="false" customHeight="true" outlineLevel="0" collapsed="false">
      <c r="A160" s="36"/>
      <c r="B160" s="36"/>
      <c r="C160" s="48" t="str">
        <f aca="false">IF($B160="","",IFERROR(VLOOKUP($B160,资产台账!$B$4:$N$53,2,0)&amp;"","台账中未登记"))</f>
        <v/>
      </c>
      <c r="D160" s="43" t="str">
        <f aca="false">IF($B160="","",IFERROR(VLOOKUP($B160,资产台账!$B$4:$N$53,3,0)&amp;"",""))</f>
        <v/>
      </c>
      <c r="E160" s="43" t="str">
        <f aca="false">IF($B160="","",IFERROR(VLOOKUP($B160,资产台账!$B$4:$N$53,10,0)&amp;"",""))</f>
        <v/>
      </c>
      <c r="F160" s="49" t="str">
        <f aca="false">IF($B160="","",IFERROR(VLOOKUP($B160,资产台账!$B$4:$N$53,9,0),0))</f>
        <v/>
      </c>
      <c r="G160" s="45" t="n">
        <f aca="false">IF(OR($A160="",$W160=0),0,INDEX(仪器设备工时分配表!$F$6:$F$245,$W160))</f>
        <v>0</v>
      </c>
      <c r="H160" s="45" t="n">
        <f aca="false">IF(OR($A160="",$W160=0),0,INDEX(仪器设备工时分配表!$R$6:$R$245,$W160))</f>
        <v>0</v>
      </c>
      <c r="I160" s="28" t="str">
        <f aca="false">IF(OR($A160="",$G160=0),"",$H160/$G160)</f>
        <v/>
      </c>
      <c r="J160" s="27" t="str">
        <f aca="false">IF(OR($A160="",$G160=0),"",ROUND($F160*INDEX(仪器设备工时分配表!$H$6:$H$245,$W160)/$G160,2))</f>
        <v/>
      </c>
      <c r="K160" s="27" t="str">
        <f aca="false">IF(OR($A160="",$G160=0),"",ROUND($F160*INDEX(仪器设备工时分配表!$I$6:$I$245,$W160)/$G160,2))</f>
        <v/>
      </c>
      <c r="L160" s="27" t="str">
        <f aca="false">IF(OR($A160="",$G160=0),"",ROUND($F160*INDEX(仪器设备工时分配表!$J$6:$J$245,$W160)/$G160,2))</f>
        <v/>
      </c>
      <c r="M160" s="27" t="str">
        <f aca="false">IF(OR($A160="",$G160=0),"",ROUND($F160*INDEX(仪器设备工时分配表!$K$6:$K$245,$W160)/$G160,2))</f>
        <v/>
      </c>
      <c r="N160" s="27" t="str">
        <f aca="false">IF(OR($A160="",$G160=0),"",ROUND($F160*INDEX(仪器设备工时分配表!$L$6:$L$245,$W160)/$G160,2))</f>
        <v/>
      </c>
      <c r="O160" s="27" t="str">
        <f aca="false">IF(OR($A160="",$G160=0),"",ROUND($F160*INDEX(仪器设备工时分配表!$M$6:$M$245,$W160)/$G160,2))</f>
        <v/>
      </c>
      <c r="P160" s="27" t="str">
        <f aca="false">IF(OR($A160="",$G160=0),"",ROUND($F160*INDEX(仪器设备工时分配表!$N$6:$N$245,$W160)/$G160,2))</f>
        <v/>
      </c>
      <c r="Q160" s="27" t="str">
        <f aca="false">IF(OR($A160="",$G160=0),"",ROUND($F160*INDEX(仪器设备工时分配表!$O$6:$O$245,$W160)/$G160,2))</f>
        <v/>
      </c>
      <c r="R160" s="27" t="str">
        <f aca="false">IF(OR($A160="",$G160=0),"",ROUND($F160*INDEX(仪器设备工时分配表!$P$6:$P$245,$W160)/$G160,2))</f>
        <v/>
      </c>
      <c r="S160" s="27" t="str">
        <f aca="false">IF(OR($A160="",$G160=0),"",ROUND($F160*INDEX(仪器设备工时分配表!$Q$6:$Q$245,$W160)/$G160,2))</f>
        <v/>
      </c>
      <c r="T160" s="27" t="str">
        <f aca="false">IF($A160="","",ROUND(SUM(J160:S160),2))</f>
        <v/>
      </c>
      <c r="U160" s="27" t="str">
        <f aca="false">IF($A160="","",ROUND($F160-T160,2))</f>
        <v/>
      </c>
      <c r="V160" s="43" t="str">
        <f aca="false">IF($A160="","",IF($D160="无形资产","⚠ 无形资产请在无形资产费用分配表登记",IF($W160=0,"⚠ 工时分配表无此资产当月记录",IF($X160&gt;1,"⚠ 工时分配表存在重复行","√ 正常"))))</f>
        <v/>
      </c>
      <c r="W160" s="47" t="n">
        <f aca="false">IF($A160="",0,IFERROR(MATCH($A160&amp;"|"&amp;$B160,仪器设备工时分配表!$V$6:$V$245,0),0))</f>
        <v>0</v>
      </c>
      <c r="X160" s="47" t="n">
        <f aca="false">IF($A160="",0,COUNTIFS(仪器设备工时分配表!$A$6:$A$245,$A160,仪器设备工时分配表!$B$6:$B$245,$B160))</f>
        <v>0</v>
      </c>
    </row>
    <row r="161" customFormat="false" ht="18" hidden="false" customHeight="true" outlineLevel="0" collapsed="false">
      <c r="A161" s="36"/>
      <c r="B161" s="36"/>
      <c r="C161" s="48" t="str">
        <f aca="false">IF($B161="","",IFERROR(VLOOKUP($B161,资产台账!$B$4:$N$53,2,0)&amp;"","台账中未登记"))</f>
        <v/>
      </c>
      <c r="D161" s="43" t="str">
        <f aca="false">IF($B161="","",IFERROR(VLOOKUP($B161,资产台账!$B$4:$N$53,3,0)&amp;"",""))</f>
        <v/>
      </c>
      <c r="E161" s="43" t="str">
        <f aca="false">IF($B161="","",IFERROR(VLOOKUP($B161,资产台账!$B$4:$N$53,10,0)&amp;"",""))</f>
        <v/>
      </c>
      <c r="F161" s="49" t="str">
        <f aca="false">IF($B161="","",IFERROR(VLOOKUP($B161,资产台账!$B$4:$N$53,9,0),0))</f>
        <v/>
      </c>
      <c r="G161" s="45" t="n">
        <f aca="false">IF(OR($A161="",$W161=0),0,INDEX(仪器设备工时分配表!$F$6:$F$245,$W161))</f>
        <v>0</v>
      </c>
      <c r="H161" s="45" t="n">
        <f aca="false">IF(OR($A161="",$W161=0),0,INDEX(仪器设备工时分配表!$R$6:$R$245,$W161))</f>
        <v>0</v>
      </c>
      <c r="I161" s="28" t="str">
        <f aca="false">IF(OR($A161="",$G161=0),"",$H161/$G161)</f>
        <v/>
      </c>
      <c r="J161" s="27" t="str">
        <f aca="false">IF(OR($A161="",$G161=0),"",ROUND($F161*INDEX(仪器设备工时分配表!$H$6:$H$245,$W161)/$G161,2))</f>
        <v/>
      </c>
      <c r="K161" s="27" t="str">
        <f aca="false">IF(OR($A161="",$G161=0),"",ROUND($F161*INDEX(仪器设备工时分配表!$I$6:$I$245,$W161)/$G161,2))</f>
        <v/>
      </c>
      <c r="L161" s="27" t="str">
        <f aca="false">IF(OR($A161="",$G161=0),"",ROUND($F161*INDEX(仪器设备工时分配表!$J$6:$J$245,$W161)/$G161,2))</f>
        <v/>
      </c>
      <c r="M161" s="27" t="str">
        <f aca="false">IF(OR($A161="",$G161=0),"",ROUND($F161*INDEX(仪器设备工时分配表!$K$6:$K$245,$W161)/$G161,2))</f>
        <v/>
      </c>
      <c r="N161" s="27" t="str">
        <f aca="false">IF(OR($A161="",$G161=0),"",ROUND($F161*INDEX(仪器设备工时分配表!$L$6:$L$245,$W161)/$G161,2))</f>
        <v/>
      </c>
      <c r="O161" s="27" t="str">
        <f aca="false">IF(OR($A161="",$G161=0),"",ROUND($F161*INDEX(仪器设备工时分配表!$M$6:$M$245,$W161)/$G161,2))</f>
        <v/>
      </c>
      <c r="P161" s="27" t="str">
        <f aca="false">IF(OR($A161="",$G161=0),"",ROUND($F161*INDEX(仪器设备工时分配表!$N$6:$N$245,$W161)/$G161,2))</f>
        <v/>
      </c>
      <c r="Q161" s="27" t="str">
        <f aca="false">IF(OR($A161="",$G161=0),"",ROUND($F161*INDEX(仪器设备工时分配表!$O$6:$O$245,$W161)/$G161,2))</f>
        <v/>
      </c>
      <c r="R161" s="27" t="str">
        <f aca="false">IF(OR($A161="",$G161=0),"",ROUND($F161*INDEX(仪器设备工时分配表!$P$6:$P$245,$W161)/$G161,2))</f>
        <v/>
      </c>
      <c r="S161" s="27" t="str">
        <f aca="false">IF(OR($A161="",$G161=0),"",ROUND($F161*INDEX(仪器设备工时分配表!$Q$6:$Q$245,$W161)/$G161,2))</f>
        <v/>
      </c>
      <c r="T161" s="27" t="str">
        <f aca="false">IF($A161="","",ROUND(SUM(J161:S161),2))</f>
        <v/>
      </c>
      <c r="U161" s="27" t="str">
        <f aca="false">IF($A161="","",ROUND($F161-T161,2))</f>
        <v/>
      </c>
      <c r="V161" s="43" t="str">
        <f aca="false">IF($A161="","",IF($D161="无形资产","⚠ 无形资产请在无形资产费用分配表登记",IF($W161=0,"⚠ 工时分配表无此资产当月记录",IF($X161&gt;1,"⚠ 工时分配表存在重复行","√ 正常"))))</f>
        <v/>
      </c>
      <c r="W161" s="47" t="n">
        <f aca="false">IF($A161="",0,IFERROR(MATCH($A161&amp;"|"&amp;$B161,仪器设备工时分配表!$V$6:$V$245,0),0))</f>
        <v>0</v>
      </c>
      <c r="X161" s="47" t="n">
        <f aca="false">IF($A161="",0,COUNTIFS(仪器设备工时分配表!$A$6:$A$245,$A161,仪器设备工时分配表!$B$6:$B$245,$B161))</f>
        <v>0</v>
      </c>
    </row>
    <row r="162" customFormat="false" ht="18" hidden="false" customHeight="true" outlineLevel="0" collapsed="false">
      <c r="A162" s="36"/>
      <c r="B162" s="36"/>
      <c r="C162" s="48" t="str">
        <f aca="false">IF($B162="","",IFERROR(VLOOKUP($B162,资产台账!$B$4:$N$53,2,0)&amp;"","台账中未登记"))</f>
        <v/>
      </c>
      <c r="D162" s="43" t="str">
        <f aca="false">IF($B162="","",IFERROR(VLOOKUP($B162,资产台账!$B$4:$N$53,3,0)&amp;"",""))</f>
        <v/>
      </c>
      <c r="E162" s="43" t="str">
        <f aca="false">IF($B162="","",IFERROR(VLOOKUP($B162,资产台账!$B$4:$N$53,10,0)&amp;"",""))</f>
        <v/>
      </c>
      <c r="F162" s="49" t="str">
        <f aca="false">IF($B162="","",IFERROR(VLOOKUP($B162,资产台账!$B$4:$N$53,9,0),0))</f>
        <v/>
      </c>
      <c r="G162" s="45" t="n">
        <f aca="false">IF(OR($A162="",$W162=0),0,INDEX(仪器设备工时分配表!$F$6:$F$245,$W162))</f>
        <v>0</v>
      </c>
      <c r="H162" s="45" t="n">
        <f aca="false">IF(OR($A162="",$W162=0),0,INDEX(仪器设备工时分配表!$R$6:$R$245,$W162))</f>
        <v>0</v>
      </c>
      <c r="I162" s="28" t="str">
        <f aca="false">IF(OR($A162="",$G162=0),"",$H162/$G162)</f>
        <v/>
      </c>
      <c r="J162" s="27" t="str">
        <f aca="false">IF(OR($A162="",$G162=0),"",ROUND($F162*INDEX(仪器设备工时分配表!$H$6:$H$245,$W162)/$G162,2))</f>
        <v/>
      </c>
      <c r="K162" s="27" t="str">
        <f aca="false">IF(OR($A162="",$G162=0),"",ROUND($F162*INDEX(仪器设备工时分配表!$I$6:$I$245,$W162)/$G162,2))</f>
        <v/>
      </c>
      <c r="L162" s="27" t="str">
        <f aca="false">IF(OR($A162="",$G162=0),"",ROUND($F162*INDEX(仪器设备工时分配表!$J$6:$J$245,$W162)/$G162,2))</f>
        <v/>
      </c>
      <c r="M162" s="27" t="str">
        <f aca="false">IF(OR($A162="",$G162=0),"",ROUND($F162*INDEX(仪器设备工时分配表!$K$6:$K$245,$W162)/$G162,2))</f>
        <v/>
      </c>
      <c r="N162" s="27" t="str">
        <f aca="false">IF(OR($A162="",$G162=0),"",ROUND($F162*INDEX(仪器设备工时分配表!$L$6:$L$245,$W162)/$G162,2))</f>
        <v/>
      </c>
      <c r="O162" s="27" t="str">
        <f aca="false">IF(OR($A162="",$G162=0),"",ROUND($F162*INDEX(仪器设备工时分配表!$M$6:$M$245,$W162)/$G162,2))</f>
        <v/>
      </c>
      <c r="P162" s="27" t="str">
        <f aca="false">IF(OR($A162="",$G162=0),"",ROUND($F162*INDEX(仪器设备工时分配表!$N$6:$N$245,$W162)/$G162,2))</f>
        <v/>
      </c>
      <c r="Q162" s="27" t="str">
        <f aca="false">IF(OR($A162="",$G162=0),"",ROUND($F162*INDEX(仪器设备工时分配表!$O$6:$O$245,$W162)/$G162,2))</f>
        <v/>
      </c>
      <c r="R162" s="27" t="str">
        <f aca="false">IF(OR($A162="",$G162=0),"",ROUND($F162*INDEX(仪器设备工时分配表!$P$6:$P$245,$W162)/$G162,2))</f>
        <v/>
      </c>
      <c r="S162" s="27" t="str">
        <f aca="false">IF(OR($A162="",$G162=0),"",ROUND($F162*INDEX(仪器设备工时分配表!$Q$6:$Q$245,$W162)/$G162,2))</f>
        <v/>
      </c>
      <c r="T162" s="27" t="str">
        <f aca="false">IF($A162="","",ROUND(SUM(J162:S162),2))</f>
        <v/>
      </c>
      <c r="U162" s="27" t="str">
        <f aca="false">IF($A162="","",ROUND($F162-T162,2))</f>
        <v/>
      </c>
      <c r="V162" s="43" t="str">
        <f aca="false">IF($A162="","",IF($D162="无形资产","⚠ 无形资产请在无形资产费用分配表登记",IF($W162=0,"⚠ 工时分配表无此资产当月记录",IF($X162&gt;1,"⚠ 工时分配表存在重复行","√ 正常"))))</f>
        <v/>
      </c>
      <c r="W162" s="47" t="n">
        <f aca="false">IF($A162="",0,IFERROR(MATCH($A162&amp;"|"&amp;$B162,仪器设备工时分配表!$V$6:$V$245,0),0))</f>
        <v>0</v>
      </c>
      <c r="X162" s="47" t="n">
        <f aca="false">IF($A162="",0,COUNTIFS(仪器设备工时分配表!$A$6:$A$245,$A162,仪器设备工时分配表!$B$6:$B$245,$B162))</f>
        <v>0</v>
      </c>
    </row>
    <row r="163" customFormat="false" ht="18" hidden="false" customHeight="true" outlineLevel="0" collapsed="false">
      <c r="A163" s="36"/>
      <c r="B163" s="36"/>
      <c r="C163" s="48" t="str">
        <f aca="false">IF($B163="","",IFERROR(VLOOKUP($B163,资产台账!$B$4:$N$53,2,0)&amp;"","台账中未登记"))</f>
        <v/>
      </c>
      <c r="D163" s="43" t="str">
        <f aca="false">IF($B163="","",IFERROR(VLOOKUP($B163,资产台账!$B$4:$N$53,3,0)&amp;"",""))</f>
        <v/>
      </c>
      <c r="E163" s="43" t="str">
        <f aca="false">IF($B163="","",IFERROR(VLOOKUP($B163,资产台账!$B$4:$N$53,10,0)&amp;"",""))</f>
        <v/>
      </c>
      <c r="F163" s="49" t="str">
        <f aca="false">IF($B163="","",IFERROR(VLOOKUP($B163,资产台账!$B$4:$N$53,9,0),0))</f>
        <v/>
      </c>
      <c r="G163" s="45" t="n">
        <f aca="false">IF(OR($A163="",$W163=0),0,INDEX(仪器设备工时分配表!$F$6:$F$245,$W163))</f>
        <v>0</v>
      </c>
      <c r="H163" s="45" t="n">
        <f aca="false">IF(OR($A163="",$W163=0),0,INDEX(仪器设备工时分配表!$R$6:$R$245,$W163))</f>
        <v>0</v>
      </c>
      <c r="I163" s="28" t="str">
        <f aca="false">IF(OR($A163="",$G163=0),"",$H163/$G163)</f>
        <v/>
      </c>
      <c r="J163" s="27" t="str">
        <f aca="false">IF(OR($A163="",$G163=0),"",ROUND($F163*INDEX(仪器设备工时分配表!$H$6:$H$245,$W163)/$G163,2))</f>
        <v/>
      </c>
      <c r="K163" s="27" t="str">
        <f aca="false">IF(OR($A163="",$G163=0),"",ROUND($F163*INDEX(仪器设备工时分配表!$I$6:$I$245,$W163)/$G163,2))</f>
        <v/>
      </c>
      <c r="L163" s="27" t="str">
        <f aca="false">IF(OR($A163="",$G163=0),"",ROUND($F163*INDEX(仪器设备工时分配表!$J$6:$J$245,$W163)/$G163,2))</f>
        <v/>
      </c>
      <c r="M163" s="27" t="str">
        <f aca="false">IF(OR($A163="",$G163=0),"",ROUND($F163*INDEX(仪器设备工时分配表!$K$6:$K$245,$W163)/$G163,2))</f>
        <v/>
      </c>
      <c r="N163" s="27" t="str">
        <f aca="false">IF(OR($A163="",$G163=0),"",ROUND($F163*INDEX(仪器设备工时分配表!$L$6:$L$245,$W163)/$G163,2))</f>
        <v/>
      </c>
      <c r="O163" s="27" t="str">
        <f aca="false">IF(OR($A163="",$G163=0),"",ROUND($F163*INDEX(仪器设备工时分配表!$M$6:$M$245,$W163)/$G163,2))</f>
        <v/>
      </c>
      <c r="P163" s="27" t="str">
        <f aca="false">IF(OR($A163="",$G163=0),"",ROUND($F163*INDEX(仪器设备工时分配表!$N$6:$N$245,$W163)/$G163,2))</f>
        <v/>
      </c>
      <c r="Q163" s="27" t="str">
        <f aca="false">IF(OR($A163="",$G163=0),"",ROUND($F163*INDEX(仪器设备工时分配表!$O$6:$O$245,$W163)/$G163,2))</f>
        <v/>
      </c>
      <c r="R163" s="27" t="str">
        <f aca="false">IF(OR($A163="",$G163=0),"",ROUND($F163*INDEX(仪器设备工时分配表!$P$6:$P$245,$W163)/$G163,2))</f>
        <v/>
      </c>
      <c r="S163" s="27" t="str">
        <f aca="false">IF(OR($A163="",$G163=0),"",ROUND($F163*INDEX(仪器设备工时分配表!$Q$6:$Q$245,$W163)/$G163,2))</f>
        <v/>
      </c>
      <c r="T163" s="27" t="str">
        <f aca="false">IF($A163="","",ROUND(SUM(J163:S163),2))</f>
        <v/>
      </c>
      <c r="U163" s="27" t="str">
        <f aca="false">IF($A163="","",ROUND($F163-T163,2))</f>
        <v/>
      </c>
      <c r="V163" s="43" t="str">
        <f aca="false">IF($A163="","",IF($D163="无形资产","⚠ 无形资产请在无形资产费用分配表登记",IF($W163=0,"⚠ 工时分配表无此资产当月记录",IF($X163&gt;1,"⚠ 工时分配表存在重复行","√ 正常"))))</f>
        <v/>
      </c>
      <c r="W163" s="47" t="n">
        <f aca="false">IF($A163="",0,IFERROR(MATCH($A163&amp;"|"&amp;$B163,仪器设备工时分配表!$V$6:$V$245,0),0))</f>
        <v>0</v>
      </c>
      <c r="X163" s="47" t="n">
        <f aca="false">IF($A163="",0,COUNTIFS(仪器设备工时分配表!$A$6:$A$245,$A163,仪器设备工时分配表!$B$6:$B$245,$B163))</f>
        <v>0</v>
      </c>
    </row>
    <row r="164" customFormat="false" ht="18" hidden="false" customHeight="true" outlineLevel="0" collapsed="false">
      <c r="A164" s="36"/>
      <c r="B164" s="36"/>
      <c r="C164" s="48" t="str">
        <f aca="false">IF($B164="","",IFERROR(VLOOKUP($B164,资产台账!$B$4:$N$53,2,0)&amp;"","台账中未登记"))</f>
        <v/>
      </c>
      <c r="D164" s="43" t="str">
        <f aca="false">IF($B164="","",IFERROR(VLOOKUP($B164,资产台账!$B$4:$N$53,3,0)&amp;"",""))</f>
        <v/>
      </c>
      <c r="E164" s="43" t="str">
        <f aca="false">IF($B164="","",IFERROR(VLOOKUP($B164,资产台账!$B$4:$N$53,10,0)&amp;"",""))</f>
        <v/>
      </c>
      <c r="F164" s="49" t="str">
        <f aca="false">IF($B164="","",IFERROR(VLOOKUP($B164,资产台账!$B$4:$N$53,9,0),0))</f>
        <v/>
      </c>
      <c r="G164" s="45" t="n">
        <f aca="false">IF(OR($A164="",$W164=0),0,INDEX(仪器设备工时分配表!$F$6:$F$245,$W164))</f>
        <v>0</v>
      </c>
      <c r="H164" s="45" t="n">
        <f aca="false">IF(OR($A164="",$W164=0),0,INDEX(仪器设备工时分配表!$R$6:$R$245,$W164))</f>
        <v>0</v>
      </c>
      <c r="I164" s="28" t="str">
        <f aca="false">IF(OR($A164="",$G164=0),"",$H164/$G164)</f>
        <v/>
      </c>
      <c r="J164" s="27" t="str">
        <f aca="false">IF(OR($A164="",$G164=0),"",ROUND($F164*INDEX(仪器设备工时分配表!$H$6:$H$245,$W164)/$G164,2))</f>
        <v/>
      </c>
      <c r="K164" s="27" t="str">
        <f aca="false">IF(OR($A164="",$G164=0),"",ROUND($F164*INDEX(仪器设备工时分配表!$I$6:$I$245,$W164)/$G164,2))</f>
        <v/>
      </c>
      <c r="L164" s="27" t="str">
        <f aca="false">IF(OR($A164="",$G164=0),"",ROUND($F164*INDEX(仪器设备工时分配表!$J$6:$J$245,$W164)/$G164,2))</f>
        <v/>
      </c>
      <c r="M164" s="27" t="str">
        <f aca="false">IF(OR($A164="",$G164=0),"",ROUND($F164*INDEX(仪器设备工时分配表!$K$6:$K$245,$W164)/$G164,2))</f>
        <v/>
      </c>
      <c r="N164" s="27" t="str">
        <f aca="false">IF(OR($A164="",$G164=0),"",ROUND($F164*INDEX(仪器设备工时分配表!$L$6:$L$245,$W164)/$G164,2))</f>
        <v/>
      </c>
      <c r="O164" s="27" t="str">
        <f aca="false">IF(OR($A164="",$G164=0),"",ROUND($F164*INDEX(仪器设备工时分配表!$M$6:$M$245,$W164)/$G164,2))</f>
        <v/>
      </c>
      <c r="P164" s="27" t="str">
        <f aca="false">IF(OR($A164="",$G164=0),"",ROUND($F164*INDEX(仪器设备工时分配表!$N$6:$N$245,$W164)/$G164,2))</f>
        <v/>
      </c>
      <c r="Q164" s="27" t="str">
        <f aca="false">IF(OR($A164="",$G164=0),"",ROUND($F164*INDEX(仪器设备工时分配表!$O$6:$O$245,$W164)/$G164,2))</f>
        <v/>
      </c>
      <c r="R164" s="27" t="str">
        <f aca="false">IF(OR($A164="",$G164=0),"",ROUND($F164*INDEX(仪器设备工时分配表!$P$6:$P$245,$W164)/$G164,2))</f>
        <v/>
      </c>
      <c r="S164" s="27" t="str">
        <f aca="false">IF(OR($A164="",$G164=0),"",ROUND($F164*INDEX(仪器设备工时分配表!$Q$6:$Q$245,$W164)/$G164,2))</f>
        <v/>
      </c>
      <c r="T164" s="27" t="str">
        <f aca="false">IF($A164="","",ROUND(SUM(J164:S164),2))</f>
        <v/>
      </c>
      <c r="U164" s="27" t="str">
        <f aca="false">IF($A164="","",ROUND($F164-T164,2))</f>
        <v/>
      </c>
      <c r="V164" s="43" t="str">
        <f aca="false">IF($A164="","",IF($D164="无形资产","⚠ 无形资产请在无形资产费用分配表登记",IF($W164=0,"⚠ 工时分配表无此资产当月记录",IF($X164&gt;1,"⚠ 工时分配表存在重复行","√ 正常"))))</f>
        <v/>
      </c>
      <c r="W164" s="47" t="n">
        <f aca="false">IF($A164="",0,IFERROR(MATCH($A164&amp;"|"&amp;$B164,仪器设备工时分配表!$V$6:$V$245,0),0))</f>
        <v>0</v>
      </c>
      <c r="X164" s="47" t="n">
        <f aca="false">IF($A164="",0,COUNTIFS(仪器设备工时分配表!$A$6:$A$245,$A164,仪器设备工时分配表!$B$6:$B$245,$B164))</f>
        <v>0</v>
      </c>
    </row>
    <row r="165" customFormat="false" ht="18" hidden="false" customHeight="true" outlineLevel="0" collapsed="false">
      <c r="A165" s="36"/>
      <c r="B165" s="36"/>
      <c r="C165" s="48" t="str">
        <f aca="false">IF($B165="","",IFERROR(VLOOKUP($B165,资产台账!$B$4:$N$53,2,0)&amp;"","台账中未登记"))</f>
        <v/>
      </c>
      <c r="D165" s="43" t="str">
        <f aca="false">IF($B165="","",IFERROR(VLOOKUP($B165,资产台账!$B$4:$N$53,3,0)&amp;"",""))</f>
        <v/>
      </c>
      <c r="E165" s="43" t="str">
        <f aca="false">IF($B165="","",IFERROR(VLOOKUP($B165,资产台账!$B$4:$N$53,10,0)&amp;"",""))</f>
        <v/>
      </c>
      <c r="F165" s="49" t="str">
        <f aca="false">IF($B165="","",IFERROR(VLOOKUP($B165,资产台账!$B$4:$N$53,9,0),0))</f>
        <v/>
      </c>
      <c r="G165" s="45" t="n">
        <f aca="false">IF(OR($A165="",$W165=0),0,INDEX(仪器设备工时分配表!$F$6:$F$245,$W165))</f>
        <v>0</v>
      </c>
      <c r="H165" s="45" t="n">
        <f aca="false">IF(OR($A165="",$W165=0),0,INDEX(仪器设备工时分配表!$R$6:$R$245,$W165))</f>
        <v>0</v>
      </c>
      <c r="I165" s="28" t="str">
        <f aca="false">IF(OR($A165="",$G165=0),"",$H165/$G165)</f>
        <v/>
      </c>
      <c r="J165" s="27" t="str">
        <f aca="false">IF(OR($A165="",$G165=0),"",ROUND($F165*INDEX(仪器设备工时分配表!$H$6:$H$245,$W165)/$G165,2))</f>
        <v/>
      </c>
      <c r="K165" s="27" t="str">
        <f aca="false">IF(OR($A165="",$G165=0),"",ROUND($F165*INDEX(仪器设备工时分配表!$I$6:$I$245,$W165)/$G165,2))</f>
        <v/>
      </c>
      <c r="L165" s="27" t="str">
        <f aca="false">IF(OR($A165="",$G165=0),"",ROUND($F165*INDEX(仪器设备工时分配表!$J$6:$J$245,$W165)/$G165,2))</f>
        <v/>
      </c>
      <c r="M165" s="27" t="str">
        <f aca="false">IF(OR($A165="",$G165=0),"",ROUND($F165*INDEX(仪器设备工时分配表!$K$6:$K$245,$W165)/$G165,2))</f>
        <v/>
      </c>
      <c r="N165" s="27" t="str">
        <f aca="false">IF(OR($A165="",$G165=0),"",ROUND($F165*INDEX(仪器设备工时分配表!$L$6:$L$245,$W165)/$G165,2))</f>
        <v/>
      </c>
      <c r="O165" s="27" t="str">
        <f aca="false">IF(OR($A165="",$G165=0),"",ROUND($F165*INDEX(仪器设备工时分配表!$M$6:$M$245,$W165)/$G165,2))</f>
        <v/>
      </c>
      <c r="P165" s="27" t="str">
        <f aca="false">IF(OR($A165="",$G165=0),"",ROUND($F165*INDEX(仪器设备工时分配表!$N$6:$N$245,$W165)/$G165,2))</f>
        <v/>
      </c>
      <c r="Q165" s="27" t="str">
        <f aca="false">IF(OR($A165="",$G165=0),"",ROUND($F165*INDEX(仪器设备工时分配表!$O$6:$O$245,$W165)/$G165,2))</f>
        <v/>
      </c>
      <c r="R165" s="27" t="str">
        <f aca="false">IF(OR($A165="",$G165=0),"",ROUND($F165*INDEX(仪器设备工时分配表!$P$6:$P$245,$W165)/$G165,2))</f>
        <v/>
      </c>
      <c r="S165" s="27" t="str">
        <f aca="false">IF(OR($A165="",$G165=0),"",ROUND($F165*INDEX(仪器设备工时分配表!$Q$6:$Q$245,$W165)/$G165,2))</f>
        <v/>
      </c>
      <c r="T165" s="27" t="str">
        <f aca="false">IF($A165="","",ROUND(SUM(J165:S165),2))</f>
        <v/>
      </c>
      <c r="U165" s="27" t="str">
        <f aca="false">IF($A165="","",ROUND($F165-T165,2))</f>
        <v/>
      </c>
      <c r="V165" s="43" t="str">
        <f aca="false">IF($A165="","",IF($D165="无形资产","⚠ 无形资产请在无形资产费用分配表登记",IF($W165=0,"⚠ 工时分配表无此资产当月记录",IF($X165&gt;1,"⚠ 工时分配表存在重复行","√ 正常"))))</f>
        <v/>
      </c>
      <c r="W165" s="47" t="n">
        <f aca="false">IF($A165="",0,IFERROR(MATCH($A165&amp;"|"&amp;$B165,仪器设备工时分配表!$V$6:$V$245,0),0))</f>
        <v>0</v>
      </c>
      <c r="X165" s="47" t="n">
        <f aca="false">IF($A165="",0,COUNTIFS(仪器设备工时分配表!$A$6:$A$245,$A165,仪器设备工时分配表!$B$6:$B$245,$B165))</f>
        <v>0</v>
      </c>
    </row>
    <row r="166" customFormat="false" ht="18" hidden="false" customHeight="true" outlineLevel="0" collapsed="false">
      <c r="A166" s="36"/>
      <c r="B166" s="36"/>
      <c r="C166" s="48" t="str">
        <f aca="false">IF($B166="","",IFERROR(VLOOKUP($B166,资产台账!$B$4:$N$53,2,0)&amp;"","台账中未登记"))</f>
        <v/>
      </c>
      <c r="D166" s="43" t="str">
        <f aca="false">IF($B166="","",IFERROR(VLOOKUP($B166,资产台账!$B$4:$N$53,3,0)&amp;"",""))</f>
        <v/>
      </c>
      <c r="E166" s="43" t="str">
        <f aca="false">IF($B166="","",IFERROR(VLOOKUP($B166,资产台账!$B$4:$N$53,10,0)&amp;"",""))</f>
        <v/>
      </c>
      <c r="F166" s="49" t="str">
        <f aca="false">IF($B166="","",IFERROR(VLOOKUP($B166,资产台账!$B$4:$N$53,9,0),0))</f>
        <v/>
      </c>
      <c r="G166" s="45" t="n">
        <f aca="false">IF(OR($A166="",$W166=0),0,INDEX(仪器设备工时分配表!$F$6:$F$245,$W166))</f>
        <v>0</v>
      </c>
      <c r="H166" s="45" t="n">
        <f aca="false">IF(OR($A166="",$W166=0),0,INDEX(仪器设备工时分配表!$R$6:$R$245,$W166))</f>
        <v>0</v>
      </c>
      <c r="I166" s="28" t="str">
        <f aca="false">IF(OR($A166="",$G166=0),"",$H166/$G166)</f>
        <v/>
      </c>
      <c r="J166" s="27" t="str">
        <f aca="false">IF(OR($A166="",$G166=0),"",ROUND($F166*INDEX(仪器设备工时分配表!$H$6:$H$245,$W166)/$G166,2))</f>
        <v/>
      </c>
      <c r="K166" s="27" t="str">
        <f aca="false">IF(OR($A166="",$G166=0),"",ROUND($F166*INDEX(仪器设备工时分配表!$I$6:$I$245,$W166)/$G166,2))</f>
        <v/>
      </c>
      <c r="L166" s="27" t="str">
        <f aca="false">IF(OR($A166="",$G166=0),"",ROUND($F166*INDEX(仪器设备工时分配表!$J$6:$J$245,$W166)/$G166,2))</f>
        <v/>
      </c>
      <c r="M166" s="27" t="str">
        <f aca="false">IF(OR($A166="",$G166=0),"",ROUND($F166*INDEX(仪器设备工时分配表!$K$6:$K$245,$W166)/$G166,2))</f>
        <v/>
      </c>
      <c r="N166" s="27" t="str">
        <f aca="false">IF(OR($A166="",$G166=0),"",ROUND($F166*INDEX(仪器设备工时分配表!$L$6:$L$245,$W166)/$G166,2))</f>
        <v/>
      </c>
      <c r="O166" s="27" t="str">
        <f aca="false">IF(OR($A166="",$G166=0),"",ROUND($F166*INDEX(仪器设备工时分配表!$M$6:$M$245,$W166)/$G166,2))</f>
        <v/>
      </c>
      <c r="P166" s="27" t="str">
        <f aca="false">IF(OR($A166="",$G166=0),"",ROUND($F166*INDEX(仪器设备工时分配表!$N$6:$N$245,$W166)/$G166,2))</f>
        <v/>
      </c>
      <c r="Q166" s="27" t="str">
        <f aca="false">IF(OR($A166="",$G166=0),"",ROUND($F166*INDEX(仪器设备工时分配表!$O$6:$O$245,$W166)/$G166,2))</f>
        <v/>
      </c>
      <c r="R166" s="27" t="str">
        <f aca="false">IF(OR($A166="",$G166=0),"",ROUND($F166*INDEX(仪器设备工时分配表!$P$6:$P$245,$W166)/$G166,2))</f>
        <v/>
      </c>
      <c r="S166" s="27" t="str">
        <f aca="false">IF(OR($A166="",$G166=0),"",ROUND($F166*INDEX(仪器设备工时分配表!$Q$6:$Q$245,$W166)/$G166,2))</f>
        <v/>
      </c>
      <c r="T166" s="27" t="str">
        <f aca="false">IF($A166="","",ROUND(SUM(J166:S166),2))</f>
        <v/>
      </c>
      <c r="U166" s="27" t="str">
        <f aca="false">IF($A166="","",ROUND($F166-T166,2))</f>
        <v/>
      </c>
      <c r="V166" s="43" t="str">
        <f aca="false">IF($A166="","",IF($D166="无形资产","⚠ 无形资产请在无形资产费用分配表登记",IF($W166=0,"⚠ 工时分配表无此资产当月记录",IF($X166&gt;1,"⚠ 工时分配表存在重复行","√ 正常"))))</f>
        <v/>
      </c>
      <c r="W166" s="47" t="n">
        <f aca="false">IF($A166="",0,IFERROR(MATCH($A166&amp;"|"&amp;$B166,仪器设备工时分配表!$V$6:$V$245,0),0))</f>
        <v>0</v>
      </c>
      <c r="X166" s="47" t="n">
        <f aca="false">IF($A166="",0,COUNTIFS(仪器设备工时分配表!$A$6:$A$245,$A166,仪器设备工时分配表!$B$6:$B$245,$B166))</f>
        <v>0</v>
      </c>
    </row>
    <row r="167" customFormat="false" ht="18" hidden="false" customHeight="true" outlineLevel="0" collapsed="false">
      <c r="A167" s="36"/>
      <c r="B167" s="36"/>
      <c r="C167" s="48" t="str">
        <f aca="false">IF($B167="","",IFERROR(VLOOKUP($B167,资产台账!$B$4:$N$53,2,0)&amp;"","台账中未登记"))</f>
        <v/>
      </c>
      <c r="D167" s="43" t="str">
        <f aca="false">IF($B167="","",IFERROR(VLOOKUP($B167,资产台账!$B$4:$N$53,3,0)&amp;"",""))</f>
        <v/>
      </c>
      <c r="E167" s="43" t="str">
        <f aca="false">IF($B167="","",IFERROR(VLOOKUP($B167,资产台账!$B$4:$N$53,10,0)&amp;"",""))</f>
        <v/>
      </c>
      <c r="F167" s="49" t="str">
        <f aca="false">IF($B167="","",IFERROR(VLOOKUP($B167,资产台账!$B$4:$N$53,9,0),0))</f>
        <v/>
      </c>
      <c r="G167" s="45" t="n">
        <f aca="false">IF(OR($A167="",$W167=0),0,INDEX(仪器设备工时分配表!$F$6:$F$245,$W167))</f>
        <v>0</v>
      </c>
      <c r="H167" s="45" t="n">
        <f aca="false">IF(OR($A167="",$W167=0),0,INDEX(仪器设备工时分配表!$R$6:$R$245,$W167))</f>
        <v>0</v>
      </c>
      <c r="I167" s="28" t="str">
        <f aca="false">IF(OR($A167="",$G167=0),"",$H167/$G167)</f>
        <v/>
      </c>
      <c r="J167" s="27" t="str">
        <f aca="false">IF(OR($A167="",$G167=0),"",ROUND($F167*INDEX(仪器设备工时分配表!$H$6:$H$245,$W167)/$G167,2))</f>
        <v/>
      </c>
      <c r="K167" s="27" t="str">
        <f aca="false">IF(OR($A167="",$G167=0),"",ROUND($F167*INDEX(仪器设备工时分配表!$I$6:$I$245,$W167)/$G167,2))</f>
        <v/>
      </c>
      <c r="L167" s="27" t="str">
        <f aca="false">IF(OR($A167="",$G167=0),"",ROUND($F167*INDEX(仪器设备工时分配表!$J$6:$J$245,$W167)/$G167,2))</f>
        <v/>
      </c>
      <c r="M167" s="27" t="str">
        <f aca="false">IF(OR($A167="",$G167=0),"",ROUND($F167*INDEX(仪器设备工时分配表!$K$6:$K$245,$W167)/$G167,2))</f>
        <v/>
      </c>
      <c r="N167" s="27" t="str">
        <f aca="false">IF(OR($A167="",$G167=0),"",ROUND($F167*INDEX(仪器设备工时分配表!$L$6:$L$245,$W167)/$G167,2))</f>
        <v/>
      </c>
      <c r="O167" s="27" t="str">
        <f aca="false">IF(OR($A167="",$G167=0),"",ROUND($F167*INDEX(仪器设备工时分配表!$M$6:$M$245,$W167)/$G167,2))</f>
        <v/>
      </c>
      <c r="P167" s="27" t="str">
        <f aca="false">IF(OR($A167="",$G167=0),"",ROUND($F167*INDEX(仪器设备工时分配表!$N$6:$N$245,$W167)/$G167,2))</f>
        <v/>
      </c>
      <c r="Q167" s="27" t="str">
        <f aca="false">IF(OR($A167="",$G167=0),"",ROUND($F167*INDEX(仪器设备工时分配表!$O$6:$O$245,$W167)/$G167,2))</f>
        <v/>
      </c>
      <c r="R167" s="27" t="str">
        <f aca="false">IF(OR($A167="",$G167=0),"",ROUND($F167*INDEX(仪器设备工时分配表!$P$6:$P$245,$W167)/$G167,2))</f>
        <v/>
      </c>
      <c r="S167" s="27" t="str">
        <f aca="false">IF(OR($A167="",$G167=0),"",ROUND($F167*INDEX(仪器设备工时分配表!$Q$6:$Q$245,$W167)/$G167,2))</f>
        <v/>
      </c>
      <c r="T167" s="27" t="str">
        <f aca="false">IF($A167="","",ROUND(SUM(J167:S167),2))</f>
        <v/>
      </c>
      <c r="U167" s="27" t="str">
        <f aca="false">IF($A167="","",ROUND($F167-T167,2))</f>
        <v/>
      </c>
      <c r="V167" s="43" t="str">
        <f aca="false">IF($A167="","",IF($D167="无形资产","⚠ 无形资产请在无形资产费用分配表登记",IF($W167=0,"⚠ 工时分配表无此资产当月记录",IF($X167&gt;1,"⚠ 工时分配表存在重复行","√ 正常"))))</f>
        <v/>
      </c>
      <c r="W167" s="47" t="n">
        <f aca="false">IF($A167="",0,IFERROR(MATCH($A167&amp;"|"&amp;$B167,仪器设备工时分配表!$V$6:$V$245,0),0))</f>
        <v>0</v>
      </c>
      <c r="X167" s="47" t="n">
        <f aca="false">IF($A167="",0,COUNTIFS(仪器设备工时分配表!$A$6:$A$245,$A167,仪器设备工时分配表!$B$6:$B$245,$B167))</f>
        <v>0</v>
      </c>
    </row>
    <row r="168" customFormat="false" ht="18" hidden="false" customHeight="true" outlineLevel="0" collapsed="false">
      <c r="A168" s="36"/>
      <c r="B168" s="36"/>
      <c r="C168" s="48" t="str">
        <f aca="false">IF($B168="","",IFERROR(VLOOKUP($B168,资产台账!$B$4:$N$53,2,0)&amp;"","台账中未登记"))</f>
        <v/>
      </c>
      <c r="D168" s="43" t="str">
        <f aca="false">IF($B168="","",IFERROR(VLOOKUP($B168,资产台账!$B$4:$N$53,3,0)&amp;"",""))</f>
        <v/>
      </c>
      <c r="E168" s="43" t="str">
        <f aca="false">IF($B168="","",IFERROR(VLOOKUP($B168,资产台账!$B$4:$N$53,10,0)&amp;"",""))</f>
        <v/>
      </c>
      <c r="F168" s="49" t="str">
        <f aca="false">IF($B168="","",IFERROR(VLOOKUP($B168,资产台账!$B$4:$N$53,9,0),0))</f>
        <v/>
      </c>
      <c r="G168" s="45" t="n">
        <f aca="false">IF(OR($A168="",$W168=0),0,INDEX(仪器设备工时分配表!$F$6:$F$245,$W168))</f>
        <v>0</v>
      </c>
      <c r="H168" s="45" t="n">
        <f aca="false">IF(OR($A168="",$W168=0),0,INDEX(仪器设备工时分配表!$R$6:$R$245,$W168))</f>
        <v>0</v>
      </c>
      <c r="I168" s="28" t="str">
        <f aca="false">IF(OR($A168="",$G168=0),"",$H168/$G168)</f>
        <v/>
      </c>
      <c r="J168" s="27" t="str">
        <f aca="false">IF(OR($A168="",$G168=0),"",ROUND($F168*INDEX(仪器设备工时分配表!$H$6:$H$245,$W168)/$G168,2))</f>
        <v/>
      </c>
      <c r="K168" s="27" t="str">
        <f aca="false">IF(OR($A168="",$G168=0),"",ROUND($F168*INDEX(仪器设备工时分配表!$I$6:$I$245,$W168)/$G168,2))</f>
        <v/>
      </c>
      <c r="L168" s="27" t="str">
        <f aca="false">IF(OR($A168="",$G168=0),"",ROUND($F168*INDEX(仪器设备工时分配表!$J$6:$J$245,$W168)/$G168,2))</f>
        <v/>
      </c>
      <c r="M168" s="27" t="str">
        <f aca="false">IF(OR($A168="",$G168=0),"",ROUND($F168*INDEX(仪器设备工时分配表!$K$6:$K$245,$W168)/$G168,2))</f>
        <v/>
      </c>
      <c r="N168" s="27" t="str">
        <f aca="false">IF(OR($A168="",$G168=0),"",ROUND($F168*INDEX(仪器设备工时分配表!$L$6:$L$245,$W168)/$G168,2))</f>
        <v/>
      </c>
      <c r="O168" s="27" t="str">
        <f aca="false">IF(OR($A168="",$G168=0),"",ROUND($F168*INDEX(仪器设备工时分配表!$M$6:$M$245,$W168)/$G168,2))</f>
        <v/>
      </c>
      <c r="P168" s="27" t="str">
        <f aca="false">IF(OR($A168="",$G168=0),"",ROUND($F168*INDEX(仪器设备工时分配表!$N$6:$N$245,$W168)/$G168,2))</f>
        <v/>
      </c>
      <c r="Q168" s="27" t="str">
        <f aca="false">IF(OR($A168="",$G168=0),"",ROUND($F168*INDEX(仪器设备工时分配表!$O$6:$O$245,$W168)/$G168,2))</f>
        <v/>
      </c>
      <c r="R168" s="27" t="str">
        <f aca="false">IF(OR($A168="",$G168=0),"",ROUND($F168*INDEX(仪器设备工时分配表!$P$6:$P$245,$W168)/$G168,2))</f>
        <v/>
      </c>
      <c r="S168" s="27" t="str">
        <f aca="false">IF(OR($A168="",$G168=0),"",ROUND($F168*INDEX(仪器设备工时分配表!$Q$6:$Q$245,$W168)/$G168,2))</f>
        <v/>
      </c>
      <c r="T168" s="27" t="str">
        <f aca="false">IF($A168="","",ROUND(SUM(J168:S168),2))</f>
        <v/>
      </c>
      <c r="U168" s="27" t="str">
        <f aca="false">IF($A168="","",ROUND($F168-T168,2))</f>
        <v/>
      </c>
      <c r="V168" s="43" t="str">
        <f aca="false">IF($A168="","",IF($D168="无形资产","⚠ 无形资产请在无形资产费用分配表登记",IF($W168=0,"⚠ 工时分配表无此资产当月记录",IF($X168&gt;1,"⚠ 工时分配表存在重复行","√ 正常"))))</f>
        <v/>
      </c>
      <c r="W168" s="47" t="n">
        <f aca="false">IF($A168="",0,IFERROR(MATCH($A168&amp;"|"&amp;$B168,仪器设备工时分配表!$V$6:$V$245,0),0))</f>
        <v>0</v>
      </c>
      <c r="X168" s="47" t="n">
        <f aca="false">IF($A168="",0,COUNTIFS(仪器设备工时分配表!$A$6:$A$245,$A168,仪器设备工时分配表!$B$6:$B$245,$B168))</f>
        <v>0</v>
      </c>
    </row>
    <row r="169" customFormat="false" ht="18" hidden="false" customHeight="true" outlineLevel="0" collapsed="false">
      <c r="A169" s="36"/>
      <c r="B169" s="36"/>
      <c r="C169" s="48" t="str">
        <f aca="false">IF($B169="","",IFERROR(VLOOKUP($B169,资产台账!$B$4:$N$53,2,0)&amp;"","台账中未登记"))</f>
        <v/>
      </c>
      <c r="D169" s="43" t="str">
        <f aca="false">IF($B169="","",IFERROR(VLOOKUP($B169,资产台账!$B$4:$N$53,3,0)&amp;"",""))</f>
        <v/>
      </c>
      <c r="E169" s="43" t="str">
        <f aca="false">IF($B169="","",IFERROR(VLOOKUP($B169,资产台账!$B$4:$N$53,10,0)&amp;"",""))</f>
        <v/>
      </c>
      <c r="F169" s="49" t="str">
        <f aca="false">IF($B169="","",IFERROR(VLOOKUP($B169,资产台账!$B$4:$N$53,9,0),0))</f>
        <v/>
      </c>
      <c r="G169" s="45" t="n">
        <f aca="false">IF(OR($A169="",$W169=0),0,INDEX(仪器设备工时分配表!$F$6:$F$245,$W169))</f>
        <v>0</v>
      </c>
      <c r="H169" s="45" t="n">
        <f aca="false">IF(OR($A169="",$W169=0),0,INDEX(仪器设备工时分配表!$R$6:$R$245,$W169))</f>
        <v>0</v>
      </c>
      <c r="I169" s="28" t="str">
        <f aca="false">IF(OR($A169="",$G169=0),"",$H169/$G169)</f>
        <v/>
      </c>
      <c r="J169" s="27" t="str">
        <f aca="false">IF(OR($A169="",$G169=0),"",ROUND($F169*INDEX(仪器设备工时分配表!$H$6:$H$245,$W169)/$G169,2))</f>
        <v/>
      </c>
      <c r="K169" s="27" t="str">
        <f aca="false">IF(OR($A169="",$G169=0),"",ROUND($F169*INDEX(仪器设备工时分配表!$I$6:$I$245,$W169)/$G169,2))</f>
        <v/>
      </c>
      <c r="L169" s="27" t="str">
        <f aca="false">IF(OR($A169="",$G169=0),"",ROUND($F169*INDEX(仪器设备工时分配表!$J$6:$J$245,$W169)/$G169,2))</f>
        <v/>
      </c>
      <c r="M169" s="27" t="str">
        <f aca="false">IF(OR($A169="",$G169=0),"",ROUND($F169*INDEX(仪器设备工时分配表!$K$6:$K$245,$W169)/$G169,2))</f>
        <v/>
      </c>
      <c r="N169" s="27" t="str">
        <f aca="false">IF(OR($A169="",$G169=0),"",ROUND($F169*INDEX(仪器设备工时分配表!$L$6:$L$245,$W169)/$G169,2))</f>
        <v/>
      </c>
      <c r="O169" s="27" t="str">
        <f aca="false">IF(OR($A169="",$G169=0),"",ROUND($F169*INDEX(仪器设备工时分配表!$M$6:$M$245,$W169)/$G169,2))</f>
        <v/>
      </c>
      <c r="P169" s="27" t="str">
        <f aca="false">IF(OR($A169="",$G169=0),"",ROUND($F169*INDEX(仪器设备工时分配表!$N$6:$N$245,$W169)/$G169,2))</f>
        <v/>
      </c>
      <c r="Q169" s="27" t="str">
        <f aca="false">IF(OR($A169="",$G169=0),"",ROUND($F169*INDEX(仪器设备工时分配表!$O$6:$O$245,$W169)/$G169,2))</f>
        <v/>
      </c>
      <c r="R169" s="27" t="str">
        <f aca="false">IF(OR($A169="",$G169=0),"",ROUND($F169*INDEX(仪器设备工时分配表!$P$6:$P$245,$W169)/$G169,2))</f>
        <v/>
      </c>
      <c r="S169" s="27" t="str">
        <f aca="false">IF(OR($A169="",$G169=0),"",ROUND($F169*INDEX(仪器设备工时分配表!$Q$6:$Q$245,$W169)/$G169,2))</f>
        <v/>
      </c>
      <c r="T169" s="27" t="str">
        <f aca="false">IF($A169="","",ROUND(SUM(J169:S169),2))</f>
        <v/>
      </c>
      <c r="U169" s="27" t="str">
        <f aca="false">IF($A169="","",ROUND($F169-T169,2))</f>
        <v/>
      </c>
      <c r="V169" s="43" t="str">
        <f aca="false">IF($A169="","",IF($D169="无形资产","⚠ 无形资产请在无形资产费用分配表登记",IF($W169=0,"⚠ 工时分配表无此资产当月记录",IF($X169&gt;1,"⚠ 工时分配表存在重复行","√ 正常"))))</f>
        <v/>
      </c>
      <c r="W169" s="47" t="n">
        <f aca="false">IF($A169="",0,IFERROR(MATCH($A169&amp;"|"&amp;$B169,仪器设备工时分配表!$V$6:$V$245,0),0))</f>
        <v>0</v>
      </c>
      <c r="X169" s="47" t="n">
        <f aca="false">IF($A169="",0,COUNTIFS(仪器设备工时分配表!$A$6:$A$245,$A169,仪器设备工时分配表!$B$6:$B$245,$B169))</f>
        <v>0</v>
      </c>
    </row>
    <row r="170" customFormat="false" ht="18" hidden="false" customHeight="true" outlineLevel="0" collapsed="false">
      <c r="A170" s="36"/>
      <c r="B170" s="36"/>
      <c r="C170" s="48" t="str">
        <f aca="false">IF($B170="","",IFERROR(VLOOKUP($B170,资产台账!$B$4:$N$53,2,0)&amp;"","台账中未登记"))</f>
        <v/>
      </c>
      <c r="D170" s="43" t="str">
        <f aca="false">IF($B170="","",IFERROR(VLOOKUP($B170,资产台账!$B$4:$N$53,3,0)&amp;"",""))</f>
        <v/>
      </c>
      <c r="E170" s="43" t="str">
        <f aca="false">IF($B170="","",IFERROR(VLOOKUP($B170,资产台账!$B$4:$N$53,10,0)&amp;"",""))</f>
        <v/>
      </c>
      <c r="F170" s="49" t="str">
        <f aca="false">IF($B170="","",IFERROR(VLOOKUP($B170,资产台账!$B$4:$N$53,9,0),0))</f>
        <v/>
      </c>
      <c r="G170" s="45" t="n">
        <f aca="false">IF(OR($A170="",$W170=0),0,INDEX(仪器设备工时分配表!$F$6:$F$245,$W170))</f>
        <v>0</v>
      </c>
      <c r="H170" s="45" t="n">
        <f aca="false">IF(OR($A170="",$W170=0),0,INDEX(仪器设备工时分配表!$R$6:$R$245,$W170))</f>
        <v>0</v>
      </c>
      <c r="I170" s="28" t="str">
        <f aca="false">IF(OR($A170="",$G170=0),"",$H170/$G170)</f>
        <v/>
      </c>
      <c r="J170" s="27" t="str">
        <f aca="false">IF(OR($A170="",$G170=0),"",ROUND($F170*INDEX(仪器设备工时分配表!$H$6:$H$245,$W170)/$G170,2))</f>
        <v/>
      </c>
      <c r="K170" s="27" t="str">
        <f aca="false">IF(OR($A170="",$G170=0),"",ROUND($F170*INDEX(仪器设备工时分配表!$I$6:$I$245,$W170)/$G170,2))</f>
        <v/>
      </c>
      <c r="L170" s="27" t="str">
        <f aca="false">IF(OR($A170="",$G170=0),"",ROUND($F170*INDEX(仪器设备工时分配表!$J$6:$J$245,$W170)/$G170,2))</f>
        <v/>
      </c>
      <c r="M170" s="27" t="str">
        <f aca="false">IF(OR($A170="",$G170=0),"",ROUND($F170*INDEX(仪器设备工时分配表!$K$6:$K$245,$W170)/$G170,2))</f>
        <v/>
      </c>
      <c r="N170" s="27" t="str">
        <f aca="false">IF(OR($A170="",$G170=0),"",ROUND($F170*INDEX(仪器设备工时分配表!$L$6:$L$245,$W170)/$G170,2))</f>
        <v/>
      </c>
      <c r="O170" s="27" t="str">
        <f aca="false">IF(OR($A170="",$G170=0),"",ROUND($F170*INDEX(仪器设备工时分配表!$M$6:$M$245,$W170)/$G170,2))</f>
        <v/>
      </c>
      <c r="P170" s="27" t="str">
        <f aca="false">IF(OR($A170="",$G170=0),"",ROUND($F170*INDEX(仪器设备工时分配表!$N$6:$N$245,$W170)/$G170,2))</f>
        <v/>
      </c>
      <c r="Q170" s="27" t="str">
        <f aca="false">IF(OR($A170="",$G170=0),"",ROUND($F170*INDEX(仪器设备工时分配表!$O$6:$O$245,$W170)/$G170,2))</f>
        <v/>
      </c>
      <c r="R170" s="27" t="str">
        <f aca="false">IF(OR($A170="",$G170=0),"",ROUND($F170*INDEX(仪器设备工时分配表!$P$6:$P$245,$W170)/$G170,2))</f>
        <v/>
      </c>
      <c r="S170" s="27" t="str">
        <f aca="false">IF(OR($A170="",$G170=0),"",ROUND($F170*INDEX(仪器设备工时分配表!$Q$6:$Q$245,$W170)/$G170,2))</f>
        <v/>
      </c>
      <c r="T170" s="27" t="str">
        <f aca="false">IF($A170="","",ROUND(SUM(J170:S170),2))</f>
        <v/>
      </c>
      <c r="U170" s="27" t="str">
        <f aca="false">IF($A170="","",ROUND($F170-T170,2))</f>
        <v/>
      </c>
      <c r="V170" s="43" t="str">
        <f aca="false">IF($A170="","",IF($D170="无形资产","⚠ 无形资产请在无形资产费用分配表登记",IF($W170=0,"⚠ 工时分配表无此资产当月记录",IF($X170&gt;1,"⚠ 工时分配表存在重复行","√ 正常"))))</f>
        <v/>
      </c>
      <c r="W170" s="47" t="n">
        <f aca="false">IF($A170="",0,IFERROR(MATCH($A170&amp;"|"&amp;$B170,仪器设备工时分配表!$V$6:$V$245,0),0))</f>
        <v>0</v>
      </c>
      <c r="X170" s="47" t="n">
        <f aca="false">IF($A170="",0,COUNTIFS(仪器设备工时分配表!$A$6:$A$245,$A170,仪器设备工时分配表!$B$6:$B$245,$B170))</f>
        <v>0</v>
      </c>
    </row>
    <row r="171" customFormat="false" ht="18" hidden="false" customHeight="true" outlineLevel="0" collapsed="false">
      <c r="A171" s="36"/>
      <c r="B171" s="36"/>
      <c r="C171" s="48" t="str">
        <f aca="false">IF($B171="","",IFERROR(VLOOKUP($B171,资产台账!$B$4:$N$53,2,0)&amp;"","台账中未登记"))</f>
        <v/>
      </c>
      <c r="D171" s="43" t="str">
        <f aca="false">IF($B171="","",IFERROR(VLOOKUP($B171,资产台账!$B$4:$N$53,3,0)&amp;"",""))</f>
        <v/>
      </c>
      <c r="E171" s="43" t="str">
        <f aca="false">IF($B171="","",IFERROR(VLOOKUP($B171,资产台账!$B$4:$N$53,10,0)&amp;"",""))</f>
        <v/>
      </c>
      <c r="F171" s="49" t="str">
        <f aca="false">IF($B171="","",IFERROR(VLOOKUP($B171,资产台账!$B$4:$N$53,9,0),0))</f>
        <v/>
      </c>
      <c r="G171" s="45" t="n">
        <f aca="false">IF(OR($A171="",$W171=0),0,INDEX(仪器设备工时分配表!$F$6:$F$245,$W171))</f>
        <v>0</v>
      </c>
      <c r="H171" s="45" t="n">
        <f aca="false">IF(OR($A171="",$W171=0),0,INDEX(仪器设备工时分配表!$R$6:$R$245,$W171))</f>
        <v>0</v>
      </c>
      <c r="I171" s="28" t="str">
        <f aca="false">IF(OR($A171="",$G171=0),"",$H171/$G171)</f>
        <v/>
      </c>
      <c r="J171" s="27" t="str">
        <f aca="false">IF(OR($A171="",$G171=0),"",ROUND($F171*INDEX(仪器设备工时分配表!$H$6:$H$245,$W171)/$G171,2))</f>
        <v/>
      </c>
      <c r="K171" s="27" t="str">
        <f aca="false">IF(OR($A171="",$G171=0),"",ROUND($F171*INDEX(仪器设备工时分配表!$I$6:$I$245,$W171)/$G171,2))</f>
        <v/>
      </c>
      <c r="L171" s="27" t="str">
        <f aca="false">IF(OR($A171="",$G171=0),"",ROUND($F171*INDEX(仪器设备工时分配表!$J$6:$J$245,$W171)/$G171,2))</f>
        <v/>
      </c>
      <c r="M171" s="27" t="str">
        <f aca="false">IF(OR($A171="",$G171=0),"",ROUND($F171*INDEX(仪器设备工时分配表!$K$6:$K$245,$W171)/$G171,2))</f>
        <v/>
      </c>
      <c r="N171" s="27" t="str">
        <f aca="false">IF(OR($A171="",$G171=0),"",ROUND($F171*INDEX(仪器设备工时分配表!$L$6:$L$245,$W171)/$G171,2))</f>
        <v/>
      </c>
      <c r="O171" s="27" t="str">
        <f aca="false">IF(OR($A171="",$G171=0),"",ROUND($F171*INDEX(仪器设备工时分配表!$M$6:$M$245,$W171)/$G171,2))</f>
        <v/>
      </c>
      <c r="P171" s="27" t="str">
        <f aca="false">IF(OR($A171="",$G171=0),"",ROUND($F171*INDEX(仪器设备工时分配表!$N$6:$N$245,$W171)/$G171,2))</f>
        <v/>
      </c>
      <c r="Q171" s="27" t="str">
        <f aca="false">IF(OR($A171="",$G171=0),"",ROUND($F171*INDEX(仪器设备工时分配表!$O$6:$O$245,$W171)/$G171,2))</f>
        <v/>
      </c>
      <c r="R171" s="27" t="str">
        <f aca="false">IF(OR($A171="",$G171=0),"",ROUND($F171*INDEX(仪器设备工时分配表!$P$6:$P$245,$W171)/$G171,2))</f>
        <v/>
      </c>
      <c r="S171" s="27" t="str">
        <f aca="false">IF(OR($A171="",$G171=0),"",ROUND($F171*INDEX(仪器设备工时分配表!$Q$6:$Q$245,$W171)/$G171,2))</f>
        <v/>
      </c>
      <c r="T171" s="27" t="str">
        <f aca="false">IF($A171="","",ROUND(SUM(J171:S171),2))</f>
        <v/>
      </c>
      <c r="U171" s="27" t="str">
        <f aca="false">IF($A171="","",ROUND($F171-T171,2))</f>
        <v/>
      </c>
      <c r="V171" s="43" t="str">
        <f aca="false">IF($A171="","",IF($D171="无形资产","⚠ 无形资产请在无形资产费用分配表登记",IF($W171=0,"⚠ 工时分配表无此资产当月记录",IF($X171&gt;1,"⚠ 工时分配表存在重复行","√ 正常"))))</f>
        <v/>
      </c>
      <c r="W171" s="47" t="n">
        <f aca="false">IF($A171="",0,IFERROR(MATCH($A171&amp;"|"&amp;$B171,仪器设备工时分配表!$V$6:$V$245,0),0))</f>
        <v>0</v>
      </c>
      <c r="X171" s="47" t="n">
        <f aca="false">IF($A171="",0,COUNTIFS(仪器设备工时分配表!$A$6:$A$245,$A171,仪器设备工时分配表!$B$6:$B$245,$B171))</f>
        <v>0</v>
      </c>
    </row>
    <row r="172" customFormat="false" ht="18" hidden="false" customHeight="true" outlineLevel="0" collapsed="false">
      <c r="A172" s="36"/>
      <c r="B172" s="36"/>
      <c r="C172" s="48" t="str">
        <f aca="false">IF($B172="","",IFERROR(VLOOKUP($B172,资产台账!$B$4:$N$53,2,0)&amp;"","台账中未登记"))</f>
        <v/>
      </c>
      <c r="D172" s="43" t="str">
        <f aca="false">IF($B172="","",IFERROR(VLOOKUP($B172,资产台账!$B$4:$N$53,3,0)&amp;"",""))</f>
        <v/>
      </c>
      <c r="E172" s="43" t="str">
        <f aca="false">IF($B172="","",IFERROR(VLOOKUP($B172,资产台账!$B$4:$N$53,10,0)&amp;"",""))</f>
        <v/>
      </c>
      <c r="F172" s="49" t="str">
        <f aca="false">IF($B172="","",IFERROR(VLOOKUP($B172,资产台账!$B$4:$N$53,9,0),0))</f>
        <v/>
      </c>
      <c r="G172" s="45" t="n">
        <f aca="false">IF(OR($A172="",$W172=0),0,INDEX(仪器设备工时分配表!$F$6:$F$245,$W172))</f>
        <v>0</v>
      </c>
      <c r="H172" s="45" t="n">
        <f aca="false">IF(OR($A172="",$W172=0),0,INDEX(仪器设备工时分配表!$R$6:$R$245,$W172))</f>
        <v>0</v>
      </c>
      <c r="I172" s="28" t="str">
        <f aca="false">IF(OR($A172="",$G172=0),"",$H172/$G172)</f>
        <v/>
      </c>
      <c r="J172" s="27" t="str">
        <f aca="false">IF(OR($A172="",$G172=0),"",ROUND($F172*INDEX(仪器设备工时分配表!$H$6:$H$245,$W172)/$G172,2))</f>
        <v/>
      </c>
      <c r="K172" s="27" t="str">
        <f aca="false">IF(OR($A172="",$G172=0),"",ROUND($F172*INDEX(仪器设备工时分配表!$I$6:$I$245,$W172)/$G172,2))</f>
        <v/>
      </c>
      <c r="L172" s="27" t="str">
        <f aca="false">IF(OR($A172="",$G172=0),"",ROUND($F172*INDEX(仪器设备工时分配表!$J$6:$J$245,$W172)/$G172,2))</f>
        <v/>
      </c>
      <c r="M172" s="27" t="str">
        <f aca="false">IF(OR($A172="",$G172=0),"",ROUND($F172*INDEX(仪器设备工时分配表!$K$6:$K$245,$W172)/$G172,2))</f>
        <v/>
      </c>
      <c r="N172" s="27" t="str">
        <f aca="false">IF(OR($A172="",$G172=0),"",ROUND($F172*INDEX(仪器设备工时分配表!$L$6:$L$245,$W172)/$G172,2))</f>
        <v/>
      </c>
      <c r="O172" s="27" t="str">
        <f aca="false">IF(OR($A172="",$G172=0),"",ROUND($F172*INDEX(仪器设备工时分配表!$M$6:$M$245,$W172)/$G172,2))</f>
        <v/>
      </c>
      <c r="P172" s="27" t="str">
        <f aca="false">IF(OR($A172="",$G172=0),"",ROUND($F172*INDEX(仪器设备工时分配表!$N$6:$N$245,$W172)/$G172,2))</f>
        <v/>
      </c>
      <c r="Q172" s="27" t="str">
        <f aca="false">IF(OR($A172="",$G172=0),"",ROUND($F172*INDEX(仪器设备工时分配表!$O$6:$O$245,$W172)/$G172,2))</f>
        <v/>
      </c>
      <c r="R172" s="27" t="str">
        <f aca="false">IF(OR($A172="",$G172=0),"",ROUND($F172*INDEX(仪器设备工时分配表!$P$6:$P$245,$W172)/$G172,2))</f>
        <v/>
      </c>
      <c r="S172" s="27" t="str">
        <f aca="false">IF(OR($A172="",$G172=0),"",ROUND($F172*INDEX(仪器设备工时分配表!$Q$6:$Q$245,$W172)/$G172,2))</f>
        <v/>
      </c>
      <c r="T172" s="27" t="str">
        <f aca="false">IF($A172="","",ROUND(SUM(J172:S172),2))</f>
        <v/>
      </c>
      <c r="U172" s="27" t="str">
        <f aca="false">IF($A172="","",ROUND($F172-T172,2))</f>
        <v/>
      </c>
      <c r="V172" s="43" t="str">
        <f aca="false">IF($A172="","",IF($D172="无形资产","⚠ 无形资产请在无形资产费用分配表登记",IF($W172=0,"⚠ 工时分配表无此资产当月记录",IF($X172&gt;1,"⚠ 工时分配表存在重复行","√ 正常"))))</f>
        <v/>
      </c>
      <c r="W172" s="47" t="n">
        <f aca="false">IF($A172="",0,IFERROR(MATCH($A172&amp;"|"&amp;$B172,仪器设备工时分配表!$V$6:$V$245,0),0))</f>
        <v>0</v>
      </c>
      <c r="X172" s="47" t="n">
        <f aca="false">IF($A172="",0,COUNTIFS(仪器设备工时分配表!$A$6:$A$245,$A172,仪器设备工时分配表!$B$6:$B$245,$B172))</f>
        <v>0</v>
      </c>
    </row>
    <row r="173" customFormat="false" ht="18" hidden="false" customHeight="true" outlineLevel="0" collapsed="false">
      <c r="A173" s="36"/>
      <c r="B173" s="36"/>
      <c r="C173" s="48" t="str">
        <f aca="false">IF($B173="","",IFERROR(VLOOKUP($B173,资产台账!$B$4:$N$53,2,0)&amp;"","台账中未登记"))</f>
        <v/>
      </c>
      <c r="D173" s="43" t="str">
        <f aca="false">IF($B173="","",IFERROR(VLOOKUP($B173,资产台账!$B$4:$N$53,3,0)&amp;"",""))</f>
        <v/>
      </c>
      <c r="E173" s="43" t="str">
        <f aca="false">IF($B173="","",IFERROR(VLOOKUP($B173,资产台账!$B$4:$N$53,10,0)&amp;"",""))</f>
        <v/>
      </c>
      <c r="F173" s="49" t="str">
        <f aca="false">IF($B173="","",IFERROR(VLOOKUP($B173,资产台账!$B$4:$N$53,9,0),0))</f>
        <v/>
      </c>
      <c r="G173" s="45" t="n">
        <f aca="false">IF(OR($A173="",$W173=0),0,INDEX(仪器设备工时分配表!$F$6:$F$245,$W173))</f>
        <v>0</v>
      </c>
      <c r="H173" s="45" t="n">
        <f aca="false">IF(OR($A173="",$W173=0),0,INDEX(仪器设备工时分配表!$R$6:$R$245,$W173))</f>
        <v>0</v>
      </c>
      <c r="I173" s="28" t="str">
        <f aca="false">IF(OR($A173="",$G173=0),"",$H173/$G173)</f>
        <v/>
      </c>
      <c r="J173" s="27" t="str">
        <f aca="false">IF(OR($A173="",$G173=0),"",ROUND($F173*INDEX(仪器设备工时分配表!$H$6:$H$245,$W173)/$G173,2))</f>
        <v/>
      </c>
      <c r="K173" s="27" t="str">
        <f aca="false">IF(OR($A173="",$G173=0),"",ROUND($F173*INDEX(仪器设备工时分配表!$I$6:$I$245,$W173)/$G173,2))</f>
        <v/>
      </c>
      <c r="L173" s="27" t="str">
        <f aca="false">IF(OR($A173="",$G173=0),"",ROUND($F173*INDEX(仪器设备工时分配表!$J$6:$J$245,$W173)/$G173,2))</f>
        <v/>
      </c>
      <c r="M173" s="27" t="str">
        <f aca="false">IF(OR($A173="",$G173=0),"",ROUND($F173*INDEX(仪器设备工时分配表!$K$6:$K$245,$W173)/$G173,2))</f>
        <v/>
      </c>
      <c r="N173" s="27" t="str">
        <f aca="false">IF(OR($A173="",$G173=0),"",ROUND($F173*INDEX(仪器设备工时分配表!$L$6:$L$245,$W173)/$G173,2))</f>
        <v/>
      </c>
      <c r="O173" s="27" t="str">
        <f aca="false">IF(OR($A173="",$G173=0),"",ROUND($F173*INDEX(仪器设备工时分配表!$M$6:$M$245,$W173)/$G173,2))</f>
        <v/>
      </c>
      <c r="P173" s="27" t="str">
        <f aca="false">IF(OR($A173="",$G173=0),"",ROUND($F173*INDEX(仪器设备工时分配表!$N$6:$N$245,$W173)/$G173,2))</f>
        <v/>
      </c>
      <c r="Q173" s="27" t="str">
        <f aca="false">IF(OR($A173="",$G173=0),"",ROUND($F173*INDEX(仪器设备工时分配表!$O$6:$O$245,$W173)/$G173,2))</f>
        <v/>
      </c>
      <c r="R173" s="27" t="str">
        <f aca="false">IF(OR($A173="",$G173=0),"",ROUND($F173*INDEX(仪器设备工时分配表!$P$6:$P$245,$W173)/$G173,2))</f>
        <v/>
      </c>
      <c r="S173" s="27" t="str">
        <f aca="false">IF(OR($A173="",$G173=0),"",ROUND($F173*INDEX(仪器设备工时分配表!$Q$6:$Q$245,$W173)/$G173,2))</f>
        <v/>
      </c>
      <c r="T173" s="27" t="str">
        <f aca="false">IF($A173="","",ROUND(SUM(J173:S173),2))</f>
        <v/>
      </c>
      <c r="U173" s="27" t="str">
        <f aca="false">IF($A173="","",ROUND($F173-T173,2))</f>
        <v/>
      </c>
      <c r="V173" s="43" t="str">
        <f aca="false">IF($A173="","",IF($D173="无形资产","⚠ 无形资产请在无形资产费用分配表登记",IF($W173=0,"⚠ 工时分配表无此资产当月记录",IF($X173&gt;1,"⚠ 工时分配表存在重复行","√ 正常"))))</f>
        <v/>
      </c>
      <c r="W173" s="47" t="n">
        <f aca="false">IF($A173="",0,IFERROR(MATCH($A173&amp;"|"&amp;$B173,仪器设备工时分配表!$V$6:$V$245,0),0))</f>
        <v>0</v>
      </c>
      <c r="X173" s="47" t="n">
        <f aca="false">IF($A173="",0,COUNTIFS(仪器设备工时分配表!$A$6:$A$245,$A173,仪器设备工时分配表!$B$6:$B$245,$B173))</f>
        <v>0</v>
      </c>
    </row>
    <row r="174" customFormat="false" ht="18" hidden="false" customHeight="true" outlineLevel="0" collapsed="false">
      <c r="A174" s="36"/>
      <c r="B174" s="36"/>
      <c r="C174" s="48" t="str">
        <f aca="false">IF($B174="","",IFERROR(VLOOKUP($B174,资产台账!$B$4:$N$53,2,0)&amp;"","台账中未登记"))</f>
        <v/>
      </c>
      <c r="D174" s="43" t="str">
        <f aca="false">IF($B174="","",IFERROR(VLOOKUP($B174,资产台账!$B$4:$N$53,3,0)&amp;"",""))</f>
        <v/>
      </c>
      <c r="E174" s="43" t="str">
        <f aca="false">IF($B174="","",IFERROR(VLOOKUP($B174,资产台账!$B$4:$N$53,10,0)&amp;"",""))</f>
        <v/>
      </c>
      <c r="F174" s="49" t="str">
        <f aca="false">IF($B174="","",IFERROR(VLOOKUP($B174,资产台账!$B$4:$N$53,9,0),0))</f>
        <v/>
      </c>
      <c r="G174" s="45" t="n">
        <f aca="false">IF(OR($A174="",$W174=0),0,INDEX(仪器设备工时分配表!$F$6:$F$245,$W174))</f>
        <v>0</v>
      </c>
      <c r="H174" s="45" t="n">
        <f aca="false">IF(OR($A174="",$W174=0),0,INDEX(仪器设备工时分配表!$R$6:$R$245,$W174))</f>
        <v>0</v>
      </c>
      <c r="I174" s="28" t="str">
        <f aca="false">IF(OR($A174="",$G174=0),"",$H174/$G174)</f>
        <v/>
      </c>
      <c r="J174" s="27" t="str">
        <f aca="false">IF(OR($A174="",$G174=0),"",ROUND($F174*INDEX(仪器设备工时分配表!$H$6:$H$245,$W174)/$G174,2))</f>
        <v/>
      </c>
      <c r="K174" s="27" t="str">
        <f aca="false">IF(OR($A174="",$G174=0),"",ROUND($F174*INDEX(仪器设备工时分配表!$I$6:$I$245,$W174)/$G174,2))</f>
        <v/>
      </c>
      <c r="L174" s="27" t="str">
        <f aca="false">IF(OR($A174="",$G174=0),"",ROUND($F174*INDEX(仪器设备工时分配表!$J$6:$J$245,$W174)/$G174,2))</f>
        <v/>
      </c>
      <c r="M174" s="27" t="str">
        <f aca="false">IF(OR($A174="",$G174=0),"",ROUND($F174*INDEX(仪器设备工时分配表!$K$6:$K$245,$W174)/$G174,2))</f>
        <v/>
      </c>
      <c r="N174" s="27" t="str">
        <f aca="false">IF(OR($A174="",$G174=0),"",ROUND($F174*INDEX(仪器设备工时分配表!$L$6:$L$245,$W174)/$G174,2))</f>
        <v/>
      </c>
      <c r="O174" s="27" t="str">
        <f aca="false">IF(OR($A174="",$G174=0),"",ROUND($F174*INDEX(仪器设备工时分配表!$M$6:$M$245,$W174)/$G174,2))</f>
        <v/>
      </c>
      <c r="P174" s="27" t="str">
        <f aca="false">IF(OR($A174="",$G174=0),"",ROUND($F174*INDEX(仪器设备工时分配表!$N$6:$N$245,$W174)/$G174,2))</f>
        <v/>
      </c>
      <c r="Q174" s="27" t="str">
        <f aca="false">IF(OR($A174="",$G174=0),"",ROUND($F174*INDEX(仪器设备工时分配表!$O$6:$O$245,$W174)/$G174,2))</f>
        <v/>
      </c>
      <c r="R174" s="27" t="str">
        <f aca="false">IF(OR($A174="",$G174=0),"",ROUND($F174*INDEX(仪器设备工时分配表!$P$6:$P$245,$W174)/$G174,2))</f>
        <v/>
      </c>
      <c r="S174" s="27" t="str">
        <f aca="false">IF(OR($A174="",$G174=0),"",ROUND($F174*INDEX(仪器设备工时分配表!$Q$6:$Q$245,$W174)/$G174,2))</f>
        <v/>
      </c>
      <c r="T174" s="27" t="str">
        <f aca="false">IF($A174="","",ROUND(SUM(J174:S174),2))</f>
        <v/>
      </c>
      <c r="U174" s="27" t="str">
        <f aca="false">IF($A174="","",ROUND($F174-T174,2))</f>
        <v/>
      </c>
      <c r="V174" s="43" t="str">
        <f aca="false">IF($A174="","",IF($D174="无形资产","⚠ 无形资产请在无形资产费用分配表登记",IF($W174=0,"⚠ 工时分配表无此资产当月记录",IF($X174&gt;1,"⚠ 工时分配表存在重复行","√ 正常"))))</f>
        <v/>
      </c>
      <c r="W174" s="47" t="n">
        <f aca="false">IF($A174="",0,IFERROR(MATCH($A174&amp;"|"&amp;$B174,仪器设备工时分配表!$V$6:$V$245,0),0))</f>
        <v>0</v>
      </c>
      <c r="X174" s="47" t="n">
        <f aca="false">IF($A174="",0,COUNTIFS(仪器设备工时分配表!$A$6:$A$245,$A174,仪器设备工时分配表!$B$6:$B$245,$B174))</f>
        <v>0</v>
      </c>
    </row>
    <row r="175" customFormat="false" ht="18" hidden="false" customHeight="true" outlineLevel="0" collapsed="false">
      <c r="A175" s="36"/>
      <c r="B175" s="36"/>
      <c r="C175" s="48" t="str">
        <f aca="false">IF($B175="","",IFERROR(VLOOKUP($B175,资产台账!$B$4:$N$53,2,0)&amp;"","台账中未登记"))</f>
        <v/>
      </c>
      <c r="D175" s="43" t="str">
        <f aca="false">IF($B175="","",IFERROR(VLOOKUP($B175,资产台账!$B$4:$N$53,3,0)&amp;"",""))</f>
        <v/>
      </c>
      <c r="E175" s="43" t="str">
        <f aca="false">IF($B175="","",IFERROR(VLOOKUP($B175,资产台账!$B$4:$N$53,10,0)&amp;"",""))</f>
        <v/>
      </c>
      <c r="F175" s="49" t="str">
        <f aca="false">IF($B175="","",IFERROR(VLOOKUP($B175,资产台账!$B$4:$N$53,9,0),0))</f>
        <v/>
      </c>
      <c r="G175" s="45" t="n">
        <f aca="false">IF(OR($A175="",$W175=0),0,INDEX(仪器设备工时分配表!$F$6:$F$245,$W175))</f>
        <v>0</v>
      </c>
      <c r="H175" s="45" t="n">
        <f aca="false">IF(OR($A175="",$W175=0),0,INDEX(仪器设备工时分配表!$R$6:$R$245,$W175))</f>
        <v>0</v>
      </c>
      <c r="I175" s="28" t="str">
        <f aca="false">IF(OR($A175="",$G175=0),"",$H175/$G175)</f>
        <v/>
      </c>
      <c r="J175" s="27" t="str">
        <f aca="false">IF(OR($A175="",$G175=0),"",ROUND($F175*INDEX(仪器设备工时分配表!$H$6:$H$245,$W175)/$G175,2))</f>
        <v/>
      </c>
      <c r="K175" s="27" t="str">
        <f aca="false">IF(OR($A175="",$G175=0),"",ROUND($F175*INDEX(仪器设备工时分配表!$I$6:$I$245,$W175)/$G175,2))</f>
        <v/>
      </c>
      <c r="L175" s="27" t="str">
        <f aca="false">IF(OR($A175="",$G175=0),"",ROUND($F175*INDEX(仪器设备工时分配表!$J$6:$J$245,$W175)/$G175,2))</f>
        <v/>
      </c>
      <c r="M175" s="27" t="str">
        <f aca="false">IF(OR($A175="",$G175=0),"",ROUND($F175*INDEX(仪器设备工时分配表!$K$6:$K$245,$W175)/$G175,2))</f>
        <v/>
      </c>
      <c r="N175" s="27" t="str">
        <f aca="false">IF(OR($A175="",$G175=0),"",ROUND($F175*INDEX(仪器设备工时分配表!$L$6:$L$245,$W175)/$G175,2))</f>
        <v/>
      </c>
      <c r="O175" s="27" t="str">
        <f aca="false">IF(OR($A175="",$G175=0),"",ROUND($F175*INDEX(仪器设备工时分配表!$M$6:$M$245,$W175)/$G175,2))</f>
        <v/>
      </c>
      <c r="P175" s="27" t="str">
        <f aca="false">IF(OR($A175="",$G175=0),"",ROUND($F175*INDEX(仪器设备工时分配表!$N$6:$N$245,$W175)/$G175,2))</f>
        <v/>
      </c>
      <c r="Q175" s="27" t="str">
        <f aca="false">IF(OR($A175="",$G175=0),"",ROUND($F175*INDEX(仪器设备工时分配表!$O$6:$O$245,$W175)/$G175,2))</f>
        <v/>
      </c>
      <c r="R175" s="27" t="str">
        <f aca="false">IF(OR($A175="",$G175=0),"",ROUND($F175*INDEX(仪器设备工时分配表!$P$6:$P$245,$W175)/$G175,2))</f>
        <v/>
      </c>
      <c r="S175" s="27" t="str">
        <f aca="false">IF(OR($A175="",$G175=0),"",ROUND($F175*INDEX(仪器设备工时分配表!$Q$6:$Q$245,$W175)/$G175,2))</f>
        <v/>
      </c>
      <c r="T175" s="27" t="str">
        <f aca="false">IF($A175="","",ROUND(SUM(J175:S175),2))</f>
        <v/>
      </c>
      <c r="U175" s="27" t="str">
        <f aca="false">IF($A175="","",ROUND($F175-T175,2))</f>
        <v/>
      </c>
      <c r="V175" s="43" t="str">
        <f aca="false">IF($A175="","",IF($D175="无形资产","⚠ 无形资产请在无形资产费用分配表登记",IF($W175=0,"⚠ 工时分配表无此资产当月记录",IF($X175&gt;1,"⚠ 工时分配表存在重复行","√ 正常"))))</f>
        <v/>
      </c>
      <c r="W175" s="47" t="n">
        <f aca="false">IF($A175="",0,IFERROR(MATCH($A175&amp;"|"&amp;$B175,仪器设备工时分配表!$V$6:$V$245,0),0))</f>
        <v>0</v>
      </c>
      <c r="X175" s="47" t="n">
        <f aca="false">IF($A175="",0,COUNTIFS(仪器设备工时分配表!$A$6:$A$245,$A175,仪器设备工时分配表!$B$6:$B$245,$B175))</f>
        <v>0</v>
      </c>
    </row>
    <row r="176" customFormat="false" ht="18" hidden="false" customHeight="true" outlineLevel="0" collapsed="false">
      <c r="A176" s="36"/>
      <c r="B176" s="36"/>
      <c r="C176" s="48" t="str">
        <f aca="false">IF($B176="","",IFERROR(VLOOKUP($B176,资产台账!$B$4:$N$53,2,0)&amp;"","台账中未登记"))</f>
        <v/>
      </c>
      <c r="D176" s="43" t="str">
        <f aca="false">IF($B176="","",IFERROR(VLOOKUP($B176,资产台账!$B$4:$N$53,3,0)&amp;"",""))</f>
        <v/>
      </c>
      <c r="E176" s="43" t="str">
        <f aca="false">IF($B176="","",IFERROR(VLOOKUP($B176,资产台账!$B$4:$N$53,10,0)&amp;"",""))</f>
        <v/>
      </c>
      <c r="F176" s="49" t="str">
        <f aca="false">IF($B176="","",IFERROR(VLOOKUP($B176,资产台账!$B$4:$N$53,9,0),0))</f>
        <v/>
      </c>
      <c r="G176" s="45" t="n">
        <f aca="false">IF(OR($A176="",$W176=0),0,INDEX(仪器设备工时分配表!$F$6:$F$245,$W176))</f>
        <v>0</v>
      </c>
      <c r="H176" s="45" t="n">
        <f aca="false">IF(OR($A176="",$W176=0),0,INDEX(仪器设备工时分配表!$R$6:$R$245,$W176))</f>
        <v>0</v>
      </c>
      <c r="I176" s="28" t="str">
        <f aca="false">IF(OR($A176="",$G176=0),"",$H176/$G176)</f>
        <v/>
      </c>
      <c r="J176" s="27" t="str">
        <f aca="false">IF(OR($A176="",$G176=0),"",ROUND($F176*INDEX(仪器设备工时分配表!$H$6:$H$245,$W176)/$G176,2))</f>
        <v/>
      </c>
      <c r="K176" s="27" t="str">
        <f aca="false">IF(OR($A176="",$G176=0),"",ROUND($F176*INDEX(仪器设备工时分配表!$I$6:$I$245,$W176)/$G176,2))</f>
        <v/>
      </c>
      <c r="L176" s="27" t="str">
        <f aca="false">IF(OR($A176="",$G176=0),"",ROUND($F176*INDEX(仪器设备工时分配表!$J$6:$J$245,$W176)/$G176,2))</f>
        <v/>
      </c>
      <c r="M176" s="27" t="str">
        <f aca="false">IF(OR($A176="",$G176=0),"",ROUND($F176*INDEX(仪器设备工时分配表!$K$6:$K$245,$W176)/$G176,2))</f>
        <v/>
      </c>
      <c r="N176" s="27" t="str">
        <f aca="false">IF(OR($A176="",$G176=0),"",ROUND($F176*INDEX(仪器设备工时分配表!$L$6:$L$245,$W176)/$G176,2))</f>
        <v/>
      </c>
      <c r="O176" s="27" t="str">
        <f aca="false">IF(OR($A176="",$G176=0),"",ROUND($F176*INDEX(仪器设备工时分配表!$M$6:$M$245,$W176)/$G176,2))</f>
        <v/>
      </c>
      <c r="P176" s="27" t="str">
        <f aca="false">IF(OR($A176="",$G176=0),"",ROUND($F176*INDEX(仪器设备工时分配表!$N$6:$N$245,$W176)/$G176,2))</f>
        <v/>
      </c>
      <c r="Q176" s="27" t="str">
        <f aca="false">IF(OR($A176="",$G176=0),"",ROUND($F176*INDEX(仪器设备工时分配表!$O$6:$O$245,$W176)/$G176,2))</f>
        <v/>
      </c>
      <c r="R176" s="27" t="str">
        <f aca="false">IF(OR($A176="",$G176=0),"",ROUND($F176*INDEX(仪器设备工时分配表!$P$6:$P$245,$W176)/$G176,2))</f>
        <v/>
      </c>
      <c r="S176" s="27" t="str">
        <f aca="false">IF(OR($A176="",$G176=0),"",ROUND($F176*INDEX(仪器设备工时分配表!$Q$6:$Q$245,$W176)/$G176,2))</f>
        <v/>
      </c>
      <c r="T176" s="27" t="str">
        <f aca="false">IF($A176="","",ROUND(SUM(J176:S176),2))</f>
        <v/>
      </c>
      <c r="U176" s="27" t="str">
        <f aca="false">IF($A176="","",ROUND($F176-T176,2))</f>
        <v/>
      </c>
      <c r="V176" s="43" t="str">
        <f aca="false">IF($A176="","",IF($D176="无形资产","⚠ 无形资产请在无形资产费用分配表登记",IF($W176=0,"⚠ 工时分配表无此资产当月记录",IF($X176&gt;1,"⚠ 工时分配表存在重复行","√ 正常"))))</f>
        <v/>
      </c>
      <c r="W176" s="47" t="n">
        <f aca="false">IF($A176="",0,IFERROR(MATCH($A176&amp;"|"&amp;$B176,仪器设备工时分配表!$V$6:$V$245,0),0))</f>
        <v>0</v>
      </c>
      <c r="X176" s="47" t="n">
        <f aca="false">IF($A176="",0,COUNTIFS(仪器设备工时分配表!$A$6:$A$245,$A176,仪器设备工时分配表!$B$6:$B$245,$B176))</f>
        <v>0</v>
      </c>
    </row>
    <row r="177" customFormat="false" ht="18" hidden="false" customHeight="true" outlineLevel="0" collapsed="false">
      <c r="A177" s="36"/>
      <c r="B177" s="36"/>
      <c r="C177" s="48" t="str">
        <f aca="false">IF($B177="","",IFERROR(VLOOKUP($B177,资产台账!$B$4:$N$53,2,0)&amp;"","台账中未登记"))</f>
        <v/>
      </c>
      <c r="D177" s="43" t="str">
        <f aca="false">IF($B177="","",IFERROR(VLOOKUP($B177,资产台账!$B$4:$N$53,3,0)&amp;"",""))</f>
        <v/>
      </c>
      <c r="E177" s="43" t="str">
        <f aca="false">IF($B177="","",IFERROR(VLOOKUP($B177,资产台账!$B$4:$N$53,10,0)&amp;"",""))</f>
        <v/>
      </c>
      <c r="F177" s="49" t="str">
        <f aca="false">IF($B177="","",IFERROR(VLOOKUP($B177,资产台账!$B$4:$N$53,9,0),0))</f>
        <v/>
      </c>
      <c r="G177" s="45" t="n">
        <f aca="false">IF(OR($A177="",$W177=0),0,INDEX(仪器设备工时分配表!$F$6:$F$245,$W177))</f>
        <v>0</v>
      </c>
      <c r="H177" s="45" t="n">
        <f aca="false">IF(OR($A177="",$W177=0),0,INDEX(仪器设备工时分配表!$R$6:$R$245,$W177))</f>
        <v>0</v>
      </c>
      <c r="I177" s="28" t="str">
        <f aca="false">IF(OR($A177="",$G177=0),"",$H177/$G177)</f>
        <v/>
      </c>
      <c r="J177" s="27" t="str">
        <f aca="false">IF(OR($A177="",$G177=0),"",ROUND($F177*INDEX(仪器设备工时分配表!$H$6:$H$245,$W177)/$G177,2))</f>
        <v/>
      </c>
      <c r="K177" s="27" t="str">
        <f aca="false">IF(OR($A177="",$G177=0),"",ROUND($F177*INDEX(仪器设备工时分配表!$I$6:$I$245,$W177)/$G177,2))</f>
        <v/>
      </c>
      <c r="L177" s="27" t="str">
        <f aca="false">IF(OR($A177="",$G177=0),"",ROUND($F177*INDEX(仪器设备工时分配表!$J$6:$J$245,$W177)/$G177,2))</f>
        <v/>
      </c>
      <c r="M177" s="27" t="str">
        <f aca="false">IF(OR($A177="",$G177=0),"",ROUND($F177*INDEX(仪器设备工时分配表!$K$6:$K$245,$W177)/$G177,2))</f>
        <v/>
      </c>
      <c r="N177" s="27" t="str">
        <f aca="false">IF(OR($A177="",$G177=0),"",ROUND($F177*INDEX(仪器设备工时分配表!$L$6:$L$245,$W177)/$G177,2))</f>
        <v/>
      </c>
      <c r="O177" s="27" t="str">
        <f aca="false">IF(OR($A177="",$G177=0),"",ROUND($F177*INDEX(仪器设备工时分配表!$M$6:$M$245,$W177)/$G177,2))</f>
        <v/>
      </c>
      <c r="P177" s="27" t="str">
        <f aca="false">IF(OR($A177="",$G177=0),"",ROUND($F177*INDEX(仪器设备工时分配表!$N$6:$N$245,$W177)/$G177,2))</f>
        <v/>
      </c>
      <c r="Q177" s="27" t="str">
        <f aca="false">IF(OR($A177="",$G177=0),"",ROUND($F177*INDEX(仪器设备工时分配表!$O$6:$O$245,$W177)/$G177,2))</f>
        <v/>
      </c>
      <c r="R177" s="27" t="str">
        <f aca="false">IF(OR($A177="",$G177=0),"",ROUND($F177*INDEX(仪器设备工时分配表!$P$6:$P$245,$W177)/$G177,2))</f>
        <v/>
      </c>
      <c r="S177" s="27" t="str">
        <f aca="false">IF(OR($A177="",$G177=0),"",ROUND($F177*INDEX(仪器设备工时分配表!$Q$6:$Q$245,$W177)/$G177,2))</f>
        <v/>
      </c>
      <c r="T177" s="27" t="str">
        <f aca="false">IF($A177="","",ROUND(SUM(J177:S177),2))</f>
        <v/>
      </c>
      <c r="U177" s="27" t="str">
        <f aca="false">IF($A177="","",ROUND($F177-T177,2))</f>
        <v/>
      </c>
      <c r="V177" s="43" t="str">
        <f aca="false">IF($A177="","",IF($D177="无形资产","⚠ 无形资产请在无形资产费用分配表登记",IF($W177=0,"⚠ 工时分配表无此资产当月记录",IF($X177&gt;1,"⚠ 工时分配表存在重复行","√ 正常"))))</f>
        <v/>
      </c>
      <c r="W177" s="47" t="n">
        <f aca="false">IF($A177="",0,IFERROR(MATCH($A177&amp;"|"&amp;$B177,仪器设备工时分配表!$V$6:$V$245,0),0))</f>
        <v>0</v>
      </c>
      <c r="X177" s="47" t="n">
        <f aca="false">IF($A177="",0,COUNTIFS(仪器设备工时分配表!$A$6:$A$245,$A177,仪器设备工时分配表!$B$6:$B$245,$B177))</f>
        <v>0</v>
      </c>
    </row>
    <row r="178" customFormat="false" ht="18" hidden="false" customHeight="true" outlineLevel="0" collapsed="false">
      <c r="A178" s="36"/>
      <c r="B178" s="36"/>
      <c r="C178" s="48" t="str">
        <f aca="false">IF($B178="","",IFERROR(VLOOKUP($B178,资产台账!$B$4:$N$53,2,0)&amp;"","台账中未登记"))</f>
        <v/>
      </c>
      <c r="D178" s="43" t="str">
        <f aca="false">IF($B178="","",IFERROR(VLOOKUP($B178,资产台账!$B$4:$N$53,3,0)&amp;"",""))</f>
        <v/>
      </c>
      <c r="E178" s="43" t="str">
        <f aca="false">IF($B178="","",IFERROR(VLOOKUP($B178,资产台账!$B$4:$N$53,10,0)&amp;"",""))</f>
        <v/>
      </c>
      <c r="F178" s="49" t="str">
        <f aca="false">IF($B178="","",IFERROR(VLOOKUP($B178,资产台账!$B$4:$N$53,9,0),0))</f>
        <v/>
      </c>
      <c r="G178" s="45" t="n">
        <f aca="false">IF(OR($A178="",$W178=0),0,INDEX(仪器设备工时分配表!$F$6:$F$245,$W178))</f>
        <v>0</v>
      </c>
      <c r="H178" s="45" t="n">
        <f aca="false">IF(OR($A178="",$W178=0),0,INDEX(仪器设备工时分配表!$R$6:$R$245,$W178))</f>
        <v>0</v>
      </c>
      <c r="I178" s="28" t="str">
        <f aca="false">IF(OR($A178="",$G178=0),"",$H178/$G178)</f>
        <v/>
      </c>
      <c r="J178" s="27" t="str">
        <f aca="false">IF(OR($A178="",$G178=0),"",ROUND($F178*INDEX(仪器设备工时分配表!$H$6:$H$245,$W178)/$G178,2))</f>
        <v/>
      </c>
      <c r="K178" s="27" t="str">
        <f aca="false">IF(OR($A178="",$G178=0),"",ROUND($F178*INDEX(仪器设备工时分配表!$I$6:$I$245,$W178)/$G178,2))</f>
        <v/>
      </c>
      <c r="L178" s="27" t="str">
        <f aca="false">IF(OR($A178="",$G178=0),"",ROUND($F178*INDEX(仪器设备工时分配表!$J$6:$J$245,$W178)/$G178,2))</f>
        <v/>
      </c>
      <c r="M178" s="27" t="str">
        <f aca="false">IF(OR($A178="",$G178=0),"",ROUND($F178*INDEX(仪器设备工时分配表!$K$6:$K$245,$W178)/$G178,2))</f>
        <v/>
      </c>
      <c r="N178" s="27" t="str">
        <f aca="false">IF(OR($A178="",$G178=0),"",ROUND($F178*INDEX(仪器设备工时分配表!$L$6:$L$245,$W178)/$G178,2))</f>
        <v/>
      </c>
      <c r="O178" s="27" t="str">
        <f aca="false">IF(OR($A178="",$G178=0),"",ROUND($F178*INDEX(仪器设备工时分配表!$M$6:$M$245,$W178)/$G178,2))</f>
        <v/>
      </c>
      <c r="P178" s="27" t="str">
        <f aca="false">IF(OR($A178="",$G178=0),"",ROUND($F178*INDEX(仪器设备工时分配表!$N$6:$N$245,$W178)/$G178,2))</f>
        <v/>
      </c>
      <c r="Q178" s="27" t="str">
        <f aca="false">IF(OR($A178="",$G178=0),"",ROUND($F178*INDEX(仪器设备工时分配表!$O$6:$O$245,$W178)/$G178,2))</f>
        <v/>
      </c>
      <c r="R178" s="27" t="str">
        <f aca="false">IF(OR($A178="",$G178=0),"",ROUND($F178*INDEX(仪器设备工时分配表!$P$6:$P$245,$W178)/$G178,2))</f>
        <v/>
      </c>
      <c r="S178" s="27" t="str">
        <f aca="false">IF(OR($A178="",$G178=0),"",ROUND($F178*INDEX(仪器设备工时分配表!$Q$6:$Q$245,$W178)/$G178,2))</f>
        <v/>
      </c>
      <c r="T178" s="27" t="str">
        <f aca="false">IF($A178="","",ROUND(SUM(J178:S178),2))</f>
        <v/>
      </c>
      <c r="U178" s="27" t="str">
        <f aca="false">IF($A178="","",ROUND($F178-T178,2))</f>
        <v/>
      </c>
      <c r="V178" s="43" t="str">
        <f aca="false">IF($A178="","",IF($D178="无形资产","⚠ 无形资产请在无形资产费用分配表登记",IF($W178=0,"⚠ 工时分配表无此资产当月记录",IF($X178&gt;1,"⚠ 工时分配表存在重复行","√ 正常"))))</f>
        <v/>
      </c>
      <c r="W178" s="47" t="n">
        <f aca="false">IF($A178="",0,IFERROR(MATCH($A178&amp;"|"&amp;$B178,仪器设备工时分配表!$V$6:$V$245,0),0))</f>
        <v>0</v>
      </c>
      <c r="X178" s="47" t="n">
        <f aca="false">IF($A178="",0,COUNTIFS(仪器设备工时分配表!$A$6:$A$245,$A178,仪器设备工时分配表!$B$6:$B$245,$B178))</f>
        <v>0</v>
      </c>
    </row>
    <row r="179" customFormat="false" ht="18" hidden="false" customHeight="true" outlineLevel="0" collapsed="false">
      <c r="A179" s="36"/>
      <c r="B179" s="36"/>
      <c r="C179" s="48" t="str">
        <f aca="false">IF($B179="","",IFERROR(VLOOKUP($B179,资产台账!$B$4:$N$53,2,0)&amp;"","台账中未登记"))</f>
        <v/>
      </c>
      <c r="D179" s="43" t="str">
        <f aca="false">IF($B179="","",IFERROR(VLOOKUP($B179,资产台账!$B$4:$N$53,3,0)&amp;"",""))</f>
        <v/>
      </c>
      <c r="E179" s="43" t="str">
        <f aca="false">IF($B179="","",IFERROR(VLOOKUP($B179,资产台账!$B$4:$N$53,10,0)&amp;"",""))</f>
        <v/>
      </c>
      <c r="F179" s="49" t="str">
        <f aca="false">IF($B179="","",IFERROR(VLOOKUP($B179,资产台账!$B$4:$N$53,9,0),0))</f>
        <v/>
      </c>
      <c r="G179" s="45" t="n">
        <f aca="false">IF(OR($A179="",$W179=0),0,INDEX(仪器设备工时分配表!$F$6:$F$245,$W179))</f>
        <v>0</v>
      </c>
      <c r="H179" s="45" t="n">
        <f aca="false">IF(OR($A179="",$W179=0),0,INDEX(仪器设备工时分配表!$R$6:$R$245,$W179))</f>
        <v>0</v>
      </c>
      <c r="I179" s="28" t="str">
        <f aca="false">IF(OR($A179="",$G179=0),"",$H179/$G179)</f>
        <v/>
      </c>
      <c r="J179" s="27" t="str">
        <f aca="false">IF(OR($A179="",$G179=0),"",ROUND($F179*INDEX(仪器设备工时分配表!$H$6:$H$245,$W179)/$G179,2))</f>
        <v/>
      </c>
      <c r="K179" s="27" t="str">
        <f aca="false">IF(OR($A179="",$G179=0),"",ROUND($F179*INDEX(仪器设备工时分配表!$I$6:$I$245,$W179)/$G179,2))</f>
        <v/>
      </c>
      <c r="L179" s="27" t="str">
        <f aca="false">IF(OR($A179="",$G179=0),"",ROUND($F179*INDEX(仪器设备工时分配表!$J$6:$J$245,$W179)/$G179,2))</f>
        <v/>
      </c>
      <c r="M179" s="27" t="str">
        <f aca="false">IF(OR($A179="",$G179=0),"",ROUND($F179*INDEX(仪器设备工时分配表!$K$6:$K$245,$W179)/$G179,2))</f>
        <v/>
      </c>
      <c r="N179" s="27" t="str">
        <f aca="false">IF(OR($A179="",$G179=0),"",ROUND($F179*INDEX(仪器设备工时分配表!$L$6:$L$245,$W179)/$G179,2))</f>
        <v/>
      </c>
      <c r="O179" s="27" t="str">
        <f aca="false">IF(OR($A179="",$G179=0),"",ROUND($F179*INDEX(仪器设备工时分配表!$M$6:$M$245,$W179)/$G179,2))</f>
        <v/>
      </c>
      <c r="P179" s="27" t="str">
        <f aca="false">IF(OR($A179="",$G179=0),"",ROUND($F179*INDEX(仪器设备工时分配表!$N$6:$N$245,$W179)/$G179,2))</f>
        <v/>
      </c>
      <c r="Q179" s="27" t="str">
        <f aca="false">IF(OR($A179="",$G179=0),"",ROUND($F179*INDEX(仪器设备工时分配表!$O$6:$O$245,$W179)/$G179,2))</f>
        <v/>
      </c>
      <c r="R179" s="27" t="str">
        <f aca="false">IF(OR($A179="",$G179=0),"",ROUND($F179*INDEX(仪器设备工时分配表!$P$6:$P$245,$W179)/$G179,2))</f>
        <v/>
      </c>
      <c r="S179" s="27" t="str">
        <f aca="false">IF(OR($A179="",$G179=0),"",ROUND($F179*INDEX(仪器设备工时分配表!$Q$6:$Q$245,$W179)/$G179,2))</f>
        <v/>
      </c>
      <c r="T179" s="27" t="str">
        <f aca="false">IF($A179="","",ROUND(SUM(J179:S179),2))</f>
        <v/>
      </c>
      <c r="U179" s="27" t="str">
        <f aca="false">IF($A179="","",ROUND($F179-T179,2))</f>
        <v/>
      </c>
      <c r="V179" s="43" t="str">
        <f aca="false">IF($A179="","",IF($D179="无形资产","⚠ 无形资产请在无形资产费用分配表登记",IF($W179=0,"⚠ 工时分配表无此资产当月记录",IF($X179&gt;1,"⚠ 工时分配表存在重复行","√ 正常"))))</f>
        <v/>
      </c>
      <c r="W179" s="47" t="n">
        <f aca="false">IF($A179="",0,IFERROR(MATCH($A179&amp;"|"&amp;$B179,仪器设备工时分配表!$V$6:$V$245,0),0))</f>
        <v>0</v>
      </c>
      <c r="X179" s="47" t="n">
        <f aca="false">IF($A179="",0,COUNTIFS(仪器设备工时分配表!$A$6:$A$245,$A179,仪器设备工时分配表!$B$6:$B$245,$B179))</f>
        <v>0</v>
      </c>
    </row>
    <row r="180" customFormat="false" ht="18" hidden="false" customHeight="true" outlineLevel="0" collapsed="false">
      <c r="A180" s="36"/>
      <c r="B180" s="36"/>
      <c r="C180" s="48" t="str">
        <f aca="false">IF($B180="","",IFERROR(VLOOKUP($B180,资产台账!$B$4:$N$53,2,0)&amp;"","台账中未登记"))</f>
        <v/>
      </c>
      <c r="D180" s="43" t="str">
        <f aca="false">IF($B180="","",IFERROR(VLOOKUP($B180,资产台账!$B$4:$N$53,3,0)&amp;"",""))</f>
        <v/>
      </c>
      <c r="E180" s="43" t="str">
        <f aca="false">IF($B180="","",IFERROR(VLOOKUP($B180,资产台账!$B$4:$N$53,10,0)&amp;"",""))</f>
        <v/>
      </c>
      <c r="F180" s="49" t="str">
        <f aca="false">IF($B180="","",IFERROR(VLOOKUP($B180,资产台账!$B$4:$N$53,9,0),0))</f>
        <v/>
      </c>
      <c r="G180" s="45" t="n">
        <f aca="false">IF(OR($A180="",$W180=0),0,INDEX(仪器设备工时分配表!$F$6:$F$245,$W180))</f>
        <v>0</v>
      </c>
      <c r="H180" s="45" t="n">
        <f aca="false">IF(OR($A180="",$W180=0),0,INDEX(仪器设备工时分配表!$R$6:$R$245,$W180))</f>
        <v>0</v>
      </c>
      <c r="I180" s="28" t="str">
        <f aca="false">IF(OR($A180="",$G180=0),"",$H180/$G180)</f>
        <v/>
      </c>
      <c r="J180" s="27" t="str">
        <f aca="false">IF(OR($A180="",$G180=0),"",ROUND($F180*INDEX(仪器设备工时分配表!$H$6:$H$245,$W180)/$G180,2))</f>
        <v/>
      </c>
      <c r="K180" s="27" t="str">
        <f aca="false">IF(OR($A180="",$G180=0),"",ROUND($F180*INDEX(仪器设备工时分配表!$I$6:$I$245,$W180)/$G180,2))</f>
        <v/>
      </c>
      <c r="L180" s="27" t="str">
        <f aca="false">IF(OR($A180="",$G180=0),"",ROUND($F180*INDEX(仪器设备工时分配表!$J$6:$J$245,$W180)/$G180,2))</f>
        <v/>
      </c>
      <c r="M180" s="27" t="str">
        <f aca="false">IF(OR($A180="",$G180=0),"",ROUND($F180*INDEX(仪器设备工时分配表!$K$6:$K$245,$W180)/$G180,2))</f>
        <v/>
      </c>
      <c r="N180" s="27" t="str">
        <f aca="false">IF(OR($A180="",$G180=0),"",ROUND($F180*INDEX(仪器设备工时分配表!$L$6:$L$245,$W180)/$G180,2))</f>
        <v/>
      </c>
      <c r="O180" s="27" t="str">
        <f aca="false">IF(OR($A180="",$G180=0),"",ROUND($F180*INDEX(仪器设备工时分配表!$M$6:$M$245,$W180)/$G180,2))</f>
        <v/>
      </c>
      <c r="P180" s="27" t="str">
        <f aca="false">IF(OR($A180="",$G180=0),"",ROUND($F180*INDEX(仪器设备工时分配表!$N$6:$N$245,$W180)/$G180,2))</f>
        <v/>
      </c>
      <c r="Q180" s="27" t="str">
        <f aca="false">IF(OR($A180="",$G180=0),"",ROUND($F180*INDEX(仪器设备工时分配表!$O$6:$O$245,$W180)/$G180,2))</f>
        <v/>
      </c>
      <c r="R180" s="27" t="str">
        <f aca="false">IF(OR($A180="",$G180=0),"",ROUND($F180*INDEX(仪器设备工时分配表!$P$6:$P$245,$W180)/$G180,2))</f>
        <v/>
      </c>
      <c r="S180" s="27" t="str">
        <f aca="false">IF(OR($A180="",$G180=0),"",ROUND($F180*INDEX(仪器设备工时分配表!$Q$6:$Q$245,$W180)/$G180,2))</f>
        <v/>
      </c>
      <c r="T180" s="27" t="str">
        <f aca="false">IF($A180="","",ROUND(SUM(J180:S180),2))</f>
        <v/>
      </c>
      <c r="U180" s="27" t="str">
        <f aca="false">IF($A180="","",ROUND($F180-T180,2))</f>
        <v/>
      </c>
      <c r="V180" s="43" t="str">
        <f aca="false">IF($A180="","",IF($D180="无形资产","⚠ 无形资产请在无形资产费用分配表登记",IF($W180=0,"⚠ 工时分配表无此资产当月记录",IF($X180&gt;1,"⚠ 工时分配表存在重复行","√ 正常"))))</f>
        <v/>
      </c>
      <c r="W180" s="47" t="n">
        <f aca="false">IF($A180="",0,IFERROR(MATCH($A180&amp;"|"&amp;$B180,仪器设备工时分配表!$V$6:$V$245,0),0))</f>
        <v>0</v>
      </c>
      <c r="X180" s="47" t="n">
        <f aca="false">IF($A180="",0,COUNTIFS(仪器设备工时分配表!$A$6:$A$245,$A180,仪器设备工时分配表!$B$6:$B$245,$B180))</f>
        <v>0</v>
      </c>
    </row>
    <row r="181" customFormat="false" ht="18" hidden="false" customHeight="true" outlineLevel="0" collapsed="false">
      <c r="A181" s="36"/>
      <c r="B181" s="36"/>
      <c r="C181" s="48" t="str">
        <f aca="false">IF($B181="","",IFERROR(VLOOKUP($B181,资产台账!$B$4:$N$53,2,0)&amp;"","台账中未登记"))</f>
        <v/>
      </c>
      <c r="D181" s="43" t="str">
        <f aca="false">IF($B181="","",IFERROR(VLOOKUP($B181,资产台账!$B$4:$N$53,3,0)&amp;"",""))</f>
        <v/>
      </c>
      <c r="E181" s="43" t="str">
        <f aca="false">IF($B181="","",IFERROR(VLOOKUP($B181,资产台账!$B$4:$N$53,10,0)&amp;"",""))</f>
        <v/>
      </c>
      <c r="F181" s="49" t="str">
        <f aca="false">IF($B181="","",IFERROR(VLOOKUP($B181,资产台账!$B$4:$N$53,9,0),0))</f>
        <v/>
      </c>
      <c r="G181" s="45" t="n">
        <f aca="false">IF(OR($A181="",$W181=0),0,INDEX(仪器设备工时分配表!$F$6:$F$245,$W181))</f>
        <v>0</v>
      </c>
      <c r="H181" s="45" t="n">
        <f aca="false">IF(OR($A181="",$W181=0),0,INDEX(仪器设备工时分配表!$R$6:$R$245,$W181))</f>
        <v>0</v>
      </c>
      <c r="I181" s="28" t="str">
        <f aca="false">IF(OR($A181="",$G181=0),"",$H181/$G181)</f>
        <v/>
      </c>
      <c r="J181" s="27" t="str">
        <f aca="false">IF(OR($A181="",$G181=0),"",ROUND($F181*INDEX(仪器设备工时分配表!$H$6:$H$245,$W181)/$G181,2))</f>
        <v/>
      </c>
      <c r="K181" s="27" t="str">
        <f aca="false">IF(OR($A181="",$G181=0),"",ROUND($F181*INDEX(仪器设备工时分配表!$I$6:$I$245,$W181)/$G181,2))</f>
        <v/>
      </c>
      <c r="L181" s="27" t="str">
        <f aca="false">IF(OR($A181="",$G181=0),"",ROUND($F181*INDEX(仪器设备工时分配表!$J$6:$J$245,$W181)/$G181,2))</f>
        <v/>
      </c>
      <c r="M181" s="27" t="str">
        <f aca="false">IF(OR($A181="",$G181=0),"",ROUND($F181*INDEX(仪器设备工时分配表!$K$6:$K$245,$W181)/$G181,2))</f>
        <v/>
      </c>
      <c r="N181" s="27" t="str">
        <f aca="false">IF(OR($A181="",$G181=0),"",ROUND($F181*INDEX(仪器设备工时分配表!$L$6:$L$245,$W181)/$G181,2))</f>
        <v/>
      </c>
      <c r="O181" s="27" t="str">
        <f aca="false">IF(OR($A181="",$G181=0),"",ROUND($F181*INDEX(仪器设备工时分配表!$M$6:$M$245,$W181)/$G181,2))</f>
        <v/>
      </c>
      <c r="P181" s="27" t="str">
        <f aca="false">IF(OR($A181="",$G181=0),"",ROUND($F181*INDEX(仪器设备工时分配表!$N$6:$N$245,$W181)/$G181,2))</f>
        <v/>
      </c>
      <c r="Q181" s="27" t="str">
        <f aca="false">IF(OR($A181="",$G181=0),"",ROUND($F181*INDEX(仪器设备工时分配表!$O$6:$O$245,$W181)/$G181,2))</f>
        <v/>
      </c>
      <c r="R181" s="27" t="str">
        <f aca="false">IF(OR($A181="",$G181=0),"",ROUND($F181*INDEX(仪器设备工时分配表!$P$6:$P$245,$W181)/$G181,2))</f>
        <v/>
      </c>
      <c r="S181" s="27" t="str">
        <f aca="false">IF(OR($A181="",$G181=0),"",ROUND($F181*INDEX(仪器设备工时分配表!$Q$6:$Q$245,$W181)/$G181,2))</f>
        <v/>
      </c>
      <c r="T181" s="27" t="str">
        <f aca="false">IF($A181="","",ROUND(SUM(J181:S181),2))</f>
        <v/>
      </c>
      <c r="U181" s="27" t="str">
        <f aca="false">IF($A181="","",ROUND($F181-T181,2))</f>
        <v/>
      </c>
      <c r="V181" s="43" t="str">
        <f aca="false">IF($A181="","",IF($D181="无形资产","⚠ 无形资产请在无形资产费用分配表登记",IF($W181=0,"⚠ 工时分配表无此资产当月记录",IF($X181&gt;1,"⚠ 工时分配表存在重复行","√ 正常"))))</f>
        <v/>
      </c>
      <c r="W181" s="47" t="n">
        <f aca="false">IF($A181="",0,IFERROR(MATCH($A181&amp;"|"&amp;$B181,仪器设备工时分配表!$V$6:$V$245,0),0))</f>
        <v>0</v>
      </c>
      <c r="X181" s="47" t="n">
        <f aca="false">IF($A181="",0,COUNTIFS(仪器设备工时分配表!$A$6:$A$245,$A181,仪器设备工时分配表!$B$6:$B$245,$B181))</f>
        <v>0</v>
      </c>
    </row>
    <row r="182" customFormat="false" ht="18" hidden="false" customHeight="true" outlineLevel="0" collapsed="false">
      <c r="A182" s="36"/>
      <c r="B182" s="36"/>
      <c r="C182" s="48" t="str">
        <f aca="false">IF($B182="","",IFERROR(VLOOKUP($B182,资产台账!$B$4:$N$53,2,0)&amp;"","台账中未登记"))</f>
        <v/>
      </c>
      <c r="D182" s="43" t="str">
        <f aca="false">IF($B182="","",IFERROR(VLOOKUP($B182,资产台账!$B$4:$N$53,3,0)&amp;"",""))</f>
        <v/>
      </c>
      <c r="E182" s="43" t="str">
        <f aca="false">IF($B182="","",IFERROR(VLOOKUP($B182,资产台账!$B$4:$N$53,10,0)&amp;"",""))</f>
        <v/>
      </c>
      <c r="F182" s="49" t="str">
        <f aca="false">IF($B182="","",IFERROR(VLOOKUP($B182,资产台账!$B$4:$N$53,9,0),0))</f>
        <v/>
      </c>
      <c r="G182" s="45" t="n">
        <f aca="false">IF(OR($A182="",$W182=0),0,INDEX(仪器设备工时分配表!$F$6:$F$245,$W182))</f>
        <v>0</v>
      </c>
      <c r="H182" s="45" t="n">
        <f aca="false">IF(OR($A182="",$W182=0),0,INDEX(仪器设备工时分配表!$R$6:$R$245,$W182))</f>
        <v>0</v>
      </c>
      <c r="I182" s="28" t="str">
        <f aca="false">IF(OR($A182="",$G182=0),"",$H182/$G182)</f>
        <v/>
      </c>
      <c r="J182" s="27" t="str">
        <f aca="false">IF(OR($A182="",$G182=0),"",ROUND($F182*INDEX(仪器设备工时分配表!$H$6:$H$245,$W182)/$G182,2))</f>
        <v/>
      </c>
      <c r="K182" s="27" t="str">
        <f aca="false">IF(OR($A182="",$G182=0),"",ROUND($F182*INDEX(仪器设备工时分配表!$I$6:$I$245,$W182)/$G182,2))</f>
        <v/>
      </c>
      <c r="L182" s="27" t="str">
        <f aca="false">IF(OR($A182="",$G182=0),"",ROUND($F182*INDEX(仪器设备工时分配表!$J$6:$J$245,$W182)/$G182,2))</f>
        <v/>
      </c>
      <c r="M182" s="27" t="str">
        <f aca="false">IF(OR($A182="",$G182=0),"",ROUND($F182*INDEX(仪器设备工时分配表!$K$6:$K$245,$W182)/$G182,2))</f>
        <v/>
      </c>
      <c r="N182" s="27" t="str">
        <f aca="false">IF(OR($A182="",$G182=0),"",ROUND($F182*INDEX(仪器设备工时分配表!$L$6:$L$245,$W182)/$G182,2))</f>
        <v/>
      </c>
      <c r="O182" s="27" t="str">
        <f aca="false">IF(OR($A182="",$G182=0),"",ROUND($F182*INDEX(仪器设备工时分配表!$M$6:$M$245,$W182)/$G182,2))</f>
        <v/>
      </c>
      <c r="P182" s="27" t="str">
        <f aca="false">IF(OR($A182="",$G182=0),"",ROUND($F182*INDEX(仪器设备工时分配表!$N$6:$N$245,$W182)/$G182,2))</f>
        <v/>
      </c>
      <c r="Q182" s="27" t="str">
        <f aca="false">IF(OR($A182="",$G182=0),"",ROUND($F182*INDEX(仪器设备工时分配表!$O$6:$O$245,$W182)/$G182,2))</f>
        <v/>
      </c>
      <c r="R182" s="27" t="str">
        <f aca="false">IF(OR($A182="",$G182=0),"",ROUND($F182*INDEX(仪器设备工时分配表!$P$6:$P$245,$W182)/$G182,2))</f>
        <v/>
      </c>
      <c r="S182" s="27" t="str">
        <f aca="false">IF(OR($A182="",$G182=0),"",ROUND($F182*INDEX(仪器设备工时分配表!$Q$6:$Q$245,$W182)/$G182,2))</f>
        <v/>
      </c>
      <c r="T182" s="27" t="str">
        <f aca="false">IF($A182="","",ROUND(SUM(J182:S182),2))</f>
        <v/>
      </c>
      <c r="U182" s="27" t="str">
        <f aca="false">IF($A182="","",ROUND($F182-T182,2))</f>
        <v/>
      </c>
      <c r="V182" s="43" t="str">
        <f aca="false">IF($A182="","",IF($D182="无形资产","⚠ 无形资产请在无形资产费用分配表登记",IF($W182=0,"⚠ 工时分配表无此资产当月记录",IF($X182&gt;1,"⚠ 工时分配表存在重复行","√ 正常"))))</f>
        <v/>
      </c>
      <c r="W182" s="47" t="n">
        <f aca="false">IF($A182="",0,IFERROR(MATCH($A182&amp;"|"&amp;$B182,仪器设备工时分配表!$V$6:$V$245,0),0))</f>
        <v>0</v>
      </c>
      <c r="X182" s="47" t="n">
        <f aca="false">IF($A182="",0,COUNTIFS(仪器设备工时分配表!$A$6:$A$245,$A182,仪器设备工时分配表!$B$6:$B$245,$B182))</f>
        <v>0</v>
      </c>
    </row>
    <row r="183" customFormat="false" ht="18" hidden="false" customHeight="true" outlineLevel="0" collapsed="false">
      <c r="A183" s="36"/>
      <c r="B183" s="36"/>
      <c r="C183" s="48" t="str">
        <f aca="false">IF($B183="","",IFERROR(VLOOKUP($B183,资产台账!$B$4:$N$53,2,0)&amp;"","台账中未登记"))</f>
        <v/>
      </c>
      <c r="D183" s="43" t="str">
        <f aca="false">IF($B183="","",IFERROR(VLOOKUP($B183,资产台账!$B$4:$N$53,3,0)&amp;"",""))</f>
        <v/>
      </c>
      <c r="E183" s="43" t="str">
        <f aca="false">IF($B183="","",IFERROR(VLOOKUP($B183,资产台账!$B$4:$N$53,10,0)&amp;"",""))</f>
        <v/>
      </c>
      <c r="F183" s="49" t="str">
        <f aca="false">IF($B183="","",IFERROR(VLOOKUP($B183,资产台账!$B$4:$N$53,9,0),0))</f>
        <v/>
      </c>
      <c r="G183" s="45" t="n">
        <f aca="false">IF(OR($A183="",$W183=0),0,INDEX(仪器设备工时分配表!$F$6:$F$245,$W183))</f>
        <v>0</v>
      </c>
      <c r="H183" s="45" t="n">
        <f aca="false">IF(OR($A183="",$W183=0),0,INDEX(仪器设备工时分配表!$R$6:$R$245,$W183))</f>
        <v>0</v>
      </c>
      <c r="I183" s="28" t="str">
        <f aca="false">IF(OR($A183="",$G183=0),"",$H183/$G183)</f>
        <v/>
      </c>
      <c r="J183" s="27" t="str">
        <f aca="false">IF(OR($A183="",$G183=0),"",ROUND($F183*INDEX(仪器设备工时分配表!$H$6:$H$245,$W183)/$G183,2))</f>
        <v/>
      </c>
      <c r="K183" s="27" t="str">
        <f aca="false">IF(OR($A183="",$G183=0),"",ROUND($F183*INDEX(仪器设备工时分配表!$I$6:$I$245,$W183)/$G183,2))</f>
        <v/>
      </c>
      <c r="L183" s="27" t="str">
        <f aca="false">IF(OR($A183="",$G183=0),"",ROUND($F183*INDEX(仪器设备工时分配表!$J$6:$J$245,$W183)/$G183,2))</f>
        <v/>
      </c>
      <c r="M183" s="27" t="str">
        <f aca="false">IF(OR($A183="",$G183=0),"",ROUND($F183*INDEX(仪器设备工时分配表!$K$6:$K$245,$W183)/$G183,2))</f>
        <v/>
      </c>
      <c r="N183" s="27" t="str">
        <f aca="false">IF(OR($A183="",$G183=0),"",ROUND($F183*INDEX(仪器设备工时分配表!$L$6:$L$245,$W183)/$G183,2))</f>
        <v/>
      </c>
      <c r="O183" s="27" t="str">
        <f aca="false">IF(OR($A183="",$G183=0),"",ROUND($F183*INDEX(仪器设备工时分配表!$M$6:$M$245,$W183)/$G183,2))</f>
        <v/>
      </c>
      <c r="P183" s="27" t="str">
        <f aca="false">IF(OR($A183="",$G183=0),"",ROUND($F183*INDEX(仪器设备工时分配表!$N$6:$N$245,$W183)/$G183,2))</f>
        <v/>
      </c>
      <c r="Q183" s="27" t="str">
        <f aca="false">IF(OR($A183="",$G183=0),"",ROUND($F183*INDEX(仪器设备工时分配表!$O$6:$O$245,$W183)/$G183,2))</f>
        <v/>
      </c>
      <c r="R183" s="27" t="str">
        <f aca="false">IF(OR($A183="",$G183=0),"",ROUND($F183*INDEX(仪器设备工时分配表!$P$6:$P$245,$W183)/$G183,2))</f>
        <v/>
      </c>
      <c r="S183" s="27" t="str">
        <f aca="false">IF(OR($A183="",$G183=0),"",ROUND($F183*INDEX(仪器设备工时分配表!$Q$6:$Q$245,$W183)/$G183,2))</f>
        <v/>
      </c>
      <c r="T183" s="27" t="str">
        <f aca="false">IF($A183="","",ROUND(SUM(J183:S183),2))</f>
        <v/>
      </c>
      <c r="U183" s="27" t="str">
        <f aca="false">IF($A183="","",ROUND($F183-T183,2))</f>
        <v/>
      </c>
      <c r="V183" s="43" t="str">
        <f aca="false">IF($A183="","",IF($D183="无形资产","⚠ 无形资产请在无形资产费用分配表登记",IF($W183=0,"⚠ 工时分配表无此资产当月记录",IF($X183&gt;1,"⚠ 工时分配表存在重复行","√ 正常"))))</f>
        <v/>
      </c>
      <c r="W183" s="47" t="n">
        <f aca="false">IF($A183="",0,IFERROR(MATCH($A183&amp;"|"&amp;$B183,仪器设备工时分配表!$V$6:$V$245,0),0))</f>
        <v>0</v>
      </c>
      <c r="X183" s="47" t="n">
        <f aca="false">IF($A183="",0,COUNTIFS(仪器设备工时分配表!$A$6:$A$245,$A183,仪器设备工时分配表!$B$6:$B$245,$B183))</f>
        <v>0</v>
      </c>
    </row>
    <row r="184" customFormat="false" ht="18" hidden="false" customHeight="true" outlineLevel="0" collapsed="false">
      <c r="A184" s="36"/>
      <c r="B184" s="36"/>
      <c r="C184" s="48" t="str">
        <f aca="false">IF($B184="","",IFERROR(VLOOKUP($B184,资产台账!$B$4:$N$53,2,0)&amp;"","台账中未登记"))</f>
        <v/>
      </c>
      <c r="D184" s="43" t="str">
        <f aca="false">IF($B184="","",IFERROR(VLOOKUP($B184,资产台账!$B$4:$N$53,3,0)&amp;"",""))</f>
        <v/>
      </c>
      <c r="E184" s="43" t="str">
        <f aca="false">IF($B184="","",IFERROR(VLOOKUP($B184,资产台账!$B$4:$N$53,10,0)&amp;"",""))</f>
        <v/>
      </c>
      <c r="F184" s="49" t="str">
        <f aca="false">IF($B184="","",IFERROR(VLOOKUP($B184,资产台账!$B$4:$N$53,9,0),0))</f>
        <v/>
      </c>
      <c r="G184" s="45" t="n">
        <f aca="false">IF(OR($A184="",$W184=0),0,INDEX(仪器设备工时分配表!$F$6:$F$245,$W184))</f>
        <v>0</v>
      </c>
      <c r="H184" s="45" t="n">
        <f aca="false">IF(OR($A184="",$W184=0),0,INDEX(仪器设备工时分配表!$R$6:$R$245,$W184))</f>
        <v>0</v>
      </c>
      <c r="I184" s="28" t="str">
        <f aca="false">IF(OR($A184="",$G184=0),"",$H184/$G184)</f>
        <v/>
      </c>
      <c r="J184" s="27" t="str">
        <f aca="false">IF(OR($A184="",$G184=0),"",ROUND($F184*INDEX(仪器设备工时分配表!$H$6:$H$245,$W184)/$G184,2))</f>
        <v/>
      </c>
      <c r="K184" s="27" t="str">
        <f aca="false">IF(OR($A184="",$G184=0),"",ROUND($F184*INDEX(仪器设备工时分配表!$I$6:$I$245,$W184)/$G184,2))</f>
        <v/>
      </c>
      <c r="L184" s="27" t="str">
        <f aca="false">IF(OR($A184="",$G184=0),"",ROUND($F184*INDEX(仪器设备工时分配表!$J$6:$J$245,$W184)/$G184,2))</f>
        <v/>
      </c>
      <c r="M184" s="27" t="str">
        <f aca="false">IF(OR($A184="",$G184=0),"",ROUND($F184*INDEX(仪器设备工时分配表!$K$6:$K$245,$W184)/$G184,2))</f>
        <v/>
      </c>
      <c r="N184" s="27" t="str">
        <f aca="false">IF(OR($A184="",$G184=0),"",ROUND($F184*INDEX(仪器设备工时分配表!$L$6:$L$245,$W184)/$G184,2))</f>
        <v/>
      </c>
      <c r="O184" s="27" t="str">
        <f aca="false">IF(OR($A184="",$G184=0),"",ROUND($F184*INDEX(仪器设备工时分配表!$M$6:$M$245,$W184)/$G184,2))</f>
        <v/>
      </c>
      <c r="P184" s="27" t="str">
        <f aca="false">IF(OR($A184="",$G184=0),"",ROUND($F184*INDEX(仪器设备工时分配表!$N$6:$N$245,$W184)/$G184,2))</f>
        <v/>
      </c>
      <c r="Q184" s="27" t="str">
        <f aca="false">IF(OR($A184="",$G184=0),"",ROUND($F184*INDEX(仪器设备工时分配表!$O$6:$O$245,$W184)/$G184,2))</f>
        <v/>
      </c>
      <c r="R184" s="27" t="str">
        <f aca="false">IF(OR($A184="",$G184=0),"",ROUND($F184*INDEX(仪器设备工时分配表!$P$6:$P$245,$W184)/$G184,2))</f>
        <v/>
      </c>
      <c r="S184" s="27" t="str">
        <f aca="false">IF(OR($A184="",$G184=0),"",ROUND($F184*INDEX(仪器设备工时分配表!$Q$6:$Q$245,$W184)/$G184,2))</f>
        <v/>
      </c>
      <c r="T184" s="27" t="str">
        <f aca="false">IF($A184="","",ROUND(SUM(J184:S184),2))</f>
        <v/>
      </c>
      <c r="U184" s="27" t="str">
        <f aca="false">IF($A184="","",ROUND($F184-T184,2))</f>
        <v/>
      </c>
      <c r="V184" s="43" t="str">
        <f aca="false">IF($A184="","",IF($D184="无形资产","⚠ 无形资产请在无形资产费用分配表登记",IF($W184=0,"⚠ 工时分配表无此资产当月记录",IF($X184&gt;1,"⚠ 工时分配表存在重复行","√ 正常"))))</f>
        <v/>
      </c>
      <c r="W184" s="47" t="n">
        <f aca="false">IF($A184="",0,IFERROR(MATCH($A184&amp;"|"&amp;$B184,仪器设备工时分配表!$V$6:$V$245,0),0))</f>
        <v>0</v>
      </c>
      <c r="X184" s="47" t="n">
        <f aca="false">IF($A184="",0,COUNTIFS(仪器设备工时分配表!$A$6:$A$245,$A184,仪器设备工时分配表!$B$6:$B$245,$B184))</f>
        <v>0</v>
      </c>
    </row>
    <row r="185" customFormat="false" ht="18" hidden="false" customHeight="true" outlineLevel="0" collapsed="false">
      <c r="A185" s="36"/>
      <c r="B185" s="36"/>
      <c r="C185" s="48" t="str">
        <f aca="false">IF($B185="","",IFERROR(VLOOKUP($B185,资产台账!$B$4:$N$53,2,0)&amp;"","台账中未登记"))</f>
        <v/>
      </c>
      <c r="D185" s="43" t="str">
        <f aca="false">IF($B185="","",IFERROR(VLOOKUP($B185,资产台账!$B$4:$N$53,3,0)&amp;"",""))</f>
        <v/>
      </c>
      <c r="E185" s="43" t="str">
        <f aca="false">IF($B185="","",IFERROR(VLOOKUP($B185,资产台账!$B$4:$N$53,10,0)&amp;"",""))</f>
        <v/>
      </c>
      <c r="F185" s="49" t="str">
        <f aca="false">IF($B185="","",IFERROR(VLOOKUP($B185,资产台账!$B$4:$N$53,9,0),0))</f>
        <v/>
      </c>
      <c r="G185" s="45" t="n">
        <f aca="false">IF(OR($A185="",$W185=0),0,INDEX(仪器设备工时分配表!$F$6:$F$245,$W185))</f>
        <v>0</v>
      </c>
      <c r="H185" s="45" t="n">
        <f aca="false">IF(OR($A185="",$W185=0),0,INDEX(仪器设备工时分配表!$R$6:$R$245,$W185))</f>
        <v>0</v>
      </c>
      <c r="I185" s="28" t="str">
        <f aca="false">IF(OR($A185="",$G185=0),"",$H185/$G185)</f>
        <v/>
      </c>
      <c r="J185" s="27" t="str">
        <f aca="false">IF(OR($A185="",$G185=0),"",ROUND($F185*INDEX(仪器设备工时分配表!$H$6:$H$245,$W185)/$G185,2))</f>
        <v/>
      </c>
      <c r="K185" s="27" t="str">
        <f aca="false">IF(OR($A185="",$G185=0),"",ROUND($F185*INDEX(仪器设备工时分配表!$I$6:$I$245,$W185)/$G185,2))</f>
        <v/>
      </c>
      <c r="L185" s="27" t="str">
        <f aca="false">IF(OR($A185="",$G185=0),"",ROUND($F185*INDEX(仪器设备工时分配表!$J$6:$J$245,$W185)/$G185,2))</f>
        <v/>
      </c>
      <c r="M185" s="27" t="str">
        <f aca="false">IF(OR($A185="",$G185=0),"",ROUND($F185*INDEX(仪器设备工时分配表!$K$6:$K$245,$W185)/$G185,2))</f>
        <v/>
      </c>
      <c r="N185" s="27" t="str">
        <f aca="false">IF(OR($A185="",$G185=0),"",ROUND($F185*INDEX(仪器设备工时分配表!$L$6:$L$245,$W185)/$G185,2))</f>
        <v/>
      </c>
      <c r="O185" s="27" t="str">
        <f aca="false">IF(OR($A185="",$G185=0),"",ROUND($F185*INDEX(仪器设备工时分配表!$M$6:$M$245,$W185)/$G185,2))</f>
        <v/>
      </c>
      <c r="P185" s="27" t="str">
        <f aca="false">IF(OR($A185="",$G185=0),"",ROUND($F185*INDEX(仪器设备工时分配表!$N$6:$N$245,$W185)/$G185,2))</f>
        <v/>
      </c>
      <c r="Q185" s="27" t="str">
        <f aca="false">IF(OR($A185="",$G185=0),"",ROUND($F185*INDEX(仪器设备工时分配表!$O$6:$O$245,$W185)/$G185,2))</f>
        <v/>
      </c>
      <c r="R185" s="27" t="str">
        <f aca="false">IF(OR($A185="",$G185=0),"",ROUND($F185*INDEX(仪器设备工时分配表!$P$6:$P$245,$W185)/$G185,2))</f>
        <v/>
      </c>
      <c r="S185" s="27" t="str">
        <f aca="false">IF(OR($A185="",$G185=0),"",ROUND($F185*INDEX(仪器设备工时分配表!$Q$6:$Q$245,$W185)/$G185,2))</f>
        <v/>
      </c>
      <c r="T185" s="27" t="str">
        <f aca="false">IF($A185="","",ROUND(SUM(J185:S185),2))</f>
        <v/>
      </c>
      <c r="U185" s="27" t="str">
        <f aca="false">IF($A185="","",ROUND($F185-T185,2))</f>
        <v/>
      </c>
      <c r="V185" s="43" t="str">
        <f aca="false">IF($A185="","",IF($D185="无形资产","⚠ 无形资产请在无形资产费用分配表登记",IF($W185=0,"⚠ 工时分配表无此资产当月记录",IF($X185&gt;1,"⚠ 工时分配表存在重复行","√ 正常"))))</f>
        <v/>
      </c>
      <c r="W185" s="47" t="n">
        <f aca="false">IF($A185="",0,IFERROR(MATCH($A185&amp;"|"&amp;$B185,仪器设备工时分配表!$V$6:$V$245,0),0))</f>
        <v>0</v>
      </c>
      <c r="X185" s="47" t="n">
        <f aca="false">IF($A185="",0,COUNTIFS(仪器设备工时分配表!$A$6:$A$245,$A185,仪器设备工时分配表!$B$6:$B$245,$B185))</f>
        <v>0</v>
      </c>
    </row>
    <row r="186" customFormat="false" ht="18" hidden="false" customHeight="true" outlineLevel="0" collapsed="false">
      <c r="A186" s="36"/>
      <c r="B186" s="36"/>
      <c r="C186" s="48" t="str">
        <f aca="false">IF($B186="","",IFERROR(VLOOKUP($B186,资产台账!$B$4:$N$53,2,0)&amp;"","台账中未登记"))</f>
        <v/>
      </c>
      <c r="D186" s="43" t="str">
        <f aca="false">IF($B186="","",IFERROR(VLOOKUP($B186,资产台账!$B$4:$N$53,3,0)&amp;"",""))</f>
        <v/>
      </c>
      <c r="E186" s="43" t="str">
        <f aca="false">IF($B186="","",IFERROR(VLOOKUP($B186,资产台账!$B$4:$N$53,10,0)&amp;"",""))</f>
        <v/>
      </c>
      <c r="F186" s="49" t="str">
        <f aca="false">IF($B186="","",IFERROR(VLOOKUP($B186,资产台账!$B$4:$N$53,9,0),0))</f>
        <v/>
      </c>
      <c r="G186" s="45" t="n">
        <f aca="false">IF(OR($A186="",$W186=0),0,INDEX(仪器设备工时分配表!$F$6:$F$245,$W186))</f>
        <v>0</v>
      </c>
      <c r="H186" s="45" t="n">
        <f aca="false">IF(OR($A186="",$W186=0),0,INDEX(仪器设备工时分配表!$R$6:$R$245,$W186))</f>
        <v>0</v>
      </c>
      <c r="I186" s="28" t="str">
        <f aca="false">IF(OR($A186="",$G186=0),"",$H186/$G186)</f>
        <v/>
      </c>
      <c r="J186" s="27" t="str">
        <f aca="false">IF(OR($A186="",$G186=0),"",ROUND($F186*INDEX(仪器设备工时分配表!$H$6:$H$245,$W186)/$G186,2))</f>
        <v/>
      </c>
      <c r="K186" s="27" t="str">
        <f aca="false">IF(OR($A186="",$G186=0),"",ROUND($F186*INDEX(仪器设备工时分配表!$I$6:$I$245,$W186)/$G186,2))</f>
        <v/>
      </c>
      <c r="L186" s="27" t="str">
        <f aca="false">IF(OR($A186="",$G186=0),"",ROUND($F186*INDEX(仪器设备工时分配表!$J$6:$J$245,$W186)/$G186,2))</f>
        <v/>
      </c>
      <c r="M186" s="27" t="str">
        <f aca="false">IF(OR($A186="",$G186=0),"",ROUND($F186*INDEX(仪器设备工时分配表!$K$6:$K$245,$W186)/$G186,2))</f>
        <v/>
      </c>
      <c r="N186" s="27" t="str">
        <f aca="false">IF(OR($A186="",$G186=0),"",ROUND($F186*INDEX(仪器设备工时分配表!$L$6:$L$245,$W186)/$G186,2))</f>
        <v/>
      </c>
      <c r="O186" s="27" t="str">
        <f aca="false">IF(OR($A186="",$G186=0),"",ROUND($F186*INDEX(仪器设备工时分配表!$M$6:$M$245,$W186)/$G186,2))</f>
        <v/>
      </c>
      <c r="P186" s="27" t="str">
        <f aca="false">IF(OR($A186="",$G186=0),"",ROUND($F186*INDEX(仪器设备工时分配表!$N$6:$N$245,$W186)/$G186,2))</f>
        <v/>
      </c>
      <c r="Q186" s="27" t="str">
        <f aca="false">IF(OR($A186="",$G186=0),"",ROUND($F186*INDEX(仪器设备工时分配表!$O$6:$O$245,$W186)/$G186,2))</f>
        <v/>
      </c>
      <c r="R186" s="27" t="str">
        <f aca="false">IF(OR($A186="",$G186=0),"",ROUND($F186*INDEX(仪器设备工时分配表!$P$6:$P$245,$W186)/$G186,2))</f>
        <v/>
      </c>
      <c r="S186" s="27" t="str">
        <f aca="false">IF(OR($A186="",$G186=0),"",ROUND($F186*INDEX(仪器设备工时分配表!$Q$6:$Q$245,$W186)/$G186,2))</f>
        <v/>
      </c>
      <c r="T186" s="27" t="str">
        <f aca="false">IF($A186="","",ROUND(SUM(J186:S186),2))</f>
        <v/>
      </c>
      <c r="U186" s="27" t="str">
        <f aca="false">IF($A186="","",ROUND($F186-T186,2))</f>
        <v/>
      </c>
      <c r="V186" s="43" t="str">
        <f aca="false">IF($A186="","",IF($D186="无形资产","⚠ 无形资产请在无形资产费用分配表登记",IF($W186=0,"⚠ 工时分配表无此资产当月记录",IF($X186&gt;1,"⚠ 工时分配表存在重复行","√ 正常"))))</f>
        <v/>
      </c>
      <c r="W186" s="47" t="n">
        <f aca="false">IF($A186="",0,IFERROR(MATCH($A186&amp;"|"&amp;$B186,仪器设备工时分配表!$V$6:$V$245,0),0))</f>
        <v>0</v>
      </c>
      <c r="X186" s="47" t="n">
        <f aca="false">IF($A186="",0,COUNTIFS(仪器设备工时分配表!$A$6:$A$245,$A186,仪器设备工时分配表!$B$6:$B$245,$B186))</f>
        <v>0</v>
      </c>
    </row>
    <row r="187" customFormat="false" ht="18" hidden="false" customHeight="true" outlineLevel="0" collapsed="false">
      <c r="A187" s="36"/>
      <c r="B187" s="36"/>
      <c r="C187" s="48" t="str">
        <f aca="false">IF($B187="","",IFERROR(VLOOKUP($B187,资产台账!$B$4:$N$53,2,0)&amp;"","台账中未登记"))</f>
        <v/>
      </c>
      <c r="D187" s="43" t="str">
        <f aca="false">IF($B187="","",IFERROR(VLOOKUP($B187,资产台账!$B$4:$N$53,3,0)&amp;"",""))</f>
        <v/>
      </c>
      <c r="E187" s="43" t="str">
        <f aca="false">IF($B187="","",IFERROR(VLOOKUP($B187,资产台账!$B$4:$N$53,10,0)&amp;"",""))</f>
        <v/>
      </c>
      <c r="F187" s="49" t="str">
        <f aca="false">IF($B187="","",IFERROR(VLOOKUP($B187,资产台账!$B$4:$N$53,9,0),0))</f>
        <v/>
      </c>
      <c r="G187" s="45" t="n">
        <f aca="false">IF(OR($A187="",$W187=0),0,INDEX(仪器设备工时分配表!$F$6:$F$245,$W187))</f>
        <v>0</v>
      </c>
      <c r="H187" s="45" t="n">
        <f aca="false">IF(OR($A187="",$W187=0),0,INDEX(仪器设备工时分配表!$R$6:$R$245,$W187))</f>
        <v>0</v>
      </c>
      <c r="I187" s="28" t="str">
        <f aca="false">IF(OR($A187="",$G187=0),"",$H187/$G187)</f>
        <v/>
      </c>
      <c r="J187" s="27" t="str">
        <f aca="false">IF(OR($A187="",$G187=0),"",ROUND($F187*INDEX(仪器设备工时分配表!$H$6:$H$245,$W187)/$G187,2))</f>
        <v/>
      </c>
      <c r="K187" s="27" t="str">
        <f aca="false">IF(OR($A187="",$G187=0),"",ROUND($F187*INDEX(仪器设备工时分配表!$I$6:$I$245,$W187)/$G187,2))</f>
        <v/>
      </c>
      <c r="L187" s="27" t="str">
        <f aca="false">IF(OR($A187="",$G187=0),"",ROUND($F187*INDEX(仪器设备工时分配表!$J$6:$J$245,$W187)/$G187,2))</f>
        <v/>
      </c>
      <c r="M187" s="27" t="str">
        <f aca="false">IF(OR($A187="",$G187=0),"",ROUND($F187*INDEX(仪器设备工时分配表!$K$6:$K$245,$W187)/$G187,2))</f>
        <v/>
      </c>
      <c r="N187" s="27" t="str">
        <f aca="false">IF(OR($A187="",$G187=0),"",ROUND($F187*INDEX(仪器设备工时分配表!$L$6:$L$245,$W187)/$G187,2))</f>
        <v/>
      </c>
      <c r="O187" s="27" t="str">
        <f aca="false">IF(OR($A187="",$G187=0),"",ROUND($F187*INDEX(仪器设备工时分配表!$M$6:$M$245,$W187)/$G187,2))</f>
        <v/>
      </c>
      <c r="P187" s="27" t="str">
        <f aca="false">IF(OR($A187="",$G187=0),"",ROUND($F187*INDEX(仪器设备工时分配表!$N$6:$N$245,$W187)/$G187,2))</f>
        <v/>
      </c>
      <c r="Q187" s="27" t="str">
        <f aca="false">IF(OR($A187="",$G187=0),"",ROUND($F187*INDEX(仪器设备工时分配表!$O$6:$O$245,$W187)/$G187,2))</f>
        <v/>
      </c>
      <c r="R187" s="27" t="str">
        <f aca="false">IF(OR($A187="",$G187=0),"",ROUND($F187*INDEX(仪器设备工时分配表!$P$6:$P$245,$W187)/$G187,2))</f>
        <v/>
      </c>
      <c r="S187" s="27" t="str">
        <f aca="false">IF(OR($A187="",$G187=0),"",ROUND($F187*INDEX(仪器设备工时分配表!$Q$6:$Q$245,$W187)/$G187,2))</f>
        <v/>
      </c>
      <c r="T187" s="27" t="str">
        <f aca="false">IF($A187="","",ROUND(SUM(J187:S187),2))</f>
        <v/>
      </c>
      <c r="U187" s="27" t="str">
        <f aca="false">IF($A187="","",ROUND($F187-T187,2))</f>
        <v/>
      </c>
      <c r="V187" s="43" t="str">
        <f aca="false">IF($A187="","",IF($D187="无形资产","⚠ 无形资产请在无形资产费用分配表登记",IF($W187=0,"⚠ 工时分配表无此资产当月记录",IF($X187&gt;1,"⚠ 工时分配表存在重复行","√ 正常"))))</f>
        <v/>
      </c>
      <c r="W187" s="47" t="n">
        <f aca="false">IF($A187="",0,IFERROR(MATCH($A187&amp;"|"&amp;$B187,仪器设备工时分配表!$V$6:$V$245,0),0))</f>
        <v>0</v>
      </c>
      <c r="X187" s="47" t="n">
        <f aca="false">IF($A187="",0,COUNTIFS(仪器设备工时分配表!$A$6:$A$245,$A187,仪器设备工时分配表!$B$6:$B$245,$B187))</f>
        <v>0</v>
      </c>
    </row>
    <row r="188" customFormat="false" ht="18" hidden="false" customHeight="true" outlineLevel="0" collapsed="false">
      <c r="A188" s="36"/>
      <c r="B188" s="36"/>
      <c r="C188" s="48" t="str">
        <f aca="false">IF($B188="","",IFERROR(VLOOKUP($B188,资产台账!$B$4:$N$53,2,0)&amp;"","台账中未登记"))</f>
        <v/>
      </c>
      <c r="D188" s="43" t="str">
        <f aca="false">IF($B188="","",IFERROR(VLOOKUP($B188,资产台账!$B$4:$N$53,3,0)&amp;"",""))</f>
        <v/>
      </c>
      <c r="E188" s="43" t="str">
        <f aca="false">IF($B188="","",IFERROR(VLOOKUP($B188,资产台账!$B$4:$N$53,10,0)&amp;"",""))</f>
        <v/>
      </c>
      <c r="F188" s="49" t="str">
        <f aca="false">IF($B188="","",IFERROR(VLOOKUP($B188,资产台账!$B$4:$N$53,9,0),0))</f>
        <v/>
      </c>
      <c r="G188" s="45" t="n">
        <f aca="false">IF(OR($A188="",$W188=0),0,INDEX(仪器设备工时分配表!$F$6:$F$245,$W188))</f>
        <v>0</v>
      </c>
      <c r="H188" s="45" t="n">
        <f aca="false">IF(OR($A188="",$W188=0),0,INDEX(仪器设备工时分配表!$R$6:$R$245,$W188))</f>
        <v>0</v>
      </c>
      <c r="I188" s="28" t="str">
        <f aca="false">IF(OR($A188="",$G188=0),"",$H188/$G188)</f>
        <v/>
      </c>
      <c r="J188" s="27" t="str">
        <f aca="false">IF(OR($A188="",$G188=0),"",ROUND($F188*INDEX(仪器设备工时分配表!$H$6:$H$245,$W188)/$G188,2))</f>
        <v/>
      </c>
      <c r="K188" s="27" t="str">
        <f aca="false">IF(OR($A188="",$G188=0),"",ROUND($F188*INDEX(仪器设备工时分配表!$I$6:$I$245,$W188)/$G188,2))</f>
        <v/>
      </c>
      <c r="L188" s="27" t="str">
        <f aca="false">IF(OR($A188="",$G188=0),"",ROUND($F188*INDEX(仪器设备工时分配表!$J$6:$J$245,$W188)/$G188,2))</f>
        <v/>
      </c>
      <c r="M188" s="27" t="str">
        <f aca="false">IF(OR($A188="",$G188=0),"",ROUND($F188*INDEX(仪器设备工时分配表!$K$6:$K$245,$W188)/$G188,2))</f>
        <v/>
      </c>
      <c r="N188" s="27" t="str">
        <f aca="false">IF(OR($A188="",$G188=0),"",ROUND($F188*INDEX(仪器设备工时分配表!$L$6:$L$245,$W188)/$G188,2))</f>
        <v/>
      </c>
      <c r="O188" s="27" t="str">
        <f aca="false">IF(OR($A188="",$G188=0),"",ROUND($F188*INDEX(仪器设备工时分配表!$M$6:$M$245,$W188)/$G188,2))</f>
        <v/>
      </c>
      <c r="P188" s="27" t="str">
        <f aca="false">IF(OR($A188="",$G188=0),"",ROUND($F188*INDEX(仪器设备工时分配表!$N$6:$N$245,$W188)/$G188,2))</f>
        <v/>
      </c>
      <c r="Q188" s="27" t="str">
        <f aca="false">IF(OR($A188="",$G188=0),"",ROUND($F188*INDEX(仪器设备工时分配表!$O$6:$O$245,$W188)/$G188,2))</f>
        <v/>
      </c>
      <c r="R188" s="27" t="str">
        <f aca="false">IF(OR($A188="",$G188=0),"",ROUND($F188*INDEX(仪器设备工时分配表!$P$6:$P$245,$W188)/$G188,2))</f>
        <v/>
      </c>
      <c r="S188" s="27" t="str">
        <f aca="false">IF(OR($A188="",$G188=0),"",ROUND($F188*INDEX(仪器设备工时分配表!$Q$6:$Q$245,$W188)/$G188,2))</f>
        <v/>
      </c>
      <c r="T188" s="27" t="str">
        <f aca="false">IF($A188="","",ROUND(SUM(J188:S188),2))</f>
        <v/>
      </c>
      <c r="U188" s="27" t="str">
        <f aca="false">IF($A188="","",ROUND($F188-T188,2))</f>
        <v/>
      </c>
      <c r="V188" s="43" t="str">
        <f aca="false">IF($A188="","",IF($D188="无形资产","⚠ 无形资产请在无形资产费用分配表登记",IF($W188=0,"⚠ 工时分配表无此资产当月记录",IF($X188&gt;1,"⚠ 工时分配表存在重复行","√ 正常"))))</f>
        <v/>
      </c>
      <c r="W188" s="47" t="n">
        <f aca="false">IF($A188="",0,IFERROR(MATCH($A188&amp;"|"&amp;$B188,仪器设备工时分配表!$V$6:$V$245,0),0))</f>
        <v>0</v>
      </c>
      <c r="X188" s="47" t="n">
        <f aca="false">IF($A188="",0,COUNTIFS(仪器设备工时分配表!$A$6:$A$245,$A188,仪器设备工时分配表!$B$6:$B$245,$B188))</f>
        <v>0</v>
      </c>
    </row>
    <row r="189" customFormat="false" ht="18" hidden="false" customHeight="true" outlineLevel="0" collapsed="false">
      <c r="A189" s="36"/>
      <c r="B189" s="36"/>
      <c r="C189" s="48" t="str">
        <f aca="false">IF($B189="","",IFERROR(VLOOKUP($B189,资产台账!$B$4:$N$53,2,0)&amp;"","台账中未登记"))</f>
        <v/>
      </c>
      <c r="D189" s="43" t="str">
        <f aca="false">IF($B189="","",IFERROR(VLOOKUP($B189,资产台账!$B$4:$N$53,3,0)&amp;"",""))</f>
        <v/>
      </c>
      <c r="E189" s="43" t="str">
        <f aca="false">IF($B189="","",IFERROR(VLOOKUP($B189,资产台账!$B$4:$N$53,10,0)&amp;"",""))</f>
        <v/>
      </c>
      <c r="F189" s="49" t="str">
        <f aca="false">IF($B189="","",IFERROR(VLOOKUP($B189,资产台账!$B$4:$N$53,9,0),0))</f>
        <v/>
      </c>
      <c r="G189" s="45" t="n">
        <f aca="false">IF(OR($A189="",$W189=0),0,INDEX(仪器设备工时分配表!$F$6:$F$245,$W189))</f>
        <v>0</v>
      </c>
      <c r="H189" s="45" t="n">
        <f aca="false">IF(OR($A189="",$W189=0),0,INDEX(仪器设备工时分配表!$R$6:$R$245,$W189))</f>
        <v>0</v>
      </c>
      <c r="I189" s="28" t="str">
        <f aca="false">IF(OR($A189="",$G189=0),"",$H189/$G189)</f>
        <v/>
      </c>
      <c r="J189" s="27" t="str">
        <f aca="false">IF(OR($A189="",$G189=0),"",ROUND($F189*INDEX(仪器设备工时分配表!$H$6:$H$245,$W189)/$G189,2))</f>
        <v/>
      </c>
      <c r="K189" s="27" t="str">
        <f aca="false">IF(OR($A189="",$G189=0),"",ROUND($F189*INDEX(仪器设备工时分配表!$I$6:$I$245,$W189)/$G189,2))</f>
        <v/>
      </c>
      <c r="L189" s="27" t="str">
        <f aca="false">IF(OR($A189="",$G189=0),"",ROUND($F189*INDEX(仪器设备工时分配表!$J$6:$J$245,$W189)/$G189,2))</f>
        <v/>
      </c>
      <c r="M189" s="27" t="str">
        <f aca="false">IF(OR($A189="",$G189=0),"",ROUND($F189*INDEX(仪器设备工时分配表!$K$6:$K$245,$W189)/$G189,2))</f>
        <v/>
      </c>
      <c r="N189" s="27" t="str">
        <f aca="false">IF(OR($A189="",$G189=0),"",ROUND($F189*INDEX(仪器设备工时分配表!$L$6:$L$245,$W189)/$G189,2))</f>
        <v/>
      </c>
      <c r="O189" s="27" t="str">
        <f aca="false">IF(OR($A189="",$G189=0),"",ROUND($F189*INDEX(仪器设备工时分配表!$M$6:$M$245,$W189)/$G189,2))</f>
        <v/>
      </c>
      <c r="P189" s="27" t="str">
        <f aca="false">IF(OR($A189="",$G189=0),"",ROUND($F189*INDEX(仪器设备工时分配表!$N$6:$N$245,$W189)/$G189,2))</f>
        <v/>
      </c>
      <c r="Q189" s="27" t="str">
        <f aca="false">IF(OR($A189="",$G189=0),"",ROUND($F189*INDEX(仪器设备工时分配表!$O$6:$O$245,$W189)/$G189,2))</f>
        <v/>
      </c>
      <c r="R189" s="27" t="str">
        <f aca="false">IF(OR($A189="",$G189=0),"",ROUND($F189*INDEX(仪器设备工时分配表!$P$6:$P$245,$W189)/$G189,2))</f>
        <v/>
      </c>
      <c r="S189" s="27" t="str">
        <f aca="false">IF(OR($A189="",$G189=0),"",ROUND($F189*INDEX(仪器设备工时分配表!$Q$6:$Q$245,$W189)/$G189,2))</f>
        <v/>
      </c>
      <c r="T189" s="27" t="str">
        <f aca="false">IF($A189="","",ROUND(SUM(J189:S189),2))</f>
        <v/>
      </c>
      <c r="U189" s="27" t="str">
        <f aca="false">IF($A189="","",ROUND($F189-T189,2))</f>
        <v/>
      </c>
      <c r="V189" s="43" t="str">
        <f aca="false">IF($A189="","",IF($D189="无形资产","⚠ 无形资产请在无形资产费用分配表登记",IF($W189=0,"⚠ 工时分配表无此资产当月记录",IF($X189&gt;1,"⚠ 工时分配表存在重复行","√ 正常"))))</f>
        <v/>
      </c>
      <c r="W189" s="47" t="n">
        <f aca="false">IF($A189="",0,IFERROR(MATCH($A189&amp;"|"&amp;$B189,仪器设备工时分配表!$V$6:$V$245,0),0))</f>
        <v>0</v>
      </c>
      <c r="X189" s="47" t="n">
        <f aca="false">IF($A189="",0,COUNTIFS(仪器设备工时分配表!$A$6:$A$245,$A189,仪器设备工时分配表!$B$6:$B$245,$B189))</f>
        <v>0</v>
      </c>
    </row>
    <row r="190" customFormat="false" ht="18" hidden="false" customHeight="true" outlineLevel="0" collapsed="false">
      <c r="A190" s="36"/>
      <c r="B190" s="36"/>
      <c r="C190" s="48" t="str">
        <f aca="false">IF($B190="","",IFERROR(VLOOKUP($B190,资产台账!$B$4:$N$53,2,0)&amp;"","台账中未登记"))</f>
        <v/>
      </c>
      <c r="D190" s="43" t="str">
        <f aca="false">IF($B190="","",IFERROR(VLOOKUP($B190,资产台账!$B$4:$N$53,3,0)&amp;"",""))</f>
        <v/>
      </c>
      <c r="E190" s="43" t="str">
        <f aca="false">IF($B190="","",IFERROR(VLOOKUP($B190,资产台账!$B$4:$N$53,10,0)&amp;"",""))</f>
        <v/>
      </c>
      <c r="F190" s="49" t="str">
        <f aca="false">IF($B190="","",IFERROR(VLOOKUP($B190,资产台账!$B$4:$N$53,9,0),0))</f>
        <v/>
      </c>
      <c r="G190" s="45" t="n">
        <f aca="false">IF(OR($A190="",$W190=0),0,INDEX(仪器设备工时分配表!$F$6:$F$245,$W190))</f>
        <v>0</v>
      </c>
      <c r="H190" s="45" t="n">
        <f aca="false">IF(OR($A190="",$W190=0),0,INDEX(仪器设备工时分配表!$R$6:$R$245,$W190))</f>
        <v>0</v>
      </c>
      <c r="I190" s="28" t="str">
        <f aca="false">IF(OR($A190="",$G190=0),"",$H190/$G190)</f>
        <v/>
      </c>
      <c r="J190" s="27" t="str">
        <f aca="false">IF(OR($A190="",$G190=0),"",ROUND($F190*INDEX(仪器设备工时分配表!$H$6:$H$245,$W190)/$G190,2))</f>
        <v/>
      </c>
      <c r="K190" s="27" t="str">
        <f aca="false">IF(OR($A190="",$G190=0),"",ROUND($F190*INDEX(仪器设备工时分配表!$I$6:$I$245,$W190)/$G190,2))</f>
        <v/>
      </c>
      <c r="L190" s="27" t="str">
        <f aca="false">IF(OR($A190="",$G190=0),"",ROUND($F190*INDEX(仪器设备工时分配表!$J$6:$J$245,$W190)/$G190,2))</f>
        <v/>
      </c>
      <c r="M190" s="27" t="str">
        <f aca="false">IF(OR($A190="",$G190=0),"",ROUND($F190*INDEX(仪器设备工时分配表!$K$6:$K$245,$W190)/$G190,2))</f>
        <v/>
      </c>
      <c r="N190" s="27" t="str">
        <f aca="false">IF(OR($A190="",$G190=0),"",ROUND($F190*INDEX(仪器设备工时分配表!$L$6:$L$245,$W190)/$G190,2))</f>
        <v/>
      </c>
      <c r="O190" s="27" t="str">
        <f aca="false">IF(OR($A190="",$G190=0),"",ROUND($F190*INDEX(仪器设备工时分配表!$M$6:$M$245,$W190)/$G190,2))</f>
        <v/>
      </c>
      <c r="P190" s="27" t="str">
        <f aca="false">IF(OR($A190="",$G190=0),"",ROUND($F190*INDEX(仪器设备工时分配表!$N$6:$N$245,$W190)/$G190,2))</f>
        <v/>
      </c>
      <c r="Q190" s="27" t="str">
        <f aca="false">IF(OR($A190="",$G190=0),"",ROUND($F190*INDEX(仪器设备工时分配表!$O$6:$O$245,$W190)/$G190,2))</f>
        <v/>
      </c>
      <c r="R190" s="27" t="str">
        <f aca="false">IF(OR($A190="",$G190=0),"",ROUND($F190*INDEX(仪器设备工时分配表!$P$6:$P$245,$W190)/$G190,2))</f>
        <v/>
      </c>
      <c r="S190" s="27" t="str">
        <f aca="false">IF(OR($A190="",$G190=0),"",ROUND($F190*INDEX(仪器设备工时分配表!$Q$6:$Q$245,$W190)/$G190,2))</f>
        <v/>
      </c>
      <c r="T190" s="27" t="str">
        <f aca="false">IF($A190="","",ROUND(SUM(J190:S190),2))</f>
        <v/>
      </c>
      <c r="U190" s="27" t="str">
        <f aca="false">IF($A190="","",ROUND($F190-T190,2))</f>
        <v/>
      </c>
      <c r="V190" s="43" t="str">
        <f aca="false">IF($A190="","",IF($D190="无形资产","⚠ 无形资产请在无形资产费用分配表登记",IF($W190=0,"⚠ 工时分配表无此资产当月记录",IF($X190&gt;1,"⚠ 工时分配表存在重复行","√ 正常"))))</f>
        <v/>
      </c>
      <c r="W190" s="47" t="n">
        <f aca="false">IF($A190="",0,IFERROR(MATCH($A190&amp;"|"&amp;$B190,仪器设备工时分配表!$V$6:$V$245,0),0))</f>
        <v>0</v>
      </c>
      <c r="X190" s="47" t="n">
        <f aca="false">IF($A190="",0,COUNTIFS(仪器设备工时分配表!$A$6:$A$245,$A190,仪器设备工时分配表!$B$6:$B$245,$B190))</f>
        <v>0</v>
      </c>
    </row>
    <row r="191" customFormat="false" ht="18" hidden="false" customHeight="true" outlineLevel="0" collapsed="false">
      <c r="A191" s="36"/>
      <c r="B191" s="36"/>
      <c r="C191" s="48" t="str">
        <f aca="false">IF($B191="","",IFERROR(VLOOKUP($B191,资产台账!$B$4:$N$53,2,0)&amp;"","台账中未登记"))</f>
        <v/>
      </c>
      <c r="D191" s="43" t="str">
        <f aca="false">IF($B191="","",IFERROR(VLOOKUP($B191,资产台账!$B$4:$N$53,3,0)&amp;"",""))</f>
        <v/>
      </c>
      <c r="E191" s="43" t="str">
        <f aca="false">IF($B191="","",IFERROR(VLOOKUP($B191,资产台账!$B$4:$N$53,10,0)&amp;"",""))</f>
        <v/>
      </c>
      <c r="F191" s="49" t="str">
        <f aca="false">IF($B191="","",IFERROR(VLOOKUP($B191,资产台账!$B$4:$N$53,9,0),0))</f>
        <v/>
      </c>
      <c r="G191" s="45" t="n">
        <f aca="false">IF(OR($A191="",$W191=0),0,INDEX(仪器设备工时分配表!$F$6:$F$245,$W191))</f>
        <v>0</v>
      </c>
      <c r="H191" s="45" t="n">
        <f aca="false">IF(OR($A191="",$W191=0),0,INDEX(仪器设备工时分配表!$R$6:$R$245,$W191))</f>
        <v>0</v>
      </c>
      <c r="I191" s="28" t="str">
        <f aca="false">IF(OR($A191="",$G191=0),"",$H191/$G191)</f>
        <v/>
      </c>
      <c r="J191" s="27" t="str">
        <f aca="false">IF(OR($A191="",$G191=0),"",ROUND($F191*INDEX(仪器设备工时分配表!$H$6:$H$245,$W191)/$G191,2))</f>
        <v/>
      </c>
      <c r="K191" s="27" t="str">
        <f aca="false">IF(OR($A191="",$G191=0),"",ROUND($F191*INDEX(仪器设备工时分配表!$I$6:$I$245,$W191)/$G191,2))</f>
        <v/>
      </c>
      <c r="L191" s="27" t="str">
        <f aca="false">IF(OR($A191="",$G191=0),"",ROUND($F191*INDEX(仪器设备工时分配表!$J$6:$J$245,$W191)/$G191,2))</f>
        <v/>
      </c>
      <c r="M191" s="27" t="str">
        <f aca="false">IF(OR($A191="",$G191=0),"",ROUND($F191*INDEX(仪器设备工时分配表!$K$6:$K$245,$W191)/$G191,2))</f>
        <v/>
      </c>
      <c r="N191" s="27" t="str">
        <f aca="false">IF(OR($A191="",$G191=0),"",ROUND($F191*INDEX(仪器设备工时分配表!$L$6:$L$245,$W191)/$G191,2))</f>
        <v/>
      </c>
      <c r="O191" s="27" t="str">
        <f aca="false">IF(OR($A191="",$G191=0),"",ROUND($F191*INDEX(仪器设备工时分配表!$M$6:$M$245,$W191)/$G191,2))</f>
        <v/>
      </c>
      <c r="P191" s="27" t="str">
        <f aca="false">IF(OR($A191="",$G191=0),"",ROUND($F191*INDEX(仪器设备工时分配表!$N$6:$N$245,$W191)/$G191,2))</f>
        <v/>
      </c>
      <c r="Q191" s="27" t="str">
        <f aca="false">IF(OR($A191="",$G191=0),"",ROUND($F191*INDEX(仪器设备工时分配表!$O$6:$O$245,$W191)/$G191,2))</f>
        <v/>
      </c>
      <c r="R191" s="27" t="str">
        <f aca="false">IF(OR($A191="",$G191=0),"",ROUND($F191*INDEX(仪器设备工时分配表!$P$6:$P$245,$W191)/$G191,2))</f>
        <v/>
      </c>
      <c r="S191" s="27" t="str">
        <f aca="false">IF(OR($A191="",$G191=0),"",ROUND($F191*INDEX(仪器设备工时分配表!$Q$6:$Q$245,$W191)/$G191,2))</f>
        <v/>
      </c>
      <c r="T191" s="27" t="str">
        <f aca="false">IF($A191="","",ROUND(SUM(J191:S191),2))</f>
        <v/>
      </c>
      <c r="U191" s="27" t="str">
        <f aca="false">IF($A191="","",ROUND($F191-T191,2))</f>
        <v/>
      </c>
      <c r="V191" s="43" t="str">
        <f aca="false">IF($A191="","",IF($D191="无形资产","⚠ 无形资产请在无形资产费用分配表登记",IF($W191=0,"⚠ 工时分配表无此资产当月记录",IF($X191&gt;1,"⚠ 工时分配表存在重复行","√ 正常"))))</f>
        <v/>
      </c>
      <c r="W191" s="47" t="n">
        <f aca="false">IF($A191="",0,IFERROR(MATCH($A191&amp;"|"&amp;$B191,仪器设备工时分配表!$V$6:$V$245,0),0))</f>
        <v>0</v>
      </c>
      <c r="X191" s="47" t="n">
        <f aca="false">IF($A191="",0,COUNTIFS(仪器设备工时分配表!$A$6:$A$245,$A191,仪器设备工时分配表!$B$6:$B$245,$B191))</f>
        <v>0</v>
      </c>
    </row>
    <row r="192" customFormat="false" ht="18" hidden="false" customHeight="true" outlineLevel="0" collapsed="false">
      <c r="A192" s="36"/>
      <c r="B192" s="36"/>
      <c r="C192" s="48" t="str">
        <f aca="false">IF($B192="","",IFERROR(VLOOKUP($B192,资产台账!$B$4:$N$53,2,0)&amp;"","台账中未登记"))</f>
        <v/>
      </c>
      <c r="D192" s="43" t="str">
        <f aca="false">IF($B192="","",IFERROR(VLOOKUP($B192,资产台账!$B$4:$N$53,3,0)&amp;"",""))</f>
        <v/>
      </c>
      <c r="E192" s="43" t="str">
        <f aca="false">IF($B192="","",IFERROR(VLOOKUP($B192,资产台账!$B$4:$N$53,10,0)&amp;"",""))</f>
        <v/>
      </c>
      <c r="F192" s="49" t="str">
        <f aca="false">IF($B192="","",IFERROR(VLOOKUP($B192,资产台账!$B$4:$N$53,9,0),0))</f>
        <v/>
      </c>
      <c r="G192" s="45" t="n">
        <f aca="false">IF(OR($A192="",$W192=0),0,INDEX(仪器设备工时分配表!$F$6:$F$245,$W192))</f>
        <v>0</v>
      </c>
      <c r="H192" s="45" t="n">
        <f aca="false">IF(OR($A192="",$W192=0),0,INDEX(仪器设备工时分配表!$R$6:$R$245,$W192))</f>
        <v>0</v>
      </c>
      <c r="I192" s="28" t="str">
        <f aca="false">IF(OR($A192="",$G192=0),"",$H192/$G192)</f>
        <v/>
      </c>
      <c r="J192" s="27" t="str">
        <f aca="false">IF(OR($A192="",$G192=0),"",ROUND($F192*INDEX(仪器设备工时分配表!$H$6:$H$245,$W192)/$G192,2))</f>
        <v/>
      </c>
      <c r="K192" s="27" t="str">
        <f aca="false">IF(OR($A192="",$G192=0),"",ROUND($F192*INDEX(仪器设备工时分配表!$I$6:$I$245,$W192)/$G192,2))</f>
        <v/>
      </c>
      <c r="L192" s="27" t="str">
        <f aca="false">IF(OR($A192="",$G192=0),"",ROUND($F192*INDEX(仪器设备工时分配表!$J$6:$J$245,$W192)/$G192,2))</f>
        <v/>
      </c>
      <c r="M192" s="27" t="str">
        <f aca="false">IF(OR($A192="",$G192=0),"",ROUND($F192*INDEX(仪器设备工时分配表!$K$6:$K$245,$W192)/$G192,2))</f>
        <v/>
      </c>
      <c r="N192" s="27" t="str">
        <f aca="false">IF(OR($A192="",$G192=0),"",ROUND($F192*INDEX(仪器设备工时分配表!$L$6:$L$245,$W192)/$G192,2))</f>
        <v/>
      </c>
      <c r="O192" s="27" t="str">
        <f aca="false">IF(OR($A192="",$G192=0),"",ROUND($F192*INDEX(仪器设备工时分配表!$M$6:$M$245,$W192)/$G192,2))</f>
        <v/>
      </c>
      <c r="P192" s="27" t="str">
        <f aca="false">IF(OR($A192="",$G192=0),"",ROUND($F192*INDEX(仪器设备工时分配表!$N$6:$N$245,$W192)/$G192,2))</f>
        <v/>
      </c>
      <c r="Q192" s="27" t="str">
        <f aca="false">IF(OR($A192="",$G192=0),"",ROUND($F192*INDEX(仪器设备工时分配表!$O$6:$O$245,$W192)/$G192,2))</f>
        <v/>
      </c>
      <c r="R192" s="27" t="str">
        <f aca="false">IF(OR($A192="",$G192=0),"",ROUND($F192*INDEX(仪器设备工时分配表!$P$6:$P$245,$W192)/$G192,2))</f>
        <v/>
      </c>
      <c r="S192" s="27" t="str">
        <f aca="false">IF(OR($A192="",$G192=0),"",ROUND($F192*INDEX(仪器设备工时分配表!$Q$6:$Q$245,$W192)/$G192,2))</f>
        <v/>
      </c>
      <c r="T192" s="27" t="str">
        <f aca="false">IF($A192="","",ROUND(SUM(J192:S192),2))</f>
        <v/>
      </c>
      <c r="U192" s="27" t="str">
        <f aca="false">IF($A192="","",ROUND($F192-T192,2))</f>
        <v/>
      </c>
      <c r="V192" s="43" t="str">
        <f aca="false">IF($A192="","",IF($D192="无形资产","⚠ 无形资产请在无形资产费用分配表登记",IF($W192=0,"⚠ 工时分配表无此资产当月记录",IF($X192&gt;1,"⚠ 工时分配表存在重复行","√ 正常"))))</f>
        <v/>
      </c>
      <c r="W192" s="47" t="n">
        <f aca="false">IF($A192="",0,IFERROR(MATCH($A192&amp;"|"&amp;$B192,仪器设备工时分配表!$V$6:$V$245,0),0))</f>
        <v>0</v>
      </c>
      <c r="X192" s="47" t="n">
        <f aca="false">IF($A192="",0,COUNTIFS(仪器设备工时分配表!$A$6:$A$245,$A192,仪器设备工时分配表!$B$6:$B$245,$B192))</f>
        <v>0</v>
      </c>
    </row>
    <row r="193" customFormat="false" ht="18" hidden="false" customHeight="true" outlineLevel="0" collapsed="false">
      <c r="A193" s="36"/>
      <c r="B193" s="36"/>
      <c r="C193" s="48" t="str">
        <f aca="false">IF($B193="","",IFERROR(VLOOKUP($B193,资产台账!$B$4:$N$53,2,0)&amp;"","台账中未登记"))</f>
        <v/>
      </c>
      <c r="D193" s="43" t="str">
        <f aca="false">IF($B193="","",IFERROR(VLOOKUP($B193,资产台账!$B$4:$N$53,3,0)&amp;"",""))</f>
        <v/>
      </c>
      <c r="E193" s="43" t="str">
        <f aca="false">IF($B193="","",IFERROR(VLOOKUP($B193,资产台账!$B$4:$N$53,10,0)&amp;"",""))</f>
        <v/>
      </c>
      <c r="F193" s="49" t="str">
        <f aca="false">IF($B193="","",IFERROR(VLOOKUP($B193,资产台账!$B$4:$N$53,9,0),0))</f>
        <v/>
      </c>
      <c r="G193" s="45" t="n">
        <f aca="false">IF(OR($A193="",$W193=0),0,INDEX(仪器设备工时分配表!$F$6:$F$245,$W193))</f>
        <v>0</v>
      </c>
      <c r="H193" s="45" t="n">
        <f aca="false">IF(OR($A193="",$W193=0),0,INDEX(仪器设备工时分配表!$R$6:$R$245,$W193))</f>
        <v>0</v>
      </c>
      <c r="I193" s="28" t="str">
        <f aca="false">IF(OR($A193="",$G193=0),"",$H193/$G193)</f>
        <v/>
      </c>
      <c r="J193" s="27" t="str">
        <f aca="false">IF(OR($A193="",$G193=0),"",ROUND($F193*INDEX(仪器设备工时分配表!$H$6:$H$245,$W193)/$G193,2))</f>
        <v/>
      </c>
      <c r="K193" s="27" t="str">
        <f aca="false">IF(OR($A193="",$G193=0),"",ROUND($F193*INDEX(仪器设备工时分配表!$I$6:$I$245,$W193)/$G193,2))</f>
        <v/>
      </c>
      <c r="L193" s="27" t="str">
        <f aca="false">IF(OR($A193="",$G193=0),"",ROUND($F193*INDEX(仪器设备工时分配表!$J$6:$J$245,$W193)/$G193,2))</f>
        <v/>
      </c>
      <c r="M193" s="27" t="str">
        <f aca="false">IF(OR($A193="",$G193=0),"",ROUND($F193*INDEX(仪器设备工时分配表!$K$6:$K$245,$W193)/$G193,2))</f>
        <v/>
      </c>
      <c r="N193" s="27" t="str">
        <f aca="false">IF(OR($A193="",$G193=0),"",ROUND($F193*INDEX(仪器设备工时分配表!$L$6:$L$245,$W193)/$G193,2))</f>
        <v/>
      </c>
      <c r="O193" s="27" t="str">
        <f aca="false">IF(OR($A193="",$G193=0),"",ROUND($F193*INDEX(仪器设备工时分配表!$M$6:$M$245,$W193)/$G193,2))</f>
        <v/>
      </c>
      <c r="P193" s="27" t="str">
        <f aca="false">IF(OR($A193="",$G193=0),"",ROUND($F193*INDEX(仪器设备工时分配表!$N$6:$N$245,$W193)/$G193,2))</f>
        <v/>
      </c>
      <c r="Q193" s="27" t="str">
        <f aca="false">IF(OR($A193="",$G193=0),"",ROUND($F193*INDEX(仪器设备工时分配表!$O$6:$O$245,$W193)/$G193,2))</f>
        <v/>
      </c>
      <c r="R193" s="27" t="str">
        <f aca="false">IF(OR($A193="",$G193=0),"",ROUND($F193*INDEX(仪器设备工时分配表!$P$6:$P$245,$W193)/$G193,2))</f>
        <v/>
      </c>
      <c r="S193" s="27" t="str">
        <f aca="false">IF(OR($A193="",$G193=0),"",ROUND($F193*INDEX(仪器设备工时分配表!$Q$6:$Q$245,$W193)/$G193,2))</f>
        <v/>
      </c>
      <c r="T193" s="27" t="str">
        <f aca="false">IF($A193="","",ROUND(SUM(J193:S193),2))</f>
        <v/>
      </c>
      <c r="U193" s="27" t="str">
        <f aca="false">IF($A193="","",ROUND($F193-T193,2))</f>
        <v/>
      </c>
      <c r="V193" s="43" t="str">
        <f aca="false">IF($A193="","",IF($D193="无形资产","⚠ 无形资产请在无形资产费用分配表登记",IF($W193=0,"⚠ 工时分配表无此资产当月记录",IF($X193&gt;1,"⚠ 工时分配表存在重复行","√ 正常"))))</f>
        <v/>
      </c>
      <c r="W193" s="47" t="n">
        <f aca="false">IF($A193="",0,IFERROR(MATCH($A193&amp;"|"&amp;$B193,仪器设备工时分配表!$V$6:$V$245,0),0))</f>
        <v>0</v>
      </c>
      <c r="X193" s="47" t="n">
        <f aca="false">IF($A193="",0,COUNTIFS(仪器设备工时分配表!$A$6:$A$245,$A193,仪器设备工时分配表!$B$6:$B$245,$B193))</f>
        <v>0</v>
      </c>
    </row>
    <row r="194" customFormat="false" ht="18" hidden="false" customHeight="true" outlineLevel="0" collapsed="false">
      <c r="A194" s="36"/>
      <c r="B194" s="36"/>
      <c r="C194" s="48" t="str">
        <f aca="false">IF($B194="","",IFERROR(VLOOKUP($B194,资产台账!$B$4:$N$53,2,0)&amp;"","台账中未登记"))</f>
        <v/>
      </c>
      <c r="D194" s="43" t="str">
        <f aca="false">IF($B194="","",IFERROR(VLOOKUP($B194,资产台账!$B$4:$N$53,3,0)&amp;"",""))</f>
        <v/>
      </c>
      <c r="E194" s="43" t="str">
        <f aca="false">IF($B194="","",IFERROR(VLOOKUP($B194,资产台账!$B$4:$N$53,10,0)&amp;"",""))</f>
        <v/>
      </c>
      <c r="F194" s="49" t="str">
        <f aca="false">IF($B194="","",IFERROR(VLOOKUP($B194,资产台账!$B$4:$N$53,9,0),0))</f>
        <v/>
      </c>
      <c r="G194" s="45" t="n">
        <f aca="false">IF(OR($A194="",$W194=0),0,INDEX(仪器设备工时分配表!$F$6:$F$245,$W194))</f>
        <v>0</v>
      </c>
      <c r="H194" s="45" t="n">
        <f aca="false">IF(OR($A194="",$W194=0),0,INDEX(仪器设备工时分配表!$R$6:$R$245,$W194))</f>
        <v>0</v>
      </c>
      <c r="I194" s="28" t="str">
        <f aca="false">IF(OR($A194="",$G194=0),"",$H194/$G194)</f>
        <v/>
      </c>
      <c r="J194" s="27" t="str">
        <f aca="false">IF(OR($A194="",$G194=0),"",ROUND($F194*INDEX(仪器设备工时分配表!$H$6:$H$245,$W194)/$G194,2))</f>
        <v/>
      </c>
      <c r="K194" s="27" t="str">
        <f aca="false">IF(OR($A194="",$G194=0),"",ROUND($F194*INDEX(仪器设备工时分配表!$I$6:$I$245,$W194)/$G194,2))</f>
        <v/>
      </c>
      <c r="L194" s="27" t="str">
        <f aca="false">IF(OR($A194="",$G194=0),"",ROUND($F194*INDEX(仪器设备工时分配表!$J$6:$J$245,$W194)/$G194,2))</f>
        <v/>
      </c>
      <c r="M194" s="27" t="str">
        <f aca="false">IF(OR($A194="",$G194=0),"",ROUND($F194*INDEX(仪器设备工时分配表!$K$6:$K$245,$W194)/$G194,2))</f>
        <v/>
      </c>
      <c r="N194" s="27" t="str">
        <f aca="false">IF(OR($A194="",$G194=0),"",ROUND($F194*INDEX(仪器设备工时分配表!$L$6:$L$245,$W194)/$G194,2))</f>
        <v/>
      </c>
      <c r="O194" s="27" t="str">
        <f aca="false">IF(OR($A194="",$G194=0),"",ROUND($F194*INDEX(仪器设备工时分配表!$M$6:$M$245,$W194)/$G194,2))</f>
        <v/>
      </c>
      <c r="P194" s="27" t="str">
        <f aca="false">IF(OR($A194="",$G194=0),"",ROUND($F194*INDEX(仪器设备工时分配表!$N$6:$N$245,$W194)/$G194,2))</f>
        <v/>
      </c>
      <c r="Q194" s="27" t="str">
        <f aca="false">IF(OR($A194="",$G194=0),"",ROUND($F194*INDEX(仪器设备工时分配表!$O$6:$O$245,$W194)/$G194,2))</f>
        <v/>
      </c>
      <c r="R194" s="27" t="str">
        <f aca="false">IF(OR($A194="",$G194=0),"",ROUND($F194*INDEX(仪器设备工时分配表!$P$6:$P$245,$W194)/$G194,2))</f>
        <v/>
      </c>
      <c r="S194" s="27" t="str">
        <f aca="false">IF(OR($A194="",$G194=0),"",ROUND($F194*INDEX(仪器设备工时分配表!$Q$6:$Q$245,$W194)/$G194,2))</f>
        <v/>
      </c>
      <c r="T194" s="27" t="str">
        <f aca="false">IF($A194="","",ROUND(SUM(J194:S194),2))</f>
        <v/>
      </c>
      <c r="U194" s="27" t="str">
        <f aca="false">IF($A194="","",ROUND($F194-T194,2))</f>
        <v/>
      </c>
      <c r="V194" s="43" t="str">
        <f aca="false">IF($A194="","",IF($D194="无形资产","⚠ 无形资产请在无形资产费用分配表登记",IF($W194=0,"⚠ 工时分配表无此资产当月记录",IF($X194&gt;1,"⚠ 工时分配表存在重复行","√ 正常"))))</f>
        <v/>
      </c>
      <c r="W194" s="47" t="n">
        <f aca="false">IF($A194="",0,IFERROR(MATCH($A194&amp;"|"&amp;$B194,仪器设备工时分配表!$V$6:$V$245,0),0))</f>
        <v>0</v>
      </c>
      <c r="X194" s="47" t="n">
        <f aca="false">IF($A194="",0,COUNTIFS(仪器设备工时分配表!$A$6:$A$245,$A194,仪器设备工时分配表!$B$6:$B$245,$B194))</f>
        <v>0</v>
      </c>
    </row>
    <row r="195" customFormat="false" ht="18" hidden="false" customHeight="true" outlineLevel="0" collapsed="false">
      <c r="A195" s="36"/>
      <c r="B195" s="36"/>
      <c r="C195" s="48" t="str">
        <f aca="false">IF($B195="","",IFERROR(VLOOKUP($B195,资产台账!$B$4:$N$53,2,0)&amp;"","台账中未登记"))</f>
        <v/>
      </c>
      <c r="D195" s="43" t="str">
        <f aca="false">IF($B195="","",IFERROR(VLOOKUP($B195,资产台账!$B$4:$N$53,3,0)&amp;"",""))</f>
        <v/>
      </c>
      <c r="E195" s="43" t="str">
        <f aca="false">IF($B195="","",IFERROR(VLOOKUP($B195,资产台账!$B$4:$N$53,10,0)&amp;"",""))</f>
        <v/>
      </c>
      <c r="F195" s="49" t="str">
        <f aca="false">IF($B195="","",IFERROR(VLOOKUP($B195,资产台账!$B$4:$N$53,9,0),0))</f>
        <v/>
      </c>
      <c r="G195" s="45" t="n">
        <f aca="false">IF(OR($A195="",$W195=0),0,INDEX(仪器设备工时分配表!$F$6:$F$245,$W195))</f>
        <v>0</v>
      </c>
      <c r="H195" s="45" t="n">
        <f aca="false">IF(OR($A195="",$W195=0),0,INDEX(仪器设备工时分配表!$R$6:$R$245,$W195))</f>
        <v>0</v>
      </c>
      <c r="I195" s="28" t="str">
        <f aca="false">IF(OR($A195="",$G195=0),"",$H195/$G195)</f>
        <v/>
      </c>
      <c r="J195" s="27" t="str">
        <f aca="false">IF(OR($A195="",$G195=0),"",ROUND($F195*INDEX(仪器设备工时分配表!$H$6:$H$245,$W195)/$G195,2))</f>
        <v/>
      </c>
      <c r="K195" s="27" t="str">
        <f aca="false">IF(OR($A195="",$G195=0),"",ROUND($F195*INDEX(仪器设备工时分配表!$I$6:$I$245,$W195)/$G195,2))</f>
        <v/>
      </c>
      <c r="L195" s="27" t="str">
        <f aca="false">IF(OR($A195="",$G195=0),"",ROUND($F195*INDEX(仪器设备工时分配表!$J$6:$J$245,$W195)/$G195,2))</f>
        <v/>
      </c>
      <c r="M195" s="27" t="str">
        <f aca="false">IF(OR($A195="",$G195=0),"",ROUND($F195*INDEX(仪器设备工时分配表!$K$6:$K$245,$W195)/$G195,2))</f>
        <v/>
      </c>
      <c r="N195" s="27" t="str">
        <f aca="false">IF(OR($A195="",$G195=0),"",ROUND($F195*INDEX(仪器设备工时分配表!$L$6:$L$245,$W195)/$G195,2))</f>
        <v/>
      </c>
      <c r="O195" s="27" t="str">
        <f aca="false">IF(OR($A195="",$G195=0),"",ROUND($F195*INDEX(仪器设备工时分配表!$M$6:$M$245,$W195)/$G195,2))</f>
        <v/>
      </c>
      <c r="P195" s="27" t="str">
        <f aca="false">IF(OR($A195="",$G195=0),"",ROUND($F195*INDEX(仪器设备工时分配表!$N$6:$N$245,$W195)/$G195,2))</f>
        <v/>
      </c>
      <c r="Q195" s="27" t="str">
        <f aca="false">IF(OR($A195="",$G195=0),"",ROUND($F195*INDEX(仪器设备工时分配表!$O$6:$O$245,$W195)/$G195,2))</f>
        <v/>
      </c>
      <c r="R195" s="27" t="str">
        <f aca="false">IF(OR($A195="",$G195=0),"",ROUND($F195*INDEX(仪器设备工时分配表!$P$6:$P$245,$W195)/$G195,2))</f>
        <v/>
      </c>
      <c r="S195" s="27" t="str">
        <f aca="false">IF(OR($A195="",$G195=0),"",ROUND($F195*INDEX(仪器设备工时分配表!$Q$6:$Q$245,$W195)/$G195,2))</f>
        <v/>
      </c>
      <c r="T195" s="27" t="str">
        <f aca="false">IF($A195="","",ROUND(SUM(J195:S195),2))</f>
        <v/>
      </c>
      <c r="U195" s="27" t="str">
        <f aca="false">IF($A195="","",ROUND($F195-T195,2))</f>
        <v/>
      </c>
      <c r="V195" s="43" t="str">
        <f aca="false">IF($A195="","",IF($D195="无形资产","⚠ 无形资产请在无形资产费用分配表登记",IF($W195=0,"⚠ 工时分配表无此资产当月记录",IF($X195&gt;1,"⚠ 工时分配表存在重复行","√ 正常"))))</f>
        <v/>
      </c>
      <c r="W195" s="47" t="n">
        <f aca="false">IF($A195="",0,IFERROR(MATCH($A195&amp;"|"&amp;$B195,仪器设备工时分配表!$V$6:$V$245,0),0))</f>
        <v>0</v>
      </c>
      <c r="X195" s="47" t="n">
        <f aca="false">IF($A195="",0,COUNTIFS(仪器设备工时分配表!$A$6:$A$245,$A195,仪器设备工时分配表!$B$6:$B$245,$B195))</f>
        <v>0</v>
      </c>
    </row>
    <row r="196" customFormat="false" ht="18" hidden="false" customHeight="true" outlineLevel="0" collapsed="false">
      <c r="A196" s="36"/>
      <c r="B196" s="36"/>
      <c r="C196" s="48" t="str">
        <f aca="false">IF($B196="","",IFERROR(VLOOKUP($B196,资产台账!$B$4:$N$53,2,0)&amp;"","台账中未登记"))</f>
        <v/>
      </c>
      <c r="D196" s="43" t="str">
        <f aca="false">IF($B196="","",IFERROR(VLOOKUP($B196,资产台账!$B$4:$N$53,3,0)&amp;"",""))</f>
        <v/>
      </c>
      <c r="E196" s="43" t="str">
        <f aca="false">IF($B196="","",IFERROR(VLOOKUP($B196,资产台账!$B$4:$N$53,10,0)&amp;"",""))</f>
        <v/>
      </c>
      <c r="F196" s="49" t="str">
        <f aca="false">IF($B196="","",IFERROR(VLOOKUP($B196,资产台账!$B$4:$N$53,9,0),0))</f>
        <v/>
      </c>
      <c r="G196" s="45" t="n">
        <f aca="false">IF(OR($A196="",$W196=0),0,INDEX(仪器设备工时分配表!$F$6:$F$245,$W196))</f>
        <v>0</v>
      </c>
      <c r="H196" s="45" t="n">
        <f aca="false">IF(OR($A196="",$W196=0),0,INDEX(仪器设备工时分配表!$R$6:$R$245,$W196))</f>
        <v>0</v>
      </c>
      <c r="I196" s="28" t="str">
        <f aca="false">IF(OR($A196="",$G196=0),"",$H196/$G196)</f>
        <v/>
      </c>
      <c r="J196" s="27" t="str">
        <f aca="false">IF(OR($A196="",$G196=0),"",ROUND($F196*INDEX(仪器设备工时分配表!$H$6:$H$245,$W196)/$G196,2))</f>
        <v/>
      </c>
      <c r="K196" s="27" t="str">
        <f aca="false">IF(OR($A196="",$G196=0),"",ROUND($F196*INDEX(仪器设备工时分配表!$I$6:$I$245,$W196)/$G196,2))</f>
        <v/>
      </c>
      <c r="L196" s="27" t="str">
        <f aca="false">IF(OR($A196="",$G196=0),"",ROUND($F196*INDEX(仪器设备工时分配表!$J$6:$J$245,$W196)/$G196,2))</f>
        <v/>
      </c>
      <c r="M196" s="27" t="str">
        <f aca="false">IF(OR($A196="",$G196=0),"",ROUND($F196*INDEX(仪器设备工时分配表!$K$6:$K$245,$W196)/$G196,2))</f>
        <v/>
      </c>
      <c r="N196" s="27" t="str">
        <f aca="false">IF(OR($A196="",$G196=0),"",ROUND($F196*INDEX(仪器设备工时分配表!$L$6:$L$245,$W196)/$G196,2))</f>
        <v/>
      </c>
      <c r="O196" s="27" t="str">
        <f aca="false">IF(OR($A196="",$G196=0),"",ROUND($F196*INDEX(仪器设备工时分配表!$M$6:$M$245,$W196)/$G196,2))</f>
        <v/>
      </c>
      <c r="P196" s="27" t="str">
        <f aca="false">IF(OR($A196="",$G196=0),"",ROUND($F196*INDEX(仪器设备工时分配表!$N$6:$N$245,$W196)/$G196,2))</f>
        <v/>
      </c>
      <c r="Q196" s="27" t="str">
        <f aca="false">IF(OR($A196="",$G196=0),"",ROUND($F196*INDEX(仪器设备工时分配表!$O$6:$O$245,$W196)/$G196,2))</f>
        <v/>
      </c>
      <c r="R196" s="27" t="str">
        <f aca="false">IF(OR($A196="",$G196=0),"",ROUND($F196*INDEX(仪器设备工时分配表!$P$6:$P$245,$W196)/$G196,2))</f>
        <v/>
      </c>
      <c r="S196" s="27" t="str">
        <f aca="false">IF(OR($A196="",$G196=0),"",ROUND($F196*INDEX(仪器设备工时分配表!$Q$6:$Q$245,$W196)/$G196,2))</f>
        <v/>
      </c>
      <c r="T196" s="27" t="str">
        <f aca="false">IF($A196="","",ROUND(SUM(J196:S196),2))</f>
        <v/>
      </c>
      <c r="U196" s="27" t="str">
        <f aca="false">IF($A196="","",ROUND($F196-T196,2))</f>
        <v/>
      </c>
      <c r="V196" s="43" t="str">
        <f aca="false">IF($A196="","",IF($D196="无形资产","⚠ 无形资产请在无形资产费用分配表登记",IF($W196=0,"⚠ 工时分配表无此资产当月记录",IF($X196&gt;1,"⚠ 工时分配表存在重复行","√ 正常"))))</f>
        <v/>
      </c>
      <c r="W196" s="47" t="n">
        <f aca="false">IF($A196="",0,IFERROR(MATCH($A196&amp;"|"&amp;$B196,仪器设备工时分配表!$V$6:$V$245,0),0))</f>
        <v>0</v>
      </c>
      <c r="X196" s="47" t="n">
        <f aca="false">IF($A196="",0,COUNTIFS(仪器设备工时分配表!$A$6:$A$245,$A196,仪器设备工时分配表!$B$6:$B$245,$B196))</f>
        <v>0</v>
      </c>
    </row>
    <row r="197" customFormat="false" ht="18" hidden="false" customHeight="true" outlineLevel="0" collapsed="false">
      <c r="A197" s="36"/>
      <c r="B197" s="36"/>
      <c r="C197" s="48" t="str">
        <f aca="false">IF($B197="","",IFERROR(VLOOKUP($B197,资产台账!$B$4:$N$53,2,0)&amp;"","台账中未登记"))</f>
        <v/>
      </c>
      <c r="D197" s="43" t="str">
        <f aca="false">IF($B197="","",IFERROR(VLOOKUP($B197,资产台账!$B$4:$N$53,3,0)&amp;"",""))</f>
        <v/>
      </c>
      <c r="E197" s="43" t="str">
        <f aca="false">IF($B197="","",IFERROR(VLOOKUP($B197,资产台账!$B$4:$N$53,10,0)&amp;"",""))</f>
        <v/>
      </c>
      <c r="F197" s="49" t="str">
        <f aca="false">IF($B197="","",IFERROR(VLOOKUP($B197,资产台账!$B$4:$N$53,9,0),0))</f>
        <v/>
      </c>
      <c r="G197" s="45" t="n">
        <f aca="false">IF(OR($A197="",$W197=0),0,INDEX(仪器设备工时分配表!$F$6:$F$245,$W197))</f>
        <v>0</v>
      </c>
      <c r="H197" s="45" t="n">
        <f aca="false">IF(OR($A197="",$W197=0),0,INDEX(仪器设备工时分配表!$R$6:$R$245,$W197))</f>
        <v>0</v>
      </c>
      <c r="I197" s="28" t="str">
        <f aca="false">IF(OR($A197="",$G197=0),"",$H197/$G197)</f>
        <v/>
      </c>
      <c r="J197" s="27" t="str">
        <f aca="false">IF(OR($A197="",$G197=0),"",ROUND($F197*INDEX(仪器设备工时分配表!$H$6:$H$245,$W197)/$G197,2))</f>
        <v/>
      </c>
      <c r="K197" s="27" t="str">
        <f aca="false">IF(OR($A197="",$G197=0),"",ROUND($F197*INDEX(仪器设备工时分配表!$I$6:$I$245,$W197)/$G197,2))</f>
        <v/>
      </c>
      <c r="L197" s="27" t="str">
        <f aca="false">IF(OR($A197="",$G197=0),"",ROUND($F197*INDEX(仪器设备工时分配表!$J$6:$J$245,$W197)/$G197,2))</f>
        <v/>
      </c>
      <c r="M197" s="27" t="str">
        <f aca="false">IF(OR($A197="",$G197=0),"",ROUND($F197*INDEX(仪器设备工时分配表!$K$6:$K$245,$W197)/$G197,2))</f>
        <v/>
      </c>
      <c r="N197" s="27" t="str">
        <f aca="false">IF(OR($A197="",$G197=0),"",ROUND($F197*INDEX(仪器设备工时分配表!$L$6:$L$245,$W197)/$G197,2))</f>
        <v/>
      </c>
      <c r="O197" s="27" t="str">
        <f aca="false">IF(OR($A197="",$G197=0),"",ROUND($F197*INDEX(仪器设备工时分配表!$M$6:$M$245,$W197)/$G197,2))</f>
        <v/>
      </c>
      <c r="P197" s="27" t="str">
        <f aca="false">IF(OR($A197="",$G197=0),"",ROUND($F197*INDEX(仪器设备工时分配表!$N$6:$N$245,$W197)/$G197,2))</f>
        <v/>
      </c>
      <c r="Q197" s="27" t="str">
        <f aca="false">IF(OR($A197="",$G197=0),"",ROUND($F197*INDEX(仪器设备工时分配表!$O$6:$O$245,$W197)/$G197,2))</f>
        <v/>
      </c>
      <c r="R197" s="27" t="str">
        <f aca="false">IF(OR($A197="",$G197=0),"",ROUND($F197*INDEX(仪器设备工时分配表!$P$6:$P$245,$W197)/$G197,2))</f>
        <v/>
      </c>
      <c r="S197" s="27" t="str">
        <f aca="false">IF(OR($A197="",$G197=0),"",ROUND($F197*INDEX(仪器设备工时分配表!$Q$6:$Q$245,$W197)/$G197,2))</f>
        <v/>
      </c>
      <c r="T197" s="27" t="str">
        <f aca="false">IF($A197="","",ROUND(SUM(J197:S197),2))</f>
        <v/>
      </c>
      <c r="U197" s="27" t="str">
        <f aca="false">IF($A197="","",ROUND($F197-T197,2))</f>
        <v/>
      </c>
      <c r="V197" s="43" t="str">
        <f aca="false">IF($A197="","",IF($D197="无形资产","⚠ 无形资产请在无形资产费用分配表登记",IF($W197=0,"⚠ 工时分配表无此资产当月记录",IF($X197&gt;1,"⚠ 工时分配表存在重复行","√ 正常"))))</f>
        <v/>
      </c>
      <c r="W197" s="47" t="n">
        <f aca="false">IF($A197="",0,IFERROR(MATCH($A197&amp;"|"&amp;$B197,仪器设备工时分配表!$V$6:$V$245,0),0))</f>
        <v>0</v>
      </c>
      <c r="X197" s="47" t="n">
        <f aca="false">IF($A197="",0,COUNTIFS(仪器设备工时分配表!$A$6:$A$245,$A197,仪器设备工时分配表!$B$6:$B$245,$B197))</f>
        <v>0</v>
      </c>
    </row>
    <row r="198" customFormat="false" ht="18" hidden="false" customHeight="true" outlineLevel="0" collapsed="false">
      <c r="A198" s="36"/>
      <c r="B198" s="36"/>
      <c r="C198" s="48" t="str">
        <f aca="false">IF($B198="","",IFERROR(VLOOKUP($B198,资产台账!$B$4:$N$53,2,0)&amp;"","台账中未登记"))</f>
        <v/>
      </c>
      <c r="D198" s="43" t="str">
        <f aca="false">IF($B198="","",IFERROR(VLOOKUP($B198,资产台账!$B$4:$N$53,3,0)&amp;"",""))</f>
        <v/>
      </c>
      <c r="E198" s="43" t="str">
        <f aca="false">IF($B198="","",IFERROR(VLOOKUP($B198,资产台账!$B$4:$N$53,10,0)&amp;"",""))</f>
        <v/>
      </c>
      <c r="F198" s="49" t="str">
        <f aca="false">IF($B198="","",IFERROR(VLOOKUP($B198,资产台账!$B$4:$N$53,9,0),0))</f>
        <v/>
      </c>
      <c r="G198" s="45" t="n">
        <f aca="false">IF(OR($A198="",$W198=0),0,INDEX(仪器设备工时分配表!$F$6:$F$245,$W198))</f>
        <v>0</v>
      </c>
      <c r="H198" s="45" t="n">
        <f aca="false">IF(OR($A198="",$W198=0),0,INDEX(仪器设备工时分配表!$R$6:$R$245,$W198))</f>
        <v>0</v>
      </c>
      <c r="I198" s="28" t="str">
        <f aca="false">IF(OR($A198="",$G198=0),"",$H198/$G198)</f>
        <v/>
      </c>
      <c r="J198" s="27" t="str">
        <f aca="false">IF(OR($A198="",$G198=0),"",ROUND($F198*INDEX(仪器设备工时分配表!$H$6:$H$245,$W198)/$G198,2))</f>
        <v/>
      </c>
      <c r="K198" s="27" t="str">
        <f aca="false">IF(OR($A198="",$G198=0),"",ROUND($F198*INDEX(仪器设备工时分配表!$I$6:$I$245,$W198)/$G198,2))</f>
        <v/>
      </c>
      <c r="L198" s="27" t="str">
        <f aca="false">IF(OR($A198="",$G198=0),"",ROUND($F198*INDEX(仪器设备工时分配表!$J$6:$J$245,$W198)/$G198,2))</f>
        <v/>
      </c>
      <c r="M198" s="27" t="str">
        <f aca="false">IF(OR($A198="",$G198=0),"",ROUND($F198*INDEX(仪器设备工时分配表!$K$6:$K$245,$W198)/$G198,2))</f>
        <v/>
      </c>
      <c r="N198" s="27" t="str">
        <f aca="false">IF(OR($A198="",$G198=0),"",ROUND($F198*INDEX(仪器设备工时分配表!$L$6:$L$245,$W198)/$G198,2))</f>
        <v/>
      </c>
      <c r="O198" s="27" t="str">
        <f aca="false">IF(OR($A198="",$G198=0),"",ROUND($F198*INDEX(仪器设备工时分配表!$M$6:$M$245,$W198)/$G198,2))</f>
        <v/>
      </c>
      <c r="P198" s="27" t="str">
        <f aca="false">IF(OR($A198="",$G198=0),"",ROUND($F198*INDEX(仪器设备工时分配表!$N$6:$N$245,$W198)/$G198,2))</f>
        <v/>
      </c>
      <c r="Q198" s="27" t="str">
        <f aca="false">IF(OR($A198="",$G198=0),"",ROUND($F198*INDEX(仪器设备工时分配表!$O$6:$O$245,$W198)/$G198,2))</f>
        <v/>
      </c>
      <c r="R198" s="27" t="str">
        <f aca="false">IF(OR($A198="",$G198=0),"",ROUND($F198*INDEX(仪器设备工时分配表!$P$6:$P$245,$W198)/$G198,2))</f>
        <v/>
      </c>
      <c r="S198" s="27" t="str">
        <f aca="false">IF(OR($A198="",$G198=0),"",ROUND($F198*INDEX(仪器设备工时分配表!$Q$6:$Q$245,$W198)/$G198,2))</f>
        <v/>
      </c>
      <c r="T198" s="27" t="str">
        <f aca="false">IF($A198="","",ROUND(SUM(J198:S198),2))</f>
        <v/>
      </c>
      <c r="U198" s="27" t="str">
        <f aca="false">IF($A198="","",ROUND($F198-T198,2))</f>
        <v/>
      </c>
      <c r="V198" s="43" t="str">
        <f aca="false">IF($A198="","",IF($D198="无形资产","⚠ 无形资产请在无形资产费用分配表登记",IF($W198=0,"⚠ 工时分配表无此资产当月记录",IF($X198&gt;1,"⚠ 工时分配表存在重复行","√ 正常"))))</f>
        <v/>
      </c>
      <c r="W198" s="47" t="n">
        <f aca="false">IF($A198="",0,IFERROR(MATCH($A198&amp;"|"&amp;$B198,仪器设备工时分配表!$V$6:$V$245,0),0))</f>
        <v>0</v>
      </c>
      <c r="X198" s="47" t="n">
        <f aca="false">IF($A198="",0,COUNTIFS(仪器设备工时分配表!$A$6:$A$245,$A198,仪器设备工时分配表!$B$6:$B$245,$B198))</f>
        <v>0</v>
      </c>
    </row>
    <row r="199" customFormat="false" ht="18" hidden="false" customHeight="true" outlineLevel="0" collapsed="false">
      <c r="A199" s="36"/>
      <c r="B199" s="36"/>
      <c r="C199" s="48" t="str">
        <f aca="false">IF($B199="","",IFERROR(VLOOKUP($B199,资产台账!$B$4:$N$53,2,0)&amp;"","台账中未登记"))</f>
        <v/>
      </c>
      <c r="D199" s="43" t="str">
        <f aca="false">IF($B199="","",IFERROR(VLOOKUP($B199,资产台账!$B$4:$N$53,3,0)&amp;"",""))</f>
        <v/>
      </c>
      <c r="E199" s="43" t="str">
        <f aca="false">IF($B199="","",IFERROR(VLOOKUP($B199,资产台账!$B$4:$N$53,10,0)&amp;"",""))</f>
        <v/>
      </c>
      <c r="F199" s="49" t="str">
        <f aca="false">IF($B199="","",IFERROR(VLOOKUP($B199,资产台账!$B$4:$N$53,9,0),0))</f>
        <v/>
      </c>
      <c r="G199" s="45" t="n">
        <f aca="false">IF(OR($A199="",$W199=0),0,INDEX(仪器设备工时分配表!$F$6:$F$245,$W199))</f>
        <v>0</v>
      </c>
      <c r="H199" s="45" t="n">
        <f aca="false">IF(OR($A199="",$W199=0),0,INDEX(仪器设备工时分配表!$R$6:$R$245,$W199))</f>
        <v>0</v>
      </c>
      <c r="I199" s="28" t="str">
        <f aca="false">IF(OR($A199="",$G199=0),"",$H199/$G199)</f>
        <v/>
      </c>
      <c r="J199" s="27" t="str">
        <f aca="false">IF(OR($A199="",$G199=0),"",ROUND($F199*INDEX(仪器设备工时分配表!$H$6:$H$245,$W199)/$G199,2))</f>
        <v/>
      </c>
      <c r="K199" s="27" t="str">
        <f aca="false">IF(OR($A199="",$G199=0),"",ROUND($F199*INDEX(仪器设备工时分配表!$I$6:$I$245,$W199)/$G199,2))</f>
        <v/>
      </c>
      <c r="L199" s="27" t="str">
        <f aca="false">IF(OR($A199="",$G199=0),"",ROUND($F199*INDEX(仪器设备工时分配表!$J$6:$J$245,$W199)/$G199,2))</f>
        <v/>
      </c>
      <c r="M199" s="27" t="str">
        <f aca="false">IF(OR($A199="",$G199=0),"",ROUND($F199*INDEX(仪器设备工时分配表!$K$6:$K$245,$W199)/$G199,2))</f>
        <v/>
      </c>
      <c r="N199" s="27" t="str">
        <f aca="false">IF(OR($A199="",$G199=0),"",ROUND($F199*INDEX(仪器设备工时分配表!$L$6:$L$245,$W199)/$G199,2))</f>
        <v/>
      </c>
      <c r="O199" s="27" t="str">
        <f aca="false">IF(OR($A199="",$G199=0),"",ROUND($F199*INDEX(仪器设备工时分配表!$M$6:$M$245,$W199)/$G199,2))</f>
        <v/>
      </c>
      <c r="P199" s="27" t="str">
        <f aca="false">IF(OR($A199="",$G199=0),"",ROUND($F199*INDEX(仪器设备工时分配表!$N$6:$N$245,$W199)/$G199,2))</f>
        <v/>
      </c>
      <c r="Q199" s="27" t="str">
        <f aca="false">IF(OR($A199="",$G199=0),"",ROUND($F199*INDEX(仪器设备工时分配表!$O$6:$O$245,$W199)/$G199,2))</f>
        <v/>
      </c>
      <c r="R199" s="27" t="str">
        <f aca="false">IF(OR($A199="",$G199=0),"",ROUND($F199*INDEX(仪器设备工时分配表!$P$6:$P$245,$W199)/$G199,2))</f>
        <v/>
      </c>
      <c r="S199" s="27" t="str">
        <f aca="false">IF(OR($A199="",$G199=0),"",ROUND($F199*INDEX(仪器设备工时分配表!$Q$6:$Q$245,$W199)/$G199,2))</f>
        <v/>
      </c>
      <c r="T199" s="27" t="str">
        <f aca="false">IF($A199="","",ROUND(SUM(J199:S199),2))</f>
        <v/>
      </c>
      <c r="U199" s="27" t="str">
        <f aca="false">IF($A199="","",ROUND($F199-T199,2))</f>
        <v/>
      </c>
      <c r="V199" s="43" t="str">
        <f aca="false">IF($A199="","",IF($D199="无形资产","⚠ 无形资产请在无形资产费用分配表登记",IF($W199=0,"⚠ 工时分配表无此资产当月记录",IF($X199&gt;1,"⚠ 工时分配表存在重复行","√ 正常"))))</f>
        <v/>
      </c>
      <c r="W199" s="47" t="n">
        <f aca="false">IF($A199="",0,IFERROR(MATCH($A199&amp;"|"&amp;$B199,仪器设备工时分配表!$V$6:$V$245,0),0))</f>
        <v>0</v>
      </c>
      <c r="X199" s="47" t="n">
        <f aca="false">IF($A199="",0,COUNTIFS(仪器设备工时分配表!$A$6:$A$245,$A199,仪器设备工时分配表!$B$6:$B$245,$B199))</f>
        <v>0</v>
      </c>
    </row>
    <row r="200" customFormat="false" ht="18" hidden="false" customHeight="true" outlineLevel="0" collapsed="false">
      <c r="A200" s="36"/>
      <c r="B200" s="36"/>
      <c r="C200" s="48" t="str">
        <f aca="false">IF($B200="","",IFERROR(VLOOKUP($B200,资产台账!$B$4:$N$53,2,0)&amp;"","台账中未登记"))</f>
        <v/>
      </c>
      <c r="D200" s="43" t="str">
        <f aca="false">IF($B200="","",IFERROR(VLOOKUP($B200,资产台账!$B$4:$N$53,3,0)&amp;"",""))</f>
        <v/>
      </c>
      <c r="E200" s="43" t="str">
        <f aca="false">IF($B200="","",IFERROR(VLOOKUP($B200,资产台账!$B$4:$N$53,10,0)&amp;"",""))</f>
        <v/>
      </c>
      <c r="F200" s="49" t="str">
        <f aca="false">IF($B200="","",IFERROR(VLOOKUP($B200,资产台账!$B$4:$N$53,9,0),0))</f>
        <v/>
      </c>
      <c r="G200" s="45" t="n">
        <f aca="false">IF(OR($A200="",$W200=0),0,INDEX(仪器设备工时分配表!$F$6:$F$245,$W200))</f>
        <v>0</v>
      </c>
      <c r="H200" s="45" t="n">
        <f aca="false">IF(OR($A200="",$W200=0),0,INDEX(仪器设备工时分配表!$R$6:$R$245,$W200))</f>
        <v>0</v>
      </c>
      <c r="I200" s="28" t="str">
        <f aca="false">IF(OR($A200="",$G200=0),"",$H200/$G200)</f>
        <v/>
      </c>
      <c r="J200" s="27" t="str">
        <f aca="false">IF(OR($A200="",$G200=0),"",ROUND($F200*INDEX(仪器设备工时分配表!$H$6:$H$245,$W200)/$G200,2))</f>
        <v/>
      </c>
      <c r="K200" s="27" t="str">
        <f aca="false">IF(OR($A200="",$G200=0),"",ROUND($F200*INDEX(仪器设备工时分配表!$I$6:$I$245,$W200)/$G200,2))</f>
        <v/>
      </c>
      <c r="L200" s="27" t="str">
        <f aca="false">IF(OR($A200="",$G200=0),"",ROUND($F200*INDEX(仪器设备工时分配表!$J$6:$J$245,$W200)/$G200,2))</f>
        <v/>
      </c>
      <c r="M200" s="27" t="str">
        <f aca="false">IF(OR($A200="",$G200=0),"",ROUND($F200*INDEX(仪器设备工时分配表!$K$6:$K$245,$W200)/$G200,2))</f>
        <v/>
      </c>
      <c r="N200" s="27" t="str">
        <f aca="false">IF(OR($A200="",$G200=0),"",ROUND($F200*INDEX(仪器设备工时分配表!$L$6:$L$245,$W200)/$G200,2))</f>
        <v/>
      </c>
      <c r="O200" s="27" t="str">
        <f aca="false">IF(OR($A200="",$G200=0),"",ROUND($F200*INDEX(仪器设备工时分配表!$M$6:$M$245,$W200)/$G200,2))</f>
        <v/>
      </c>
      <c r="P200" s="27" t="str">
        <f aca="false">IF(OR($A200="",$G200=0),"",ROUND($F200*INDEX(仪器设备工时分配表!$N$6:$N$245,$W200)/$G200,2))</f>
        <v/>
      </c>
      <c r="Q200" s="27" t="str">
        <f aca="false">IF(OR($A200="",$G200=0),"",ROUND($F200*INDEX(仪器设备工时分配表!$O$6:$O$245,$W200)/$G200,2))</f>
        <v/>
      </c>
      <c r="R200" s="27" t="str">
        <f aca="false">IF(OR($A200="",$G200=0),"",ROUND($F200*INDEX(仪器设备工时分配表!$P$6:$P$245,$W200)/$G200,2))</f>
        <v/>
      </c>
      <c r="S200" s="27" t="str">
        <f aca="false">IF(OR($A200="",$G200=0),"",ROUND($F200*INDEX(仪器设备工时分配表!$Q$6:$Q$245,$W200)/$G200,2))</f>
        <v/>
      </c>
      <c r="T200" s="27" t="str">
        <f aca="false">IF($A200="","",ROUND(SUM(J200:S200),2))</f>
        <v/>
      </c>
      <c r="U200" s="27" t="str">
        <f aca="false">IF($A200="","",ROUND($F200-T200,2))</f>
        <v/>
      </c>
      <c r="V200" s="43" t="str">
        <f aca="false">IF($A200="","",IF($D200="无形资产","⚠ 无形资产请在无形资产费用分配表登记",IF($W200=0,"⚠ 工时分配表无此资产当月记录",IF($X200&gt;1,"⚠ 工时分配表存在重复行","√ 正常"))))</f>
        <v/>
      </c>
      <c r="W200" s="47" t="n">
        <f aca="false">IF($A200="",0,IFERROR(MATCH($A200&amp;"|"&amp;$B200,仪器设备工时分配表!$V$6:$V$245,0),0))</f>
        <v>0</v>
      </c>
      <c r="X200" s="47" t="n">
        <f aca="false">IF($A200="",0,COUNTIFS(仪器设备工时分配表!$A$6:$A$245,$A200,仪器设备工时分配表!$B$6:$B$245,$B200))</f>
        <v>0</v>
      </c>
    </row>
    <row r="201" customFormat="false" ht="18" hidden="false" customHeight="true" outlineLevel="0" collapsed="false">
      <c r="A201" s="36"/>
      <c r="B201" s="36"/>
      <c r="C201" s="48" t="str">
        <f aca="false">IF($B201="","",IFERROR(VLOOKUP($B201,资产台账!$B$4:$N$53,2,0)&amp;"","台账中未登记"))</f>
        <v/>
      </c>
      <c r="D201" s="43" t="str">
        <f aca="false">IF($B201="","",IFERROR(VLOOKUP($B201,资产台账!$B$4:$N$53,3,0)&amp;"",""))</f>
        <v/>
      </c>
      <c r="E201" s="43" t="str">
        <f aca="false">IF($B201="","",IFERROR(VLOOKUP($B201,资产台账!$B$4:$N$53,10,0)&amp;"",""))</f>
        <v/>
      </c>
      <c r="F201" s="49" t="str">
        <f aca="false">IF($B201="","",IFERROR(VLOOKUP($B201,资产台账!$B$4:$N$53,9,0),0))</f>
        <v/>
      </c>
      <c r="G201" s="45" t="n">
        <f aca="false">IF(OR($A201="",$W201=0),0,INDEX(仪器设备工时分配表!$F$6:$F$245,$W201))</f>
        <v>0</v>
      </c>
      <c r="H201" s="45" t="n">
        <f aca="false">IF(OR($A201="",$W201=0),0,INDEX(仪器设备工时分配表!$R$6:$R$245,$W201))</f>
        <v>0</v>
      </c>
      <c r="I201" s="28" t="str">
        <f aca="false">IF(OR($A201="",$G201=0),"",$H201/$G201)</f>
        <v/>
      </c>
      <c r="J201" s="27" t="str">
        <f aca="false">IF(OR($A201="",$G201=0),"",ROUND($F201*INDEX(仪器设备工时分配表!$H$6:$H$245,$W201)/$G201,2))</f>
        <v/>
      </c>
      <c r="K201" s="27" t="str">
        <f aca="false">IF(OR($A201="",$G201=0),"",ROUND($F201*INDEX(仪器设备工时分配表!$I$6:$I$245,$W201)/$G201,2))</f>
        <v/>
      </c>
      <c r="L201" s="27" t="str">
        <f aca="false">IF(OR($A201="",$G201=0),"",ROUND($F201*INDEX(仪器设备工时分配表!$J$6:$J$245,$W201)/$G201,2))</f>
        <v/>
      </c>
      <c r="M201" s="27" t="str">
        <f aca="false">IF(OR($A201="",$G201=0),"",ROUND($F201*INDEX(仪器设备工时分配表!$K$6:$K$245,$W201)/$G201,2))</f>
        <v/>
      </c>
      <c r="N201" s="27" t="str">
        <f aca="false">IF(OR($A201="",$G201=0),"",ROUND($F201*INDEX(仪器设备工时分配表!$L$6:$L$245,$W201)/$G201,2))</f>
        <v/>
      </c>
      <c r="O201" s="27" t="str">
        <f aca="false">IF(OR($A201="",$G201=0),"",ROUND($F201*INDEX(仪器设备工时分配表!$M$6:$M$245,$W201)/$G201,2))</f>
        <v/>
      </c>
      <c r="P201" s="27" t="str">
        <f aca="false">IF(OR($A201="",$G201=0),"",ROUND($F201*INDEX(仪器设备工时分配表!$N$6:$N$245,$W201)/$G201,2))</f>
        <v/>
      </c>
      <c r="Q201" s="27" t="str">
        <f aca="false">IF(OR($A201="",$G201=0),"",ROUND($F201*INDEX(仪器设备工时分配表!$O$6:$O$245,$W201)/$G201,2))</f>
        <v/>
      </c>
      <c r="R201" s="27" t="str">
        <f aca="false">IF(OR($A201="",$G201=0),"",ROUND($F201*INDEX(仪器设备工时分配表!$P$6:$P$245,$W201)/$G201,2))</f>
        <v/>
      </c>
      <c r="S201" s="27" t="str">
        <f aca="false">IF(OR($A201="",$G201=0),"",ROUND($F201*INDEX(仪器设备工时分配表!$Q$6:$Q$245,$W201)/$G201,2))</f>
        <v/>
      </c>
      <c r="T201" s="27" t="str">
        <f aca="false">IF($A201="","",ROUND(SUM(J201:S201),2))</f>
        <v/>
      </c>
      <c r="U201" s="27" t="str">
        <f aca="false">IF($A201="","",ROUND($F201-T201,2))</f>
        <v/>
      </c>
      <c r="V201" s="43" t="str">
        <f aca="false">IF($A201="","",IF($D201="无形资产","⚠ 无形资产请在无形资产费用分配表登记",IF($W201=0,"⚠ 工时分配表无此资产当月记录",IF($X201&gt;1,"⚠ 工时分配表存在重复行","√ 正常"))))</f>
        <v/>
      </c>
      <c r="W201" s="47" t="n">
        <f aca="false">IF($A201="",0,IFERROR(MATCH($A201&amp;"|"&amp;$B201,仪器设备工时分配表!$V$6:$V$245,0),0))</f>
        <v>0</v>
      </c>
      <c r="X201" s="47" t="n">
        <f aca="false">IF($A201="",0,COUNTIFS(仪器设备工时分配表!$A$6:$A$245,$A201,仪器设备工时分配表!$B$6:$B$245,$B201))</f>
        <v>0</v>
      </c>
    </row>
    <row r="202" customFormat="false" ht="18" hidden="false" customHeight="true" outlineLevel="0" collapsed="false">
      <c r="A202" s="36"/>
      <c r="B202" s="36"/>
      <c r="C202" s="48" t="str">
        <f aca="false">IF($B202="","",IFERROR(VLOOKUP($B202,资产台账!$B$4:$N$53,2,0)&amp;"","台账中未登记"))</f>
        <v/>
      </c>
      <c r="D202" s="43" t="str">
        <f aca="false">IF($B202="","",IFERROR(VLOOKUP($B202,资产台账!$B$4:$N$53,3,0)&amp;"",""))</f>
        <v/>
      </c>
      <c r="E202" s="43" t="str">
        <f aca="false">IF($B202="","",IFERROR(VLOOKUP($B202,资产台账!$B$4:$N$53,10,0)&amp;"",""))</f>
        <v/>
      </c>
      <c r="F202" s="49" t="str">
        <f aca="false">IF($B202="","",IFERROR(VLOOKUP($B202,资产台账!$B$4:$N$53,9,0),0))</f>
        <v/>
      </c>
      <c r="G202" s="45" t="n">
        <f aca="false">IF(OR($A202="",$W202=0),0,INDEX(仪器设备工时分配表!$F$6:$F$245,$W202))</f>
        <v>0</v>
      </c>
      <c r="H202" s="45" t="n">
        <f aca="false">IF(OR($A202="",$W202=0),0,INDEX(仪器设备工时分配表!$R$6:$R$245,$W202))</f>
        <v>0</v>
      </c>
      <c r="I202" s="28" t="str">
        <f aca="false">IF(OR($A202="",$G202=0),"",$H202/$G202)</f>
        <v/>
      </c>
      <c r="J202" s="27" t="str">
        <f aca="false">IF(OR($A202="",$G202=0),"",ROUND($F202*INDEX(仪器设备工时分配表!$H$6:$H$245,$W202)/$G202,2))</f>
        <v/>
      </c>
      <c r="K202" s="27" t="str">
        <f aca="false">IF(OR($A202="",$G202=0),"",ROUND($F202*INDEX(仪器设备工时分配表!$I$6:$I$245,$W202)/$G202,2))</f>
        <v/>
      </c>
      <c r="L202" s="27" t="str">
        <f aca="false">IF(OR($A202="",$G202=0),"",ROUND($F202*INDEX(仪器设备工时分配表!$J$6:$J$245,$W202)/$G202,2))</f>
        <v/>
      </c>
      <c r="M202" s="27" t="str">
        <f aca="false">IF(OR($A202="",$G202=0),"",ROUND($F202*INDEX(仪器设备工时分配表!$K$6:$K$245,$W202)/$G202,2))</f>
        <v/>
      </c>
      <c r="N202" s="27" t="str">
        <f aca="false">IF(OR($A202="",$G202=0),"",ROUND($F202*INDEX(仪器设备工时分配表!$L$6:$L$245,$W202)/$G202,2))</f>
        <v/>
      </c>
      <c r="O202" s="27" t="str">
        <f aca="false">IF(OR($A202="",$G202=0),"",ROUND($F202*INDEX(仪器设备工时分配表!$M$6:$M$245,$W202)/$G202,2))</f>
        <v/>
      </c>
      <c r="P202" s="27" t="str">
        <f aca="false">IF(OR($A202="",$G202=0),"",ROUND($F202*INDEX(仪器设备工时分配表!$N$6:$N$245,$W202)/$G202,2))</f>
        <v/>
      </c>
      <c r="Q202" s="27" t="str">
        <f aca="false">IF(OR($A202="",$G202=0),"",ROUND($F202*INDEX(仪器设备工时分配表!$O$6:$O$245,$W202)/$G202,2))</f>
        <v/>
      </c>
      <c r="R202" s="27" t="str">
        <f aca="false">IF(OR($A202="",$G202=0),"",ROUND($F202*INDEX(仪器设备工时分配表!$P$6:$P$245,$W202)/$G202,2))</f>
        <v/>
      </c>
      <c r="S202" s="27" t="str">
        <f aca="false">IF(OR($A202="",$G202=0),"",ROUND($F202*INDEX(仪器设备工时分配表!$Q$6:$Q$245,$W202)/$G202,2))</f>
        <v/>
      </c>
      <c r="T202" s="27" t="str">
        <f aca="false">IF($A202="","",ROUND(SUM(J202:S202),2))</f>
        <v/>
      </c>
      <c r="U202" s="27" t="str">
        <f aca="false">IF($A202="","",ROUND($F202-T202,2))</f>
        <v/>
      </c>
      <c r="V202" s="43" t="str">
        <f aca="false">IF($A202="","",IF($D202="无形资产","⚠ 无形资产请在无形资产费用分配表登记",IF($W202=0,"⚠ 工时分配表无此资产当月记录",IF($X202&gt;1,"⚠ 工时分配表存在重复行","√ 正常"))))</f>
        <v/>
      </c>
      <c r="W202" s="47" t="n">
        <f aca="false">IF($A202="",0,IFERROR(MATCH($A202&amp;"|"&amp;$B202,仪器设备工时分配表!$V$6:$V$245,0),0))</f>
        <v>0</v>
      </c>
      <c r="X202" s="47" t="n">
        <f aca="false">IF($A202="",0,COUNTIFS(仪器设备工时分配表!$A$6:$A$245,$A202,仪器设备工时分配表!$B$6:$B$245,$B202))</f>
        <v>0</v>
      </c>
    </row>
    <row r="203" customFormat="false" ht="18" hidden="false" customHeight="true" outlineLevel="0" collapsed="false">
      <c r="A203" s="36"/>
      <c r="B203" s="36"/>
      <c r="C203" s="48" t="str">
        <f aca="false">IF($B203="","",IFERROR(VLOOKUP($B203,资产台账!$B$4:$N$53,2,0)&amp;"","台账中未登记"))</f>
        <v/>
      </c>
      <c r="D203" s="43" t="str">
        <f aca="false">IF($B203="","",IFERROR(VLOOKUP($B203,资产台账!$B$4:$N$53,3,0)&amp;"",""))</f>
        <v/>
      </c>
      <c r="E203" s="43" t="str">
        <f aca="false">IF($B203="","",IFERROR(VLOOKUP($B203,资产台账!$B$4:$N$53,10,0)&amp;"",""))</f>
        <v/>
      </c>
      <c r="F203" s="49" t="str">
        <f aca="false">IF($B203="","",IFERROR(VLOOKUP($B203,资产台账!$B$4:$N$53,9,0),0))</f>
        <v/>
      </c>
      <c r="G203" s="45" t="n">
        <f aca="false">IF(OR($A203="",$W203=0),0,INDEX(仪器设备工时分配表!$F$6:$F$245,$W203))</f>
        <v>0</v>
      </c>
      <c r="H203" s="45" t="n">
        <f aca="false">IF(OR($A203="",$W203=0),0,INDEX(仪器设备工时分配表!$R$6:$R$245,$W203))</f>
        <v>0</v>
      </c>
      <c r="I203" s="28" t="str">
        <f aca="false">IF(OR($A203="",$G203=0),"",$H203/$G203)</f>
        <v/>
      </c>
      <c r="J203" s="27" t="str">
        <f aca="false">IF(OR($A203="",$G203=0),"",ROUND($F203*INDEX(仪器设备工时分配表!$H$6:$H$245,$W203)/$G203,2))</f>
        <v/>
      </c>
      <c r="K203" s="27" t="str">
        <f aca="false">IF(OR($A203="",$G203=0),"",ROUND($F203*INDEX(仪器设备工时分配表!$I$6:$I$245,$W203)/$G203,2))</f>
        <v/>
      </c>
      <c r="L203" s="27" t="str">
        <f aca="false">IF(OR($A203="",$G203=0),"",ROUND($F203*INDEX(仪器设备工时分配表!$J$6:$J$245,$W203)/$G203,2))</f>
        <v/>
      </c>
      <c r="M203" s="27" t="str">
        <f aca="false">IF(OR($A203="",$G203=0),"",ROUND($F203*INDEX(仪器设备工时分配表!$K$6:$K$245,$W203)/$G203,2))</f>
        <v/>
      </c>
      <c r="N203" s="27" t="str">
        <f aca="false">IF(OR($A203="",$G203=0),"",ROUND($F203*INDEX(仪器设备工时分配表!$L$6:$L$245,$W203)/$G203,2))</f>
        <v/>
      </c>
      <c r="O203" s="27" t="str">
        <f aca="false">IF(OR($A203="",$G203=0),"",ROUND($F203*INDEX(仪器设备工时分配表!$M$6:$M$245,$W203)/$G203,2))</f>
        <v/>
      </c>
      <c r="P203" s="27" t="str">
        <f aca="false">IF(OR($A203="",$G203=0),"",ROUND($F203*INDEX(仪器设备工时分配表!$N$6:$N$245,$W203)/$G203,2))</f>
        <v/>
      </c>
      <c r="Q203" s="27" t="str">
        <f aca="false">IF(OR($A203="",$G203=0),"",ROUND($F203*INDEX(仪器设备工时分配表!$O$6:$O$245,$W203)/$G203,2))</f>
        <v/>
      </c>
      <c r="R203" s="27" t="str">
        <f aca="false">IF(OR($A203="",$G203=0),"",ROUND($F203*INDEX(仪器设备工时分配表!$P$6:$P$245,$W203)/$G203,2))</f>
        <v/>
      </c>
      <c r="S203" s="27" t="str">
        <f aca="false">IF(OR($A203="",$G203=0),"",ROUND($F203*INDEX(仪器设备工时分配表!$Q$6:$Q$245,$W203)/$G203,2))</f>
        <v/>
      </c>
      <c r="T203" s="27" t="str">
        <f aca="false">IF($A203="","",ROUND(SUM(J203:S203),2))</f>
        <v/>
      </c>
      <c r="U203" s="27" t="str">
        <f aca="false">IF($A203="","",ROUND($F203-T203,2))</f>
        <v/>
      </c>
      <c r="V203" s="43" t="str">
        <f aca="false">IF($A203="","",IF($D203="无形资产","⚠ 无形资产请在无形资产费用分配表登记",IF($W203=0,"⚠ 工时分配表无此资产当月记录",IF($X203&gt;1,"⚠ 工时分配表存在重复行","√ 正常"))))</f>
        <v/>
      </c>
      <c r="W203" s="47" t="n">
        <f aca="false">IF($A203="",0,IFERROR(MATCH($A203&amp;"|"&amp;$B203,仪器设备工时分配表!$V$6:$V$245,0),0))</f>
        <v>0</v>
      </c>
      <c r="X203" s="47" t="n">
        <f aca="false">IF($A203="",0,COUNTIFS(仪器设备工时分配表!$A$6:$A$245,$A203,仪器设备工时分配表!$B$6:$B$245,$B203))</f>
        <v>0</v>
      </c>
    </row>
    <row r="204" customFormat="false" ht="18" hidden="false" customHeight="true" outlineLevel="0" collapsed="false">
      <c r="A204" s="36"/>
      <c r="B204" s="36"/>
      <c r="C204" s="48" t="str">
        <f aca="false">IF($B204="","",IFERROR(VLOOKUP($B204,资产台账!$B$4:$N$53,2,0)&amp;"","台账中未登记"))</f>
        <v/>
      </c>
      <c r="D204" s="43" t="str">
        <f aca="false">IF($B204="","",IFERROR(VLOOKUP($B204,资产台账!$B$4:$N$53,3,0)&amp;"",""))</f>
        <v/>
      </c>
      <c r="E204" s="43" t="str">
        <f aca="false">IF($B204="","",IFERROR(VLOOKUP($B204,资产台账!$B$4:$N$53,10,0)&amp;"",""))</f>
        <v/>
      </c>
      <c r="F204" s="49" t="str">
        <f aca="false">IF($B204="","",IFERROR(VLOOKUP($B204,资产台账!$B$4:$N$53,9,0),0))</f>
        <v/>
      </c>
      <c r="G204" s="45" t="n">
        <f aca="false">IF(OR($A204="",$W204=0),0,INDEX(仪器设备工时分配表!$F$6:$F$245,$W204))</f>
        <v>0</v>
      </c>
      <c r="H204" s="45" t="n">
        <f aca="false">IF(OR($A204="",$W204=0),0,INDEX(仪器设备工时分配表!$R$6:$R$245,$W204))</f>
        <v>0</v>
      </c>
      <c r="I204" s="28" t="str">
        <f aca="false">IF(OR($A204="",$G204=0),"",$H204/$G204)</f>
        <v/>
      </c>
      <c r="J204" s="27" t="str">
        <f aca="false">IF(OR($A204="",$G204=0),"",ROUND($F204*INDEX(仪器设备工时分配表!$H$6:$H$245,$W204)/$G204,2))</f>
        <v/>
      </c>
      <c r="K204" s="27" t="str">
        <f aca="false">IF(OR($A204="",$G204=0),"",ROUND($F204*INDEX(仪器设备工时分配表!$I$6:$I$245,$W204)/$G204,2))</f>
        <v/>
      </c>
      <c r="L204" s="27" t="str">
        <f aca="false">IF(OR($A204="",$G204=0),"",ROUND($F204*INDEX(仪器设备工时分配表!$J$6:$J$245,$W204)/$G204,2))</f>
        <v/>
      </c>
      <c r="M204" s="27" t="str">
        <f aca="false">IF(OR($A204="",$G204=0),"",ROUND($F204*INDEX(仪器设备工时分配表!$K$6:$K$245,$W204)/$G204,2))</f>
        <v/>
      </c>
      <c r="N204" s="27" t="str">
        <f aca="false">IF(OR($A204="",$G204=0),"",ROUND($F204*INDEX(仪器设备工时分配表!$L$6:$L$245,$W204)/$G204,2))</f>
        <v/>
      </c>
      <c r="O204" s="27" t="str">
        <f aca="false">IF(OR($A204="",$G204=0),"",ROUND($F204*INDEX(仪器设备工时分配表!$M$6:$M$245,$W204)/$G204,2))</f>
        <v/>
      </c>
      <c r="P204" s="27" t="str">
        <f aca="false">IF(OR($A204="",$G204=0),"",ROUND($F204*INDEX(仪器设备工时分配表!$N$6:$N$245,$W204)/$G204,2))</f>
        <v/>
      </c>
      <c r="Q204" s="27" t="str">
        <f aca="false">IF(OR($A204="",$G204=0),"",ROUND($F204*INDEX(仪器设备工时分配表!$O$6:$O$245,$W204)/$G204,2))</f>
        <v/>
      </c>
      <c r="R204" s="27" t="str">
        <f aca="false">IF(OR($A204="",$G204=0),"",ROUND($F204*INDEX(仪器设备工时分配表!$P$6:$P$245,$W204)/$G204,2))</f>
        <v/>
      </c>
      <c r="S204" s="27" t="str">
        <f aca="false">IF(OR($A204="",$G204=0),"",ROUND($F204*INDEX(仪器设备工时分配表!$Q$6:$Q$245,$W204)/$G204,2))</f>
        <v/>
      </c>
      <c r="T204" s="27" t="str">
        <f aca="false">IF($A204="","",ROUND(SUM(J204:S204),2))</f>
        <v/>
      </c>
      <c r="U204" s="27" t="str">
        <f aca="false">IF($A204="","",ROUND($F204-T204,2))</f>
        <v/>
      </c>
      <c r="V204" s="43" t="str">
        <f aca="false">IF($A204="","",IF($D204="无形资产","⚠ 无形资产请在无形资产费用分配表登记",IF($W204=0,"⚠ 工时分配表无此资产当月记录",IF($X204&gt;1,"⚠ 工时分配表存在重复行","√ 正常"))))</f>
        <v/>
      </c>
      <c r="W204" s="47" t="n">
        <f aca="false">IF($A204="",0,IFERROR(MATCH($A204&amp;"|"&amp;$B204,仪器设备工时分配表!$V$6:$V$245,0),0))</f>
        <v>0</v>
      </c>
      <c r="X204" s="47" t="n">
        <f aca="false">IF($A204="",0,COUNTIFS(仪器设备工时分配表!$A$6:$A$245,$A204,仪器设备工时分配表!$B$6:$B$245,$B204))</f>
        <v>0</v>
      </c>
    </row>
    <row r="205" customFormat="false" ht="18" hidden="false" customHeight="true" outlineLevel="0" collapsed="false">
      <c r="A205" s="36"/>
      <c r="B205" s="36"/>
      <c r="C205" s="48" t="str">
        <f aca="false">IF($B205="","",IFERROR(VLOOKUP($B205,资产台账!$B$4:$N$53,2,0)&amp;"","台账中未登记"))</f>
        <v/>
      </c>
      <c r="D205" s="43" t="str">
        <f aca="false">IF($B205="","",IFERROR(VLOOKUP($B205,资产台账!$B$4:$N$53,3,0)&amp;"",""))</f>
        <v/>
      </c>
      <c r="E205" s="43" t="str">
        <f aca="false">IF($B205="","",IFERROR(VLOOKUP($B205,资产台账!$B$4:$N$53,10,0)&amp;"",""))</f>
        <v/>
      </c>
      <c r="F205" s="49" t="str">
        <f aca="false">IF($B205="","",IFERROR(VLOOKUP($B205,资产台账!$B$4:$N$53,9,0),0))</f>
        <v/>
      </c>
      <c r="G205" s="45" t="n">
        <f aca="false">IF(OR($A205="",$W205=0),0,INDEX(仪器设备工时分配表!$F$6:$F$245,$W205))</f>
        <v>0</v>
      </c>
      <c r="H205" s="45" t="n">
        <f aca="false">IF(OR($A205="",$W205=0),0,INDEX(仪器设备工时分配表!$R$6:$R$245,$W205))</f>
        <v>0</v>
      </c>
      <c r="I205" s="28" t="str">
        <f aca="false">IF(OR($A205="",$G205=0),"",$H205/$G205)</f>
        <v/>
      </c>
      <c r="J205" s="27" t="str">
        <f aca="false">IF(OR($A205="",$G205=0),"",ROUND($F205*INDEX(仪器设备工时分配表!$H$6:$H$245,$W205)/$G205,2))</f>
        <v/>
      </c>
      <c r="K205" s="27" t="str">
        <f aca="false">IF(OR($A205="",$G205=0),"",ROUND($F205*INDEX(仪器设备工时分配表!$I$6:$I$245,$W205)/$G205,2))</f>
        <v/>
      </c>
      <c r="L205" s="27" t="str">
        <f aca="false">IF(OR($A205="",$G205=0),"",ROUND($F205*INDEX(仪器设备工时分配表!$J$6:$J$245,$W205)/$G205,2))</f>
        <v/>
      </c>
      <c r="M205" s="27" t="str">
        <f aca="false">IF(OR($A205="",$G205=0),"",ROUND($F205*INDEX(仪器设备工时分配表!$K$6:$K$245,$W205)/$G205,2))</f>
        <v/>
      </c>
      <c r="N205" s="27" t="str">
        <f aca="false">IF(OR($A205="",$G205=0),"",ROUND($F205*INDEX(仪器设备工时分配表!$L$6:$L$245,$W205)/$G205,2))</f>
        <v/>
      </c>
      <c r="O205" s="27" t="str">
        <f aca="false">IF(OR($A205="",$G205=0),"",ROUND($F205*INDEX(仪器设备工时分配表!$M$6:$M$245,$W205)/$G205,2))</f>
        <v/>
      </c>
      <c r="P205" s="27" t="str">
        <f aca="false">IF(OR($A205="",$G205=0),"",ROUND($F205*INDEX(仪器设备工时分配表!$N$6:$N$245,$W205)/$G205,2))</f>
        <v/>
      </c>
      <c r="Q205" s="27" t="str">
        <f aca="false">IF(OR($A205="",$G205=0),"",ROUND($F205*INDEX(仪器设备工时分配表!$O$6:$O$245,$W205)/$G205,2))</f>
        <v/>
      </c>
      <c r="R205" s="27" t="str">
        <f aca="false">IF(OR($A205="",$G205=0),"",ROUND($F205*INDEX(仪器设备工时分配表!$P$6:$P$245,$W205)/$G205,2))</f>
        <v/>
      </c>
      <c r="S205" s="27" t="str">
        <f aca="false">IF(OR($A205="",$G205=0),"",ROUND($F205*INDEX(仪器设备工时分配表!$Q$6:$Q$245,$W205)/$G205,2))</f>
        <v/>
      </c>
      <c r="T205" s="27" t="str">
        <f aca="false">IF($A205="","",ROUND(SUM(J205:S205),2))</f>
        <v/>
      </c>
      <c r="U205" s="27" t="str">
        <f aca="false">IF($A205="","",ROUND($F205-T205,2))</f>
        <v/>
      </c>
      <c r="V205" s="43" t="str">
        <f aca="false">IF($A205="","",IF($D205="无形资产","⚠ 无形资产请在无形资产费用分配表登记",IF($W205=0,"⚠ 工时分配表无此资产当月记录",IF($X205&gt;1,"⚠ 工时分配表存在重复行","√ 正常"))))</f>
        <v/>
      </c>
      <c r="W205" s="47" t="n">
        <f aca="false">IF($A205="",0,IFERROR(MATCH($A205&amp;"|"&amp;$B205,仪器设备工时分配表!$V$6:$V$245,0),0))</f>
        <v>0</v>
      </c>
      <c r="X205" s="47" t="n">
        <f aca="false">IF($A205="",0,COUNTIFS(仪器设备工时分配表!$A$6:$A$245,$A205,仪器设备工时分配表!$B$6:$B$245,$B205))</f>
        <v>0</v>
      </c>
    </row>
    <row r="206" customFormat="false" ht="18" hidden="false" customHeight="true" outlineLevel="0" collapsed="false">
      <c r="A206" s="36"/>
      <c r="B206" s="36"/>
      <c r="C206" s="48" t="str">
        <f aca="false">IF($B206="","",IFERROR(VLOOKUP($B206,资产台账!$B$4:$N$53,2,0)&amp;"","台账中未登记"))</f>
        <v/>
      </c>
      <c r="D206" s="43" t="str">
        <f aca="false">IF($B206="","",IFERROR(VLOOKUP($B206,资产台账!$B$4:$N$53,3,0)&amp;"",""))</f>
        <v/>
      </c>
      <c r="E206" s="43" t="str">
        <f aca="false">IF($B206="","",IFERROR(VLOOKUP($B206,资产台账!$B$4:$N$53,10,0)&amp;"",""))</f>
        <v/>
      </c>
      <c r="F206" s="49" t="str">
        <f aca="false">IF($B206="","",IFERROR(VLOOKUP($B206,资产台账!$B$4:$N$53,9,0),0))</f>
        <v/>
      </c>
      <c r="G206" s="45" t="n">
        <f aca="false">IF(OR($A206="",$W206=0),0,INDEX(仪器设备工时分配表!$F$6:$F$245,$W206))</f>
        <v>0</v>
      </c>
      <c r="H206" s="45" t="n">
        <f aca="false">IF(OR($A206="",$W206=0),0,INDEX(仪器设备工时分配表!$R$6:$R$245,$W206))</f>
        <v>0</v>
      </c>
      <c r="I206" s="28" t="str">
        <f aca="false">IF(OR($A206="",$G206=0),"",$H206/$G206)</f>
        <v/>
      </c>
      <c r="J206" s="27" t="str">
        <f aca="false">IF(OR($A206="",$G206=0),"",ROUND($F206*INDEX(仪器设备工时分配表!$H$6:$H$245,$W206)/$G206,2))</f>
        <v/>
      </c>
      <c r="K206" s="27" t="str">
        <f aca="false">IF(OR($A206="",$G206=0),"",ROUND($F206*INDEX(仪器设备工时分配表!$I$6:$I$245,$W206)/$G206,2))</f>
        <v/>
      </c>
      <c r="L206" s="27" t="str">
        <f aca="false">IF(OR($A206="",$G206=0),"",ROUND($F206*INDEX(仪器设备工时分配表!$J$6:$J$245,$W206)/$G206,2))</f>
        <v/>
      </c>
      <c r="M206" s="27" t="str">
        <f aca="false">IF(OR($A206="",$G206=0),"",ROUND($F206*INDEX(仪器设备工时分配表!$K$6:$K$245,$W206)/$G206,2))</f>
        <v/>
      </c>
      <c r="N206" s="27" t="str">
        <f aca="false">IF(OR($A206="",$G206=0),"",ROUND($F206*INDEX(仪器设备工时分配表!$L$6:$L$245,$W206)/$G206,2))</f>
        <v/>
      </c>
      <c r="O206" s="27" t="str">
        <f aca="false">IF(OR($A206="",$G206=0),"",ROUND($F206*INDEX(仪器设备工时分配表!$M$6:$M$245,$W206)/$G206,2))</f>
        <v/>
      </c>
      <c r="P206" s="27" t="str">
        <f aca="false">IF(OR($A206="",$G206=0),"",ROUND($F206*INDEX(仪器设备工时分配表!$N$6:$N$245,$W206)/$G206,2))</f>
        <v/>
      </c>
      <c r="Q206" s="27" t="str">
        <f aca="false">IF(OR($A206="",$G206=0),"",ROUND($F206*INDEX(仪器设备工时分配表!$O$6:$O$245,$W206)/$G206,2))</f>
        <v/>
      </c>
      <c r="R206" s="27" t="str">
        <f aca="false">IF(OR($A206="",$G206=0),"",ROUND($F206*INDEX(仪器设备工时分配表!$P$6:$P$245,$W206)/$G206,2))</f>
        <v/>
      </c>
      <c r="S206" s="27" t="str">
        <f aca="false">IF(OR($A206="",$G206=0),"",ROUND($F206*INDEX(仪器设备工时分配表!$Q$6:$Q$245,$W206)/$G206,2))</f>
        <v/>
      </c>
      <c r="T206" s="27" t="str">
        <f aca="false">IF($A206="","",ROUND(SUM(J206:S206),2))</f>
        <v/>
      </c>
      <c r="U206" s="27" t="str">
        <f aca="false">IF($A206="","",ROUND($F206-T206,2))</f>
        <v/>
      </c>
      <c r="V206" s="43" t="str">
        <f aca="false">IF($A206="","",IF($D206="无形资产","⚠ 无形资产请在无形资产费用分配表登记",IF($W206=0,"⚠ 工时分配表无此资产当月记录",IF($X206&gt;1,"⚠ 工时分配表存在重复行","√ 正常"))))</f>
        <v/>
      </c>
      <c r="W206" s="47" t="n">
        <f aca="false">IF($A206="",0,IFERROR(MATCH($A206&amp;"|"&amp;$B206,仪器设备工时分配表!$V$6:$V$245,0),0))</f>
        <v>0</v>
      </c>
      <c r="X206" s="47" t="n">
        <f aca="false">IF($A206="",0,COUNTIFS(仪器设备工时分配表!$A$6:$A$245,$A206,仪器设备工时分配表!$B$6:$B$245,$B206))</f>
        <v>0</v>
      </c>
    </row>
    <row r="207" customFormat="false" ht="18" hidden="false" customHeight="true" outlineLevel="0" collapsed="false">
      <c r="A207" s="36"/>
      <c r="B207" s="36"/>
      <c r="C207" s="48" t="str">
        <f aca="false">IF($B207="","",IFERROR(VLOOKUP($B207,资产台账!$B$4:$N$53,2,0)&amp;"","台账中未登记"))</f>
        <v/>
      </c>
      <c r="D207" s="43" t="str">
        <f aca="false">IF($B207="","",IFERROR(VLOOKUP($B207,资产台账!$B$4:$N$53,3,0)&amp;"",""))</f>
        <v/>
      </c>
      <c r="E207" s="43" t="str">
        <f aca="false">IF($B207="","",IFERROR(VLOOKUP($B207,资产台账!$B$4:$N$53,10,0)&amp;"",""))</f>
        <v/>
      </c>
      <c r="F207" s="49" t="str">
        <f aca="false">IF($B207="","",IFERROR(VLOOKUP($B207,资产台账!$B$4:$N$53,9,0),0))</f>
        <v/>
      </c>
      <c r="G207" s="45" t="n">
        <f aca="false">IF(OR($A207="",$W207=0),0,INDEX(仪器设备工时分配表!$F$6:$F$245,$W207))</f>
        <v>0</v>
      </c>
      <c r="H207" s="45" t="n">
        <f aca="false">IF(OR($A207="",$W207=0),0,INDEX(仪器设备工时分配表!$R$6:$R$245,$W207))</f>
        <v>0</v>
      </c>
      <c r="I207" s="28" t="str">
        <f aca="false">IF(OR($A207="",$G207=0),"",$H207/$G207)</f>
        <v/>
      </c>
      <c r="J207" s="27" t="str">
        <f aca="false">IF(OR($A207="",$G207=0),"",ROUND($F207*INDEX(仪器设备工时分配表!$H$6:$H$245,$W207)/$G207,2))</f>
        <v/>
      </c>
      <c r="K207" s="27" t="str">
        <f aca="false">IF(OR($A207="",$G207=0),"",ROUND($F207*INDEX(仪器设备工时分配表!$I$6:$I$245,$W207)/$G207,2))</f>
        <v/>
      </c>
      <c r="L207" s="27" t="str">
        <f aca="false">IF(OR($A207="",$G207=0),"",ROUND($F207*INDEX(仪器设备工时分配表!$J$6:$J$245,$W207)/$G207,2))</f>
        <v/>
      </c>
      <c r="M207" s="27" t="str">
        <f aca="false">IF(OR($A207="",$G207=0),"",ROUND($F207*INDEX(仪器设备工时分配表!$K$6:$K$245,$W207)/$G207,2))</f>
        <v/>
      </c>
      <c r="N207" s="27" t="str">
        <f aca="false">IF(OR($A207="",$G207=0),"",ROUND($F207*INDEX(仪器设备工时分配表!$L$6:$L$245,$W207)/$G207,2))</f>
        <v/>
      </c>
      <c r="O207" s="27" t="str">
        <f aca="false">IF(OR($A207="",$G207=0),"",ROUND($F207*INDEX(仪器设备工时分配表!$M$6:$M$245,$W207)/$G207,2))</f>
        <v/>
      </c>
      <c r="P207" s="27" t="str">
        <f aca="false">IF(OR($A207="",$G207=0),"",ROUND($F207*INDEX(仪器设备工时分配表!$N$6:$N$245,$W207)/$G207,2))</f>
        <v/>
      </c>
      <c r="Q207" s="27" t="str">
        <f aca="false">IF(OR($A207="",$G207=0),"",ROUND($F207*INDEX(仪器设备工时分配表!$O$6:$O$245,$W207)/$G207,2))</f>
        <v/>
      </c>
      <c r="R207" s="27" t="str">
        <f aca="false">IF(OR($A207="",$G207=0),"",ROUND($F207*INDEX(仪器设备工时分配表!$P$6:$P$245,$W207)/$G207,2))</f>
        <v/>
      </c>
      <c r="S207" s="27" t="str">
        <f aca="false">IF(OR($A207="",$G207=0),"",ROUND($F207*INDEX(仪器设备工时分配表!$Q$6:$Q$245,$W207)/$G207,2))</f>
        <v/>
      </c>
      <c r="T207" s="27" t="str">
        <f aca="false">IF($A207="","",ROUND(SUM(J207:S207),2))</f>
        <v/>
      </c>
      <c r="U207" s="27" t="str">
        <f aca="false">IF($A207="","",ROUND($F207-T207,2))</f>
        <v/>
      </c>
      <c r="V207" s="43" t="str">
        <f aca="false">IF($A207="","",IF($D207="无形资产","⚠ 无形资产请在无形资产费用分配表登记",IF($W207=0,"⚠ 工时分配表无此资产当月记录",IF($X207&gt;1,"⚠ 工时分配表存在重复行","√ 正常"))))</f>
        <v/>
      </c>
      <c r="W207" s="47" t="n">
        <f aca="false">IF($A207="",0,IFERROR(MATCH($A207&amp;"|"&amp;$B207,仪器设备工时分配表!$V$6:$V$245,0),0))</f>
        <v>0</v>
      </c>
      <c r="X207" s="47" t="n">
        <f aca="false">IF($A207="",0,COUNTIFS(仪器设备工时分配表!$A$6:$A$245,$A207,仪器设备工时分配表!$B$6:$B$245,$B207))</f>
        <v>0</v>
      </c>
    </row>
    <row r="208" customFormat="false" ht="18" hidden="false" customHeight="true" outlineLevel="0" collapsed="false">
      <c r="A208" s="36"/>
      <c r="B208" s="36"/>
      <c r="C208" s="48" t="str">
        <f aca="false">IF($B208="","",IFERROR(VLOOKUP($B208,资产台账!$B$4:$N$53,2,0)&amp;"","台账中未登记"))</f>
        <v/>
      </c>
      <c r="D208" s="43" t="str">
        <f aca="false">IF($B208="","",IFERROR(VLOOKUP($B208,资产台账!$B$4:$N$53,3,0)&amp;"",""))</f>
        <v/>
      </c>
      <c r="E208" s="43" t="str">
        <f aca="false">IF($B208="","",IFERROR(VLOOKUP($B208,资产台账!$B$4:$N$53,10,0)&amp;"",""))</f>
        <v/>
      </c>
      <c r="F208" s="49" t="str">
        <f aca="false">IF($B208="","",IFERROR(VLOOKUP($B208,资产台账!$B$4:$N$53,9,0),0))</f>
        <v/>
      </c>
      <c r="G208" s="45" t="n">
        <f aca="false">IF(OR($A208="",$W208=0),0,INDEX(仪器设备工时分配表!$F$6:$F$245,$W208))</f>
        <v>0</v>
      </c>
      <c r="H208" s="45" t="n">
        <f aca="false">IF(OR($A208="",$W208=0),0,INDEX(仪器设备工时分配表!$R$6:$R$245,$W208))</f>
        <v>0</v>
      </c>
      <c r="I208" s="28" t="str">
        <f aca="false">IF(OR($A208="",$G208=0),"",$H208/$G208)</f>
        <v/>
      </c>
      <c r="J208" s="27" t="str">
        <f aca="false">IF(OR($A208="",$G208=0),"",ROUND($F208*INDEX(仪器设备工时分配表!$H$6:$H$245,$W208)/$G208,2))</f>
        <v/>
      </c>
      <c r="K208" s="27" t="str">
        <f aca="false">IF(OR($A208="",$G208=0),"",ROUND($F208*INDEX(仪器设备工时分配表!$I$6:$I$245,$W208)/$G208,2))</f>
        <v/>
      </c>
      <c r="L208" s="27" t="str">
        <f aca="false">IF(OR($A208="",$G208=0),"",ROUND($F208*INDEX(仪器设备工时分配表!$J$6:$J$245,$W208)/$G208,2))</f>
        <v/>
      </c>
      <c r="M208" s="27" t="str">
        <f aca="false">IF(OR($A208="",$G208=0),"",ROUND($F208*INDEX(仪器设备工时分配表!$K$6:$K$245,$W208)/$G208,2))</f>
        <v/>
      </c>
      <c r="N208" s="27" t="str">
        <f aca="false">IF(OR($A208="",$G208=0),"",ROUND($F208*INDEX(仪器设备工时分配表!$L$6:$L$245,$W208)/$G208,2))</f>
        <v/>
      </c>
      <c r="O208" s="27" t="str">
        <f aca="false">IF(OR($A208="",$G208=0),"",ROUND($F208*INDEX(仪器设备工时分配表!$M$6:$M$245,$W208)/$G208,2))</f>
        <v/>
      </c>
      <c r="P208" s="27" t="str">
        <f aca="false">IF(OR($A208="",$G208=0),"",ROUND($F208*INDEX(仪器设备工时分配表!$N$6:$N$245,$W208)/$G208,2))</f>
        <v/>
      </c>
      <c r="Q208" s="27" t="str">
        <f aca="false">IF(OR($A208="",$G208=0),"",ROUND($F208*INDEX(仪器设备工时分配表!$O$6:$O$245,$W208)/$G208,2))</f>
        <v/>
      </c>
      <c r="R208" s="27" t="str">
        <f aca="false">IF(OR($A208="",$G208=0),"",ROUND($F208*INDEX(仪器设备工时分配表!$P$6:$P$245,$W208)/$G208,2))</f>
        <v/>
      </c>
      <c r="S208" s="27" t="str">
        <f aca="false">IF(OR($A208="",$G208=0),"",ROUND($F208*INDEX(仪器设备工时分配表!$Q$6:$Q$245,$W208)/$G208,2))</f>
        <v/>
      </c>
      <c r="T208" s="27" t="str">
        <f aca="false">IF($A208="","",ROUND(SUM(J208:S208),2))</f>
        <v/>
      </c>
      <c r="U208" s="27" t="str">
        <f aca="false">IF($A208="","",ROUND($F208-T208,2))</f>
        <v/>
      </c>
      <c r="V208" s="43" t="str">
        <f aca="false">IF($A208="","",IF($D208="无形资产","⚠ 无形资产请在无形资产费用分配表登记",IF($W208=0,"⚠ 工时分配表无此资产当月记录",IF($X208&gt;1,"⚠ 工时分配表存在重复行","√ 正常"))))</f>
        <v/>
      </c>
      <c r="W208" s="47" t="n">
        <f aca="false">IF($A208="",0,IFERROR(MATCH($A208&amp;"|"&amp;$B208,仪器设备工时分配表!$V$6:$V$245,0),0))</f>
        <v>0</v>
      </c>
      <c r="X208" s="47" t="n">
        <f aca="false">IF($A208="",0,COUNTIFS(仪器设备工时分配表!$A$6:$A$245,$A208,仪器设备工时分配表!$B$6:$B$245,$B208))</f>
        <v>0</v>
      </c>
    </row>
    <row r="209" customFormat="false" ht="18" hidden="false" customHeight="true" outlineLevel="0" collapsed="false">
      <c r="A209" s="36"/>
      <c r="B209" s="36"/>
      <c r="C209" s="48" t="str">
        <f aca="false">IF($B209="","",IFERROR(VLOOKUP($B209,资产台账!$B$4:$N$53,2,0)&amp;"","台账中未登记"))</f>
        <v/>
      </c>
      <c r="D209" s="43" t="str">
        <f aca="false">IF($B209="","",IFERROR(VLOOKUP($B209,资产台账!$B$4:$N$53,3,0)&amp;"",""))</f>
        <v/>
      </c>
      <c r="E209" s="43" t="str">
        <f aca="false">IF($B209="","",IFERROR(VLOOKUP($B209,资产台账!$B$4:$N$53,10,0)&amp;"",""))</f>
        <v/>
      </c>
      <c r="F209" s="49" t="str">
        <f aca="false">IF($B209="","",IFERROR(VLOOKUP($B209,资产台账!$B$4:$N$53,9,0),0))</f>
        <v/>
      </c>
      <c r="G209" s="45" t="n">
        <f aca="false">IF(OR($A209="",$W209=0),0,INDEX(仪器设备工时分配表!$F$6:$F$245,$W209))</f>
        <v>0</v>
      </c>
      <c r="H209" s="45" t="n">
        <f aca="false">IF(OR($A209="",$W209=0),0,INDEX(仪器设备工时分配表!$R$6:$R$245,$W209))</f>
        <v>0</v>
      </c>
      <c r="I209" s="28" t="str">
        <f aca="false">IF(OR($A209="",$G209=0),"",$H209/$G209)</f>
        <v/>
      </c>
      <c r="J209" s="27" t="str">
        <f aca="false">IF(OR($A209="",$G209=0),"",ROUND($F209*INDEX(仪器设备工时分配表!$H$6:$H$245,$W209)/$G209,2))</f>
        <v/>
      </c>
      <c r="K209" s="27" t="str">
        <f aca="false">IF(OR($A209="",$G209=0),"",ROUND($F209*INDEX(仪器设备工时分配表!$I$6:$I$245,$W209)/$G209,2))</f>
        <v/>
      </c>
      <c r="L209" s="27" t="str">
        <f aca="false">IF(OR($A209="",$G209=0),"",ROUND($F209*INDEX(仪器设备工时分配表!$J$6:$J$245,$W209)/$G209,2))</f>
        <v/>
      </c>
      <c r="M209" s="27" t="str">
        <f aca="false">IF(OR($A209="",$G209=0),"",ROUND($F209*INDEX(仪器设备工时分配表!$K$6:$K$245,$W209)/$G209,2))</f>
        <v/>
      </c>
      <c r="N209" s="27" t="str">
        <f aca="false">IF(OR($A209="",$G209=0),"",ROUND($F209*INDEX(仪器设备工时分配表!$L$6:$L$245,$W209)/$G209,2))</f>
        <v/>
      </c>
      <c r="O209" s="27" t="str">
        <f aca="false">IF(OR($A209="",$G209=0),"",ROUND($F209*INDEX(仪器设备工时分配表!$M$6:$M$245,$W209)/$G209,2))</f>
        <v/>
      </c>
      <c r="P209" s="27" t="str">
        <f aca="false">IF(OR($A209="",$G209=0),"",ROUND($F209*INDEX(仪器设备工时分配表!$N$6:$N$245,$W209)/$G209,2))</f>
        <v/>
      </c>
      <c r="Q209" s="27" t="str">
        <f aca="false">IF(OR($A209="",$G209=0),"",ROUND($F209*INDEX(仪器设备工时分配表!$O$6:$O$245,$W209)/$G209,2))</f>
        <v/>
      </c>
      <c r="R209" s="27" t="str">
        <f aca="false">IF(OR($A209="",$G209=0),"",ROUND($F209*INDEX(仪器设备工时分配表!$P$6:$P$245,$W209)/$G209,2))</f>
        <v/>
      </c>
      <c r="S209" s="27" t="str">
        <f aca="false">IF(OR($A209="",$G209=0),"",ROUND($F209*INDEX(仪器设备工时分配表!$Q$6:$Q$245,$W209)/$G209,2))</f>
        <v/>
      </c>
      <c r="T209" s="27" t="str">
        <f aca="false">IF($A209="","",ROUND(SUM(J209:S209),2))</f>
        <v/>
      </c>
      <c r="U209" s="27" t="str">
        <f aca="false">IF($A209="","",ROUND($F209-T209,2))</f>
        <v/>
      </c>
      <c r="V209" s="43" t="str">
        <f aca="false">IF($A209="","",IF($D209="无形资产","⚠ 无形资产请在无形资产费用分配表登记",IF($W209=0,"⚠ 工时分配表无此资产当月记录",IF($X209&gt;1,"⚠ 工时分配表存在重复行","√ 正常"))))</f>
        <v/>
      </c>
      <c r="W209" s="47" t="n">
        <f aca="false">IF($A209="",0,IFERROR(MATCH($A209&amp;"|"&amp;$B209,仪器设备工时分配表!$V$6:$V$245,0),0))</f>
        <v>0</v>
      </c>
      <c r="X209" s="47" t="n">
        <f aca="false">IF($A209="",0,COUNTIFS(仪器设备工时分配表!$A$6:$A$245,$A209,仪器设备工时分配表!$B$6:$B$245,$B209))</f>
        <v>0</v>
      </c>
    </row>
    <row r="210" customFormat="false" ht="18" hidden="false" customHeight="true" outlineLevel="0" collapsed="false">
      <c r="A210" s="36"/>
      <c r="B210" s="36"/>
      <c r="C210" s="48" t="str">
        <f aca="false">IF($B210="","",IFERROR(VLOOKUP($B210,资产台账!$B$4:$N$53,2,0)&amp;"","台账中未登记"))</f>
        <v/>
      </c>
      <c r="D210" s="43" t="str">
        <f aca="false">IF($B210="","",IFERROR(VLOOKUP($B210,资产台账!$B$4:$N$53,3,0)&amp;"",""))</f>
        <v/>
      </c>
      <c r="E210" s="43" t="str">
        <f aca="false">IF($B210="","",IFERROR(VLOOKUP($B210,资产台账!$B$4:$N$53,10,0)&amp;"",""))</f>
        <v/>
      </c>
      <c r="F210" s="49" t="str">
        <f aca="false">IF($B210="","",IFERROR(VLOOKUP($B210,资产台账!$B$4:$N$53,9,0),0))</f>
        <v/>
      </c>
      <c r="G210" s="45" t="n">
        <f aca="false">IF(OR($A210="",$W210=0),0,INDEX(仪器设备工时分配表!$F$6:$F$245,$W210))</f>
        <v>0</v>
      </c>
      <c r="H210" s="45" t="n">
        <f aca="false">IF(OR($A210="",$W210=0),0,INDEX(仪器设备工时分配表!$R$6:$R$245,$W210))</f>
        <v>0</v>
      </c>
      <c r="I210" s="28" t="str">
        <f aca="false">IF(OR($A210="",$G210=0),"",$H210/$G210)</f>
        <v/>
      </c>
      <c r="J210" s="27" t="str">
        <f aca="false">IF(OR($A210="",$G210=0),"",ROUND($F210*INDEX(仪器设备工时分配表!$H$6:$H$245,$W210)/$G210,2))</f>
        <v/>
      </c>
      <c r="K210" s="27" t="str">
        <f aca="false">IF(OR($A210="",$G210=0),"",ROUND($F210*INDEX(仪器设备工时分配表!$I$6:$I$245,$W210)/$G210,2))</f>
        <v/>
      </c>
      <c r="L210" s="27" t="str">
        <f aca="false">IF(OR($A210="",$G210=0),"",ROUND($F210*INDEX(仪器设备工时分配表!$J$6:$J$245,$W210)/$G210,2))</f>
        <v/>
      </c>
      <c r="M210" s="27" t="str">
        <f aca="false">IF(OR($A210="",$G210=0),"",ROUND($F210*INDEX(仪器设备工时分配表!$K$6:$K$245,$W210)/$G210,2))</f>
        <v/>
      </c>
      <c r="N210" s="27" t="str">
        <f aca="false">IF(OR($A210="",$G210=0),"",ROUND($F210*INDEX(仪器设备工时分配表!$L$6:$L$245,$W210)/$G210,2))</f>
        <v/>
      </c>
      <c r="O210" s="27" t="str">
        <f aca="false">IF(OR($A210="",$G210=0),"",ROUND($F210*INDEX(仪器设备工时分配表!$M$6:$M$245,$W210)/$G210,2))</f>
        <v/>
      </c>
      <c r="P210" s="27" t="str">
        <f aca="false">IF(OR($A210="",$G210=0),"",ROUND($F210*INDEX(仪器设备工时分配表!$N$6:$N$245,$W210)/$G210,2))</f>
        <v/>
      </c>
      <c r="Q210" s="27" t="str">
        <f aca="false">IF(OR($A210="",$G210=0),"",ROUND($F210*INDEX(仪器设备工时分配表!$O$6:$O$245,$W210)/$G210,2))</f>
        <v/>
      </c>
      <c r="R210" s="27" t="str">
        <f aca="false">IF(OR($A210="",$G210=0),"",ROUND($F210*INDEX(仪器设备工时分配表!$P$6:$P$245,$W210)/$G210,2))</f>
        <v/>
      </c>
      <c r="S210" s="27" t="str">
        <f aca="false">IF(OR($A210="",$G210=0),"",ROUND($F210*INDEX(仪器设备工时分配表!$Q$6:$Q$245,$W210)/$G210,2))</f>
        <v/>
      </c>
      <c r="T210" s="27" t="str">
        <f aca="false">IF($A210="","",ROUND(SUM(J210:S210),2))</f>
        <v/>
      </c>
      <c r="U210" s="27" t="str">
        <f aca="false">IF($A210="","",ROUND($F210-T210,2))</f>
        <v/>
      </c>
      <c r="V210" s="43" t="str">
        <f aca="false">IF($A210="","",IF($D210="无形资产","⚠ 无形资产请在无形资产费用分配表登记",IF($W210=0,"⚠ 工时分配表无此资产当月记录",IF($X210&gt;1,"⚠ 工时分配表存在重复行","√ 正常"))))</f>
        <v/>
      </c>
      <c r="W210" s="47" t="n">
        <f aca="false">IF($A210="",0,IFERROR(MATCH($A210&amp;"|"&amp;$B210,仪器设备工时分配表!$V$6:$V$245,0),0))</f>
        <v>0</v>
      </c>
      <c r="X210" s="47" t="n">
        <f aca="false">IF($A210="",0,COUNTIFS(仪器设备工时分配表!$A$6:$A$245,$A210,仪器设备工时分配表!$B$6:$B$245,$B210))</f>
        <v>0</v>
      </c>
    </row>
    <row r="211" customFormat="false" ht="18" hidden="false" customHeight="true" outlineLevel="0" collapsed="false">
      <c r="A211" s="36"/>
      <c r="B211" s="36"/>
      <c r="C211" s="48" t="str">
        <f aca="false">IF($B211="","",IFERROR(VLOOKUP($B211,资产台账!$B$4:$N$53,2,0)&amp;"","台账中未登记"))</f>
        <v/>
      </c>
      <c r="D211" s="43" t="str">
        <f aca="false">IF($B211="","",IFERROR(VLOOKUP($B211,资产台账!$B$4:$N$53,3,0)&amp;"",""))</f>
        <v/>
      </c>
      <c r="E211" s="43" t="str">
        <f aca="false">IF($B211="","",IFERROR(VLOOKUP($B211,资产台账!$B$4:$N$53,10,0)&amp;"",""))</f>
        <v/>
      </c>
      <c r="F211" s="49" t="str">
        <f aca="false">IF($B211="","",IFERROR(VLOOKUP($B211,资产台账!$B$4:$N$53,9,0),0))</f>
        <v/>
      </c>
      <c r="G211" s="45" t="n">
        <f aca="false">IF(OR($A211="",$W211=0),0,INDEX(仪器设备工时分配表!$F$6:$F$245,$W211))</f>
        <v>0</v>
      </c>
      <c r="H211" s="45" t="n">
        <f aca="false">IF(OR($A211="",$W211=0),0,INDEX(仪器设备工时分配表!$R$6:$R$245,$W211))</f>
        <v>0</v>
      </c>
      <c r="I211" s="28" t="str">
        <f aca="false">IF(OR($A211="",$G211=0),"",$H211/$G211)</f>
        <v/>
      </c>
      <c r="J211" s="27" t="str">
        <f aca="false">IF(OR($A211="",$G211=0),"",ROUND($F211*INDEX(仪器设备工时分配表!$H$6:$H$245,$W211)/$G211,2))</f>
        <v/>
      </c>
      <c r="K211" s="27" t="str">
        <f aca="false">IF(OR($A211="",$G211=0),"",ROUND($F211*INDEX(仪器设备工时分配表!$I$6:$I$245,$W211)/$G211,2))</f>
        <v/>
      </c>
      <c r="L211" s="27" t="str">
        <f aca="false">IF(OR($A211="",$G211=0),"",ROUND($F211*INDEX(仪器设备工时分配表!$J$6:$J$245,$W211)/$G211,2))</f>
        <v/>
      </c>
      <c r="M211" s="27" t="str">
        <f aca="false">IF(OR($A211="",$G211=0),"",ROUND($F211*INDEX(仪器设备工时分配表!$K$6:$K$245,$W211)/$G211,2))</f>
        <v/>
      </c>
      <c r="N211" s="27" t="str">
        <f aca="false">IF(OR($A211="",$G211=0),"",ROUND($F211*INDEX(仪器设备工时分配表!$L$6:$L$245,$W211)/$G211,2))</f>
        <v/>
      </c>
      <c r="O211" s="27" t="str">
        <f aca="false">IF(OR($A211="",$G211=0),"",ROUND($F211*INDEX(仪器设备工时分配表!$M$6:$M$245,$W211)/$G211,2))</f>
        <v/>
      </c>
      <c r="P211" s="27" t="str">
        <f aca="false">IF(OR($A211="",$G211=0),"",ROUND($F211*INDEX(仪器设备工时分配表!$N$6:$N$245,$W211)/$G211,2))</f>
        <v/>
      </c>
      <c r="Q211" s="27" t="str">
        <f aca="false">IF(OR($A211="",$G211=0),"",ROUND($F211*INDEX(仪器设备工时分配表!$O$6:$O$245,$W211)/$G211,2))</f>
        <v/>
      </c>
      <c r="R211" s="27" t="str">
        <f aca="false">IF(OR($A211="",$G211=0),"",ROUND($F211*INDEX(仪器设备工时分配表!$P$6:$P$245,$W211)/$G211,2))</f>
        <v/>
      </c>
      <c r="S211" s="27" t="str">
        <f aca="false">IF(OR($A211="",$G211=0),"",ROUND($F211*INDEX(仪器设备工时分配表!$Q$6:$Q$245,$W211)/$G211,2))</f>
        <v/>
      </c>
      <c r="T211" s="27" t="str">
        <f aca="false">IF($A211="","",ROUND(SUM(J211:S211),2))</f>
        <v/>
      </c>
      <c r="U211" s="27" t="str">
        <f aca="false">IF($A211="","",ROUND($F211-T211,2))</f>
        <v/>
      </c>
      <c r="V211" s="43" t="str">
        <f aca="false">IF($A211="","",IF($D211="无形资产","⚠ 无形资产请在无形资产费用分配表登记",IF($W211=0,"⚠ 工时分配表无此资产当月记录",IF($X211&gt;1,"⚠ 工时分配表存在重复行","√ 正常"))))</f>
        <v/>
      </c>
      <c r="W211" s="47" t="n">
        <f aca="false">IF($A211="",0,IFERROR(MATCH($A211&amp;"|"&amp;$B211,仪器设备工时分配表!$V$6:$V$245,0),0))</f>
        <v>0</v>
      </c>
      <c r="X211" s="47" t="n">
        <f aca="false">IF($A211="",0,COUNTIFS(仪器设备工时分配表!$A$6:$A$245,$A211,仪器设备工时分配表!$B$6:$B$245,$B211))</f>
        <v>0</v>
      </c>
    </row>
    <row r="212" customFormat="false" ht="18" hidden="false" customHeight="true" outlineLevel="0" collapsed="false">
      <c r="A212" s="36"/>
      <c r="B212" s="36"/>
      <c r="C212" s="48" t="str">
        <f aca="false">IF($B212="","",IFERROR(VLOOKUP($B212,资产台账!$B$4:$N$53,2,0)&amp;"","台账中未登记"))</f>
        <v/>
      </c>
      <c r="D212" s="43" t="str">
        <f aca="false">IF($B212="","",IFERROR(VLOOKUP($B212,资产台账!$B$4:$N$53,3,0)&amp;"",""))</f>
        <v/>
      </c>
      <c r="E212" s="43" t="str">
        <f aca="false">IF($B212="","",IFERROR(VLOOKUP($B212,资产台账!$B$4:$N$53,10,0)&amp;"",""))</f>
        <v/>
      </c>
      <c r="F212" s="49" t="str">
        <f aca="false">IF($B212="","",IFERROR(VLOOKUP($B212,资产台账!$B$4:$N$53,9,0),0))</f>
        <v/>
      </c>
      <c r="G212" s="45" t="n">
        <f aca="false">IF(OR($A212="",$W212=0),0,INDEX(仪器设备工时分配表!$F$6:$F$245,$W212))</f>
        <v>0</v>
      </c>
      <c r="H212" s="45" t="n">
        <f aca="false">IF(OR($A212="",$W212=0),0,INDEX(仪器设备工时分配表!$R$6:$R$245,$W212))</f>
        <v>0</v>
      </c>
      <c r="I212" s="28" t="str">
        <f aca="false">IF(OR($A212="",$G212=0),"",$H212/$G212)</f>
        <v/>
      </c>
      <c r="J212" s="27" t="str">
        <f aca="false">IF(OR($A212="",$G212=0),"",ROUND($F212*INDEX(仪器设备工时分配表!$H$6:$H$245,$W212)/$G212,2))</f>
        <v/>
      </c>
      <c r="K212" s="27" t="str">
        <f aca="false">IF(OR($A212="",$G212=0),"",ROUND($F212*INDEX(仪器设备工时分配表!$I$6:$I$245,$W212)/$G212,2))</f>
        <v/>
      </c>
      <c r="L212" s="27" t="str">
        <f aca="false">IF(OR($A212="",$G212=0),"",ROUND($F212*INDEX(仪器设备工时分配表!$J$6:$J$245,$W212)/$G212,2))</f>
        <v/>
      </c>
      <c r="M212" s="27" t="str">
        <f aca="false">IF(OR($A212="",$G212=0),"",ROUND($F212*INDEX(仪器设备工时分配表!$K$6:$K$245,$W212)/$G212,2))</f>
        <v/>
      </c>
      <c r="N212" s="27" t="str">
        <f aca="false">IF(OR($A212="",$G212=0),"",ROUND($F212*INDEX(仪器设备工时分配表!$L$6:$L$245,$W212)/$G212,2))</f>
        <v/>
      </c>
      <c r="O212" s="27" t="str">
        <f aca="false">IF(OR($A212="",$G212=0),"",ROUND($F212*INDEX(仪器设备工时分配表!$M$6:$M$245,$W212)/$G212,2))</f>
        <v/>
      </c>
      <c r="P212" s="27" t="str">
        <f aca="false">IF(OR($A212="",$G212=0),"",ROUND($F212*INDEX(仪器设备工时分配表!$N$6:$N$245,$W212)/$G212,2))</f>
        <v/>
      </c>
      <c r="Q212" s="27" t="str">
        <f aca="false">IF(OR($A212="",$G212=0),"",ROUND($F212*INDEX(仪器设备工时分配表!$O$6:$O$245,$W212)/$G212,2))</f>
        <v/>
      </c>
      <c r="R212" s="27" t="str">
        <f aca="false">IF(OR($A212="",$G212=0),"",ROUND($F212*INDEX(仪器设备工时分配表!$P$6:$P$245,$W212)/$G212,2))</f>
        <v/>
      </c>
      <c r="S212" s="27" t="str">
        <f aca="false">IF(OR($A212="",$G212=0),"",ROUND($F212*INDEX(仪器设备工时分配表!$Q$6:$Q$245,$W212)/$G212,2))</f>
        <v/>
      </c>
      <c r="T212" s="27" t="str">
        <f aca="false">IF($A212="","",ROUND(SUM(J212:S212),2))</f>
        <v/>
      </c>
      <c r="U212" s="27" t="str">
        <f aca="false">IF($A212="","",ROUND($F212-T212,2))</f>
        <v/>
      </c>
      <c r="V212" s="43" t="str">
        <f aca="false">IF($A212="","",IF($D212="无形资产","⚠ 无形资产请在无形资产费用分配表登记",IF($W212=0,"⚠ 工时分配表无此资产当月记录",IF($X212&gt;1,"⚠ 工时分配表存在重复行","√ 正常"))))</f>
        <v/>
      </c>
      <c r="W212" s="47" t="n">
        <f aca="false">IF($A212="",0,IFERROR(MATCH($A212&amp;"|"&amp;$B212,仪器设备工时分配表!$V$6:$V$245,0),0))</f>
        <v>0</v>
      </c>
      <c r="X212" s="47" t="n">
        <f aca="false">IF($A212="",0,COUNTIFS(仪器设备工时分配表!$A$6:$A$245,$A212,仪器设备工时分配表!$B$6:$B$245,$B212))</f>
        <v>0</v>
      </c>
    </row>
    <row r="213" customFormat="false" ht="18" hidden="false" customHeight="true" outlineLevel="0" collapsed="false">
      <c r="A213" s="36"/>
      <c r="B213" s="36"/>
      <c r="C213" s="48" t="str">
        <f aca="false">IF($B213="","",IFERROR(VLOOKUP($B213,资产台账!$B$4:$N$53,2,0)&amp;"","台账中未登记"))</f>
        <v/>
      </c>
      <c r="D213" s="43" t="str">
        <f aca="false">IF($B213="","",IFERROR(VLOOKUP($B213,资产台账!$B$4:$N$53,3,0)&amp;"",""))</f>
        <v/>
      </c>
      <c r="E213" s="43" t="str">
        <f aca="false">IF($B213="","",IFERROR(VLOOKUP($B213,资产台账!$B$4:$N$53,10,0)&amp;"",""))</f>
        <v/>
      </c>
      <c r="F213" s="49" t="str">
        <f aca="false">IF($B213="","",IFERROR(VLOOKUP($B213,资产台账!$B$4:$N$53,9,0),0))</f>
        <v/>
      </c>
      <c r="G213" s="45" t="n">
        <f aca="false">IF(OR($A213="",$W213=0),0,INDEX(仪器设备工时分配表!$F$6:$F$245,$W213))</f>
        <v>0</v>
      </c>
      <c r="H213" s="45" t="n">
        <f aca="false">IF(OR($A213="",$W213=0),0,INDEX(仪器设备工时分配表!$R$6:$R$245,$W213))</f>
        <v>0</v>
      </c>
      <c r="I213" s="28" t="str">
        <f aca="false">IF(OR($A213="",$G213=0),"",$H213/$G213)</f>
        <v/>
      </c>
      <c r="J213" s="27" t="str">
        <f aca="false">IF(OR($A213="",$G213=0),"",ROUND($F213*INDEX(仪器设备工时分配表!$H$6:$H$245,$W213)/$G213,2))</f>
        <v/>
      </c>
      <c r="K213" s="27" t="str">
        <f aca="false">IF(OR($A213="",$G213=0),"",ROUND($F213*INDEX(仪器设备工时分配表!$I$6:$I$245,$W213)/$G213,2))</f>
        <v/>
      </c>
      <c r="L213" s="27" t="str">
        <f aca="false">IF(OR($A213="",$G213=0),"",ROUND($F213*INDEX(仪器设备工时分配表!$J$6:$J$245,$W213)/$G213,2))</f>
        <v/>
      </c>
      <c r="M213" s="27" t="str">
        <f aca="false">IF(OR($A213="",$G213=0),"",ROUND($F213*INDEX(仪器设备工时分配表!$K$6:$K$245,$W213)/$G213,2))</f>
        <v/>
      </c>
      <c r="N213" s="27" t="str">
        <f aca="false">IF(OR($A213="",$G213=0),"",ROUND($F213*INDEX(仪器设备工时分配表!$L$6:$L$245,$W213)/$G213,2))</f>
        <v/>
      </c>
      <c r="O213" s="27" t="str">
        <f aca="false">IF(OR($A213="",$G213=0),"",ROUND($F213*INDEX(仪器设备工时分配表!$M$6:$M$245,$W213)/$G213,2))</f>
        <v/>
      </c>
      <c r="P213" s="27" t="str">
        <f aca="false">IF(OR($A213="",$G213=0),"",ROUND($F213*INDEX(仪器设备工时分配表!$N$6:$N$245,$W213)/$G213,2))</f>
        <v/>
      </c>
      <c r="Q213" s="27" t="str">
        <f aca="false">IF(OR($A213="",$G213=0),"",ROUND($F213*INDEX(仪器设备工时分配表!$O$6:$O$245,$W213)/$G213,2))</f>
        <v/>
      </c>
      <c r="R213" s="27" t="str">
        <f aca="false">IF(OR($A213="",$G213=0),"",ROUND($F213*INDEX(仪器设备工时分配表!$P$6:$P$245,$W213)/$G213,2))</f>
        <v/>
      </c>
      <c r="S213" s="27" t="str">
        <f aca="false">IF(OR($A213="",$G213=0),"",ROUND($F213*INDEX(仪器设备工时分配表!$Q$6:$Q$245,$W213)/$G213,2))</f>
        <v/>
      </c>
      <c r="T213" s="27" t="str">
        <f aca="false">IF($A213="","",ROUND(SUM(J213:S213),2))</f>
        <v/>
      </c>
      <c r="U213" s="27" t="str">
        <f aca="false">IF($A213="","",ROUND($F213-T213,2))</f>
        <v/>
      </c>
      <c r="V213" s="43" t="str">
        <f aca="false">IF($A213="","",IF($D213="无形资产","⚠ 无形资产请在无形资产费用分配表登记",IF($W213=0,"⚠ 工时分配表无此资产当月记录",IF($X213&gt;1,"⚠ 工时分配表存在重复行","√ 正常"))))</f>
        <v/>
      </c>
      <c r="W213" s="47" t="n">
        <f aca="false">IF($A213="",0,IFERROR(MATCH($A213&amp;"|"&amp;$B213,仪器设备工时分配表!$V$6:$V$245,0),0))</f>
        <v>0</v>
      </c>
      <c r="X213" s="47" t="n">
        <f aca="false">IF($A213="",0,COUNTIFS(仪器设备工时分配表!$A$6:$A$245,$A213,仪器设备工时分配表!$B$6:$B$245,$B213))</f>
        <v>0</v>
      </c>
    </row>
    <row r="214" customFormat="false" ht="18" hidden="false" customHeight="true" outlineLevel="0" collapsed="false">
      <c r="A214" s="36"/>
      <c r="B214" s="36"/>
      <c r="C214" s="48" t="str">
        <f aca="false">IF($B214="","",IFERROR(VLOOKUP($B214,资产台账!$B$4:$N$53,2,0)&amp;"","台账中未登记"))</f>
        <v/>
      </c>
      <c r="D214" s="43" t="str">
        <f aca="false">IF($B214="","",IFERROR(VLOOKUP($B214,资产台账!$B$4:$N$53,3,0)&amp;"",""))</f>
        <v/>
      </c>
      <c r="E214" s="43" t="str">
        <f aca="false">IF($B214="","",IFERROR(VLOOKUP($B214,资产台账!$B$4:$N$53,10,0)&amp;"",""))</f>
        <v/>
      </c>
      <c r="F214" s="49" t="str">
        <f aca="false">IF($B214="","",IFERROR(VLOOKUP($B214,资产台账!$B$4:$N$53,9,0),0))</f>
        <v/>
      </c>
      <c r="G214" s="45" t="n">
        <f aca="false">IF(OR($A214="",$W214=0),0,INDEX(仪器设备工时分配表!$F$6:$F$245,$W214))</f>
        <v>0</v>
      </c>
      <c r="H214" s="45" t="n">
        <f aca="false">IF(OR($A214="",$W214=0),0,INDEX(仪器设备工时分配表!$R$6:$R$245,$W214))</f>
        <v>0</v>
      </c>
      <c r="I214" s="28" t="str">
        <f aca="false">IF(OR($A214="",$G214=0),"",$H214/$G214)</f>
        <v/>
      </c>
      <c r="J214" s="27" t="str">
        <f aca="false">IF(OR($A214="",$G214=0),"",ROUND($F214*INDEX(仪器设备工时分配表!$H$6:$H$245,$W214)/$G214,2))</f>
        <v/>
      </c>
      <c r="K214" s="27" t="str">
        <f aca="false">IF(OR($A214="",$G214=0),"",ROUND($F214*INDEX(仪器设备工时分配表!$I$6:$I$245,$W214)/$G214,2))</f>
        <v/>
      </c>
      <c r="L214" s="27" t="str">
        <f aca="false">IF(OR($A214="",$G214=0),"",ROUND($F214*INDEX(仪器设备工时分配表!$J$6:$J$245,$W214)/$G214,2))</f>
        <v/>
      </c>
      <c r="M214" s="27" t="str">
        <f aca="false">IF(OR($A214="",$G214=0),"",ROUND($F214*INDEX(仪器设备工时分配表!$K$6:$K$245,$W214)/$G214,2))</f>
        <v/>
      </c>
      <c r="N214" s="27" t="str">
        <f aca="false">IF(OR($A214="",$G214=0),"",ROUND($F214*INDEX(仪器设备工时分配表!$L$6:$L$245,$W214)/$G214,2))</f>
        <v/>
      </c>
      <c r="O214" s="27" t="str">
        <f aca="false">IF(OR($A214="",$G214=0),"",ROUND($F214*INDEX(仪器设备工时分配表!$M$6:$M$245,$W214)/$G214,2))</f>
        <v/>
      </c>
      <c r="P214" s="27" t="str">
        <f aca="false">IF(OR($A214="",$G214=0),"",ROUND($F214*INDEX(仪器设备工时分配表!$N$6:$N$245,$W214)/$G214,2))</f>
        <v/>
      </c>
      <c r="Q214" s="27" t="str">
        <f aca="false">IF(OR($A214="",$G214=0),"",ROUND($F214*INDEX(仪器设备工时分配表!$O$6:$O$245,$W214)/$G214,2))</f>
        <v/>
      </c>
      <c r="R214" s="27" t="str">
        <f aca="false">IF(OR($A214="",$G214=0),"",ROUND($F214*INDEX(仪器设备工时分配表!$P$6:$P$245,$W214)/$G214,2))</f>
        <v/>
      </c>
      <c r="S214" s="27" t="str">
        <f aca="false">IF(OR($A214="",$G214=0),"",ROUND($F214*INDEX(仪器设备工时分配表!$Q$6:$Q$245,$W214)/$G214,2))</f>
        <v/>
      </c>
      <c r="T214" s="27" t="str">
        <f aca="false">IF($A214="","",ROUND(SUM(J214:S214),2))</f>
        <v/>
      </c>
      <c r="U214" s="27" t="str">
        <f aca="false">IF($A214="","",ROUND($F214-T214,2))</f>
        <v/>
      </c>
      <c r="V214" s="43" t="str">
        <f aca="false">IF($A214="","",IF($D214="无形资产","⚠ 无形资产请在无形资产费用分配表登记",IF($W214=0,"⚠ 工时分配表无此资产当月记录",IF($X214&gt;1,"⚠ 工时分配表存在重复行","√ 正常"))))</f>
        <v/>
      </c>
      <c r="W214" s="47" t="n">
        <f aca="false">IF($A214="",0,IFERROR(MATCH($A214&amp;"|"&amp;$B214,仪器设备工时分配表!$V$6:$V$245,0),0))</f>
        <v>0</v>
      </c>
      <c r="X214" s="47" t="n">
        <f aca="false">IF($A214="",0,COUNTIFS(仪器设备工时分配表!$A$6:$A$245,$A214,仪器设备工时分配表!$B$6:$B$245,$B214))</f>
        <v>0</v>
      </c>
    </row>
    <row r="215" customFormat="false" ht="18" hidden="false" customHeight="true" outlineLevel="0" collapsed="false">
      <c r="A215" s="36"/>
      <c r="B215" s="36"/>
      <c r="C215" s="48" t="str">
        <f aca="false">IF($B215="","",IFERROR(VLOOKUP($B215,资产台账!$B$4:$N$53,2,0)&amp;"","台账中未登记"))</f>
        <v/>
      </c>
      <c r="D215" s="43" t="str">
        <f aca="false">IF($B215="","",IFERROR(VLOOKUP($B215,资产台账!$B$4:$N$53,3,0)&amp;"",""))</f>
        <v/>
      </c>
      <c r="E215" s="43" t="str">
        <f aca="false">IF($B215="","",IFERROR(VLOOKUP($B215,资产台账!$B$4:$N$53,10,0)&amp;"",""))</f>
        <v/>
      </c>
      <c r="F215" s="49" t="str">
        <f aca="false">IF($B215="","",IFERROR(VLOOKUP($B215,资产台账!$B$4:$N$53,9,0),0))</f>
        <v/>
      </c>
      <c r="G215" s="45" t="n">
        <f aca="false">IF(OR($A215="",$W215=0),0,INDEX(仪器设备工时分配表!$F$6:$F$245,$W215))</f>
        <v>0</v>
      </c>
      <c r="H215" s="45" t="n">
        <f aca="false">IF(OR($A215="",$W215=0),0,INDEX(仪器设备工时分配表!$R$6:$R$245,$W215))</f>
        <v>0</v>
      </c>
      <c r="I215" s="28" t="str">
        <f aca="false">IF(OR($A215="",$G215=0),"",$H215/$G215)</f>
        <v/>
      </c>
      <c r="J215" s="27" t="str">
        <f aca="false">IF(OR($A215="",$G215=0),"",ROUND($F215*INDEX(仪器设备工时分配表!$H$6:$H$245,$W215)/$G215,2))</f>
        <v/>
      </c>
      <c r="K215" s="27" t="str">
        <f aca="false">IF(OR($A215="",$G215=0),"",ROUND($F215*INDEX(仪器设备工时分配表!$I$6:$I$245,$W215)/$G215,2))</f>
        <v/>
      </c>
      <c r="L215" s="27" t="str">
        <f aca="false">IF(OR($A215="",$G215=0),"",ROUND($F215*INDEX(仪器设备工时分配表!$J$6:$J$245,$W215)/$G215,2))</f>
        <v/>
      </c>
      <c r="M215" s="27" t="str">
        <f aca="false">IF(OR($A215="",$G215=0),"",ROUND($F215*INDEX(仪器设备工时分配表!$K$6:$K$245,$W215)/$G215,2))</f>
        <v/>
      </c>
      <c r="N215" s="27" t="str">
        <f aca="false">IF(OR($A215="",$G215=0),"",ROUND($F215*INDEX(仪器设备工时分配表!$L$6:$L$245,$W215)/$G215,2))</f>
        <v/>
      </c>
      <c r="O215" s="27" t="str">
        <f aca="false">IF(OR($A215="",$G215=0),"",ROUND($F215*INDEX(仪器设备工时分配表!$M$6:$M$245,$W215)/$G215,2))</f>
        <v/>
      </c>
      <c r="P215" s="27" t="str">
        <f aca="false">IF(OR($A215="",$G215=0),"",ROUND($F215*INDEX(仪器设备工时分配表!$N$6:$N$245,$W215)/$G215,2))</f>
        <v/>
      </c>
      <c r="Q215" s="27" t="str">
        <f aca="false">IF(OR($A215="",$G215=0),"",ROUND($F215*INDEX(仪器设备工时分配表!$O$6:$O$245,$W215)/$G215,2))</f>
        <v/>
      </c>
      <c r="R215" s="27" t="str">
        <f aca="false">IF(OR($A215="",$G215=0),"",ROUND($F215*INDEX(仪器设备工时分配表!$P$6:$P$245,$W215)/$G215,2))</f>
        <v/>
      </c>
      <c r="S215" s="27" t="str">
        <f aca="false">IF(OR($A215="",$G215=0),"",ROUND($F215*INDEX(仪器设备工时分配表!$Q$6:$Q$245,$W215)/$G215,2))</f>
        <v/>
      </c>
      <c r="T215" s="27" t="str">
        <f aca="false">IF($A215="","",ROUND(SUM(J215:S215),2))</f>
        <v/>
      </c>
      <c r="U215" s="27" t="str">
        <f aca="false">IF($A215="","",ROUND($F215-T215,2))</f>
        <v/>
      </c>
      <c r="V215" s="43" t="str">
        <f aca="false">IF($A215="","",IF($D215="无形资产","⚠ 无形资产请在无形资产费用分配表登记",IF($W215=0,"⚠ 工时分配表无此资产当月记录",IF($X215&gt;1,"⚠ 工时分配表存在重复行","√ 正常"))))</f>
        <v/>
      </c>
      <c r="W215" s="47" t="n">
        <f aca="false">IF($A215="",0,IFERROR(MATCH($A215&amp;"|"&amp;$B215,仪器设备工时分配表!$V$6:$V$245,0),0))</f>
        <v>0</v>
      </c>
      <c r="X215" s="47" t="n">
        <f aca="false">IF($A215="",0,COUNTIFS(仪器设备工时分配表!$A$6:$A$245,$A215,仪器设备工时分配表!$B$6:$B$245,$B215))</f>
        <v>0</v>
      </c>
    </row>
    <row r="216" customFormat="false" ht="18" hidden="false" customHeight="true" outlineLevel="0" collapsed="false">
      <c r="A216" s="36"/>
      <c r="B216" s="36"/>
      <c r="C216" s="48" t="str">
        <f aca="false">IF($B216="","",IFERROR(VLOOKUP($B216,资产台账!$B$4:$N$53,2,0)&amp;"","台账中未登记"))</f>
        <v/>
      </c>
      <c r="D216" s="43" t="str">
        <f aca="false">IF($B216="","",IFERROR(VLOOKUP($B216,资产台账!$B$4:$N$53,3,0)&amp;"",""))</f>
        <v/>
      </c>
      <c r="E216" s="43" t="str">
        <f aca="false">IF($B216="","",IFERROR(VLOOKUP($B216,资产台账!$B$4:$N$53,10,0)&amp;"",""))</f>
        <v/>
      </c>
      <c r="F216" s="49" t="str">
        <f aca="false">IF($B216="","",IFERROR(VLOOKUP($B216,资产台账!$B$4:$N$53,9,0),0))</f>
        <v/>
      </c>
      <c r="G216" s="45" t="n">
        <f aca="false">IF(OR($A216="",$W216=0),0,INDEX(仪器设备工时分配表!$F$6:$F$245,$W216))</f>
        <v>0</v>
      </c>
      <c r="H216" s="45" t="n">
        <f aca="false">IF(OR($A216="",$W216=0),0,INDEX(仪器设备工时分配表!$R$6:$R$245,$W216))</f>
        <v>0</v>
      </c>
      <c r="I216" s="28" t="str">
        <f aca="false">IF(OR($A216="",$G216=0),"",$H216/$G216)</f>
        <v/>
      </c>
      <c r="J216" s="27" t="str">
        <f aca="false">IF(OR($A216="",$G216=0),"",ROUND($F216*INDEX(仪器设备工时分配表!$H$6:$H$245,$W216)/$G216,2))</f>
        <v/>
      </c>
      <c r="K216" s="27" t="str">
        <f aca="false">IF(OR($A216="",$G216=0),"",ROUND($F216*INDEX(仪器设备工时分配表!$I$6:$I$245,$W216)/$G216,2))</f>
        <v/>
      </c>
      <c r="L216" s="27" t="str">
        <f aca="false">IF(OR($A216="",$G216=0),"",ROUND($F216*INDEX(仪器设备工时分配表!$J$6:$J$245,$W216)/$G216,2))</f>
        <v/>
      </c>
      <c r="M216" s="27" t="str">
        <f aca="false">IF(OR($A216="",$G216=0),"",ROUND($F216*INDEX(仪器设备工时分配表!$K$6:$K$245,$W216)/$G216,2))</f>
        <v/>
      </c>
      <c r="N216" s="27" t="str">
        <f aca="false">IF(OR($A216="",$G216=0),"",ROUND($F216*INDEX(仪器设备工时分配表!$L$6:$L$245,$W216)/$G216,2))</f>
        <v/>
      </c>
      <c r="O216" s="27" t="str">
        <f aca="false">IF(OR($A216="",$G216=0),"",ROUND($F216*INDEX(仪器设备工时分配表!$M$6:$M$245,$W216)/$G216,2))</f>
        <v/>
      </c>
      <c r="P216" s="27" t="str">
        <f aca="false">IF(OR($A216="",$G216=0),"",ROUND($F216*INDEX(仪器设备工时分配表!$N$6:$N$245,$W216)/$G216,2))</f>
        <v/>
      </c>
      <c r="Q216" s="27" t="str">
        <f aca="false">IF(OR($A216="",$G216=0),"",ROUND($F216*INDEX(仪器设备工时分配表!$O$6:$O$245,$W216)/$G216,2))</f>
        <v/>
      </c>
      <c r="R216" s="27" t="str">
        <f aca="false">IF(OR($A216="",$G216=0),"",ROUND($F216*INDEX(仪器设备工时分配表!$P$6:$P$245,$W216)/$G216,2))</f>
        <v/>
      </c>
      <c r="S216" s="27" t="str">
        <f aca="false">IF(OR($A216="",$G216=0),"",ROUND($F216*INDEX(仪器设备工时分配表!$Q$6:$Q$245,$W216)/$G216,2))</f>
        <v/>
      </c>
      <c r="T216" s="27" t="str">
        <f aca="false">IF($A216="","",ROUND(SUM(J216:S216),2))</f>
        <v/>
      </c>
      <c r="U216" s="27" t="str">
        <f aca="false">IF($A216="","",ROUND($F216-T216,2))</f>
        <v/>
      </c>
      <c r="V216" s="43" t="str">
        <f aca="false">IF($A216="","",IF($D216="无形资产","⚠ 无形资产请在无形资产费用分配表登记",IF($W216=0,"⚠ 工时分配表无此资产当月记录",IF($X216&gt;1,"⚠ 工时分配表存在重复行","√ 正常"))))</f>
        <v/>
      </c>
      <c r="W216" s="47" t="n">
        <f aca="false">IF($A216="",0,IFERROR(MATCH($A216&amp;"|"&amp;$B216,仪器设备工时分配表!$V$6:$V$245,0),0))</f>
        <v>0</v>
      </c>
      <c r="X216" s="47" t="n">
        <f aca="false">IF($A216="",0,COUNTIFS(仪器设备工时分配表!$A$6:$A$245,$A216,仪器设备工时分配表!$B$6:$B$245,$B216))</f>
        <v>0</v>
      </c>
    </row>
    <row r="217" customFormat="false" ht="18" hidden="false" customHeight="true" outlineLevel="0" collapsed="false">
      <c r="A217" s="36"/>
      <c r="B217" s="36"/>
      <c r="C217" s="48" t="str">
        <f aca="false">IF($B217="","",IFERROR(VLOOKUP($B217,资产台账!$B$4:$N$53,2,0)&amp;"","台账中未登记"))</f>
        <v/>
      </c>
      <c r="D217" s="43" t="str">
        <f aca="false">IF($B217="","",IFERROR(VLOOKUP($B217,资产台账!$B$4:$N$53,3,0)&amp;"",""))</f>
        <v/>
      </c>
      <c r="E217" s="43" t="str">
        <f aca="false">IF($B217="","",IFERROR(VLOOKUP($B217,资产台账!$B$4:$N$53,10,0)&amp;"",""))</f>
        <v/>
      </c>
      <c r="F217" s="49" t="str">
        <f aca="false">IF($B217="","",IFERROR(VLOOKUP($B217,资产台账!$B$4:$N$53,9,0),0))</f>
        <v/>
      </c>
      <c r="G217" s="45" t="n">
        <f aca="false">IF(OR($A217="",$W217=0),0,INDEX(仪器设备工时分配表!$F$6:$F$245,$W217))</f>
        <v>0</v>
      </c>
      <c r="H217" s="45" t="n">
        <f aca="false">IF(OR($A217="",$W217=0),0,INDEX(仪器设备工时分配表!$R$6:$R$245,$W217))</f>
        <v>0</v>
      </c>
      <c r="I217" s="28" t="str">
        <f aca="false">IF(OR($A217="",$G217=0),"",$H217/$G217)</f>
        <v/>
      </c>
      <c r="J217" s="27" t="str">
        <f aca="false">IF(OR($A217="",$G217=0),"",ROUND($F217*INDEX(仪器设备工时分配表!$H$6:$H$245,$W217)/$G217,2))</f>
        <v/>
      </c>
      <c r="K217" s="27" t="str">
        <f aca="false">IF(OR($A217="",$G217=0),"",ROUND($F217*INDEX(仪器设备工时分配表!$I$6:$I$245,$W217)/$G217,2))</f>
        <v/>
      </c>
      <c r="L217" s="27" t="str">
        <f aca="false">IF(OR($A217="",$G217=0),"",ROUND($F217*INDEX(仪器设备工时分配表!$J$6:$J$245,$W217)/$G217,2))</f>
        <v/>
      </c>
      <c r="M217" s="27" t="str">
        <f aca="false">IF(OR($A217="",$G217=0),"",ROUND($F217*INDEX(仪器设备工时分配表!$K$6:$K$245,$W217)/$G217,2))</f>
        <v/>
      </c>
      <c r="N217" s="27" t="str">
        <f aca="false">IF(OR($A217="",$G217=0),"",ROUND($F217*INDEX(仪器设备工时分配表!$L$6:$L$245,$W217)/$G217,2))</f>
        <v/>
      </c>
      <c r="O217" s="27" t="str">
        <f aca="false">IF(OR($A217="",$G217=0),"",ROUND($F217*INDEX(仪器设备工时分配表!$M$6:$M$245,$W217)/$G217,2))</f>
        <v/>
      </c>
      <c r="P217" s="27" t="str">
        <f aca="false">IF(OR($A217="",$G217=0),"",ROUND($F217*INDEX(仪器设备工时分配表!$N$6:$N$245,$W217)/$G217,2))</f>
        <v/>
      </c>
      <c r="Q217" s="27" t="str">
        <f aca="false">IF(OR($A217="",$G217=0),"",ROUND($F217*INDEX(仪器设备工时分配表!$O$6:$O$245,$W217)/$G217,2))</f>
        <v/>
      </c>
      <c r="R217" s="27" t="str">
        <f aca="false">IF(OR($A217="",$G217=0),"",ROUND($F217*INDEX(仪器设备工时分配表!$P$6:$P$245,$W217)/$G217,2))</f>
        <v/>
      </c>
      <c r="S217" s="27" t="str">
        <f aca="false">IF(OR($A217="",$G217=0),"",ROUND($F217*INDEX(仪器设备工时分配表!$Q$6:$Q$245,$W217)/$G217,2))</f>
        <v/>
      </c>
      <c r="T217" s="27" t="str">
        <f aca="false">IF($A217="","",ROUND(SUM(J217:S217),2))</f>
        <v/>
      </c>
      <c r="U217" s="27" t="str">
        <f aca="false">IF($A217="","",ROUND($F217-T217,2))</f>
        <v/>
      </c>
      <c r="V217" s="43" t="str">
        <f aca="false">IF($A217="","",IF($D217="无形资产","⚠ 无形资产请在无形资产费用分配表登记",IF($W217=0,"⚠ 工时分配表无此资产当月记录",IF($X217&gt;1,"⚠ 工时分配表存在重复行","√ 正常"))))</f>
        <v/>
      </c>
      <c r="W217" s="47" t="n">
        <f aca="false">IF($A217="",0,IFERROR(MATCH($A217&amp;"|"&amp;$B217,仪器设备工时分配表!$V$6:$V$245,0),0))</f>
        <v>0</v>
      </c>
      <c r="X217" s="47" t="n">
        <f aca="false">IF($A217="",0,COUNTIFS(仪器设备工时分配表!$A$6:$A$245,$A217,仪器设备工时分配表!$B$6:$B$245,$B217))</f>
        <v>0</v>
      </c>
    </row>
    <row r="218" customFormat="false" ht="18" hidden="false" customHeight="true" outlineLevel="0" collapsed="false">
      <c r="A218" s="36"/>
      <c r="B218" s="36"/>
      <c r="C218" s="48" t="str">
        <f aca="false">IF($B218="","",IFERROR(VLOOKUP($B218,资产台账!$B$4:$N$53,2,0)&amp;"","台账中未登记"))</f>
        <v/>
      </c>
      <c r="D218" s="43" t="str">
        <f aca="false">IF($B218="","",IFERROR(VLOOKUP($B218,资产台账!$B$4:$N$53,3,0)&amp;"",""))</f>
        <v/>
      </c>
      <c r="E218" s="43" t="str">
        <f aca="false">IF($B218="","",IFERROR(VLOOKUP($B218,资产台账!$B$4:$N$53,10,0)&amp;"",""))</f>
        <v/>
      </c>
      <c r="F218" s="49" t="str">
        <f aca="false">IF($B218="","",IFERROR(VLOOKUP($B218,资产台账!$B$4:$N$53,9,0),0))</f>
        <v/>
      </c>
      <c r="G218" s="45" t="n">
        <f aca="false">IF(OR($A218="",$W218=0),0,INDEX(仪器设备工时分配表!$F$6:$F$245,$W218))</f>
        <v>0</v>
      </c>
      <c r="H218" s="45" t="n">
        <f aca="false">IF(OR($A218="",$W218=0),0,INDEX(仪器设备工时分配表!$R$6:$R$245,$W218))</f>
        <v>0</v>
      </c>
      <c r="I218" s="28" t="str">
        <f aca="false">IF(OR($A218="",$G218=0),"",$H218/$G218)</f>
        <v/>
      </c>
      <c r="J218" s="27" t="str">
        <f aca="false">IF(OR($A218="",$G218=0),"",ROUND($F218*INDEX(仪器设备工时分配表!$H$6:$H$245,$W218)/$G218,2))</f>
        <v/>
      </c>
      <c r="K218" s="27" t="str">
        <f aca="false">IF(OR($A218="",$G218=0),"",ROUND($F218*INDEX(仪器设备工时分配表!$I$6:$I$245,$W218)/$G218,2))</f>
        <v/>
      </c>
      <c r="L218" s="27" t="str">
        <f aca="false">IF(OR($A218="",$G218=0),"",ROUND($F218*INDEX(仪器设备工时分配表!$J$6:$J$245,$W218)/$G218,2))</f>
        <v/>
      </c>
      <c r="M218" s="27" t="str">
        <f aca="false">IF(OR($A218="",$G218=0),"",ROUND($F218*INDEX(仪器设备工时分配表!$K$6:$K$245,$W218)/$G218,2))</f>
        <v/>
      </c>
      <c r="N218" s="27" t="str">
        <f aca="false">IF(OR($A218="",$G218=0),"",ROUND($F218*INDEX(仪器设备工时分配表!$L$6:$L$245,$W218)/$G218,2))</f>
        <v/>
      </c>
      <c r="O218" s="27" t="str">
        <f aca="false">IF(OR($A218="",$G218=0),"",ROUND($F218*INDEX(仪器设备工时分配表!$M$6:$M$245,$W218)/$G218,2))</f>
        <v/>
      </c>
      <c r="P218" s="27" t="str">
        <f aca="false">IF(OR($A218="",$G218=0),"",ROUND($F218*INDEX(仪器设备工时分配表!$N$6:$N$245,$W218)/$G218,2))</f>
        <v/>
      </c>
      <c r="Q218" s="27" t="str">
        <f aca="false">IF(OR($A218="",$G218=0),"",ROUND($F218*INDEX(仪器设备工时分配表!$O$6:$O$245,$W218)/$G218,2))</f>
        <v/>
      </c>
      <c r="R218" s="27" t="str">
        <f aca="false">IF(OR($A218="",$G218=0),"",ROUND($F218*INDEX(仪器设备工时分配表!$P$6:$P$245,$W218)/$G218,2))</f>
        <v/>
      </c>
      <c r="S218" s="27" t="str">
        <f aca="false">IF(OR($A218="",$G218=0),"",ROUND($F218*INDEX(仪器设备工时分配表!$Q$6:$Q$245,$W218)/$G218,2))</f>
        <v/>
      </c>
      <c r="T218" s="27" t="str">
        <f aca="false">IF($A218="","",ROUND(SUM(J218:S218),2))</f>
        <v/>
      </c>
      <c r="U218" s="27" t="str">
        <f aca="false">IF($A218="","",ROUND($F218-T218,2))</f>
        <v/>
      </c>
      <c r="V218" s="43" t="str">
        <f aca="false">IF($A218="","",IF($D218="无形资产","⚠ 无形资产请在无形资产费用分配表登记",IF($W218=0,"⚠ 工时分配表无此资产当月记录",IF($X218&gt;1,"⚠ 工时分配表存在重复行","√ 正常"))))</f>
        <v/>
      </c>
      <c r="W218" s="47" t="n">
        <f aca="false">IF($A218="",0,IFERROR(MATCH($A218&amp;"|"&amp;$B218,仪器设备工时分配表!$V$6:$V$245,0),0))</f>
        <v>0</v>
      </c>
      <c r="X218" s="47" t="n">
        <f aca="false">IF($A218="",0,COUNTIFS(仪器设备工时分配表!$A$6:$A$245,$A218,仪器设备工时分配表!$B$6:$B$245,$B218))</f>
        <v>0</v>
      </c>
    </row>
    <row r="219" customFormat="false" ht="18" hidden="false" customHeight="true" outlineLevel="0" collapsed="false">
      <c r="A219" s="36"/>
      <c r="B219" s="36"/>
      <c r="C219" s="48" t="str">
        <f aca="false">IF($B219="","",IFERROR(VLOOKUP($B219,资产台账!$B$4:$N$53,2,0)&amp;"","台账中未登记"))</f>
        <v/>
      </c>
      <c r="D219" s="43" t="str">
        <f aca="false">IF($B219="","",IFERROR(VLOOKUP($B219,资产台账!$B$4:$N$53,3,0)&amp;"",""))</f>
        <v/>
      </c>
      <c r="E219" s="43" t="str">
        <f aca="false">IF($B219="","",IFERROR(VLOOKUP($B219,资产台账!$B$4:$N$53,10,0)&amp;"",""))</f>
        <v/>
      </c>
      <c r="F219" s="49" t="str">
        <f aca="false">IF($B219="","",IFERROR(VLOOKUP($B219,资产台账!$B$4:$N$53,9,0),0))</f>
        <v/>
      </c>
      <c r="G219" s="45" t="n">
        <f aca="false">IF(OR($A219="",$W219=0),0,INDEX(仪器设备工时分配表!$F$6:$F$245,$W219))</f>
        <v>0</v>
      </c>
      <c r="H219" s="45" t="n">
        <f aca="false">IF(OR($A219="",$W219=0),0,INDEX(仪器设备工时分配表!$R$6:$R$245,$W219))</f>
        <v>0</v>
      </c>
      <c r="I219" s="28" t="str">
        <f aca="false">IF(OR($A219="",$G219=0),"",$H219/$G219)</f>
        <v/>
      </c>
      <c r="J219" s="27" t="str">
        <f aca="false">IF(OR($A219="",$G219=0),"",ROUND($F219*INDEX(仪器设备工时分配表!$H$6:$H$245,$W219)/$G219,2))</f>
        <v/>
      </c>
      <c r="K219" s="27" t="str">
        <f aca="false">IF(OR($A219="",$G219=0),"",ROUND($F219*INDEX(仪器设备工时分配表!$I$6:$I$245,$W219)/$G219,2))</f>
        <v/>
      </c>
      <c r="L219" s="27" t="str">
        <f aca="false">IF(OR($A219="",$G219=0),"",ROUND($F219*INDEX(仪器设备工时分配表!$J$6:$J$245,$W219)/$G219,2))</f>
        <v/>
      </c>
      <c r="M219" s="27" t="str">
        <f aca="false">IF(OR($A219="",$G219=0),"",ROUND($F219*INDEX(仪器设备工时分配表!$K$6:$K$245,$W219)/$G219,2))</f>
        <v/>
      </c>
      <c r="N219" s="27" t="str">
        <f aca="false">IF(OR($A219="",$G219=0),"",ROUND($F219*INDEX(仪器设备工时分配表!$L$6:$L$245,$W219)/$G219,2))</f>
        <v/>
      </c>
      <c r="O219" s="27" t="str">
        <f aca="false">IF(OR($A219="",$G219=0),"",ROUND($F219*INDEX(仪器设备工时分配表!$M$6:$M$245,$W219)/$G219,2))</f>
        <v/>
      </c>
      <c r="P219" s="27" t="str">
        <f aca="false">IF(OR($A219="",$G219=0),"",ROUND($F219*INDEX(仪器设备工时分配表!$N$6:$N$245,$W219)/$G219,2))</f>
        <v/>
      </c>
      <c r="Q219" s="27" t="str">
        <f aca="false">IF(OR($A219="",$G219=0),"",ROUND($F219*INDEX(仪器设备工时分配表!$O$6:$O$245,$W219)/$G219,2))</f>
        <v/>
      </c>
      <c r="R219" s="27" t="str">
        <f aca="false">IF(OR($A219="",$G219=0),"",ROUND($F219*INDEX(仪器设备工时分配表!$P$6:$P$245,$W219)/$G219,2))</f>
        <v/>
      </c>
      <c r="S219" s="27" t="str">
        <f aca="false">IF(OR($A219="",$G219=0),"",ROUND($F219*INDEX(仪器设备工时分配表!$Q$6:$Q$245,$W219)/$G219,2))</f>
        <v/>
      </c>
      <c r="T219" s="27" t="str">
        <f aca="false">IF($A219="","",ROUND(SUM(J219:S219),2))</f>
        <v/>
      </c>
      <c r="U219" s="27" t="str">
        <f aca="false">IF($A219="","",ROUND($F219-T219,2))</f>
        <v/>
      </c>
      <c r="V219" s="43" t="str">
        <f aca="false">IF($A219="","",IF($D219="无形资产","⚠ 无形资产请在无形资产费用分配表登记",IF($W219=0,"⚠ 工时分配表无此资产当月记录",IF($X219&gt;1,"⚠ 工时分配表存在重复行","√ 正常"))))</f>
        <v/>
      </c>
      <c r="W219" s="47" t="n">
        <f aca="false">IF($A219="",0,IFERROR(MATCH($A219&amp;"|"&amp;$B219,仪器设备工时分配表!$V$6:$V$245,0),0))</f>
        <v>0</v>
      </c>
      <c r="X219" s="47" t="n">
        <f aca="false">IF($A219="",0,COUNTIFS(仪器设备工时分配表!$A$6:$A$245,$A219,仪器设备工时分配表!$B$6:$B$245,$B219))</f>
        <v>0</v>
      </c>
    </row>
    <row r="220" customFormat="false" ht="18" hidden="false" customHeight="true" outlineLevel="0" collapsed="false">
      <c r="A220" s="36"/>
      <c r="B220" s="36"/>
      <c r="C220" s="48" t="str">
        <f aca="false">IF($B220="","",IFERROR(VLOOKUP($B220,资产台账!$B$4:$N$53,2,0)&amp;"","台账中未登记"))</f>
        <v/>
      </c>
      <c r="D220" s="43" t="str">
        <f aca="false">IF($B220="","",IFERROR(VLOOKUP($B220,资产台账!$B$4:$N$53,3,0)&amp;"",""))</f>
        <v/>
      </c>
      <c r="E220" s="43" t="str">
        <f aca="false">IF($B220="","",IFERROR(VLOOKUP($B220,资产台账!$B$4:$N$53,10,0)&amp;"",""))</f>
        <v/>
      </c>
      <c r="F220" s="49" t="str">
        <f aca="false">IF($B220="","",IFERROR(VLOOKUP($B220,资产台账!$B$4:$N$53,9,0),0))</f>
        <v/>
      </c>
      <c r="G220" s="45" t="n">
        <f aca="false">IF(OR($A220="",$W220=0),0,INDEX(仪器设备工时分配表!$F$6:$F$245,$W220))</f>
        <v>0</v>
      </c>
      <c r="H220" s="45" t="n">
        <f aca="false">IF(OR($A220="",$W220=0),0,INDEX(仪器设备工时分配表!$R$6:$R$245,$W220))</f>
        <v>0</v>
      </c>
      <c r="I220" s="28" t="str">
        <f aca="false">IF(OR($A220="",$G220=0),"",$H220/$G220)</f>
        <v/>
      </c>
      <c r="J220" s="27" t="str">
        <f aca="false">IF(OR($A220="",$G220=0),"",ROUND($F220*INDEX(仪器设备工时分配表!$H$6:$H$245,$W220)/$G220,2))</f>
        <v/>
      </c>
      <c r="K220" s="27" t="str">
        <f aca="false">IF(OR($A220="",$G220=0),"",ROUND($F220*INDEX(仪器设备工时分配表!$I$6:$I$245,$W220)/$G220,2))</f>
        <v/>
      </c>
      <c r="L220" s="27" t="str">
        <f aca="false">IF(OR($A220="",$G220=0),"",ROUND($F220*INDEX(仪器设备工时分配表!$J$6:$J$245,$W220)/$G220,2))</f>
        <v/>
      </c>
      <c r="M220" s="27" t="str">
        <f aca="false">IF(OR($A220="",$G220=0),"",ROUND($F220*INDEX(仪器设备工时分配表!$K$6:$K$245,$W220)/$G220,2))</f>
        <v/>
      </c>
      <c r="N220" s="27" t="str">
        <f aca="false">IF(OR($A220="",$G220=0),"",ROUND($F220*INDEX(仪器设备工时分配表!$L$6:$L$245,$W220)/$G220,2))</f>
        <v/>
      </c>
      <c r="O220" s="27" t="str">
        <f aca="false">IF(OR($A220="",$G220=0),"",ROUND($F220*INDEX(仪器设备工时分配表!$M$6:$M$245,$W220)/$G220,2))</f>
        <v/>
      </c>
      <c r="P220" s="27" t="str">
        <f aca="false">IF(OR($A220="",$G220=0),"",ROUND($F220*INDEX(仪器设备工时分配表!$N$6:$N$245,$W220)/$G220,2))</f>
        <v/>
      </c>
      <c r="Q220" s="27" t="str">
        <f aca="false">IF(OR($A220="",$G220=0),"",ROUND($F220*INDEX(仪器设备工时分配表!$O$6:$O$245,$W220)/$G220,2))</f>
        <v/>
      </c>
      <c r="R220" s="27" t="str">
        <f aca="false">IF(OR($A220="",$G220=0),"",ROUND($F220*INDEX(仪器设备工时分配表!$P$6:$P$245,$W220)/$G220,2))</f>
        <v/>
      </c>
      <c r="S220" s="27" t="str">
        <f aca="false">IF(OR($A220="",$G220=0),"",ROUND($F220*INDEX(仪器设备工时分配表!$Q$6:$Q$245,$W220)/$G220,2))</f>
        <v/>
      </c>
      <c r="T220" s="27" t="str">
        <f aca="false">IF($A220="","",ROUND(SUM(J220:S220),2))</f>
        <v/>
      </c>
      <c r="U220" s="27" t="str">
        <f aca="false">IF($A220="","",ROUND($F220-T220,2))</f>
        <v/>
      </c>
      <c r="V220" s="43" t="str">
        <f aca="false">IF($A220="","",IF($D220="无形资产","⚠ 无形资产请在无形资产费用分配表登记",IF($W220=0,"⚠ 工时分配表无此资产当月记录",IF($X220&gt;1,"⚠ 工时分配表存在重复行","√ 正常"))))</f>
        <v/>
      </c>
      <c r="W220" s="47" t="n">
        <f aca="false">IF($A220="",0,IFERROR(MATCH($A220&amp;"|"&amp;$B220,仪器设备工时分配表!$V$6:$V$245,0),0))</f>
        <v>0</v>
      </c>
      <c r="X220" s="47" t="n">
        <f aca="false">IF($A220="",0,COUNTIFS(仪器设备工时分配表!$A$6:$A$245,$A220,仪器设备工时分配表!$B$6:$B$245,$B220))</f>
        <v>0</v>
      </c>
    </row>
    <row r="221" customFormat="false" ht="18" hidden="false" customHeight="true" outlineLevel="0" collapsed="false">
      <c r="A221" s="36"/>
      <c r="B221" s="36"/>
      <c r="C221" s="48" t="str">
        <f aca="false">IF($B221="","",IFERROR(VLOOKUP($B221,资产台账!$B$4:$N$53,2,0)&amp;"","台账中未登记"))</f>
        <v/>
      </c>
      <c r="D221" s="43" t="str">
        <f aca="false">IF($B221="","",IFERROR(VLOOKUP($B221,资产台账!$B$4:$N$53,3,0)&amp;"",""))</f>
        <v/>
      </c>
      <c r="E221" s="43" t="str">
        <f aca="false">IF($B221="","",IFERROR(VLOOKUP($B221,资产台账!$B$4:$N$53,10,0)&amp;"",""))</f>
        <v/>
      </c>
      <c r="F221" s="49" t="str">
        <f aca="false">IF($B221="","",IFERROR(VLOOKUP($B221,资产台账!$B$4:$N$53,9,0),0))</f>
        <v/>
      </c>
      <c r="G221" s="45" t="n">
        <f aca="false">IF(OR($A221="",$W221=0),0,INDEX(仪器设备工时分配表!$F$6:$F$245,$W221))</f>
        <v>0</v>
      </c>
      <c r="H221" s="45" t="n">
        <f aca="false">IF(OR($A221="",$W221=0),0,INDEX(仪器设备工时分配表!$R$6:$R$245,$W221))</f>
        <v>0</v>
      </c>
      <c r="I221" s="28" t="str">
        <f aca="false">IF(OR($A221="",$G221=0),"",$H221/$G221)</f>
        <v/>
      </c>
      <c r="J221" s="27" t="str">
        <f aca="false">IF(OR($A221="",$G221=0),"",ROUND($F221*INDEX(仪器设备工时分配表!$H$6:$H$245,$W221)/$G221,2))</f>
        <v/>
      </c>
      <c r="K221" s="27" t="str">
        <f aca="false">IF(OR($A221="",$G221=0),"",ROUND($F221*INDEX(仪器设备工时分配表!$I$6:$I$245,$W221)/$G221,2))</f>
        <v/>
      </c>
      <c r="L221" s="27" t="str">
        <f aca="false">IF(OR($A221="",$G221=0),"",ROUND($F221*INDEX(仪器设备工时分配表!$J$6:$J$245,$W221)/$G221,2))</f>
        <v/>
      </c>
      <c r="M221" s="27" t="str">
        <f aca="false">IF(OR($A221="",$G221=0),"",ROUND($F221*INDEX(仪器设备工时分配表!$K$6:$K$245,$W221)/$G221,2))</f>
        <v/>
      </c>
      <c r="N221" s="27" t="str">
        <f aca="false">IF(OR($A221="",$G221=0),"",ROUND($F221*INDEX(仪器设备工时分配表!$L$6:$L$245,$W221)/$G221,2))</f>
        <v/>
      </c>
      <c r="O221" s="27" t="str">
        <f aca="false">IF(OR($A221="",$G221=0),"",ROUND($F221*INDEX(仪器设备工时分配表!$M$6:$M$245,$W221)/$G221,2))</f>
        <v/>
      </c>
      <c r="P221" s="27" t="str">
        <f aca="false">IF(OR($A221="",$G221=0),"",ROUND($F221*INDEX(仪器设备工时分配表!$N$6:$N$245,$W221)/$G221,2))</f>
        <v/>
      </c>
      <c r="Q221" s="27" t="str">
        <f aca="false">IF(OR($A221="",$G221=0),"",ROUND($F221*INDEX(仪器设备工时分配表!$O$6:$O$245,$W221)/$G221,2))</f>
        <v/>
      </c>
      <c r="R221" s="27" t="str">
        <f aca="false">IF(OR($A221="",$G221=0),"",ROUND($F221*INDEX(仪器设备工时分配表!$P$6:$P$245,$W221)/$G221,2))</f>
        <v/>
      </c>
      <c r="S221" s="27" t="str">
        <f aca="false">IF(OR($A221="",$G221=0),"",ROUND($F221*INDEX(仪器设备工时分配表!$Q$6:$Q$245,$W221)/$G221,2))</f>
        <v/>
      </c>
      <c r="T221" s="27" t="str">
        <f aca="false">IF($A221="","",ROUND(SUM(J221:S221),2))</f>
        <v/>
      </c>
      <c r="U221" s="27" t="str">
        <f aca="false">IF($A221="","",ROUND($F221-T221,2))</f>
        <v/>
      </c>
      <c r="V221" s="43" t="str">
        <f aca="false">IF($A221="","",IF($D221="无形资产","⚠ 无形资产请在无形资产费用分配表登记",IF($W221=0,"⚠ 工时分配表无此资产当月记录",IF($X221&gt;1,"⚠ 工时分配表存在重复行","√ 正常"))))</f>
        <v/>
      </c>
      <c r="W221" s="47" t="n">
        <f aca="false">IF($A221="",0,IFERROR(MATCH($A221&amp;"|"&amp;$B221,仪器设备工时分配表!$V$6:$V$245,0),0))</f>
        <v>0</v>
      </c>
      <c r="X221" s="47" t="n">
        <f aca="false">IF($A221="",0,COUNTIFS(仪器设备工时分配表!$A$6:$A$245,$A221,仪器设备工时分配表!$B$6:$B$245,$B221))</f>
        <v>0</v>
      </c>
    </row>
    <row r="222" customFormat="false" ht="18" hidden="false" customHeight="true" outlineLevel="0" collapsed="false">
      <c r="A222" s="36"/>
      <c r="B222" s="36"/>
      <c r="C222" s="48" t="str">
        <f aca="false">IF($B222="","",IFERROR(VLOOKUP($B222,资产台账!$B$4:$N$53,2,0)&amp;"","台账中未登记"))</f>
        <v/>
      </c>
      <c r="D222" s="43" t="str">
        <f aca="false">IF($B222="","",IFERROR(VLOOKUP($B222,资产台账!$B$4:$N$53,3,0)&amp;"",""))</f>
        <v/>
      </c>
      <c r="E222" s="43" t="str">
        <f aca="false">IF($B222="","",IFERROR(VLOOKUP($B222,资产台账!$B$4:$N$53,10,0)&amp;"",""))</f>
        <v/>
      </c>
      <c r="F222" s="49" t="str">
        <f aca="false">IF($B222="","",IFERROR(VLOOKUP($B222,资产台账!$B$4:$N$53,9,0),0))</f>
        <v/>
      </c>
      <c r="G222" s="45" t="n">
        <f aca="false">IF(OR($A222="",$W222=0),0,INDEX(仪器设备工时分配表!$F$6:$F$245,$W222))</f>
        <v>0</v>
      </c>
      <c r="H222" s="45" t="n">
        <f aca="false">IF(OR($A222="",$W222=0),0,INDEX(仪器设备工时分配表!$R$6:$R$245,$W222))</f>
        <v>0</v>
      </c>
      <c r="I222" s="28" t="str">
        <f aca="false">IF(OR($A222="",$G222=0),"",$H222/$G222)</f>
        <v/>
      </c>
      <c r="J222" s="27" t="str">
        <f aca="false">IF(OR($A222="",$G222=0),"",ROUND($F222*INDEX(仪器设备工时分配表!$H$6:$H$245,$W222)/$G222,2))</f>
        <v/>
      </c>
      <c r="K222" s="27" t="str">
        <f aca="false">IF(OR($A222="",$G222=0),"",ROUND($F222*INDEX(仪器设备工时分配表!$I$6:$I$245,$W222)/$G222,2))</f>
        <v/>
      </c>
      <c r="L222" s="27" t="str">
        <f aca="false">IF(OR($A222="",$G222=0),"",ROUND($F222*INDEX(仪器设备工时分配表!$J$6:$J$245,$W222)/$G222,2))</f>
        <v/>
      </c>
      <c r="M222" s="27" t="str">
        <f aca="false">IF(OR($A222="",$G222=0),"",ROUND($F222*INDEX(仪器设备工时分配表!$K$6:$K$245,$W222)/$G222,2))</f>
        <v/>
      </c>
      <c r="N222" s="27" t="str">
        <f aca="false">IF(OR($A222="",$G222=0),"",ROUND($F222*INDEX(仪器设备工时分配表!$L$6:$L$245,$W222)/$G222,2))</f>
        <v/>
      </c>
      <c r="O222" s="27" t="str">
        <f aca="false">IF(OR($A222="",$G222=0),"",ROUND($F222*INDEX(仪器设备工时分配表!$M$6:$M$245,$W222)/$G222,2))</f>
        <v/>
      </c>
      <c r="P222" s="27" t="str">
        <f aca="false">IF(OR($A222="",$G222=0),"",ROUND($F222*INDEX(仪器设备工时分配表!$N$6:$N$245,$W222)/$G222,2))</f>
        <v/>
      </c>
      <c r="Q222" s="27" t="str">
        <f aca="false">IF(OR($A222="",$G222=0),"",ROUND($F222*INDEX(仪器设备工时分配表!$O$6:$O$245,$W222)/$G222,2))</f>
        <v/>
      </c>
      <c r="R222" s="27" t="str">
        <f aca="false">IF(OR($A222="",$G222=0),"",ROUND($F222*INDEX(仪器设备工时分配表!$P$6:$P$245,$W222)/$G222,2))</f>
        <v/>
      </c>
      <c r="S222" s="27" t="str">
        <f aca="false">IF(OR($A222="",$G222=0),"",ROUND($F222*INDEX(仪器设备工时分配表!$Q$6:$Q$245,$W222)/$G222,2))</f>
        <v/>
      </c>
      <c r="T222" s="27" t="str">
        <f aca="false">IF($A222="","",ROUND(SUM(J222:S222),2))</f>
        <v/>
      </c>
      <c r="U222" s="27" t="str">
        <f aca="false">IF($A222="","",ROUND($F222-T222,2))</f>
        <v/>
      </c>
      <c r="V222" s="43" t="str">
        <f aca="false">IF($A222="","",IF($D222="无形资产","⚠ 无形资产请在无形资产费用分配表登记",IF($W222=0,"⚠ 工时分配表无此资产当月记录",IF($X222&gt;1,"⚠ 工时分配表存在重复行","√ 正常"))))</f>
        <v/>
      </c>
      <c r="W222" s="47" t="n">
        <f aca="false">IF($A222="",0,IFERROR(MATCH($A222&amp;"|"&amp;$B222,仪器设备工时分配表!$V$6:$V$245,0),0))</f>
        <v>0</v>
      </c>
      <c r="X222" s="47" t="n">
        <f aca="false">IF($A222="",0,COUNTIFS(仪器设备工时分配表!$A$6:$A$245,$A222,仪器设备工时分配表!$B$6:$B$245,$B222))</f>
        <v>0</v>
      </c>
    </row>
    <row r="223" customFormat="false" ht="18" hidden="false" customHeight="true" outlineLevel="0" collapsed="false">
      <c r="A223" s="36"/>
      <c r="B223" s="36"/>
      <c r="C223" s="48" t="str">
        <f aca="false">IF($B223="","",IFERROR(VLOOKUP($B223,资产台账!$B$4:$N$53,2,0)&amp;"","台账中未登记"))</f>
        <v/>
      </c>
      <c r="D223" s="43" t="str">
        <f aca="false">IF($B223="","",IFERROR(VLOOKUP($B223,资产台账!$B$4:$N$53,3,0)&amp;"",""))</f>
        <v/>
      </c>
      <c r="E223" s="43" t="str">
        <f aca="false">IF($B223="","",IFERROR(VLOOKUP($B223,资产台账!$B$4:$N$53,10,0)&amp;"",""))</f>
        <v/>
      </c>
      <c r="F223" s="49" t="str">
        <f aca="false">IF($B223="","",IFERROR(VLOOKUP($B223,资产台账!$B$4:$N$53,9,0),0))</f>
        <v/>
      </c>
      <c r="G223" s="45" t="n">
        <f aca="false">IF(OR($A223="",$W223=0),0,INDEX(仪器设备工时分配表!$F$6:$F$245,$W223))</f>
        <v>0</v>
      </c>
      <c r="H223" s="45" t="n">
        <f aca="false">IF(OR($A223="",$W223=0),0,INDEX(仪器设备工时分配表!$R$6:$R$245,$W223))</f>
        <v>0</v>
      </c>
      <c r="I223" s="28" t="str">
        <f aca="false">IF(OR($A223="",$G223=0),"",$H223/$G223)</f>
        <v/>
      </c>
      <c r="J223" s="27" t="str">
        <f aca="false">IF(OR($A223="",$G223=0),"",ROUND($F223*INDEX(仪器设备工时分配表!$H$6:$H$245,$W223)/$G223,2))</f>
        <v/>
      </c>
      <c r="K223" s="27" t="str">
        <f aca="false">IF(OR($A223="",$G223=0),"",ROUND($F223*INDEX(仪器设备工时分配表!$I$6:$I$245,$W223)/$G223,2))</f>
        <v/>
      </c>
      <c r="L223" s="27" t="str">
        <f aca="false">IF(OR($A223="",$G223=0),"",ROUND($F223*INDEX(仪器设备工时分配表!$J$6:$J$245,$W223)/$G223,2))</f>
        <v/>
      </c>
      <c r="M223" s="27" t="str">
        <f aca="false">IF(OR($A223="",$G223=0),"",ROUND($F223*INDEX(仪器设备工时分配表!$K$6:$K$245,$W223)/$G223,2))</f>
        <v/>
      </c>
      <c r="N223" s="27" t="str">
        <f aca="false">IF(OR($A223="",$G223=0),"",ROUND($F223*INDEX(仪器设备工时分配表!$L$6:$L$245,$W223)/$G223,2))</f>
        <v/>
      </c>
      <c r="O223" s="27" t="str">
        <f aca="false">IF(OR($A223="",$G223=0),"",ROUND($F223*INDEX(仪器设备工时分配表!$M$6:$M$245,$W223)/$G223,2))</f>
        <v/>
      </c>
      <c r="P223" s="27" t="str">
        <f aca="false">IF(OR($A223="",$G223=0),"",ROUND($F223*INDEX(仪器设备工时分配表!$N$6:$N$245,$W223)/$G223,2))</f>
        <v/>
      </c>
      <c r="Q223" s="27" t="str">
        <f aca="false">IF(OR($A223="",$G223=0),"",ROUND($F223*INDEX(仪器设备工时分配表!$O$6:$O$245,$W223)/$G223,2))</f>
        <v/>
      </c>
      <c r="R223" s="27" t="str">
        <f aca="false">IF(OR($A223="",$G223=0),"",ROUND($F223*INDEX(仪器设备工时分配表!$P$6:$P$245,$W223)/$G223,2))</f>
        <v/>
      </c>
      <c r="S223" s="27" t="str">
        <f aca="false">IF(OR($A223="",$G223=0),"",ROUND($F223*INDEX(仪器设备工时分配表!$Q$6:$Q$245,$W223)/$G223,2))</f>
        <v/>
      </c>
      <c r="T223" s="27" t="str">
        <f aca="false">IF($A223="","",ROUND(SUM(J223:S223),2))</f>
        <v/>
      </c>
      <c r="U223" s="27" t="str">
        <f aca="false">IF($A223="","",ROUND($F223-T223,2))</f>
        <v/>
      </c>
      <c r="V223" s="43" t="str">
        <f aca="false">IF($A223="","",IF($D223="无形资产","⚠ 无形资产请在无形资产费用分配表登记",IF($W223=0,"⚠ 工时分配表无此资产当月记录",IF($X223&gt;1,"⚠ 工时分配表存在重复行","√ 正常"))))</f>
        <v/>
      </c>
      <c r="W223" s="47" t="n">
        <f aca="false">IF($A223="",0,IFERROR(MATCH($A223&amp;"|"&amp;$B223,仪器设备工时分配表!$V$6:$V$245,0),0))</f>
        <v>0</v>
      </c>
      <c r="X223" s="47" t="n">
        <f aca="false">IF($A223="",0,COUNTIFS(仪器设备工时分配表!$A$6:$A$245,$A223,仪器设备工时分配表!$B$6:$B$245,$B223))</f>
        <v>0</v>
      </c>
    </row>
    <row r="224" customFormat="false" ht="18" hidden="false" customHeight="true" outlineLevel="0" collapsed="false">
      <c r="A224" s="36"/>
      <c r="B224" s="36"/>
      <c r="C224" s="48" t="str">
        <f aca="false">IF($B224="","",IFERROR(VLOOKUP($B224,资产台账!$B$4:$N$53,2,0)&amp;"","台账中未登记"))</f>
        <v/>
      </c>
      <c r="D224" s="43" t="str">
        <f aca="false">IF($B224="","",IFERROR(VLOOKUP($B224,资产台账!$B$4:$N$53,3,0)&amp;"",""))</f>
        <v/>
      </c>
      <c r="E224" s="43" t="str">
        <f aca="false">IF($B224="","",IFERROR(VLOOKUP($B224,资产台账!$B$4:$N$53,10,0)&amp;"",""))</f>
        <v/>
      </c>
      <c r="F224" s="49" t="str">
        <f aca="false">IF($B224="","",IFERROR(VLOOKUP($B224,资产台账!$B$4:$N$53,9,0),0))</f>
        <v/>
      </c>
      <c r="G224" s="45" t="n">
        <f aca="false">IF(OR($A224="",$W224=0),0,INDEX(仪器设备工时分配表!$F$6:$F$245,$W224))</f>
        <v>0</v>
      </c>
      <c r="H224" s="45" t="n">
        <f aca="false">IF(OR($A224="",$W224=0),0,INDEX(仪器设备工时分配表!$R$6:$R$245,$W224))</f>
        <v>0</v>
      </c>
      <c r="I224" s="28" t="str">
        <f aca="false">IF(OR($A224="",$G224=0),"",$H224/$G224)</f>
        <v/>
      </c>
      <c r="J224" s="27" t="str">
        <f aca="false">IF(OR($A224="",$G224=0),"",ROUND($F224*INDEX(仪器设备工时分配表!$H$6:$H$245,$W224)/$G224,2))</f>
        <v/>
      </c>
      <c r="K224" s="27" t="str">
        <f aca="false">IF(OR($A224="",$G224=0),"",ROUND($F224*INDEX(仪器设备工时分配表!$I$6:$I$245,$W224)/$G224,2))</f>
        <v/>
      </c>
      <c r="L224" s="27" t="str">
        <f aca="false">IF(OR($A224="",$G224=0),"",ROUND($F224*INDEX(仪器设备工时分配表!$J$6:$J$245,$W224)/$G224,2))</f>
        <v/>
      </c>
      <c r="M224" s="27" t="str">
        <f aca="false">IF(OR($A224="",$G224=0),"",ROUND($F224*INDEX(仪器设备工时分配表!$K$6:$K$245,$W224)/$G224,2))</f>
        <v/>
      </c>
      <c r="N224" s="27" t="str">
        <f aca="false">IF(OR($A224="",$G224=0),"",ROUND($F224*INDEX(仪器设备工时分配表!$L$6:$L$245,$W224)/$G224,2))</f>
        <v/>
      </c>
      <c r="O224" s="27" t="str">
        <f aca="false">IF(OR($A224="",$G224=0),"",ROUND($F224*INDEX(仪器设备工时分配表!$M$6:$M$245,$W224)/$G224,2))</f>
        <v/>
      </c>
      <c r="P224" s="27" t="str">
        <f aca="false">IF(OR($A224="",$G224=0),"",ROUND($F224*INDEX(仪器设备工时分配表!$N$6:$N$245,$W224)/$G224,2))</f>
        <v/>
      </c>
      <c r="Q224" s="27" t="str">
        <f aca="false">IF(OR($A224="",$G224=0),"",ROUND($F224*INDEX(仪器设备工时分配表!$O$6:$O$245,$W224)/$G224,2))</f>
        <v/>
      </c>
      <c r="R224" s="27" t="str">
        <f aca="false">IF(OR($A224="",$G224=0),"",ROUND($F224*INDEX(仪器设备工时分配表!$P$6:$P$245,$W224)/$G224,2))</f>
        <v/>
      </c>
      <c r="S224" s="27" t="str">
        <f aca="false">IF(OR($A224="",$G224=0),"",ROUND($F224*INDEX(仪器设备工时分配表!$Q$6:$Q$245,$W224)/$G224,2))</f>
        <v/>
      </c>
      <c r="T224" s="27" t="str">
        <f aca="false">IF($A224="","",ROUND(SUM(J224:S224),2))</f>
        <v/>
      </c>
      <c r="U224" s="27" t="str">
        <f aca="false">IF($A224="","",ROUND($F224-T224,2))</f>
        <v/>
      </c>
      <c r="V224" s="43" t="str">
        <f aca="false">IF($A224="","",IF($D224="无形资产","⚠ 无形资产请在无形资产费用分配表登记",IF($W224=0,"⚠ 工时分配表无此资产当月记录",IF($X224&gt;1,"⚠ 工时分配表存在重复行","√ 正常"))))</f>
        <v/>
      </c>
      <c r="W224" s="47" t="n">
        <f aca="false">IF($A224="",0,IFERROR(MATCH($A224&amp;"|"&amp;$B224,仪器设备工时分配表!$V$6:$V$245,0),0))</f>
        <v>0</v>
      </c>
      <c r="X224" s="47" t="n">
        <f aca="false">IF($A224="",0,COUNTIFS(仪器设备工时分配表!$A$6:$A$245,$A224,仪器设备工时分配表!$B$6:$B$245,$B224))</f>
        <v>0</v>
      </c>
    </row>
    <row r="225" customFormat="false" ht="18" hidden="false" customHeight="true" outlineLevel="0" collapsed="false">
      <c r="A225" s="36"/>
      <c r="B225" s="36"/>
      <c r="C225" s="48" t="str">
        <f aca="false">IF($B225="","",IFERROR(VLOOKUP($B225,资产台账!$B$4:$N$53,2,0)&amp;"","台账中未登记"))</f>
        <v/>
      </c>
      <c r="D225" s="43" t="str">
        <f aca="false">IF($B225="","",IFERROR(VLOOKUP($B225,资产台账!$B$4:$N$53,3,0)&amp;"",""))</f>
        <v/>
      </c>
      <c r="E225" s="43" t="str">
        <f aca="false">IF($B225="","",IFERROR(VLOOKUP($B225,资产台账!$B$4:$N$53,10,0)&amp;"",""))</f>
        <v/>
      </c>
      <c r="F225" s="49" t="str">
        <f aca="false">IF($B225="","",IFERROR(VLOOKUP($B225,资产台账!$B$4:$N$53,9,0),0))</f>
        <v/>
      </c>
      <c r="G225" s="45" t="n">
        <f aca="false">IF(OR($A225="",$W225=0),0,INDEX(仪器设备工时分配表!$F$6:$F$245,$W225))</f>
        <v>0</v>
      </c>
      <c r="H225" s="45" t="n">
        <f aca="false">IF(OR($A225="",$W225=0),0,INDEX(仪器设备工时分配表!$R$6:$R$245,$W225))</f>
        <v>0</v>
      </c>
      <c r="I225" s="28" t="str">
        <f aca="false">IF(OR($A225="",$G225=0),"",$H225/$G225)</f>
        <v/>
      </c>
      <c r="J225" s="27" t="str">
        <f aca="false">IF(OR($A225="",$G225=0),"",ROUND($F225*INDEX(仪器设备工时分配表!$H$6:$H$245,$W225)/$G225,2))</f>
        <v/>
      </c>
      <c r="K225" s="27" t="str">
        <f aca="false">IF(OR($A225="",$G225=0),"",ROUND($F225*INDEX(仪器设备工时分配表!$I$6:$I$245,$W225)/$G225,2))</f>
        <v/>
      </c>
      <c r="L225" s="27" t="str">
        <f aca="false">IF(OR($A225="",$G225=0),"",ROUND($F225*INDEX(仪器设备工时分配表!$J$6:$J$245,$W225)/$G225,2))</f>
        <v/>
      </c>
      <c r="M225" s="27" t="str">
        <f aca="false">IF(OR($A225="",$G225=0),"",ROUND($F225*INDEX(仪器设备工时分配表!$K$6:$K$245,$W225)/$G225,2))</f>
        <v/>
      </c>
      <c r="N225" s="27" t="str">
        <f aca="false">IF(OR($A225="",$G225=0),"",ROUND($F225*INDEX(仪器设备工时分配表!$L$6:$L$245,$W225)/$G225,2))</f>
        <v/>
      </c>
      <c r="O225" s="27" t="str">
        <f aca="false">IF(OR($A225="",$G225=0),"",ROUND($F225*INDEX(仪器设备工时分配表!$M$6:$M$245,$W225)/$G225,2))</f>
        <v/>
      </c>
      <c r="P225" s="27" t="str">
        <f aca="false">IF(OR($A225="",$G225=0),"",ROUND($F225*INDEX(仪器设备工时分配表!$N$6:$N$245,$W225)/$G225,2))</f>
        <v/>
      </c>
      <c r="Q225" s="27" t="str">
        <f aca="false">IF(OR($A225="",$G225=0),"",ROUND($F225*INDEX(仪器设备工时分配表!$O$6:$O$245,$W225)/$G225,2))</f>
        <v/>
      </c>
      <c r="R225" s="27" t="str">
        <f aca="false">IF(OR($A225="",$G225=0),"",ROUND($F225*INDEX(仪器设备工时分配表!$P$6:$P$245,$W225)/$G225,2))</f>
        <v/>
      </c>
      <c r="S225" s="27" t="str">
        <f aca="false">IF(OR($A225="",$G225=0),"",ROUND($F225*INDEX(仪器设备工时分配表!$Q$6:$Q$245,$W225)/$G225,2))</f>
        <v/>
      </c>
      <c r="T225" s="27" t="str">
        <f aca="false">IF($A225="","",ROUND(SUM(J225:S225),2))</f>
        <v/>
      </c>
      <c r="U225" s="27" t="str">
        <f aca="false">IF($A225="","",ROUND($F225-T225,2))</f>
        <v/>
      </c>
      <c r="V225" s="43" t="str">
        <f aca="false">IF($A225="","",IF($D225="无形资产","⚠ 无形资产请在无形资产费用分配表登记",IF($W225=0,"⚠ 工时分配表无此资产当月记录",IF($X225&gt;1,"⚠ 工时分配表存在重复行","√ 正常"))))</f>
        <v/>
      </c>
      <c r="W225" s="47" t="n">
        <f aca="false">IF($A225="",0,IFERROR(MATCH($A225&amp;"|"&amp;$B225,仪器设备工时分配表!$V$6:$V$245,0),0))</f>
        <v>0</v>
      </c>
      <c r="X225" s="47" t="n">
        <f aca="false">IF($A225="",0,COUNTIFS(仪器设备工时分配表!$A$6:$A$245,$A225,仪器设备工时分配表!$B$6:$B$245,$B225))</f>
        <v>0</v>
      </c>
    </row>
    <row r="226" customFormat="false" ht="18" hidden="false" customHeight="true" outlineLevel="0" collapsed="false">
      <c r="A226" s="36"/>
      <c r="B226" s="36"/>
      <c r="C226" s="48" t="str">
        <f aca="false">IF($B226="","",IFERROR(VLOOKUP($B226,资产台账!$B$4:$N$53,2,0)&amp;"","台账中未登记"))</f>
        <v/>
      </c>
      <c r="D226" s="43" t="str">
        <f aca="false">IF($B226="","",IFERROR(VLOOKUP($B226,资产台账!$B$4:$N$53,3,0)&amp;"",""))</f>
        <v/>
      </c>
      <c r="E226" s="43" t="str">
        <f aca="false">IF($B226="","",IFERROR(VLOOKUP($B226,资产台账!$B$4:$N$53,10,0)&amp;"",""))</f>
        <v/>
      </c>
      <c r="F226" s="49" t="str">
        <f aca="false">IF($B226="","",IFERROR(VLOOKUP($B226,资产台账!$B$4:$N$53,9,0),0))</f>
        <v/>
      </c>
      <c r="G226" s="45" t="n">
        <f aca="false">IF(OR($A226="",$W226=0),0,INDEX(仪器设备工时分配表!$F$6:$F$245,$W226))</f>
        <v>0</v>
      </c>
      <c r="H226" s="45" t="n">
        <f aca="false">IF(OR($A226="",$W226=0),0,INDEX(仪器设备工时分配表!$R$6:$R$245,$W226))</f>
        <v>0</v>
      </c>
      <c r="I226" s="28" t="str">
        <f aca="false">IF(OR($A226="",$G226=0),"",$H226/$G226)</f>
        <v/>
      </c>
      <c r="J226" s="27" t="str">
        <f aca="false">IF(OR($A226="",$G226=0),"",ROUND($F226*INDEX(仪器设备工时分配表!$H$6:$H$245,$W226)/$G226,2))</f>
        <v/>
      </c>
      <c r="K226" s="27" t="str">
        <f aca="false">IF(OR($A226="",$G226=0),"",ROUND($F226*INDEX(仪器设备工时分配表!$I$6:$I$245,$W226)/$G226,2))</f>
        <v/>
      </c>
      <c r="L226" s="27" t="str">
        <f aca="false">IF(OR($A226="",$G226=0),"",ROUND($F226*INDEX(仪器设备工时分配表!$J$6:$J$245,$W226)/$G226,2))</f>
        <v/>
      </c>
      <c r="M226" s="27" t="str">
        <f aca="false">IF(OR($A226="",$G226=0),"",ROUND($F226*INDEX(仪器设备工时分配表!$K$6:$K$245,$W226)/$G226,2))</f>
        <v/>
      </c>
      <c r="N226" s="27" t="str">
        <f aca="false">IF(OR($A226="",$G226=0),"",ROUND($F226*INDEX(仪器设备工时分配表!$L$6:$L$245,$W226)/$G226,2))</f>
        <v/>
      </c>
      <c r="O226" s="27" t="str">
        <f aca="false">IF(OR($A226="",$G226=0),"",ROUND($F226*INDEX(仪器设备工时分配表!$M$6:$M$245,$W226)/$G226,2))</f>
        <v/>
      </c>
      <c r="P226" s="27" t="str">
        <f aca="false">IF(OR($A226="",$G226=0),"",ROUND($F226*INDEX(仪器设备工时分配表!$N$6:$N$245,$W226)/$G226,2))</f>
        <v/>
      </c>
      <c r="Q226" s="27" t="str">
        <f aca="false">IF(OR($A226="",$G226=0),"",ROUND($F226*INDEX(仪器设备工时分配表!$O$6:$O$245,$W226)/$G226,2))</f>
        <v/>
      </c>
      <c r="R226" s="27" t="str">
        <f aca="false">IF(OR($A226="",$G226=0),"",ROUND($F226*INDEX(仪器设备工时分配表!$P$6:$P$245,$W226)/$G226,2))</f>
        <v/>
      </c>
      <c r="S226" s="27" t="str">
        <f aca="false">IF(OR($A226="",$G226=0),"",ROUND($F226*INDEX(仪器设备工时分配表!$Q$6:$Q$245,$W226)/$G226,2))</f>
        <v/>
      </c>
      <c r="T226" s="27" t="str">
        <f aca="false">IF($A226="","",ROUND(SUM(J226:S226),2))</f>
        <v/>
      </c>
      <c r="U226" s="27" t="str">
        <f aca="false">IF($A226="","",ROUND($F226-T226,2))</f>
        <v/>
      </c>
      <c r="V226" s="43" t="str">
        <f aca="false">IF($A226="","",IF($D226="无形资产","⚠ 无形资产请在无形资产费用分配表登记",IF($W226=0,"⚠ 工时分配表无此资产当月记录",IF($X226&gt;1,"⚠ 工时分配表存在重复行","√ 正常"))))</f>
        <v/>
      </c>
      <c r="W226" s="47" t="n">
        <f aca="false">IF($A226="",0,IFERROR(MATCH($A226&amp;"|"&amp;$B226,仪器设备工时分配表!$V$6:$V$245,0),0))</f>
        <v>0</v>
      </c>
      <c r="X226" s="47" t="n">
        <f aca="false">IF($A226="",0,COUNTIFS(仪器设备工时分配表!$A$6:$A$245,$A226,仪器设备工时分配表!$B$6:$B$245,$B226))</f>
        <v>0</v>
      </c>
    </row>
    <row r="227" customFormat="false" ht="18" hidden="false" customHeight="true" outlineLevel="0" collapsed="false">
      <c r="A227" s="36"/>
      <c r="B227" s="36"/>
      <c r="C227" s="48" t="str">
        <f aca="false">IF($B227="","",IFERROR(VLOOKUP($B227,资产台账!$B$4:$N$53,2,0)&amp;"","台账中未登记"))</f>
        <v/>
      </c>
      <c r="D227" s="43" t="str">
        <f aca="false">IF($B227="","",IFERROR(VLOOKUP($B227,资产台账!$B$4:$N$53,3,0)&amp;"",""))</f>
        <v/>
      </c>
      <c r="E227" s="43" t="str">
        <f aca="false">IF($B227="","",IFERROR(VLOOKUP($B227,资产台账!$B$4:$N$53,10,0)&amp;"",""))</f>
        <v/>
      </c>
      <c r="F227" s="49" t="str">
        <f aca="false">IF($B227="","",IFERROR(VLOOKUP($B227,资产台账!$B$4:$N$53,9,0),0))</f>
        <v/>
      </c>
      <c r="G227" s="45" t="n">
        <f aca="false">IF(OR($A227="",$W227=0),0,INDEX(仪器设备工时分配表!$F$6:$F$245,$W227))</f>
        <v>0</v>
      </c>
      <c r="H227" s="45" t="n">
        <f aca="false">IF(OR($A227="",$W227=0),0,INDEX(仪器设备工时分配表!$R$6:$R$245,$W227))</f>
        <v>0</v>
      </c>
      <c r="I227" s="28" t="str">
        <f aca="false">IF(OR($A227="",$G227=0),"",$H227/$G227)</f>
        <v/>
      </c>
      <c r="J227" s="27" t="str">
        <f aca="false">IF(OR($A227="",$G227=0),"",ROUND($F227*INDEX(仪器设备工时分配表!$H$6:$H$245,$W227)/$G227,2))</f>
        <v/>
      </c>
      <c r="K227" s="27" t="str">
        <f aca="false">IF(OR($A227="",$G227=0),"",ROUND($F227*INDEX(仪器设备工时分配表!$I$6:$I$245,$W227)/$G227,2))</f>
        <v/>
      </c>
      <c r="L227" s="27" t="str">
        <f aca="false">IF(OR($A227="",$G227=0),"",ROUND($F227*INDEX(仪器设备工时分配表!$J$6:$J$245,$W227)/$G227,2))</f>
        <v/>
      </c>
      <c r="M227" s="27" t="str">
        <f aca="false">IF(OR($A227="",$G227=0),"",ROUND($F227*INDEX(仪器设备工时分配表!$K$6:$K$245,$W227)/$G227,2))</f>
        <v/>
      </c>
      <c r="N227" s="27" t="str">
        <f aca="false">IF(OR($A227="",$G227=0),"",ROUND($F227*INDEX(仪器设备工时分配表!$L$6:$L$245,$W227)/$G227,2))</f>
        <v/>
      </c>
      <c r="O227" s="27" t="str">
        <f aca="false">IF(OR($A227="",$G227=0),"",ROUND($F227*INDEX(仪器设备工时分配表!$M$6:$M$245,$W227)/$G227,2))</f>
        <v/>
      </c>
      <c r="P227" s="27" t="str">
        <f aca="false">IF(OR($A227="",$G227=0),"",ROUND($F227*INDEX(仪器设备工时分配表!$N$6:$N$245,$W227)/$G227,2))</f>
        <v/>
      </c>
      <c r="Q227" s="27" t="str">
        <f aca="false">IF(OR($A227="",$G227=0),"",ROUND($F227*INDEX(仪器设备工时分配表!$O$6:$O$245,$W227)/$G227,2))</f>
        <v/>
      </c>
      <c r="R227" s="27" t="str">
        <f aca="false">IF(OR($A227="",$G227=0),"",ROUND($F227*INDEX(仪器设备工时分配表!$P$6:$P$245,$W227)/$G227,2))</f>
        <v/>
      </c>
      <c r="S227" s="27" t="str">
        <f aca="false">IF(OR($A227="",$G227=0),"",ROUND($F227*INDEX(仪器设备工时分配表!$Q$6:$Q$245,$W227)/$G227,2))</f>
        <v/>
      </c>
      <c r="T227" s="27" t="str">
        <f aca="false">IF($A227="","",ROUND(SUM(J227:S227),2))</f>
        <v/>
      </c>
      <c r="U227" s="27" t="str">
        <f aca="false">IF($A227="","",ROUND($F227-T227,2))</f>
        <v/>
      </c>
      <c r="V227" s="43" t="str">
        <f aca="false">IF($A227="","",IF($D227="无形资产","⚠ 无形资产请在无形资产费用分配表登记",IF($W227=0,"⚠ 工时分配表无此资产当月记录",IF($X227&gt;1,"⚠ 工时分配表存在重复行","√ 正常"))))</f>
        <v/>
      </c>
      <c r="W227" s="47" t="n">
        <f aca="false">IF($A227="",0,IFERROR(MATCH($A227&amp;"|"&amp;$B227,仪器设备工时分配表!$V$6:$V$245,0),0))</f>
        <v>0</v>
      </c>
      <c r="X227" s="47" t="n">
        <f aca="false">IF($A227="",0,COUNTIFS(仪器设备工时分配表!$A$6:$A$245,$A227,仪器设备工时分配表!$B$6:$B$245,$B227))</f>
        <v>0</v>
      </c>
    </row>
    <row r="228" customFormat="false" ht="18" hidden="false" customHeight="true" outlineLevel="0" collapsed="false">
      <c r="A228" s="36"/>
      <c r="B228" s="36"/>
      <c r="C228" s="48" t="str">
        <f aca="false">IF($B228="","",IFERROR(VLOOKUP($B228,资产台账!$B$4:$N$53,2,0)&amp;"","台账中未登记"))</f>
        <v/>
      </c>
      <c r="D228" s="43" t="str">
        <f aca="false">IF($B228="","",IFERROR(VLOOKUP($B228,资产台账!$B$4:$N$53,3,0)&amp;"",""))</f>
        <v/>
      </c>
      <c r="E228" s="43" t="str">
        <f aca="false">IF($B228="","",IFERROR(VLOOKUP($B228,资产台账!$B$4:$N$53,10,0)&amp;"",""))</f>
        <v/>
      </c>
      <c r="F228" s="49" t="str">
        <f aca="false">IF($B228="","",IFERROR(VLOOKUP($B228,资产台账!$B$4:$N$53,9,0),0))</f>
        <v/>
      </c>
      <c r="G228" s="45" t="n">
        <f aca="false">IF(OR($A228="",$W228=0),0,INDEX(仪器设备工时分配表!$F$6:$F$245,$W228))</f>
        <v>0</v>
      </c>
      <c r="H228" s="45" t="n">
        <f aca="false">IF(OR($A228="",$W228=0),0,INDEX(仪器设备工时分配表!$R$6:$R$245,$W228))</f>
        <v>0</v>
      </c>
      <c r="I228" s="28" t="str">
        <f aca="false">IF(OR($A228="",$G228=0),"",$H228/$G228)</f>
        <v/>
      </c>
      <c r="J228" s="27" t="str">
        <f aca="false">IF(OR($A228="",$G228=0),"",ROUND($F228*INDEX(仪器设备工时分配表!$H$6:$H$245,$W228)/$G228,2))</f>
        <v/>
      </c>
      <c r="K228" s="27" t="str">
        <f aca="false">IF(OR($A228="",$G228=0),"",ROUND($F228*INDEX(仪器设备工时分配表!$I$6:$I$245,$W228)/$G228,2))</f>
        <v/>
      </c>
      <c r="L228" s="27" t="str">
        <f aca="false">IF(OR($A228="",$G228=0),"",ROUND($F228*INDEX(仪器设备工时分配表!$J$6:$J$245,$W228)/$G228,2))</f>
        <v/>
      </c>
      <c r="M228" s="27" t="str">
        <f aca="false">IF(OR($A228="",$G228=0),"",ROUND($F228*INDEX(仪器设备工时分配表!$K$6:$K$245,$W228)/$G228,2))</f>
        <v/>
      </c>
      <c r="N228" s="27" t="str">
        <f aca="false">IF(OR($A228="",$G228=0),"",ROUND($F228*INDEX(仪器设备工时分配表!$L$6:$L$245,$W228)/$G228,2))</f>
        <v/>
      </c>
      <c r="O228" s="27" t="str">
        <f aca="false">IF(OR($A228="",$G228=0),"",ROUND($F228*INDEX(仪器设备工时分配表!$M$6:$M$245,$W228)/$G228,2))</f>
        <v/>
      </c>
      <c r="P228" s="27" t="str">
        <f aca="false">IF(OR($A228="",$G228=0),"",ROUND($F228*INDEX(仪器设备工时分配表!$N$6:$N$245,$W228)/$G228,2))</f>
        <v/>
      </c>
      <c r="Q228" s="27" t="str">
        <f aca="false">IF(OR($A228="",$G228=0),"",ROUND($F228*INDEX(仪器设备工时分配表!$O$6:$O$245,$W228)/$G228,2))</f>
        <v/>
      </c>
      <c r="R228" s="27" t="str">
        <f aca="false">IF(OR($A228="",$G228=0),"",ROUND($F228*INDEX(仪器设备工时分配表!$P$6:$P$245,$W228)/$G228,2))</f>
        <v/>
      </c>
      <c r="S228" s="27" t="str">
        <f aca="false">IF(OR($A228="",$G228=0),"",ROUND($F228*INDEX(仪器设备工时分配表!$Q$6:$Q$245,$W228)/$G228,2))</f>
        <v/>
      </c>
      <c r="T228" s="27" t="str">
        <f aca="false">IF($A228="","",ROUND(SUM(J228:S228),2))</f>
        <v/>
      </c>
      <c r="U228" s="27" t="str">
        <f aca="false">IF($A228="","",ROUND($F228-T228,2))</f>
        <v/>
      </c>
      <c r="V228" s="43" t="str">
        <f aca="false">IF($A228="","",IF($D228="无形资产","⚠ 无形资产请在无形资产费用分配表登记",IF($W228=0,"⚠ 工时分配表无此资产当月记录",IF($X228&gt;1,"⚠ 工时分配表存在重复行","√ 正常"))))</f>
        <v/>
      </c>
      <c r="W228" s="47" t="n">
        <f aca="false">IF($A228="",0,IFERROR(MATCH($A228&amp;"|"&amp;$B228,仪器设备工时分配表!$V$6:$V$245,0),0))</f>
        <v>0</v>
      </c>
      <c r="X228" s="47" t="n">
        <f aca="false">IF($A228="",0,COUNTIFS(仪器设备工时分配表!$A$6:$A$245,$A228,仪器设备工时分配表!$B$6:$B$245,$B228))</f>
        <v>0</v>
      </c>
    </row>
    <row r="229" customFormat="false" ht="18" hidden="false" customHeight="true" outlineLevel="0" collapsed="false">
      <c r="A229" s="36"/>
      <c r="B229" s="36"/>
      <c r="C229" s="48" t="str">
        <f aca="false">IF($B229="","",IFERROR(VLOOKUP($B229,资产台账!$B$4:$N$53,2,0)&amp;"","台账中未登记"))</f>
        <v/>
      </c>
      <c r="D229" s="43" t="str">
        <f aca="false">IF($B229="","",IFERROR(VLOOKUP($B229,资产台账!$B$4:$N$53,3,0)&amp;"",""))</f>
        <v/>
      </c>
      <c r="E229" s="43" t="str">
        <f aca="false">IF($B229="","",IFERROR(VLOOKUP($B229,资产台账!$B$4:$N$53,10,0)&amp;"",""))</f>
        <v/>
      </c>
      <c r="F229" s="49" t="str">
        <f aca="false">IF($B229="","",IFERROR(VLOOKUP($B229,资产台账!$B$4:$N$53,9,0),0))</f>
        <v/>
      </c>
      <c r="G229" s="45" t="n">
        <f aca="false">IF(OR($A229="",$W229=0),0,INDEX(仪器设备工时分配表!$F$6:$F$245,$W229))</f>
        <v>0</v>
      </c>
      <c r="H229" s="45" t="n">
        <f aca="false">IF(OR($A229="",$W229=0),0,INDEX(仪器设备工时分配表!$R$6:$R$245,$W229))</f>
        <v>0</v>
      </c>
      <c r="I229" s="28" t="str">
        <f aca="false">IF(OR($A229="",$G229=0),"",$H229/$G229)</f>
        <v/>
      </c>
      <c r="J229" s="27" t="str">
        <f aca="false">IF(OR($A229="",$G229=0),"",ROUND($F229*INDEX(仪器设备工时分配表!$H$6:$H$245,$W229)/$G229,2))</f>
        <v/>
      </c>
      <c r="K229" s="27" t="str">
        <f aca="false">IF(OR($A229="",$G229=0),"",ROUND($F229*INDEX(仪器设备工时分配表!$I$6:$I$245,$W229)/$G229,2))</f>
        <v/>
      </c>
      <c r="L229" s="27" t="str">
        <f aca="false">IF(OR($A229="",$G229=0),"",ROUND($F229*INDEX(仪器设备工时分配表!$J$6:$J$245,$W229)/$G229,2))</f>
        <v/>
      </c>
      <c r="M229" s="27" t="str">
        <f aca="false">IF(OR($A229="",$G229=0),"",ROUND($F229*INDEX(仪器设备工时分配表!$K$6:$K$245,$W229)/$G229,2))</f>
        <v/>
      </c>
      <c r="N229" s="27" t="str">
        <f aca="false">IF(OR($A229="",$G229=0),"",ROUND($F229*INDEX(仪器设备工时分配表!$L$6:$L$245,$W229)/$G229,2))</f>
        <v/>
      </c>
      <c r="O229" s="27" t="str">
        <f aca="false">IF(OR($A229="",$G229=0),"",ROUND($F229*INDEX(仪器设备工时分配表!$M$6:$M$245,$W229)/$G229,2))</f>
        <v/>
      </c>
      <c r="P229" s="27" t="str">
        <f aca="false">IF(OR($A229="",$G229=0),"",ROUND($F229*INDEX(仪器设备工时分配表!$N$6:$N$245,$W229)/$G229,2))</f>
        <v/>
      </c>
      <c r="Q229" s="27" t="str">
        <f aca="false">IF(OR($A229="",$G229=0),"",ROUND($F229*INDEX(仪器设备工时分配表!$O$6:$O$245,$W229)/$G229,2))</f>
        <v/>
      </c>
      <c r="R229" s="27" t="str">
        <f aca="false">IF(OR($A229="",$G229=0),"",ROUND($F229*INDEX(仪器设备工时分配表!$P$6:$P$245,$W229)/$G229,2))</f>
        <v/>
      </c>
      <c r="S229" s="27" t="str">
        <f aca="false">IF(OR($A229="",$G229=0),"",ROUND($F229*INDEX(仪器设备工时分配表!$Q$6:$Q$245,$W229)/$G229,2))</f>
        <v/>
      </c>
      <c r="T229" s="27" t="str">
        <f aca="false">IF($A229="","",ROUND(SUM(J229:S229),2))</f>
        <v/>
      </c>
      <c r="U229" s="27" t="str">
        <f aca="false">IF($A229="","",ROUND($F229-T229,2))</f>
        <v/>
      </c>
      <c r="V229" s="43" t="str">
        <f aca="false">IF($A229="","",IF($D229="无形资产","⚠ 无形资产请在无形资产费用分配表登记",IF($W229=0,"⚠ 工时分配表无此资产当月记录",IF($X229&gt;1,"⚠ 工时分配表存在重复行","√ 正常"))))</f>
        <v/>
      </c>
      <c r="W229" s="47" t="n">
        <f aca="false">IF($A229="",0,IFERROR(MATCH($A229&amp;"|"&amp;$B229,仪器设备工时分配表!$V$6:$V$245,0),0))</f>
        <v>0</v>
      </c>
      <c r="X229" s="47" t="n">
        <f aca="false">IF($A229="",0,COUNTIFS(仪器设备工时分配表!$A$6:$A$245,$A229,仪器设备工时分配表!$B$6:$B$245,$B229))</f>
        <v>0</v>
      </c>
    </row>
    <row r="230" customFormat="false" ht="18" hidden="false" customHeight="true" outlineLevel="0" collapsed="false">
      <c r="A230" s="36"/>
      <c r="B230" s="36"/>
      <c r="C230" s="48" t="str">
        <f aca="false">IF($B230="","",IFERROR(VLOOKUP($B230,资产台账!$B$4:$N$53,2,0)&amp;"","台账中未登记"))</f>
        <v/>
      </c>
      <c r="D230" s="43" t="str">
        <f aca="false">IF($B230="","",IFERROR(VLOOKUP($B230,资产台账!$B$4:$N$53,3,0)&amp;"",""))</f>
        <v/>
      </c>
      <c r="E230" s="43" t="str">
        <f aca="false">IF($B230="","",IFERROR(VLOOKUP($B230,资产台账!$B$4:$N$53,10,0)&amp;"",""))</f>
        <v/>
      </c>
      <c r="F230" s="49" t="str">
        <f aca="false">IF($B230="","",IFERROR(VLOOKUP($B230,资产台账!$B$4:$N$53,9,0),0))</f>
        <v/>
      </c>
      <c r="G230" s="45" t="n">
        <f aca="false">IF(OR($A230="",$W230=0),0,INDEX(仪器设备工时分配表!$F$6:$F$245,$W230))</f>
        <v>0</v>
      </c>
      <c r="H230" s="45" t="n">
        <f aca="false">IF(OR($A230="",$W230=0),0,INDEX(仪器设备工时分配表!$R$6:$R$245,$W230))</f>
        <v>0</v>
      </c>
      <c r="I230" s="28" t="str">
        <f aca="false">IF(OR($A230="",$G230=0),"",$H230/$G230)</f>
        <v/>
      </c>
      <c r="J230" s="27" t="str">
        <f aca="false">IF(OR($A230="",$G230=0),"",ROUND($F230*INDEX(仪器设备工时分配表!$H$6:$H$245,$W230)/$G230,2))</f>
        <v/>
      </c>
      <c r="K230" s="27" t="str">
        <f aca="false">IF(OR($A230="",$G230=0),"",ROUND($F230*INDEX(仪器设备工时分配表!$I$6:$I$245,$W230)/$G230,2))</f>
        <v/>
      </c>
      <c r="L230" s="27" t="str">
        <f aca="false">IF(OR($A230="",$G230=0),"",ROUND($F230*INDEX(仪器设备工时分配表!$J$6:$J$245,$W230)/$G230,2))</f>
        <v/>
      </c>
      <c r="M230" s="27" t="str">
        <f aca="false">IF(OR($A230="",$G230=0),"",ROUND($F230*INDEX(仪器设备工时分配表!$K$6:$K$245,$W230)/$G230,2))</f>
        <v/>
      </c>
      <c r="N230" s="27" t="str">
        <f aca="false">IF(OR($A230="",$G230=0),"",ROUND($F230*INDEX(仪器设备工时分配表!$L$6:$L$245,$W230)/$G230,2))</f>
        <v/>
      </c>
      <c r="O230" s="27" t="str">
        <f aca="false">IF(OR($A230="",$G230=0),"",ROUND($F230*INDEX(仪器设备工时分配表!$M$6:$M$245,$W230)/$G230,2))</f>
        <v/>
      </c>
      <c r="P230" s="27" t="str">
        <f aca="false">IF(OR($A230="",$G230=0),"",ROUND($F230*INDEX(仪器设备工时分配表!$N$6:$N$245,$W230)/$G230,2))</f>
        <v/>
      </c>
      <c r="Q230" s="27" t="str">
        <f aca="false">IF(OR($A230="",$G230=0),"",ROUND($F230*INDEX(仪器设备工时分配表!$O$6:$O$245,$W230)/$G230,2))</f>
        <v/>
      </c>
      <c r="R230" s="27" t="str">
        <f aca="false">IF(OR($A230="",$G230=0),"",ROUND($F230*INDEX(仪器设备工时分配表!$P$6:$P$245,$W230)/$G230,2))</f>
        <v/>
      </c>
      <c r="S230" s="27" t="str">
        <f aca="false">IF(OR($A230="",$G230=0),"",ROUND($F230*INDEX(仪器设备工时分配表!$Q$6:$Q$245,$W230)/$G230,2))</f>
        <v/>
      </c>
      <c r="T230" s="27" t="str">
        <f aca="false">IF($A230="","",ROUND(SUM(J230:S230),2))</f>
        <v/>
      </c>
      <c r="U230" s="27" t="str">
        <f aca="false">IF($A230="","",ROUND($F230-T230,2))</f>
        <v/>
      </c>
      <c r="V230" s="43" t="str">
        <f aca="false">IF($A230="","",IF($D230="无形资产","⚠ 无形资产请在无形资产费用分配表登记",IF($W230=0,"⚠ 工时分配表无此资产当月记录",IF($X230&gt;1,"⚠ 工时分配表存在重复行","√ 正常"))))</f>
        <v/>
      </c>
      <c r="W230" s="47" t="n">
        <f aca="false">IF($A230="",0,IFERROR(MATCH($A230&amp;"|"&amp;$B230,仪器设备工时分配表!$V$6:$V$245,0),0))</f>
        <v>0</v>
      </c>
      <c r="X230" s="47" t="n">
        <f aca="false">IF($A230="",0,COUNTIFS(仪器设备工时分配表!$A$6:$A$245,$A230,仪器设备工时分配表!$B$6:$B$245,$B230))</f>
        <v>0</v>
      </c>
    </row>
    <row r="231" customFormat="false" ht="18" hidden="false" customHeight="true" outlineLevel="0" collapsed="false">
      <c r="A231" s="36"/>
      <c r="B231" s="36"/>
      <c r="C231" s="48" t="str">
        <f aca="false">IF($B231="","",IFERROR(VLOOKUP($B231,资产台账!$B$4:$N$53,2,0)&amp;"","台账中未登记"))</f>
        <v/>
      </c>
      <c r="D231" s="43" t="str">
        <f aca="false">IF($B231="","",IFERROR(VLOOKUP($B231,资产台账!$B$4:$N$53,3,0)&amp;"",""))</f>
        <v/>
      </c>
      <c r="E231" s="43" t="str">
        <f aca="false">IF($B231="","",IFERROR(VLOOKUP($B231,资产台账!$B$4:$N$53,10,0)&amp;"",""))</f>
        <v/>
      </c>
      <c r="F231" s="49" t="str">
        <f aca="false">IF($B231="","",IFERROR(VLOOKUP($B231,资产台账!$B$4:$N$53,9,0),0))</f>
        <v/>
      </c>
      <c r="G231" s="45" t="n">
        <f aca="false">IF(OR($A231="",$W231=0),0,INDEX(仪器设备工时分配表!$F$6:$F$245,$W231))</f>
        <v>0</v>
      </c>
      <c r="H231" s="45" t="n">
        <f aca="false">IF(OR($A231="",$W231=0),0,INDEX(仪器设备工时分配表!$R$6:$R$245,$W231))</f>
        <v>0</v>
      </c>
      <c r="I231" s="28" t="str">
        <f aca="false">IF(OR($A231="",$G231=0),"",$H231/$G231)</f>
        <v/>
      </c>
      <c r="J231" s="27" t="str">
        <f aca="false">IF(OR($A231="",$G231=0),"",ROUND($F231*INDEX(仪器设备工时分配表!$H$6:$H$245,$W231)/$G231,2))</f>
        <v/>
      </c>
      <c r="K231" s="27" t="str">
        <f aca="false">IF(OR($A231="",$G231=0),"",ROUND($F231*INDEX(仪器设备工时分配表!$I$6:$I$245,$W231)/$G231,2))</f>
        <v/>
      </c>
      <c r="L231" s="27" t="str">
        <f aca="false">IF(OR($A231="",$G231=0),"",ROUND($F231*INDEX(仪器设备工时分配表!$J$6:$J$245,$W231)/$G231,2))</f>
        <v/>
      </c>
      <c r="M231" s="27" t="str">
        <f aca="false">IF(OR($A231="",$G231=0),"",ROUND($F231*INDEX(仪器设备工时分配表!$K$6:$K$245,$W231)/$G231,2))</f>
        <v/>
      </c>
      <c r="N231" s="27" t="str">
        <f aca="false">IF(OR($A231="",$G231=0),"",ROUND($F231*INDEX(仪器设备工时分配表!$L$6:$L$245,$W231)/$G231,2))</f>
        <v/>
      </c>
      <c r="O231" s="27" t="str">
        <f aca="false">IF(OR($A231="",$G231=0),"",ROUND($F231*INDEX(仪器设备工时分配表!$M$6:$M$245,$W231)/$G231,2))</f>
        <v/>
      </c>
      <c r="P231" s="27" t="str">
        <f aca="false">IF(OR($A231="",$G231=0),"",ROUND($F231*INDEX(仪器设备工时分配表!$N$6:$N$245,$W231)/$G231,2))</f>
        <v/>
      </c>
      <c r="Q231" s="27" t="str">
        <f aca="false">IF(OR($A231="",$G231=0),"",ROUND($F231*INDEX(仪器设备工时分配表!$O$6:$O$245,$W231)/$G231,2))</f>
        <v/>
      </c>
      <c r="R231" s="27" t="str">
        <f aca="false">IF(OR($A231="",$G231=0),"",ROUND($F231*INDEX(仪器设备工时分配表!$P$6:$P$245,$W231)/$G231,2))</f>
        <v/>
      </c>
      <c r="S231" s="27" t="str">
        <f aca="false">IF(OR($A231="",$G231=0),"",ROUND($F231*INDEX(仪器设备工时分配表!$Q$6:$Q$245,$W231)/$G231,2))</f>
        <v/>
      </c>
      <c r="T231" s="27" t="str">
        <f aca="false">IF($A231="","",ROUND(SUM(J231:S231),2))</f>
        <v/>
      </c>
      <c r="U231" s="27" t="str">
        <f aca="false">IF($A231="","",ROUND($F231-T231,2))</f>
        <v/>
      </c>
      <c r="V231" s="43" t="str">
        <f aca="false">IF($A231="","",IF($D231="无形资产","⚠ 无形资产请在无形资产费用分配表登记",IF($W231=0,"⚠ 工时分配表无此资产当月记录",IF($X231&gt;1,"⚠ 工时分配表存在重复行","√ 正常"))))</f>
        <v/>
      </c>
      <c r="W231" s="47" t="n">
        <f aca="false">IF($A231="",0,IFERROR(MATCH($A231&amp;"|"&amp;$B231,仪器设备工时分配表!$V$6:$V$245,0),0))</f>
        <v>0</v>
      </c>
      <c r="X231" s="47" t="n">
        <f aca="false">IF($A231="",0,COUNTIFS(仪器设备工时分配表!$A$6:$A$245,$A231,仪器设备工时分配表!$B$6:$B$245,$B231))</f>
        <v>0</v>
      </c>
    </row>
    <row r="232" customFormat="false" ht="18" hidden="false" customHeight="true" outlineLevel="0" collapsed="false">
      <c r="A232" s="36"/>
      <c r="B232" s="36"/>
      <c r="C232" s="48" t="str">
        <f aca="false">IF($B232="","",IFERROR(VLOOKUP($B232,资产台账!$B$4:$N$53,2,0)&amp;"","台账中未登记"))</f>
        <v/>
      </c>
      <c r="D232" s="43" t="str">
        <f aca="false">IF($B232="","",IFERROR(VLOOKUP($B232,资产台账!$B$4:$N$53,3,0)&amp;"",""))</f>
        <v/>
      </c>
      <c r="E232" s="43" t="str">
        <f aca="false">IF($B232="","",IFERROR(VLOOKUP($B232,资产台账!$B$4:$N$53,10,0)&amp;"",""))</f>
        <v/>
      </c>
      <c r="F232" s="49" t="str">
        <f aca="false">IF($B232="","",IFERROR(VLOOKUP($B232,资产台账!$B$4:$N$53,9,0),0))</f>
        <v/>
      </c>
      <c r="G232" s="45" t="n">
        <f aca="false">IF(OR($A232="",$W232=0),0,INDEX(仪器设备工时分配表!$F$6:$F$245,$W232))</f>
        <v>0</v>
      </c>
      <c r="H232" s="45" t="n">
        <f aca="false">IF(OR($A232="",$W232=0),0,INDEX(仪器设备工时分配表!$R$6:$R$245,$W232))</f>
        <v>0</v>
      </c>
      <c r="I232" s="28" t="str">
        <f aca="false">IF(OR($A232="",$G232=0),"",$H232/$G232)</f>
        <v/>
      </c>
      <c r="J232" s="27" t="str">
        <f aca="false">IF(OR($A232="",$G232=0),"",ROUND($F232*INDEX(仪器设备工时分配表!$H$6:$H$245,$W232)/$G232,2))</f>
        <v/>
      </c>
      <c r="K232" s="27" t="str">
        <f aca="false">IF(OR($A232="",$G232=0),"",ROUND($F232*INDEX(仪器设备工时分配表!$I$6:$I$245,$W232)/$G232,2))</f>
        <v/>
      </c>
      <c r="L232" s="27" t="str">
        <f aca="false">IF(OR($A232="",$G232=0),"",ROUND($F232*INDEX(仪器设备工时分配表!$J$6:$J$245,$W232)/$G232,2))</f>
        <v/>
      </c>
      <c r="M232" s="27" t="str">
        <f aca="false">IF(OR($A232="",$G232=0),"",ROUND($F232*INDEX(仪器设备工时分配表!$K$6:$K$245,$W232)/$G232,2))</f>
        <v/>
      </c>
      <c r="N232" s="27" t="str">
        <f aca="false">IF(OR($A232="",$G232=0),"",ROUND($F232*INDEX(仪器设备工时分配表!$L$6:$L$245,$W232)/$G232,2))</f>
        <v/>
      </c>
      <c r="O232" s="27" t="str">
        <f aca="false">IF(OR($A232="",$G232=0),"",ROUND($F232*INDEX(仪器设备工时分配表!$M$6:$M$245,$W232)/$G232,2))</f>
        <v/>
      </c>
      <c r="P232" s="27" t="str">
        <f aca="false">IF(OR($A232="",$G232=0),"",ROUND($F232*INDEX(仪器设备工时分配表!$N$6:$N$245,$W232)/$G232,2))</f>
        <v/>
      </c>
      <c r="Q232" s="27" t="str">
        <f aca="false">IF(OR($A232="",$G232=0),"",ROUND($F232*INDEX(仪器设备工时分配表!$O$6:$O$245,$W232)/$G232,2))</f>
        <v/>
      </c>
      <c r="R232" s="27" t="str">
        <f aca="false">IF(OR($A232="",$G232=0),"",ROUND($F232*INDEX(仪器设备工时分配表!$P$6:$P$245,$W232)/$G232,2))</f>
        <v/>
      </c>
      <c r="S232" s="27" t="str">
        <f aca="false">IF(OR($A232="",$G232=0),"",ROUND($F232*INDEX(仪器设备工时分配表!$Q$6:$Q$245,$W232)/$G232,2))</f>
        <v/>
      </c>
      <c r="T232" s="27" t="str">
        <f aca="false">IF($A232="","",ROUND(SUM(J232:S232),2))</f>
        <v/>
      </c>
      <c r="U232" s="27" t="str">
        <f aca="false">IF($A232="","",ROUND($F232-T232,2))</f>
        <v/>
      </c>
      <c r="V232" s="43" t="str">
        <f aca="false">IF($A232="","",IF($D232="无形资产","⚠ 无形资产请在无形资产费用分配表登记",IF($W232=0,"⚠ 工时分配表无此资产当月记录",IF($X232&gt;1,"⚠ 工时分配表存在重复行","√ 正常"))))</f>
        <v/>
      </c>
      <c r="W232" s="47" t="n">
        <f aca="false">IF($A232="",0,IFERROR(MATCH($A232&amp;"|"&amp;$B232,仪器设备工时分配表!$V$6:$V$245,0),0))</f>
        <v>0</v>
      </c>
      <c r="X232" s="47" t="n">
        <f aca="false">IF($A232="",0,COUNTIFS(仪器设备工时分配表!$A$6:$A$245,$A232,仪器设备工时分配表!$B$6:$B$245,$B232))</f>
        <v>0</v>
      </c>
    </row>
    <row r="233" customFormat="false" ht="18" hidden="false" customHeight="true" outlineLevel="0" collapsed="false">
      <c r="A233" s="36"/>
      <c r="B233" s="36"/>
      <c r="C233" s="48" t="str">
        <f aca="false">IF($B233="","",IFERROR(VLOOKUP($B233,资产台账!$B$4:$N$53,2,0)&amp;"","台账中未登记"))</f>
        <v/>
      </c>
      <c r="D233" s="43" t="str">
        <f aca="false">IF($B233="","",IFERROR(VLOOKUP($B233,资产台账!$B$4:$N$53,3,0)&amp;"",""))</f>
        <v/>
      </c>
      <c r="E233" s="43" t="str">
        <f aca="false">IF($B233="","",IFERROR(VLOOKUP($B233,资产台账!$B$4:$N$53,10,0)&amp;"",""))</f>
        <v/>
      </c>
      <c r="F233" s="49" t="str">
        <f aca="false">IF($B233="","",IFERROR(VLOOKUP($B233,资产台账!$B$4:$N$53,9,0),0))</f>
        <v/>
      </c>
      <c r="G233" s="45" t="n">
        <f aca="false">IF(OR($A233="",$W233=0),0,INDEX(仪器设备工时分配表!$F$6:$F$245,$W233))</f>
        <v>0</v>
      </c>
      <c r="H233" s="45" t="n">
        <f aca="false">IF(OR($A233="",$W233=0),0,INDEX(仪器设备工时分配表!$R$6:$R$245,$W233))</f>
        <v>0</v>
      </c>
      <c r="I233" s="28" t="str">
        <f aca="false">IF(OR($A233="",$G233=0),"",$H233/$G233)</f>
        <v/>
      </c>
      <c r="J233" s="27" t="str">
        <f aca="false">IF(OR($A233="",$G233=0),"",ROUND($F233*INDEX(仪器设备工时分配表!$H$6:$H$245,$W233)/$G233,2))</f>
        <v/>
      </c>
      <c r="K233" s="27" t="str">
        <f aca="false">IF(OR($A233="",$G233=0),"",ROUND($F233*INDEX(仪器设备工时分配表!$I$6:$I$245,$W233)/$G233,2))</f>
        <v/>
      </c>
      <c r="L233" s="27" t="str">
        <f aca="false">IF(OR($A233="",$G233=0),"",ROUND($F233*INDEX(仪器设备工时分配表!$J$6:$J$245,$W233)/$G233,2))</f>
        <v/>
      </c>
      <c r="M233" s="27" t="str">
        <f aca="false">IF(OR($A233="",$G233=0),"",ROUND($F233*INDEX(仪器设备工时分配表!$K$6:$K$245,$W233)/$G233,2))</f>
        <v/>
      </c>
      <c r="N233" s="27" t="str">
        <f aca="false">IF(OR($A233="",$G233=0),"",ROUND($F233*INDEX(仪器设备工时分配表!$L$6:$L$245,$W233)/$G233,2))</f>
        <v/>
      </c>
      <c r="O233" s="27" t="str">
        <f aca="false">IF(OR($A233="",$G233=0),"",ROUND($F233*INDEX(仪器设备工时分配表!$M$6:$M$245,$W233)/$G233,2))</f>
        <v/>
      </c>
      <c r="P233" s="27" t="str">
        <f aca="false">IF(OR($A233="",$G233=0),"",ROUND($F233*INDEX(仪器设备工时分配表!$N$6:$N$245,$W233)/$G233,2))</f>
        <v/>
      </c>
      <c r="Q233" s="27" t="str">
        <f aca="false">IF(OR($A233="",$G233=0),"",ROUND($F233*INDEX(仪器设备工时分配表!$O$6:$O$245,$W233)/$G233,2))</f>
        <v/>
      </c>
      <c r="R233" s="27" t="str">
        <f aca="false">IF(OR($A233="",$G233=0),"",ROUND($F233*INDEX(仪器设备工时分配表!$P$6:$P$245,$W233)/$G233,2))</f>
        <v/>
      </c>
      <c r="S233" s="27" t="str">
        <f aca="false">IF(OR($A233="",$G233=0),"",ROUND($F233*INDEX(仪器设备工时分配表!$Q$6:$Q$245,$W233)/$G233,2))</f>
        <v/>
      </c>
      <c r="T233" s="27" t="str">
        <f aca="false">IF($A233="","",ROUND(SUM(J233:S233),2))</f>
        <v/>
      </c>
      <c r="U233" s="27" t="str">
        <f aca="false">IF($A233="","",ROUND($F233-T233,2))</f>
        <v/>
      </c>
      <c r="V233" s="43" t="str">
        <f aca="false">IF($A233="","",IF($D233="无形资产","⚠ 无形资产请在无形资产费用分配表登记",IF($W233=0,"⚠ 工时分配表无此资产当月记录",IF($X233&gt;1,"⚠ 工时分配表存在重复行","√ 正常"))))</f>
        <v/>
      </c>
      <c r="W233" s="47" t="n">
        <f aca="false">IF($A233="",0,IFERROR(MATCH($A233&amp;"|"&amp;$B233,仪器设备工时分配表!$V$6:$V$245,0),0))</f>
        <v>0</v>
      </c>
      <c r="X233" s="47" t="n">
        <f aca="false">IF($A233="",0,COUNTIFS(仪器设备工时分配表!$A$6:$A$245,$A233,仪器设备工时分配表!$B$6:$B$245,$B233))</f>
        <v>0</v>
      </c>
    </row>
    <row r="234" customFormat="false" ht="18" hidden="false" customHeight="true" outlineLevel="0" collapsed="false">
      <c r="A234" s="36"/>
      <c r="B234" s="36"/>
      <c r="C234" s="48" t="str">
        <f aca="false">IF($B234="","",IFERROR(VLOOKUP($B234,资产台账!$B$4:$N$53,2,0)&amp;"","台账中未登记"))</f>
        <v/>
      </c>
      <c r="D234" s="43" t="str">
        <f aca="false">IF($B234="","",IFERROR(VLOOKUP($B234,资产台账!$B$4:$N$53,3,0)&amp;"",""))</f>
        <v/>
      </c>
      <c r="E234" s="43" t="str">
        <f aca="false">IF($B234="","",IFERROR(VLOOKUP($B234,资产台账!$B$4:$N$53,10,0)&amp;"",""))</f>
        <v/>
      </c>
      <c r="F234" s="49" t="str">
        <f aca="false">IF($B234="","",IFERROR(VLOOKUP($B234,资产台账!$B$4:$N$53,9,0),0))</f>
        <v/>
      </c>
      <c r="G234" s="45" t="n">
        <f aca="false">IF(OR($A234="",$W234=0),0,INDEX(仪器设备工时分配表!$F$6:$F$245,$W234))</f>
        <v>0</v>
      </c>
      <c r="H234" s="45" t="n">
        <f aca="false">IF(OR($A234="",$W234=0),0,INDEX(仪器设备工时分配表!$R$6:$R$245,$W234))</f>
        <v>0</v>
      </c>
      <c r="I234" s="28" t="str">
        <f aca="false">IF(OR($A234="",$G234=0),"",$H234/$G234)</f>
        <v/>
      </c>
      <c r="J234" s="27" t="str">
        <f aca="false">IF(OR($A234="",$G234=0),"",ROUND($F234*INDEX(仪器设备工时分配表!$H$6:$H$245,$W234)/$G234,2))</f>
        <v/>
      </c>
      <c r="K234" s="27" t="str">
        <f aca="false">IF(OR($A234="",$G234=0),"",ROUND($F234*INDEX(仪器设备工时分配表!$I$6:$I$245,$W234)/$G234,2))</f>
        <v/>
      </c>
      <c r="L234" s="27" t="str">
        <f aca="false">IF(OR($A234="",$G234=0),"",ROUND($F234*INDEX(仪器设备工时分配表!$J$6:$J$245,$W234)/$G234,2))</f>
        <v/>
      </c>
      <c r="M234" s="27" t="str">
        <f aca="false">IF(OR($A234="",$G234=0),"",ROUND($F234*INDEX(仪器设备工时分配表!$K$6:$K$245,$W234)/$G234,2))</f>
        <v/>
      </c>
      <c r="N234" s="27" t="str">
        <f aca="false">IF(OR($A234="",$G234=0),"",ROUND($F234*INDEX(仪器设备工时分配表!$L$6:$L$245,$W234)/$G234,2))</f>
        <v/>
      </c>
      <c r="O234" s="27" t="str">
        <f aca="false">IF(OR($A234="",$G234=0),"",ROUND($F234*INDEX(仪器设备工时分配表!$M$6:$M$245,$W234)/$G234,2))</f>
        <v/>
      </c>
      <c r="P234" s="27" t="str">
        <f aca="false">IF(OR($A234="",$G234=0),"",ROUND($F234*INDEX(仪器设备工时分配表!$N$6:$N$245,$W234)/$G234,2))</f>
        <v/>
      </c>
      <c r="Q234" s="27" t="str">
        <f aca="false">IF(OR($A234="",$G234=0),"",ROUND($F234*INDEX(仪器设备工时分配表!$O$6:$O$245,$W234)/$G234,2))</f>
        <v/>
      </c>
      <c r="R234" s="27" t="str">
        <f aca="false">IF(OR($A234="",$G234=0),"",ROUND($F234*INDEX(仪器设备工时分配表!$P$6:$P$245,$W234)/$G234,2))</f>
        <v/>
      </c>
      <c r="S234" s="27" t="str">
        <f aca="false">IF(OR($A234="",$G234=0),"",ROUND($F234*INDEX(仪器设备工时分配表!$Q$6:$Q$245,$W234)/$G234,2))</f>
        <v/>
      </c>
      <c r="T234" s="27" t="str">
        <f aca="false">IF($A234="","",ROUND(SUM(J234:S234),2))</f>
        <v/>
      </c>
      <c r="U234" s="27" t="str">
        <f aca="false">IF($A234="","",ROUND($F234-T234,2))</f>
        <v/>
      </c>
      <c r="V234" s="43" t="str">
        <f aca="false">IF($A234="","",IF($D234="无形资产","⚠ 无形资产请在无形资产费用分配表登记",IF($W234=0,"⚠ 工时分配表无此资产当月记录",IF($X234&gt;1,"⚠ 工时分配表存在重复行","√ 正常"))))</f>
        <v/>
      </c>
      <c r="W234" s="47" t="n">
        <f aca="false">IF($A234="",0,IFERROR(MATCH($A234&amp;"|"&amp;$B234,仪器设备工时分配表!$V$6:$V$245,0),0))</f>
        <v>0</v>
      </c>
      <c r="X234" s="47" t="n">
        <f aca="false">IF($A234="",0,COUNTIFS(仪器设备工时分配表!$A$6:$A$245,$A234,仪器设备工时分配表!$B$6:$B$245,$B234))</f>
        <v>0</v>
      </c>
    </row>
    <row r="235" customFormat="false" ht="18" hidden="false" customHeight="true" outlineLevel="0" collapsed="false">
      <c r="A235" s="36"/>
      <c r="B235" s="36"/>
      <c r="C235" s="48" t="str">
        <f aca="false">IF($B235="","",IFERROR(VLOOKUP($B235,资产台账!$B$4:$N$53,2,0)&amp;"","台账中未登记"))</f>
        <v/>
      </c>
      <c r="D235" s="43" t="str">
        <f aca="false">IF($B235="","",IFERROR(VLOOKUP($B235,资产台账!$B$4:$N$53,3,0)&amp;"",""))</f>
        <v/>
      </c>
      <c r="E235" s="43" t="str">
        <f aca="false">IF($B235="","",IFERROR(VLOOKUP($B235,资产台账!$B$4:$N$53,10,0)&amp;"",""))</f>
        <v/>
      </c>
      <c r="F235" s="49" t="str">
        <f aca="false">IF($B235="","",IFERROR(VLOOKUP($B235,资产台账!$B$4:$N$53,9,0),0))</f>
        <v/>
      </c>
      <c r="G235" s="45" t="n">
        <f aca="false">IF(OR($A235="",$W235=0),0,INDEX(仪器设备工时分配表!$F$6:$F$245,$W235))</f>
        <v>0</v>
      </c>
      <c r="H235" s="45" t="n">
        <f aca="false">IF(OR($A235="",$W235=0),0,INDEX(仪器设备工时分配表!$R$6:$R$245,$W235))</f>
        <v>0</v>
      </c>
      <c r="I235" s="28" t="str">
        <f aca="false">IF(OR($A235="",$G235=0),"",$H235/$G235)</f>
        <v/>
      </c>
      <c r="J235" s="27" t="str">
        <f aca="false">IF(OR($A235="",$G235=0),"",ROUND($F235*INDEX(仪器设备工时分配表!$H$6:$H$245,$W235)/$G235,2))</f>
        <v/>
      </c>
      <c r="K235" s="27" t="str">
        <f aca="false">IF(OR($A235="",$G235=0),"",ROUND($F235*INDEX(仪器设备工时分配表!$I$6:$I$245,$W235)/$G235,2))</f>
        <v/>
      </c>
      <c r="L235" s="27" t="str">
        <f aca="false">IF(OR($A235="",$G235=0),"",ROUND($F235*INDEX(仪器设备工时分配表!$J$6:$J$245,$W235)/$G235,2))</f>
        <v/>
      </c>
      <c r="M235" s="27" t="str">
        <f aca="false">IF(OR($A235="",$G235=0),"",ROUND($F235*INDEX(仪器设备工时分配表!$K$6:$K$245,$W235)/$G235,2))</f>
        <v/>
      </c>
      <c r="N235" s="27" t="str">
        <f aca="false">IF(OR($A235="",$G235=0),"",ROUND($F235*INDEX(仪器设备工时分配表!$L$6:$L$245,$W235)/$G235,2))</f>
        <v/>
      </c>
      <c r="O235" s="27" t="str">
        <f aca="false">IF(OR($A235="",$G235=0),"",ROUND($F235*INDEX(仪器设备工时分配表!$M$6:$M$245,$W235)/$G235,2))</f>
        <v/>
      </c>
      <c r="P235" s="27" t="str">
        <f aca="false">IF(OR($A235="",$G235=0),"",ROUND($F235*INDEX(仪器设备工时分配表!$N$6:$N$245,$W235)/$G235,2))</f>
        <v/>
      </c>
      <c r="Q235" s="27" t="str">
        <f aca="false">IF(OR($A235="",$G235=0),"",ROUND($F235*INDEX(仪器设备工时分配表!$O$6:$O$245,$W235)/$G235,2))</f>
        <v/>
      </c>
      <c r="R235" s="27" t="str">
        <f aca="false">IF(OR($A235="",$G235=0),"",ROUND($F235*INDEX(仪器设备工时分配表!$P$6:$P$245,$W235)/$G235,2))</f>
        <v/>
      </c>
      <c r="S235" s="27" t="str">
        <f aca="false">IF(OR($A235="",$G235=0),"",ROUND($F235*INDEX(仪器设备工时分配表!$Q$6:$Q$245,$W235)/$G235,2))</f>
        <v/>
      </c>
      <c r="T235" s="27" t="str">
        <f aca="false">IF($A235="","",ROUND(SUM(J235:S235),2))</f>
        <v/>
      </c>
      <c r="U235" s="27" t="str">
        <f aca="false">IF($A235="","",ROUND($F235-T235,2))</f>
        <v/>
      </c>
      <c r="V235" s="43" t="str">
        <f aca="false">IF($A235="","",IF($D235="无形资产","⚠ 无形资产请在无形资产费用分配表登记",IF($W235=0,"⚠ 工时分配表无此资产当月记录",IF($X235&gt;1,"⚠ 工时分配表存在重复行","√ 正常"))))</f>
        <v/>
      </c>
      <c r="W235" s="47" t="n">
        <f aca="false">IF($A235="",0,IFERROR(MATCH($A235&amp;"|"&amp;$B235,仪器设备工时分配表!$V$6:$V$245,0),0))</f>
        <v>0</v>
      </c>
      <c r="X235" s="47" t="n">
        <f aca="false">IF($A235="",0,COUNTIFS(仪器设备工时分配表!$A$6:$A$245,$A235,仪器设备工时分配表!$B$6:$B$245,$B235))</f>
        <v>0</v>
      </c>
    </row>
    <row r="236" customFormat="false" ht="18" hidden="false" customHeight="true" outlineLevel="0" collapsed="false">
      <c r="A236" s="36"/>
      <c r="B236" s="36"/>
      <c r="C236" s="48" t="str">
        <f aca="false">IF($B236="","",IFERROR(VLOOKUP($B236,资产台账!$B$4:$N$53,2,0)&amp;"","台账中未登记"))</f>
        <v/>
      </c>
      <c r="D236" s="43" t="str">
        <f aca="false">IF($B236="","",IFERROR(VLOOKUP($B236,资产台账!$B$4:$N$53,3,0)&amp;"",""))</f>
        <v/>
      </c>
      <c r="E236" s="43" t="str">
        <f aca="false">IF($B236="","",IFERROR(VLOOKUP($B236,资产台账!$B$4:$N$53,10,0)&amp;"",""))</f>
        <v/>
      </c>
      <c r="F236" s="49" t="str">
        <f aca="false">IF($B236="","",IFERROR(VLOOKUP($B236,资产台账!$B$4:$N$53,9,0),0))</f>
        <v/>
      </c>
      <c r="G236" s="45" t="n">
        <f aca="false">IF(OR($A236="",$W236=0),0,INDEX(仪器设备工时分配表!$F$6:$F$245,$W236))</f>
        <v>0</v>
      </c>
      <c r="H236" s="45" t="n">
        <f aca="false">IF(OR($A236="",$W236=0),0,INDEX(仪器设备工时分配表!$R$6:$R$245,$W236))</f>
        <v>0</v>
      </c>
      <c r="I236" s="28" t="str">
        <f aca="false">IF(OR($A236="",$G236=0),"",$H236/$G236)</f>
        <v/>
      </c>
      <c r="J236" s="27" t="str">
        <f aca="false">IF(OR($A236="",$G236=0),"",ROUND($F236*INDEX(仪器设备工时分配表!$H$6:$H$245,$W236)/$G236,2))</f>
        <v/>
      </c>
      <c r="K236" s="27" t="str">
        <f aca="false">IF(OR($A236="",$G236=0),"",ROUND($F236*INDEX(仪器设备工时分配表!$I$6:$I$245,$W236)/$G236,2))</f>
        <v/>
      </c>
      <c r="L236" s="27" t="str">
        <f aca="false">IF(OR($A236="",$G236=0),"",ROUND($F236*INDEX(仪器设备工时分配表!$J$6:$J$245,$W236)/$G236,2))</f>
        <v/>
      </c>
      <c r="M236" s="27" t="str">
        <f aca="false">IF(OR($A236="",$G236=0),"",ROUND($F236*INDEX(仪器设备工时分配表!$K$6:$K$245,$W236)/$G236,2))</f>
        <v/>
      </c>
      <c r="N236" s="27" t="str">
        <f aca="false">IF(OR($A236="",$G236=0),"",ROUND($F236*INDEX(仪器设备工时分配表!$L$6:$L$245,$W236)/$G236,2))</f>
        <v/>
      </c>
      <c r="O236" s="27" t="str">
        <f aca="false">IF(OR($A236="",$G236=0),"",ROUND($F236*INDEX(仪器设备工时分配表!$M$6:$M$245,$W236)/$G236,2))</f>
        <v/>
      </c>
      <c r="P236" s="27" t="str">
        <f aca="false">IF(OR($A236="",$G236=0),"",ROUND($F236*INDEX(仪器设备工时分配表!$N$6:$N$245,$W236)/$G236,2))</f>
        <v/>
      </c>
      <c r="Q236" s="27" t="str">
        <f aca="false">IF(OR($A236="",$G236=0),"",ROUND($F236*INDEX(仪器设备工时分配表!$O$6:$O$245,$W236)/$G236,2))</f>
        <v/>
      </c>
      <c r="R236" s="27" t="str">
        <f aca="false">IF(OR($A236="",$G236=0),"",ROUND($F236*INDEX(仪器设备工时分配表!$P$6:$P$245,$W236)/$G236,2))</f>
        <v/>
      </c>
      <c r="S236" s="27" t="str">
        <f aca="false">IF(OR($A236="",$G236=0),"",ROUND($F236*INDEX(仪器设备工时分配表!$Q$6:$Q$245,$W236)/$G236,2))</f>
        <v/>
      </c>
      <c r="T236" s="27" t="str">
        <f aca="false">IF($A236="","",ROUND(SUM(J236:S236),2))</f>
        <v/>
      </c>
      <c r="U236" s="27" t="str">
        <f aca="false">IF($A236="","",ROUND($F236-T236,2))</f>
        <v/>
      </c>
      <c r="V236" s="43" t="str">
        <f aca="false">IF($A236="","",IF($D236="无形资产","⚠ 无形资产请在无形资产费用分配表登记",IF($W236=0,"⚠ 工时分配表无此资产当月记录",IF($X236&gt;1,"⚠ 工时分配表存在重复行","√ 正常"))))</f>
        <v/>
      </c>
      <c r="W236" s="47" t="n">
        <f aca="false">IF($A236="",0,IFERROR(MATCH($A236&amp;"|"&amp;$B236,仪器设备工时分配表!$V$6:$V$245,0),0))</f>
        <v>0</v>
      </c>
      <c r="X236" s="47" t="n">
        <f aca="false">IF($A236="",0,COUNTIFS(仪器设备工时分配表!$A$6:$A$245,$A236,仪器设备工时分配表!$B$6:$B$245,$B236))</f>
        <v>0</v>
      </c>
    </row>
    <row r="237" customFormat="false" ht="18" hidden="false" customHeight="true" outlineLevel="0" collapsed="false">
      <c r="A237" s="36"/>
      <c r="B237" s="36"/>
      <c r="C237" s="48" t="str">
        <f aca="false">IF($B237="","",IFERROR(VLOOKUP($B237,资产台账!$B$4:$N$53,2,0)&amp;"","台账中未登记"))</f>
        <v/>
      </c>
      <c r="D237" s="43" t="str">
        <f aca="false">IF($B237="","",IFERROR(VLOOKUP($B237,资产台账!$B$4:$N$53,3,0)&amp;"",""))</f>
        <v/>
      </c>
      <c r="E237" s="43" t="str">
        <f aca="false">IF($B237="","",IFERROR(VLOOKUP($B237,资产台账!$B$4:$N$53,10,0)&amp;"",""))</f>
        <v/>
      </c>
      <c r="F237" s="49" t="str">
        <f aca="false">IF($B237="","",IFERROR(VLOOKUP($B237,资产台账!$B$4:$N$53,9,0),0))</f>
        <v/>
      </c>
      <c r="G237" s="45" t="n">
        <f aca="false">IF(OR($A237="",$W237=0),0,INDEX(仪器设备工时分配表!$F$6:$F$245,$W237))</f>
        <v>0</v>
      </c>
      <c r="H237" s="45" t="n">
        <f aca="false">IF(OR($A237="",$W237=0),0,INDEX(仪器设备工时分配表!$R$6:$R$245,$W237))</f>
        <v>0</v>
      </c>
      <c r="I237" s="28" t="str">
        <f aca="false">IF(OR($A237="",$G237=0),"",$H237/$G237)</f>
        <v/>
      </c>
      <c r="J237" s="27" t="str">
        <f aca="false">IF(OR($A237="",$G237=0),"",ROUND($F237*INDEX(仪器设备工时分配表!$H$6:$H$245,$W237)/$G237,2))</f>
        <v/>
      </c>
      <c r="K237" s="27" t="str">
        <f aca="false">IF(OR($A237="",$G237=0),"",ROUND($F237*INDEX(仪器设备工时分配表!$I$6:$I$245,$W237)/$G237,2))</f>
        <v/>
      </c>
      <c r="L237" s="27" t="str">
        <f aca="false">IF(OR($A237="",$G237=0),"",ROUND($F237*INDEX(仪器设备工时分配表!$J$6:$J$245,$W237)/$G237,2))</f>
        <v/>
      </c>
      <c r="M237" s="27" t="str">
        <f aca="false">IF(OR($A237="",$G237=0),"",ROUND($F237*INDEX(仪器设备工时分配表!$K$6:$K$245,$W237)/$G237,2))</f>
        <v/>
      </c>
      <c r="N237" s="27" t="str">
        <f aca="false">IF(OR($A237="",$G237=0),"",ROUND($F237*INDEX(仪器设备工时分配表!$L$6:$L$245,$W237)/$G237,2))</f>
        <v/>
      </c>
      <c r="O237" s="27" t="str">
        <f aca="false">IF(OR($A237="",$G237=0),"",ROUND($F237*INDEX(仪器设备工时分配表!$M$6:$M$245,$W237)/$G237,2))</f>
        <v/>
      </c>
      <c r="P237" s="27" t="str">
        <f aca="false">IF(OR($A237="",$G237=0),"",ROUND($F237*INDEX(仪器设备工时分配表!$N$6:$N$245,$W237)/$G237,2))</f>
        <v/>
      </c>
      <c r="Q237" s="27" t="str">
        <f aca="false">IF(OR($A237="",$G237=0),"",ROUND($F237*INDEX(仪器设备工时分配表!$O$6:$O$245,$W237)/$G237,2))</f>
        <v/>
      </c>
      <c r="R237" s="27" t="str">
        <f aca="false">IF(OR($A237="",$G237=0),"",ROUND($F237*INDEX(仪器设备工时分配表!$P$6:$P$245,$W237)/$G237,2))</f>
        <v/>
      </c>
      <c r="S237" s="27" t="str">
        <f aca="false">IF(OR($A237="",$G237=0),"",ROUND($F237*INDEX(仪器设备工时分配表!$Q$6:$Q$245,$W237)/$G237,2))</f>
        <v/>
      </c>
      <c r="T237" s="27" t="str">
        <f aca="false">IF($A237="","",ROUND(SUM(J237:S237),2))</f>
        <v/>
      </c>
      <c r="U237" s="27" t="str">
        <f aca="false">IF($A237="","",ROUND($F237-T237,2))</f>
        <v/>
      </c>
      <c r="V237" s="43" t="str">
        <f aca="false">IF($A237="","",IF($D237="无形资产","⚠ 无形资产请在无形资产费用分配表登记",IF($W237=0,"⚠ 工时分配表无此资产当月记录",IF($X237&gt;1,"⚠ 工时分配表存在重复行","√ 正常"))))</f>
        <v/>
      </c>
      <c r="W237" s="47" t="n">
        <f aca="false">IF($A237="",0,IFERROR(MATCH($A237&amp;"|"&amp;$B237,仪器设备工时分配表!$V$6:$V$245,0),0))</f>
        <v>0</v>
      </c>
      <c r="X237" s="47" t="n">
        <f aca="false">IF($A237="",0,COUNTIFS(仪器设备工时分配表!$A$6:$A$245,$A237,仪器设备工时分配表!$B$6:$B$245,$B237))</f>
        <v>0</v>
      </c>
    </row>
    <row r="238" customFormat="false" ht="18" hidden="false" customHeight="true" outlineLevel="0" collapsed="false">
      <c r="A238" s="36"/>
      <c r="B238" s="36"/>
      <c r="C238" s="48" t="str">
        <f aca="false">IF($B238="","",IFERROR(VLOOKUP($B238,资产台账!$B$4:$N$53,2,0)&amp;"","台账中未登记"))</f>
        <v/>
      </c>
      <c r="D238" s="43" t="str">
        <f aca="false">IF($B238="","",IFERROR(VLOOKUP($B238,资产台账!$B$4:$N$53,3,0)&amp;"",""))</f>
        <v/>
      </c>
      <c r="E238" s="43" t="str">
        <f aca="false">IF($B238="","",IFERROR(VLOOKUP($B238,资产台账!$B$4:$N$53,10,0)&amp;"",""))</f>
        <v/>
      </c>
      <c r="F238" s="49" t="str">
        <f aca="false">IF($B238="","",IFERROR(VLOOKUP($B238,资产台账!$B$4:$N$53,9,0),0))</f>
        <v/>
      </c>
      <c r="G238" s="45" t="n">
        <f aca="false">IF(OR($A238="",$W238=0),0,INDEX(仪器设备工时分配表!$F$6:$F$245,$W238))</f>
        <v>0</v>
      </c>
      <c r="H238" s="45" t="n">
        <f aca="false">IF(OR($A238="",$W238=0),0,INDEX(仪器设备工时分配表!$R$6:$R$245,$W238))</f>
        <v>0</v>
      </c>
      <c r="I238" s="28" t="str">
        <f aca="false">IF(OR($A238="",$G238=0),"",$H238/$G238)</f>
        <v/>
      </c>
      <c r="J238" s="27" t="str">
        <f aca="false">IF(OR($A238="",$G238=0),"",ROUND($F238*INDEX(仪器设备工时分配表!$H$6:$H$245,$W238)/$G238,2))</f>
        <v/>
      </c>
      <c r="K238" s="27" t="str">
        <f aca="false">IF(OR($A238="",$G238=0),"",ROUND($F238*INDEX(仪器设备工时分配表!$I$6:$I$245,$W238)/$G238,2))</f>
        <v/>
      </c>
      <c r="L238" s="27" t="str">
        <f aca="false">IF(OR($A238="",$G238=0),"",ROUND($F238*INDEX(仪器设备工时分配表!$J$6:$J$245,$W238)/$G238,2))</f>
        <v/>
      </c>
      <c r="M238" s="27" t="str">
        <f aca="false">IF(OR($A238="",$G238=0),"",ROUND($F238*INDEX(仪器设备工时分配表!$K$6:$K$245,$W238)/$G238,2))</f>
        <v/>
      </c>
      <c r="N238" s="27" t="str">
        <f aca="false">IF(OR($A238="",$G238=0),"",ROUND($F238*INDEX(仪器设备工时分配表!$L$6:$L$245,$W238)/$G238,2))</f>
        <v/>
      </c>
      <c r="O238" s="27" t="str">
        <f aca="false">IF(OR($A238="",$G238=0),"",ROUND($F238*INDEX(仪器设备工时分配表!$M$6:$M$245,$W238)/$G238,2))</f>
        <v/>
      </c>
      <c r="P238" s="27" t="str">
        <f aca="false">IF(OR($A238="",$G238=0),"",ROUND($F238*INDEX(仪器设备工时分配表!$N$6:$N$245,$W238)/$G238,2))</f>
        <v/>
      </c>
      <c r="Q238" s="27" t="str">
        <f aca="false">IF(OR($A238="",$G238=0),"",ROUND($F238*INDEX(仪器设备工时分配表!$O$6:$O$245,$W238)/$G238,2))</f>
        <v/>
      </c>
      <c r="R238" s="27" t="str">
        <f aca="false">IF(OR($A238="",$G238=0),"",ROUND($F238*INDEX(仪器设备工时分配表!$P$6:$P$245,$W238)/$G238,2))</f>
        <v/>
      </c>
      <c r="S238" s="27" t="str">
        <f aca="false">IF(OR($A238="",$G238=0),"",ROUND($F238*INDEX(仪器设备工时分配表!$Q$6:$Q$245,$W238)/$G238,2))</f>
        <v/>
      </c>
      <c r="T238" s="27" t="str">
        <f aca="false">IF($A238="","",ROUND(SUM(J238:S238),2))</f>
        <v/>
      </c>
      <c r="U238" s="27" t="str">
        <f aca="false">IF($A238="","",ROUND($F238-T238,2))</f>
        <v/>
      </c>
      <c r="V238" s="43" t="str">
        <f aca="false">IF($A238="","",IF($D238="无形资产","⚠ 无形资产请在无形资产费用分配表登记",IF($W238=0,"⚠ 工时分配表无此资产当月记录",IF($X238&gt;1,"⚠ 工时分配表存在重复行","√ 正常"))))</f>
        <v/>
      </c>
      <c r="W238" s="47" t="n">
        <f aca="false">IF($A238="",0,IFERROR(MATCH($A238&amp;"|"&amp;$B238,仪器设备工时分配表!$V$6:$V$245,0),0))</f>
        <v>0</v>
      </c>
      <c r="X238" s="47" t="n">
        <f aca="false">IF($A238="",0,COUNTIFS(仪器设备工时分配表!$A$6:$A$245,$A238,仪器设备工时分配表!$B$6:$B$245,$B238))</f>
        <v>0</v>
      </c>
    </row>
    <row r="239" customFormat="false" ht="18" hidden="false" customHeight="true" outlineLevel="0" collapsed="false">
      <c r="A239" s="36"/>
      <c r="B239" s="36"/>
      <c r="C239" s="48" t="str">
        <f aca="false">IF($B239="","",IFERROR(VLOOKUP($B239,资产台账!$B$4:$N$53,2,0)&amp;"","台账中未登记"))</f>
        <v/>
      </c>
      <c r="D239" s="43" t="str">
        <f aca="false">IF($B239="","",IFERROR(VLOOKUP($B239,资产台账!$B$4:$N$53,3,0)&amp;"",""))</f>
        <v/>
      </c>
      <c r="E239" s="43" t="str">
        <f aca="false">IF($B239="","",IFERROR(VLOOKUP($B239,资产台账!$B$4:$N$53,10,0)&amp;"",""))</f>
        <v/>
      </c>
      <c r="F239" s="49" t="str">
        <f aca="false">IF($B239="","",IFERROR(VLOOKUP($B239,资产台账!$B$4:$N$53,9,0),0))</f>
        <v/>
      </c>
      <c r="G239" s="45" t="n">
        <f aca="false">IF(OR($A239="",$W239=0),0,INDEX(仪器设备工时分配表!$F$6:$F$245,$W239))</f>
        <v>0</v>
      </c>
      <c r="H239" s="45" t="n">
        <f aca="false">IF(OR($A239="",$W239=0),0,INDEX(仪器设备工时分配表!$R$6:$R$245,$W239))</f>
        <v>0</v>
      </c>
      <c r="I239" s="28" t="str">
        <f aca="false">IF(OR($A239="",$G239=0),"",$H239/$G239)</f>
        <v/>
      </c>
      <c r="J239" s="27" t="str">
        <f aca="false">IF(OR($A239="",$G239=0),"",ROUND($F239*INDEX(仪器设备工时分配表!$H$6:$H$245,$W239)/$G239,2))</f>
        <v/>
      </c>
      <c r="K239" s="27" t="str">
        <f aca="false">IF(OR($A239="",$G239=0),"",ROUND($F239*INDEX(仪器设备工时分配表!$I$6:$I$245,$W239)/$G239,2))</f>
        <v/>
      </c>
      <c r="L239" s="27" t="str">
        <f aca="false">IF(OR($A239="",$G239=0),"",ROUND($F239*INDEX(仪器设备工时分配表!$J$6:$J$245,$W239)/$G239,2))</f>
        <v/>
      </c>
      <c r="M239" s="27" t="str">
        <f aca="false">IF(OR($A239="",$G239=0),"",ROUND($F239*INDEX(仪器设备工时分配表!$K$6:$K$245,$W239)/$G239,2))</f>
        <v/>
      </c>
      <c r="N239" s="27" t="str">
        <f aca="false">IF(OR($A239="",$G239=0),"",ROUND($F239*INDEX(仪器设备工时分配表!$L$6:$L$245,$W239)/$G239,2))</f>
        <v/>
      </c>
      <c r="O239" s="27" t="str">
        <f aca="false">IF(OR($A239="",$G239=0),"",ROUND($F239*INDEX(仪器设备工时分配表!$M$6:$M$245,$W239)/$G239,2))</f>
        <v/>
      </c>
      <c r="P239" s="27" t="str">
        <f aca="false">IF(OR($A239="",$G239=0),"",ROUND($F239*INDEX(仪器设备工时分配表!$N$6:$N$245,$W239)/$G239,2))</f>
        <v/>
      </c>
      <c r="Q239" s="27" t="str">
        <f aca="false">IF(OR($A239="",$G239=0),"",ROUND($F239*INDEX(仪器设备工时分配表!$O$6:$O$245,$W239)/$G239,2))</f>
        <v/>
      </c>
      <c r="R239" s="27" t="str">
        <f aca="false">IF(OR($A239="",$G239=0),"",ROUND($F239*INDEX(仪器设备工时分配表!$P$6:$P$245,$W239)/$G239,2))</f>
        <v/>
      </c>
      <c r="S239" s="27" t="str">
        <f aca="false">IF(OR($A239="",$G239=0),"",ROUND($F239*INDEX(仪器设备工时分配表!$Q$6:$Q$245,$W239)/$G239,2))</f>
        <v/>
      </c>
      <c r="T239" s="27" t="str">
        <f aca="false">IF($A239="","",ROUND(SUM(J239:S239),2))</f>
        <v/>
      </c>
      <c r="U239" s="27" t="str">
        <f aca="false">IF($A239="","",ROUND($F239-T239,2))</f>
        <v/>
      </c>
      <c r="V239" s="43" t="str">
        <f aca="false">IF($A239="","",IF($D239="无形资产","⚠ 无形资产请在无形资产费用分配表登记",IF($W239=0,"⚠ 工时分配表无此资产当月记录",IF($X239&gt;1,"⚠ 工时分配表存在重复行","√ 正常"))))</f>
        <v/>
      </c>
      <c r="W239" s="47" t="n">
        <f aca="false">IF($A239="",0,IFERROR(MATCH($A239&amp;"|"&amp;$B239,仪器设备工时分配表!$V$6:$V$245,0),0))</f>
        <v>0</v>
      </c>
      <c r="X239" s="47" t="n">
        <f aca="false">IF($A239="",0,COUNTIFS(仪器设备工时分配表!$A$6:$A$245,$A239,仪器设备工时分配表!$B$6:$B$245,$B239))</f>
        <v>0</v>
      </c>
    </row>
    <row r="240" customFormat="false" ht="18" hidden="false" customHeight="true" outlineLevel="0" collapsed="false">
      <c r="A240" s="36"/>
      <c r="B240" s="36"/>
      <c r="C240" s="48" t="str">
        <f aca="false">IF($B240="","",IFERROR(VLOOKUP($B240,资产台账!$B$4:$N$53,2,0)&amp;"","台账中未登记"))</f>
        <v/>
      </c>
      <c r="D240" s="43" t="str">
        <f aca="false">IF($B240="","",IFERROR(VLOOKUP($B240,资产台账!$B$4:$N$53,3,0)&amp;"",""))</f>
        <v/>
      </c>
      <c r="E240" s="43" t="str">
        <f aca="false">IF($B240="","",IFERROR(VLOOKUP($B240,资产台账!$B$4:$N$53,10,0)&amp;"",""))</f>
        <v/>
      </c>
      <c r="F240" s="49" t="str">
        <f aca="false">IF($B240="","",IFERROR(VLOOKUP($B240,资产台账!$B$4:$N$53,9,0),0))</f>
        <v/>
      </c>
      <c r="G240" s="45" t="n">
        <f aca="false">IF(OR($A240="",$W240=0),0,INDEX(仪器设备工时分配表!$F$6:$F$245,$W240))</f>
        <v>0</v>
      </c>
      <c r="H240" s="45" t="n">
        <f aca="false">IF(OR($A240="",$W240=0),0,INDEX(仪器设备工时分配表!$R$6:$R$245,$W240))</f>
        <v>0</v>
      </c>
      <c r="I240" s="28" t="str">
        <f aca="false">IF(OR($A240="",$G240=0),"",$H240/$G240)</f>
        <v/>
      </c>
      <c r="J240" s="27" t="str">
        <f aca="false">IF(OR($A240="",$G240=0),"",ROUND($F240*INDEX(仪器设备工时分配表!$H$6:$H$245,$W240)/$G240,2))</f>
        <v/>
      </c>
      <c r="K240" s="27" t="str">
        <f aca="false">IF(OR($A240="",$G240=0),"",ROUND($F240*INDEX(仪器设备工时分配表!$I$6:$I$245,$W240)/$G240,2))</f>
        <v/>
      </c>
      <c r="L240" s="27" t="str">
        <f aca="false">IF(OR($A240="",$G240=0),"",ROUND($F240*INDEX(仪器设备工时分配表!$J$6:$J$245,$W240)/$G240,2))</f>
        <v/>
      </c>
      <c r="M240" s="27" t="str">
        <f aca="false">IF(OR($A240="",$G240=0),"",ROUND($F240*INDEX(仪器设备工时分配表!$K$6:$K$245,$W240)/$G240,2))</f>
        <v/>
      </c>
      <c r="N240" s="27" t="str">
        <f aca="false">IF(OR($A240="",$G240=0),"",ROUND($F240*INDEX(仪器设备工时分配表!$L$6:$L$245,$W240)/$G240,2))</f>
        <v/>
      </c>
      <c r="O240" s="27" t="str">
        <f aca="false">IF(OR($A240="",$G240=0),"",ROUND($F240*INDEX(仪器设备工时分配表!$M$6:$M$245,$W240)/$G240,2))</f>
        <v/>
      </c>
      <c r="P240" s="27" t="str">
        <f aca="false">IF(OR($A240="",$G240=0),"",ROUND($F240*INDEX(仪器设备工时分配表!$N$6:$N$245,$W240)/$G240,2))</f>
        <v/>
      </c>
      <c r="Q240" s="27" t="str">
        <f aca="false">IF(OR($A240="",$G240=0),"",ROUND($F240*INDEX(仪器设备工时分配表!$O$6:$O$245,$W240)/$G240,2))</f>
        <v/>
      </c>
      <c r="R240" s="27" t="str">
        <f aca="false">IF(OR($A240="",$G240=0),"",ROUND($F240*INDEX(仪器设备工时分配表!$P$6:$P$245,$W240)/$G240,2))</f>
        <v/>
      </c>
      <c r="S240" s="27" t="str">
        <f aca="false">IF(OR($A240="",$G240=0),"",ROUND($F240*INDEX(仪器设备工时分配表!$Q$6:$Q$245,$W240)/$G240,2))</f>
        <v/>
      </c>
      <c r="T240" s="27" t="str">
        <f aca="false">IF($A240="","",ROUND(SUM(J240:S240),2))</f>
        <v/>
      </c>
      <c r="U240" s="27" t="str">
        <f aca="false">IF($A240="","",ROUND($F240-T240,2))</f>
        <v/>
      </c>
      <c r="V240" s="43" t="str">
        <f aca="false">IF($A240="","",IF($D240="无形资产","⚠ 无形资产请在无形资产费用分配表登记",IF($W240=0,"⚠ 工时分配表无此资产当月记录",IF($X240&gt;1,"⚠ 工时分配表存在重复行","√ 正常"))))</f>
        <v/>
      </c>
      <c r="W240" s="47" t="n">
        <f aca="false">IF($A240="",0,IFERROR(MATCH($A240&amp;"|"&amp;$B240,仪器设备工时分配表!$V$6:$V$245,0),0))</f>
        <v>0</v>
      </c>
      <c r="X240" s="47" t="n">
        <f aca="false">IF($A240="",0,COUNTIFS(仪器设备工时分配表!$A$6:$A$245,$A240,仪器设备工时分配表!$B$6:$B$245,$B240))</f>
        <v>0</v>
      </c>
    </row>
    <row r="241" customFormat="false" ht="18" hidden="false" customHeight="true" outlineLevel="0" collapsed="false">
      <c r="A241" s="36"/>
      <c r="B241" s="36"/>
      <c r="C241" s="48" t="str">
        <f aca="false">IF($B241="","",IFERROR(VLOOKUP($B241,资产台账!$B$4:$N$53,2,0)&amp;"","台账中未登记"))</f>
        <v/>
      </c>
      <c r="D241" s="43" t="str">
        <f aca="false">IF($B241="","",IFERROR(VLOOKUP($B241,资产台账!$B$4:$N$53,3,0)&amp;"",""))</f>
        <v/>
      </c>
      <c r="E241" s="43" t="str">
        <f aca="false">IF($B241="","",IFERROR(VLOOKUP($B241,资产台账!$B$4:$N$53,10,0)&amp;"",""))</f>
        <v/>
      </c>
      <c r="F241" s="49" t="str">
        <f aca="false">IF($B241="","",IFERROR(VLOOKUP($B241,资产台账!$B$4:$N$53,9,0),0))</f>
        <v/>
      </c>
      <c r="G241" s="45" t="n">
        <f aca="false">IF(OR($A241="",$W241=0),0,INDEX(仪器设备工时分配表!$F$6:$F$245,$W241))</f>
        <v>0</v>
      </c>
      <c r="H241" s="45" t="n">
        <f aca="false">IF(OR($A241="",$W241=0),0,INDEX(仪器设备工时分配表!$R$6:$R$245,$W241))</f>
        <v>0</v>
      </c>
      <c r="I241" s="28" t="str">
        <f aca="false">IF(OR($A241="",$G241=0),"",$H241/$G241)</f>
        <v/>
      </c>
      <c r="J241" s="27" t="str">
        <f aca="false">IF(OR($A241="",$G241=0),"",ROUND($F241*INDEX(仪器设备工时分配表!$H$6:$H$245,$W241)/$G241,2))</f>
        <v/>
      </c>
      <c r="K241" s="27" t="str">
        <f aca="false">IF(OR($A241="",$G241=0),"",ROUND($F241*INDEX(仪器设备工时分配表!$I$6:$I$245,$W241)/$G241,2))</f>
        <v/>
      </c>
      <c r="L241" s="27" t="str">
        <f aca="false">IF(OR($A241="",$G241=0),"",ROUND($F241*INDEX(仪器设备工时分配表!$J$6:$J$245,$W241)/$G241,2))</f>
        <v/>
      </c>
      <c r="M241" s="27" t="str">
        <f aca="false">IF(OR($A241="",$G241=0),"",ROUND($F241*INDEX(仪器设备工时分配表!$K$6:$K$245,$W241)/$G241,2))</f>
        <v/>
      </c>
      <c r="N241" s="27" t="str">
        <f aca="false">IF(OR($A241="",$G241=0),"",ROUND($F241*INDEX(仪器设备工时分配表!$L$6:$L$245,$W241)/$G241,2))</f>
        <v/>
      </c>
      <c r="O241" s="27" t="str">
        <f aca="false">IF(OR($A241="",$G241=0),"",ROUND($F241*INDEX(仪器设备工时分配表!$M$6:$M$245,$W241)/$G241,2))</f>
        <v/>
      </c>
      <c r="P241" s="27" t="str">
        <f aca="false">IF(OR($A241="",$G241=0),"",ROUND($F241*INDEX(仪器设备工时分配表!$N$6:$N$245,$W241)/$G241,2))</f>
        <v/>
      </c>
      <c r="Q241" s="27" t="str">
        <f aca="false">IF(OR($A241="",$G241=0),"",ROUND($F241*INDEX(仪器设备工时分配表!$O$6:$O$245,$W241)/$G241,2))</f>
        <v/>
      </c>
      <c r="R241" s="27" t="str">
        <f aca="false">IF(OR($A241="",$G241=0),"",ROUND($F241*INDEX(仪器设备工时分配表!$P$6:$P$245,$W241)/$G241,2))</f>
        <v/>
      </c>
      <c r="S241" s="27" t="str">
        <f aca="false">IF(OR($A241="",$G241=0),"",ROUND($F241*INDEX(仪器设备工时分配表!$Q$6:$Q$245,$W241)/$G241,2))</f>
        <v/>
      </c>
      <c r="T241" s="27" t="str">
        <f aca="false">IF($A241="","",ROUND(SUM(J241:S241),2))</f>
        <v/>
      </c>
      <c r="U241" s="27" t="str">
        <f aca="false">IF($A241="","",ROUND($F241-T241,2))</f>
        <v/>
      </c>
      <c r="V241" s="43" t="str">
        <f aca="false">IF($A241="","",IF($D241="无形资产","⚠ 无形资产请在无形资产费用分配表登记",IF($W241=0,"⚠ 工时分配表无此资产当月记录",IF($X241&gt;1,"⚠ 工时分配表存在重复行","√ 正常"))))</f>
        <v/>
      </c>
      <c r="W241" s="47" t="n">
        <f aca="false">IF($A241="",0,IFERROR(MATCH($A241&amp;"|"&amp;$B241,仪器设备工时分配表!$V$6:$V$245,0),0))</f>
        <v>0</v>
      </c>
      <c r="X241" s="47" t="n">
        <f aca="false">IF($A241="",0,COUNTIFS(仪器设备工时分配表!$A$6:$A$245,$A241,仪器设备工时分配表!$B$6:$B$245,$B241))</f>
        <v>0</v>
      </c>
    </row>
    <row r="242" customFormat="false" ht="18" hidden="false" customHeight="true" outlineLevel="0" collapsed="false">
      <c r="A242" s="36"/>
      <c r="B242" s="36"/>
      <c r="C242" s="48" t="str">
        <f aca="false">IF($B242="","",IFERROR(VLOOKUP($B242,资产台账!$B$4:$N$53,2,0)&amp;"","台账中未登记"))</f>
        <v/>
      </c>
      <c r="D242" s="43" t="str">
        <f aca="false">IF($B242="","",IFERROR(VLOOKUP($B242,资产台账!$B$4:$N$53,3,0)&amp;"",""))</f>
        <v/>
      </c>
      <c r="E242" s="43" t="str">
        <f aca="false">IF($B242="","",IFERROR(VLOOKUP($B242,资产台账!$B$4:$N$53,10,0)&amp;"",""))</f>
        <v/>
      </c>
      <c r="F242" s="49" t="str">
        <f aca="false">IF($B242="","",IFERROR(VLOOKUP($B242,资产台账!$B$4:$N$53,9,0),0))</f>
        <v/>
      </c>
      <c r="G242" s="45" t="n">
        <f aca="false">IF(OR($A242="",$W242=0),0,INDEX(仪器设备工时分配表!$F$6:$F$245,$W242))</f>
        <v>0</v>
      </c>
      <c r="H242" s="45" t="n">
        <f aca="false">IF(OR($A242="",$W242=0),0,INDEX(仪器设备工时分配表!$R$6:$R$245,$W242))</f>
        <v>0</v>
      </c>
      <c r="I242" s="28" t="str">
        <f aca="false">IF(OR($A242="",$G242=0),"",$H242/$G242)</f>
        <v/>
      </c>
      <c r="J242" s="27" t="str">
        <f aca="false">IF(OR($A242="",$G242=0),"",ROUND($F242*INDEX(仪器设备工时分配表!$H$6:$H$245,$W242)/$G242,2))</f>
        <v/>
      </c>
      <c r="K242" s="27" t="str">
        <f aca="false">IF(OR($A242="",$G242=0),"",ROUND($F242*INDEX(仪器设备工时分配表!$I$6:$I$245,$W242)/$G242,2))</f>
        <v/>
      </c>
      <c r="L242" s="27" t="str">
        <f aca="false">IF(OR($A242="",$G242=0),"",ROUND($F242*INDEX(仪器设备工时分配表!$J$6:$J$245,$W242)/$G242,2))</f>
        <v/>
      </c>
      <c r="M242" s="27" t="str">
        <f aca="false">IF(OR($A242="",$G242=0),"",ROUND($F242*INDEX(仪器设备工时分配表!$K$6:$K$245,$W242)/$G242,2))</f>
        <v/>
      </c>
      <c r="N242" s="27" t="str">
        <f aca="false">IF(OR($A242="",$G242=0),"",ROUND($F242*INDEX(仪器设备工时分配表!$L$6:$L$245,$W242)/$G242,2))</f>
        <v/>
      </c>
      <c r="O242" s="27" t="str">
        <f aca="false">IF(OR($A242="",$G242=0),"",ROUND($F242*INDEX(仪器设备工时分配表!$M$6:$M$245,$W242)/$G242,2))</f>
        <v/>
      </c>
      <c r="P242" s="27" t="str">
        <f aca="false">IF(OR($A242="",$G242=0),"",ROUND($F242*INDEX(仪器设备工时分配表!$N$6:$N$245,$W242)/$G242,2))</f>
        <v/>
      </c>
      <c r="Q242" s="27" t="str">
        <f aca="false">IF(OR($A242="",$G242=0),"",ROUND($F242*INDEX(仪器设备工时分配表!$O$6:$O$245,$W242)/$G242,2))</f>
        <v/>
      </c>
      <c r="R242" s="27" t="str">
        <f aca="false">IF(OR($A242="",$G242=0),"",ROUND($F242*INDEX(仪器设备工时分配表!$P$6:$P$245,$W242)/$G242,2))</f>
        <v/>
      </c>
      <c r="S242" s="27" t="str">
        <f aca="false">IF(OR($A242="",$G242=0),"",ROUND($F242*INDEX(仪器设备工时分配表!$Q$6:$Q$245,$W242)/$G242,2))</f>
        <v/>
      </c>
      <c r="T242" s="27" t="str">
        <f aca="false">IF($A242="","",ROUND(SUM(J242:S242),2))</f>
        <v/>
      </c>
      <c r="U242" s="27" t="str">
        <f aca="false">IF($A242="","",ROUND($F242-T242,2))</f>
        <v/>
      </c>
      <c r="V242" s="43" t="str">
        <f aca="false">IF($A242="","",IF($D242="无形资产","⚠ 无形资产请在无形资产费用分配表登记",IF($W242=0,"⚠ 工时分配表无此资产当月记录",IF($X242&gt;1,"⚠ 工时分配表存在重复行","√ 正常"))))</f>
        <v/>
      </c>
      <c r="W242" s="47" t="n">
        <f aca="false">IF($A242="",0,IFERROR(MATCH($A242&amp;"|"&amp;$B242,仪器设备工时分配表!$V$6:$V$245,0),0))</f>
        <v>0</v>
      </c>
      <c r="X242" s="47" t="n">
        <f aca="false">IF($A242="",0,COUNTIFS(仪器设备工时分配表!$A$6:$A$245,$A242,仪器设备工时分配表!$B$6:$B$245,$B242))</f>
        <v>0</v>
      </c>
    </row>
    <row r="243" customFormat="false" ht="18" hidden="false" customHeight="true" outlineLevel="0" collapsed="false">
      <c r="A243" s="36"/>
      <c r="B243" s="36"/>
      <c r="C243" s="48" t="str">
        <f aca="false">IF($B243="","",IFERROR(VLOOKUP($B243,资产台账!$B$4:$N$53,2,0)&amp;"","台账中未登记"))</f>
        <v/>
      </c>
      <c r="D243" s="43" t="str">
        <f aca="false">IF($B243="","",IFERROR(VLOOKUP($B243,资产台账!$B$4:$N$53,3,0)&amp;"",""))</f>
        <v/>
      </c>
      <c r="E243" s="43" t="str">
        <f aca="false">IF($B243="","",IFERROR(VLOOKUP($B243,资产台账!$B$4:$N$53,10,0)&amp;"",""))</f>
        <v/>
      </c>
      <c r="F243" s="49" t="str">
        <f aca="false">IF($B243="","",IFERROR(VLOOKUP($B243,资产台账!$B$4:$N$53,9,0),0))</f>
        <v/>
      </c>
      <c r="G243" s="45" t="n">
        <f aca="false">IF(OR($A243="",$W243=0),0,INDEX(仪器设备工时分配表!$F$6:$F$245,$W243))</f>
        <v>0</v>
      </c>
      <c r="H243" s="45" t="n">
        <f aca="false">IF(OR($A243="",$W243=0),0,INDEX(仪器设备工时分配表!$R$6:$R$245,$W243))</f>
        <v>0</v>
      </c>
      <c r="I243" s="28" t="str">
        <f aca="false">IF(OR($A243="",$G243=0),"",$H243/$G243)</f>
        <v/>
      </c>
      <c r="J243" s="27" t="str">
        <f aca="false">IF(OR($A243="",$G243=0),"",ROUND($F243*INDEX(仪器设备工时分配表!$H$6:$H$245,$W243)/$G243,2))</f>
        <v/>
      </c>
      <c r="K243" s="27" t="str">
        <f aca="false">IF(OR($A243="",$G243=0),"",ROUND($F243*INDEX(仪器设备工时分配表!$I$6:$I$245,$W243)/$G243,2))</f>
        <v/>
      </c>
      <c r="L243" s="27" t="str">
        <f aca="false">IF(OR($A243="",$G243=0),"",ROUND($F243*INDEX(仪器设备工时分配表!$J$6:$J$245,$W243)/$G243,2))</f>
        <v/>
      </c>
      <c r="M243" s="27" t="str">
        <f aca="false">IF(OR($A243="",$G243=0),"",ROUND($F243*INDEX(仪器设备工时分配表!$K$6:$K$245,$W243)/$G243,2))</f>
        <v/>
      </c>
      <c r="N243" s="27" t="str">
        <f aca="false">IF(OR($A243="",$G243=0),"",ROUND($F243*INDEX(仪器设备工时分配表!$L$6:$L$245,$W243)/$G243,2))</f>
        <v/>
      </c>
      <c r="O243" s="27" t="str">
        <f aca="false">IF(OR($A243="",$G243=0),"",ROUND($F243*INDEX(仪器设备工时分配表!$M$6:$M$245,$W243)/$G243,2))</f>
        <v/>
      </c>
      <c r="P243" s="27" t="str">
        <f aca="false">IF(OR($A243="",$G243=0),"",ROUND($F243*INDEX(仪器设备工时分配表!$N$6:$N$245,$W243)/$G243,2))</f>
        <v/>
      </c>
      <c r="Q243" s="27" t="str">
        <f aca="false">IF(OR($A243="",$G243=0),"",ROUND($F243*INDEX(仪器设备工时分配表!$O$6:$O$245,$W243)/$G243,2))</f>
        <v/>
      </c>
      <c r="R243" s="27" t="str">
        <f aca="false">IF(OR($A243="",$G243=0),"",ROUND($F243*INDEX(仪器设备工时分配表!$P$6:$P$245,$W243)/$G243,2))</f>
        <v/>
      </c>
      <c r="S243" s="27" t="str">
        <f aca="false">IF(OR($A243="",$G243=0),"",ROUND($F243*INDEX(仪器设备工时分配表!$Q$6:$Q$245,$W243)/$G243,2))</f>
        <v/>
      </c>
      <c r="T243" s="27" t="str">
        <f aca="false">IF($A243="","",ROUND(SUM(J243:S243),2))</f>
        <v/>
      </c>
      <c r="U243" s="27" t="str">
        <f aca="false">IF($A243="","",ROUND($F243-T243,2))</f>
        <v/>
      </c>
      <c r="V243" s="43" t="str">
        <f aca="false">IF($A243="","",IF($D243="无形资产","⚠ 无形资产请在无形资产费用分配表登记",IF($W243=0,"⚠ 工时分配表无此资产当月记录",IF($X243&gt;1,"⚠ 工时分配表存在重复行","√ 正常"))))</f>
        <v/>
      </c>
      <c r="W243" s="47" t="n">
        <f aca="false">IF($A243="",0,IFERROR(MATCH($A243&amp;"|"&amp;$B243,仪器设备工时分配表!$V$6:$V$245,0),0))</f>
        <v>0</v>
      </c>
      <c r="X243" s="47" t="n">
        <f aca="false">IF($A243="",0,COUNTIFS(仪器设备工时分配表!$A$6:$A$245,$A243,仪器设备工时分配表!$B$6:$B$245,$B243))</f>
        <v>0</v>
      </c>
    </row>
    <row r="244" customFormat="false" ht="18" hidden="false" customHeight="true" outlineLevel="0" collapsed="false">
      <c r="A244" s="36"/>
      <c r="B244" s="36"/>
      <c r="C244" s="48" t="str">
        <f aca="false">IF($B244="","",IFERROR(VLOOKUP($B244,资产台账!$B$4:$N$53,2,0)&amp;"","台账中未登记"))</f>
        <v/>
      </c>
      <c r="D244" s="43" t="str">
        <f aca="false">IF($B244="","",IFERROR(VLOOKUP($B244,资产台账!$B$4:$N$53,3,0)&amp;"",""))</f>
        <v/>
      </c>
      <c r="E244" s="43" t="str">
        <f aca="false">IF($B244="","",IFERROR(VLOOKUP($B244,资产台账!$B$4:$N$53,10,0)&amp;"",""))</f>
        <v/>
      </c>
      <c r="F244" s="49" t="str">
        <f aca="false">IF($B244="","",IFERROR(VLOOKUP($B244,资产台账!$B$4:$N$53,9,0),0))</f>
        <v/>
      </c>
      <c r="G244" s="45" t="n">
        <f aca="false">IF(OR($A244="",$W244=0),0,INDEX(仪器设备工时分配表!$F$6:$F$245,$W244))</f>
        <v>0</v>
      </c>
      <c r="H244" s="45" t="n">
        <f aca="false">IF(OR($A244="",$W244=0),0,INDEX(仪器设备工时分配表!$R$6:$R$245,$W244))</f>
        <v>0</v>
      </c>
      <c r="I244" s="28" t="str">
        <f aca="false">IF(OR($A244="",$G244=0),"",$H244/$G244)</f>
        <v/>
      </c>
      <c r="J244" s="27" t="str">
        <f aca="false">IF(OR($A244="",$G244=0),"",ROUND($F244*INDEX(仪器设备工时分配表!$H$6:$H$245,$W244)/$G244,2))</f>
        <v/>
      </c>
      <c r="K244" s="27" t="str">
        <f aca="false">IF(OR($A244="",$G244=0),"",ROUND($F244*INDEX(仪器设备工时分配表!$I$6:$I$245,$W244)/$G244,2))</f>
        <v/>
      </c>
      <c r="L244" s="27" t="str">
        <f aca="false">IF(OR($A244="",$G244=0),"",ROUND($F244*INDEX(仪器设备工时分配表!$J$6:$J$245,$W244)/$G244,2))</f>
        <v/>
      </c>
      <c r="M244" s="27" t="str">
        <f aca="false">IF(OR($A244="",$G244=0),"",ROUND($F244*INDEX(仪器设备工时分配表!$K$6:$K$245,$W244)/$G244,2))</f>
        <v/>
      </c>
      <c r="N244" s="27" t="str">
        <f aca="false">IF(OR($A244="",$G244=0),"",ROUND($F244*INDEX(仪器设备工时分配表!$L$6:$L$245,$W244)/$G244,2))</f>
        <v/>
      </c>
      <c r="O244" s="27" t="str">
        <f aca="false">IF(OR($A244="",$G244=0),"",ROUND($F244*INDEX(仪器设备工时分配表!$M$6:$M$245,$W244)/$G244,2))</f>
        <v/>
      </c>
      <c r="P244" s="27" t="str">
        <f aca="false">IF(OR($A244="",$G244=0),"",ROUND($F244*INDEX(仪器设备工时分配表!$N$6:$N$245,$W244)/$G244,2))</f>
        <v/>
      </c>
      <c r="Q244" s="27" t="str">
        <f aca="false">IF(OR($A244="",$G244=0),"",ROUND($F244*INDEX(仪器设备工时分配表!$O$6:$O$245,$W244)/$G244,2))</f>
        <v/>
      </c>
      <c r="R244" s="27" t="str">
        <f aca="false">IF(OR($A244="",$G244=0),"",ROUND($F244*INDEX(仪器设备工时分配表!$P$6:$P$245,$W244)/$G244,2))</f>
        <v/>
      </c>
      <c r="S244" s="27" t="str">
        <f aca="false">IF(OR($A244="",$G244=0),"",ROUND($F244*INDEX(仪器设备工时分配表!$Q$6:$Q$245,$W244)/$G244,2))</f>
        <v/>
      </c>
      <c r="T244" s="27" t="str">
        <f aca="false">IF($A244="","",ROUND(SUM(J244:S244),2))</f>
        <v/>
      </c>
      <c r="U244" s="27" t="str">
        <f aca="false">IF($A244="","",ROUND($F244-T244,2))</f>
        <v/>
      </c>
      <c r="V244" s="43" t="str">
        <f aca="false">IF($A244="","",IF($D244="无形资产","⚠ 无形资产请在无形资产费用分配表登记",IF($W244=0,"⚠ 工时分配表无此资产当月记录",IF($X244&gt;1,"⚠ 工时分配表存在重复行","√ 正常"))))</f>
        <v/>
      </c>
      <c r="W244" s="47" t="n">
        <f aca="false">IF($A244="",0,IFERROR(MATCH($A244&amp;"|"&amp;$B244,仪器设备工时分配表!$V$6:$V$245,0),0))</f>
        <v>0</v>
      </c>
      <c r="X244" s="47" t="n">
        <f aca="false">IF($A244="",0,COUNTIFS(仪器设备工时分配表!$A$6:$A$245,$A244,仪器设备工时分配表!$B$6:$B$245,$B244))</f>
        <v>0</v>
      </c>
    </row>
    <row r="245" customFormat="false" ht="18" hidden="false" customHeight="true" outlineLevel="0" collapsed="false">
      <c r="A245" s="36"/>
      <c r="B245" s="36"/>
      <c r="C245" s="48" t="str">
        <f aca="false">IF($B245="","",IFERROR(VLOOKUP($B245,资产台账!$B$4:$N$53,2,0)&amp;"","台账中未登记"))</f>
        <v/>
      </c>
      <c r="D245" s="43" t="str">
        <f aca="false">IF($B245="","",IFERROR(VLOOKUP($B245,资产台账!$B$4:$N$53,3,0)&amp;"",""))</f>
        <v/>
      </c>
      <c r="E245" s="43" t="str">
        <f aca="false">IF($B245="","",IFERROR(VLOOKUP($B245,资产台账!$B$4:$N$53,10,0)&amp;"",""))</f>
        <v/>
      </c>
      <c r="F245" s="49" t="str">
        <f aca="false">IF($B245="","",IFERROR(VLOOKUP($B245,资产台账!$B$4:$N$53,9,0),0))</f>
        <v/>
      </c>
      <c r="G245" s="45" t="n">
        <f aca="false">IF(OR($A245="",$W245=0),0,INDEX(仪器设备工时分配表!$F$6:$F$245,$W245))</f>
        <v>0</v>
      </c>
      <c r="H245" s="45" t="n">
        <f aca="false">IF(OR($A245="",$W245=0),0,INDEX(仪器设备工时分配表!$R$6:$R$245,$W245))</f>
        <v>0</v>
      </c>
      <c r="I245" s="28" t="str">
        <f aca="false">IF(OR($A245="",$G245=0),"",$H245/$G245)</f>
        <v/>
      </c>
      <c r="J245" s="27" t="str">
        <f aca="false">IF(OR($A245="",$G245=0),"",ROUND($F245*INDEX(仪器设备工时分配表!$H$6:$H$245,$W245)/$G245,2))</f>
        <v/>
      </c>
      <c r="K245" s="27" t="str">
        <f aca="false">IF(OR($A245="",$G245=0),"",ROUND($F245*INDEX(仪器设备工时分配表!$I$6:$I$245,$W245)/$G245,2))</f>
        <v/>
      </c>
      <c r="L245" s="27" t="str">
        <f aca="false">IF(OR($A245="",$G245=0),"",ROUND($F245*INDEX(仪器设备工时分配表!$J$6:$J$245,$W245)/$G245,2))</f>
        <v/>
      </c>
      <c r="M245" s="27" t="str">
        <f aca="false">IF(OR($A245="",$G245=0),"",ROUND($F245*INDEX(仪器设备工时分配表!$K$6:$K$245,$W245)/$G245,2))</f>
        <v/>
      </c>
      <c r="N245" s="27" t="str">
        <f aca="false">IF(OR($A245="",$G245=0),"",ROUND($F245*INDEX(仪器设备工时分配表!$L$6:$L$245,$W245)/$G245,2))</f>
        <v/>
      </c>
      <c r="O245" s="27" t="str">
        <f aca="false">IF(OR($A245="",$G245=0),"",ROUND($F245*INDEX(仪器设备工时分配表!$M$6:$M$245,$W245)/$G245,2))</f>
        <v/>
      </c>
      <c r="P245" s="27" t="str">
        <f aca="false">IF(OR($A245="",$G245=0),"",ROUND($F245*INDEX(仪器设备工时分配表!$N$6:$N$245,$W245)/$G245,2))</f>
        <v/>
      </c>
      <c r="Q245" s="27" t="str">
        <f aca="false">IF(OR($A245="",$G245=0),"",ROUND($F245*INDEX(仪器设备工时分配表!$O$6:$O$245,$W245)/$G245,2))</f>
        <v/>
      </c>
      <c r="R245" s="27" t="str">
        <f aca="false">IF(OR($A245="",$G245=0),"",ROUND($F245*INDEX(仪器设备工时分配表!$P$6:$P$245,$W245)/$G245,2))</f>
        <v/>
      </c>
      <c r="S245" s="27" t="str">
        <f aca="false">IF(OR($A245="",$G245=0),"",ROUND($F245*INDEX(仪器设备工时分配表!$Q$6:$Q$245,$W245)/$G245,2))</f>
        <v/>
      </c>
      <c r="T245" s="27" t="str">
        <f aca="false">IF($A245="","",ROUND(SUM(J245:S245),2))</f>
        <v/>
      </c>
      <c r="U245" s="27" t="str">
        <f aca="false">IF($A245="","",ROUND($F245-T245,2))</f>
        <v/>
      </c>
      <c r="V245" s="43" t="str">
        <f aca="false">IF($A245="","",IF($D245="无形资产","⚠ 无形资产请在无形资产费用分配表登记",IF($W245=0,"⚠ 工时分配表无此资产当月记录",IF($X245&gt;1,"⚠ 工时分配表存在重复行","√ 正常"))))</f>
        <v/>
      </c>
      <c r="W245" s="47" t="n">
        <f aca="false">IF($A245="",0,IFERROR(MATCH($A245&amp;"|"&amp;$B245,仪器设备工时分配表!$V$6:$V$245,0),0))</f>
        <v>0</v>
      </c>
      <c r="X245" s="47" t="n">
        <f aca="false">IF($A245="",0,COUNTIFS(仪器设备工时分配表!$A$6:$A$245,$A245,仪器设备工时分配表!$B$6:$B$245,$B245))</f>
        <v>0</v>
      </c>
    </row>
  </sheetData>
  <autoFilter ref="A5:V245"/>
  <mergeCells count="16">
    <mergeCell ref="A1:B1"/>
    <mergeCell ref="C1:V1"/>
    <mergeCell ref="A2:V2"/>
    <mergeCell ref="A3:A5"/>
    <mergeCell ref="B3:B5"/>
    <mergeCell ref="C3:C5"/>
    <mergeCell ref="D3:D5"/>
    <mergeCell ref="E3:E5"/>
    <mergeCell ref="F3:F5"/>
    <mergeCell ref="G3:G5"/>
    <mergeCell ref="H3:H5"/>
    <mergeCell ref="I3:I5"/>
    <mergeCell ref="J3:S3"/>
    <mergeCell ref="T3:T5"/>
    <mergeCell ref="U3:U5"/>
    <mergeCell ref="V3:V5"/>
  </mergeCells>
  <conditionalFormatting sqref="V6:V245">
    <cfRule type="expression" priority="2" aboveAverage="0" equalAverage="0" bottom="0" percent="0" rank="0" text="" dxfId="0">
      <formula>LEFT($V6,1)="⚠"</formula>
    </cfRule>
  </conditionalFormatting>
  <dataValidations count="2">
    <dataValidation allowBlank="true" errorStyle="stop" operator="between" showDropDown="false" showErrorMessage="false" showInputMessage="false" sqref="A6:A245" type="list">
      <formula1>"2026-01,2026-02,2026-03,2026-04,2026-05,2026-06,2026-07,2026-08,2026-09,2026-10,2026-11,2026-12"</formula1>
      <formula2>0</formula2>
    </dataValidation>
    <dataValidation allowBlank="true" errorStyle="stop" operator="between" showDropDown="false" showErrorMessage="false" showInputMessage="false" sqref="B6:B245" type="list">
      <formula1>资产编号列表</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V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2" min="1" style="0" width="11"/>
    <col collapsed="false" customWidth="true" hidden="false" outlineLevel="0" max="3" min="3" style="0" width="24"/>
    <col collapsed="false" customWidth="true" hidden="false" outlineLevel="0" max="4" min="4" style="0" width="11"/>
    <col collapsed="false" customWidth="true" hidden="false" outlineLevel="0" max="5" min="5" style="0" width="14"/>
    <col collapsed="false" customWidth="true" hidden="false" outlineLevel="0" max="6" min="6" style="0" width="13"/>
    <col collapsed="false" customWidth="true" hidden="false" outlineLevel="0" max="7" min="7" style="0" width="14"/>
    <col collapsed="false" customWidth="true" hidden="false" outlineLevel="0" max="17" min="8" style="0" width="9"/>
    <col collapsed="false" customWidth="true" hidden="false" outlineLevel="0" max="18" min="18" style="0" width="11"/>
    <col collapsed="false" customWidth="true" hidden="false" outlineLevel="0" max="20" min="19" style="0" width="10"/>
    <col collapsed="false" customWidth="true" hidden="false" outlineLevel="0" max="21" min="21" style="0" width="22"/>
    <col collapsed="false" customWidth="true" hidden="true" outlineLevel="0" max="22" min="22" style="0" width="13"/>
  </cols>
  <sheetData>
    <row r="1" customFormat="false" ht="43.5" hidden="false" customHeight="true" outlineLevel="0" collapsed="false">
      <c r="A1" s="1" t="s">
        <v>0</v>
      </c>
      <c r="B1" s="1"/>
      <c r="C1" s="2" t="str">
        <f aca="false">IF(使用说明!$B$2="","",使用说明!$B$2&amp;"    ")&amp;"九、《无形资产工时分配表》（研发部门按月填报，2026年度）"</f>
        <v>九、《无形资产工时分配表》（研发部门按月填报，2026年度）</v>
      </c>
      <c r="D1" s="2"/>
      <c r="E1" s="2"/>
      <c r="F1" s="2"/>
      <c r="G1" s="2"/>
      <c r="H1" s="2"/>
      <c r="I1" s="2"/>
      <c r="J1" s="2"/>
      <c r="K1" s="2"/>
      <c r="L1" s="2"/>
      <c r="M1" s="2"/>
      <c r="N1" s="2"/>
      <c r="O1" s="2"/>
      <c r="P1" s="2"/>
      <c r="Q1" s="2"/>
      <c r="R1" s="2"/>
      <c r="S1" s="2"/>
      <c r="T1" s="2"/>
      <c r="U1" s="2"/>
    </row>
    <row r="2" customFormat="false" ht="30" hidden="false" customHeight="true" outlineLevel="0" collapsed="false">
      <c r="A2" s="17" t="s">
        <v>264</v>
      </c>
      <c r="B2" s="17"/>
      <c r="C2" s="17"/>
      <c r="D2" s="17"/>
      <c r="E2" s="17"/>
      <c r="F2" s="17"/>
      <c r="G2" s="17"/>
      <c r="H2" s="17"/>
      <c r="I2" s="17"/>
      <c r="J2" s="17"/>
      <c r="K2" s="17"/>
      <c r="L2" s="17"/>
      <c r="M2" s="17"/>
      <c r="N2" s="17"/>
      <c r="O2" s="17"/>
      <c r="P2" s="17"/>
      <c r="Q2" s="17"/>
      <c r="R2" s="17"/>
      <c r="S2" s="17"/>
      <c r="T2" s="17"/>
      <c r="U2" s="17"/>
    </row>
    <row r="3" customFormat="false" ht="25.5" hidden="false" customHeight="true" outlineLevel="0" collapsed="false">
      <c r="A3" s="18" t="s">
        <v>224</v>
      </c>
      <c r="B3" s="18" t="s">
        <v>181</v>
      </c>
      <c r="C3" s="18" t="s">
        <v>265</v>
      </c>
      <c r="D3" s="18" t="s">
        <v>183</v>
      </c>
      <c r="E3" s="18" t="s">
        <v>266</v>
      </c>
      <c r="F3" s="18" t="s">
        <v>267</v>
      </c>
      <c r="G3" s="18" t="s">
        <v>254</v>
      </c>
      <c r="H3" s="18" t="s">
        <v>255</v>
      </c>
      <c r="I3" s="18"/>
      <c r="J3" s="18"/>
      <c r="K3" s="18"/>
      <c r="L3" s="18"/>
      <c r="M3" s="18"/>
      <c r="N3" s="18"/>
      <c r="O3" s="18"/>
      <c r="P3" s="18"/>
      <c r="Q3" s="18"/>
      <c r="R3" s="18" t="s">
        <v>256</v>
      </c>
      <c r="S3" s="18" t="s">
        <v>229</v>
      </c>
      <c r="T3" s="18" t="s">
        <v>257</v>
      </c>
      <c r="U3" s="18" t="s">
        <v>116</v>
      </c>
    </row>
    <row r="4" customFormat="false" ht="18" hidden="false" customHeight="true" outlineLevel="0" collapsed="false">
      <c r="A4" s="18"/>
      <c r="B4" s="18"/>
      <c r="C4" s="18"/>
      <c r="D4" s="18"/>
      <c r="E4" s="18"/>
      <c r="F4" s="18"/>
      <c r="G4" s="18"/>
      <c r="H4" s="40" t="str">
        <f aca="false">项目清单!$B$4</f>
        <v>RD01</v>
      </c>
      <c r="I4" s="40" t="str">
        <f aca="false">项目清单!$B$5</f>
        <v>RD02</v>
      </c>
      <c r="J4" s="40" t="str">
        <f aca="false">项目清单!$B$6</f>
        <v>RD03</v>
      </c>
      <c r="K4" s="40" t="str">
        <f aca="false">项目清单!$B$7</f>
        <v>RD04</v>
      </c>
      <c r="L4" s="40" t="str">
        <f aca="false">项目清单!$B$8</f>
        <v>RD05</v>
      </c>
      <c r="M4" s="40" t="str">
        <f aca="false">项目清单!$B$9</f>
        <v>RD06</v>
      </c>
      <c r="N4" s="40" t="str">
        <f aca="false">项目清单!$B$10</f>
        <v>RD07</v>
      </c>
      <c r="O4" s="40" t="str">
        <f aca="false">项目清单!$B$11</f>
        <v>RD08</v>
      </c>
      <c r="P4" s="40" t="str">
        <f aca="false">项目清单!$B$12</f>
        <v>RD09</v>
      </c>
      <c r="Q4" s="40" t="str">
        <f aca="false">项目清单!$B$13</f>
        <v>RD10</v>
      </c>
      <c r="R4" s="18"/>
      <c r="S4" s="18"/>
      <c r="T4" s="18"/>
      <c r="U4" s="18"/>
    </row>
    <row r="5" customFormat="false" ht="33.75" hidden="false" customHeight="true" outlineLevel="0" collapsed="false">
      <c r="A5" s="18"/>
      <c r="B5" s="18"/>
      <c r="C5" s="18"/>
      <c r="D5" s="18"/>
      <c r="E5" s="18"/>
      <c r="F5" s="18"/>
      <c r="G5" s="18"/>
      <c r="H5" s="41" t="str">
        <f aca="false">IF(H4="","",IFERROR(VLOOKUP(H4,项目清单!$B$4:$C$13,2,0)&amp;"",""))</f>
        <v>高回弹低压缩永久变形3C用聚氨酯泡棉开发</v>
      </c>
      <c r="I5" s="41" t="str">
        <f aca="false">IF(I4="","",IFERROR(VLOOKUP(I4,项目清单!$B$4:$C$13,2,0)&amp;"",""))</f>
        <v>动力电池模组用高阻燃缓冲泡棉研发</v>
      </c>
      <c r="J5" s="41" t="str">
        <f aca="false">IF(J4="","",IFERROR(VLOOKUP(J4,项目清单!$B$4:$C$13,2,0)&amp;"",""))</f>
        <v>泡棉与PET基材无溶剂贴合工艺开发</v>
      </c>
      <c r="K5" s="41" t="str">
        <f aca="false">IF(K4="","",IFERROR(VLOOKUP(K4,项目清单!$B$4:$C$13,2,0)&amp;"",""))</f>
        <v>超薄泡棉高精度分切及毛边控制技术研究</v>
      </c>
      <c r="L5" s="41" t="str">
        <f aca="false">IF(L4="","",IFERROR(VLOOKUP(L4,项目清单!$B$4:$C$13,2,0)&amp;"",""))</f>
        <v>新能源汽车电池包用导热缓冲复合材料开发</v>
      </c>
      <c r="M5" s="41" t="str">
        <f aca="false">IF(M4="","",IFERROR(VLOOKUP(M4,项目清单!$B$4:$C$13,2,0)&amp;"",""))</f>
        <v>3C电子用超薄黑色遮光泡棉制备技术</v>
      </c>
      <c r="N5" s="41" t="str">
        <f aca="false">IF(N4="","",IFERROR(VLOOKUP(N4,项目清单!$B$4:$C$13,2,0)&amp;"",""))</f>
        <v>环保型水性胶泡棉贴合技术开发</v>
      </c>
      <c r="O5" s="41" t="str">
        <f aca="false">IF(O4="","",IFERROR(VLOOKUP(O4,项目清单!$B$4:$C$13,2,0)&amp;"",""))</f>
        <v>泡棉模切自动化在线检测技术研究</v>
      </c>
      <c r="P5" s="41" t="str">
        <f aca="false">IF(P4="","",IFERROR(VLOOKUP(P4,项目清单!$B$4:$C$13,2,0)&amp;"",""))</f>
        <v/>
      </c>
      <c r="Q5" s="41" t="str">
        <f aca="false">IF(Q4="","",IFERROR(VLOOKUP(Q4,项目清单!$B$4:$C$13,2,0)&amp;"",""))</f>
        <v/>
      </c>
      <c r="R5" s="18"/>
      <c r="S5" s="18"/>
      <c r="T5" s="18"/>
      <c r="U5" s="18"/>
      <c r="V5" s="42" t="s">
        <v>232</v>
      </c>
    </row>
    <row r="6" customFormat="false" ht="18" hidden="false" customHeight="true" outlineLevel="0" collapsed="false">
      <c r="A6" s="36" t="s">
        <v>100</v>
      </c>
      <c r="B6" s="36" t="s">
        <v>217</v>
      </c>
      <c r="C6" s="48" t="str">
        <f aca="false">IF($B6="","",IFERROR(VLOOKUP($B6,资产台账!$B$4:$N$53,2,0)&amp;"","台账中未登记"))</f>
        <v>（示例）泡棉配方模拟软件</v>
      </c>
      <c r="D6" s="43" t="str">
        <f aca="false">IF($B6="","",IFERROR(VLOOKUP($B6,资产台账!$B$4:$N$53,3,0)&amp;"",""))</f>
        <v>无形资产</v>
      </c>
      <c r="E6" s="43" t="str">
        <f aca="false">IF($B6="","",IFERROR(VLOOKUP($B6,资产台账!$B$4:$N$53,5,0)&amp;"",""))</f>
        <v>研发通用</v>
      </c>
      <c r="F6" s="44" t="n">
        <v>160</v>
      </c>
      <c r="G6" s="44" t="n">
        <v>0</v>
      </c>
      <c r="H6" s="44" t="n">
        <v>60</v>
      </c>
      <c r="I6" s="44" t="n">
        <v>60</v>
      </c>
      <c r="J6" s="44"/>
      <c r="K6" s="44"/>
      <c r="L6" s="44" t="n">
        <v>40</v>
      </c>
      <c r="M6" s="44"/>
      <c r="N6" s="44"/>
      <c r="O6" s="44"/>
      <c r="P6" s="44"/>
      <c r="Q6" s="44"/>
      <c r="R6" s="45" t="n">
        <f aca="false">IF($A6="","",SUM(H6:Q6))</f>
        <v>160</v>
      </c>
      <c r="S6" s="45" t="n">
        <f aca="false">IF($A6="","",ROUND($F6-$G6-$R6,2))</f>
        <v>0</v>
      </c>
      <c r="T6" s="28" t="n">
        <f aca="false">IF(OR($A6="",$F6=0),"",$R6/$F6)</f>
        <v>1</v>
      </c>
      <c r="U6" s="39" t="s">
        <v>166</v>
      </c>
      <c r="V6" s="0" t="str">
        <f aca="false">IF($A6="","",$A6&amp;"|"&amp;$B6)</f>
        <v>2026-09|WX001</v>
      </c>
    </row>
    <row r="7" customFormat="false" ht="18" hidden="false" customHeight="true" outlineLevel="0" collapsed="false">
      <c r="A7" s="36"/>
      <c r="B7" s="36"/>
      <c r="C7" s="48" t="str">
        <f aca="false">IF($B7="","",IFERROR(VLOOKUP($B7,资产台账!$B$4:$N$53,2,0)&amp;"","台账中未登记"))</f>
        <v/>
      </c>
      <c r="D7" s="43" t="str">
        <f aca="false">IF($B7="","",IFERROR(VLOOKUP($B7,资产台账!$B$4:$N$53,3,0)&amp;"",""))</f>
        <v/>
      </c>
      <c r="E7" s="43" t="str">
        <f aca="false">IF($B7="","",IFERROR(VLOOKUP($B7,资产台账!$B$4:$N$53,5,0)&amp;"",""))</f>
        <v/>
      </c>
      <c r="F7" s="44"/>
      <c r="G7" s="44"/>
      <c r="H7" s="44"/>
      <c r="I7" s="44"/>
      <c r="J7" s="44"/>
      <c r="K7" s="44"/>
      <c r="L7" s="44"/>
      <c r="M7" s="44"/>
      <c r="N7" s="44"/>
      <c r="O7" s="44"/>
      <c r="P7" s="44"/>
      <c r="Q7" s="44"/>
      <c r="R7" s="45" t="str">
        <f aca="false">IF($A7="","",SUM(H7:Q7))</f>
        <v/>
      </c>
      <c r="S7" s="45" t="str">
        <f aca="false">IF($A7="","",ROUND($F7-$G7-$R7,2))</f>
        <v/>
      </c>
      <c r="T7" s="28" t="str">
        <f aca="false">IF(OR($A7="",$F7=0),"",$R7/$F7)</f>
        <v/>
      </c>
      <c r="U7" s="35"/>
      <c r="V7" s="0" t="str">
        <f aca="false">IF($A7="","",$A7&amp;"|"&amp;$B7)</f>
        <v/>
      </c>
    </row>
    <row r="8" customFormat="false" ht="18" hidden="false" customHeight="true" outlineLevel="0" collapsed="false">
      <c r="A8" s="36"/>
      <c r="B8" s="36"/>
      <c r="C8" s="48" t="str">
        <f aca="false">IF($B8="","",IFERROR(VLOOKUP($B8,资产台账!$B$4:$N$53,2,0)&amp;"","台账中未登记"))</f>
        <v/>
      </c>
      <c r="D8" s="43" t="str">
        <f aca="false">IF($B8="","",IFERROR(VLOOKUP($B8,资产台账!$B$4:$N$53,3,0)&amp;"",""))</f>
        <v/>
      </c>
      <c r="E8" s="43" t="str">
        <f aca="false">IF($B8="","",IFERROR(VLOOKUP($B8,资产台账!$B$4:$N$53,5,0)&amp;"",""))</f>
        <v/>
      </c>
      <c r="F8" s="44"/>
      <c r="G8" s="44"/>
      <c r="H8" s="44"/>
      <c r="I8" s="44"/>
      <c r="J8" s="44"/>
      <c r="K8" s="44"/>
      <c r="L8" s="44"/>
      <c r="M8" s="44"/>
      <c r="N8" s="44"/>
      <c r="O8" s="44"/>
      <c r="P8" s="44"/>
      <c r="Q8" s="44"/>
      <c r="R8" s="45" t="str">
        <f aca="false">IF($A8="","",SUM(H8:Q8))</f>
        <v/>
      </c>
      <c r="S8" s="45" t="str">
        <f aca="false">IF($A8="","",ROUND($F8-$G8-$R8,2))</f>
        <v/>
      </c>
      <c r="T8" s="28" t="str">
        <f aca="false">IF(OR($A8="",$F8=0),"",$R8/$F8)</f>
        <v/>
      </c>
      <c r="U8" s="35"/>
      <c r="V8" s="0" t="str">
        <f aca="false">IF($A8="","",$A8&amp;"|"&amp;$B8)</f>
        <v/>
      </c>
    </row>
    <row r="9" customFormat="false" ht="18" hidden="false" customHeight="true" outlineLevel="0" collapsed="false">
      <c r="A9" s="36"/>
      <c r="B9" s="36"/>
      <c r="C9" s="48" t="str">
        <f aca="false">IF($B9="","",IFERROR(VLOOKUP($B9,资产台账!$B$4:$N$53,2,0)&amp;"","台账中未登记"))</f>
        <v/>
      </c>
      <c r="D9" s="43" t="str">
        <f aca="false">IF($B9="","",IFERROR(VLOOKUP($B9,资产台账!$B$4:$N$53,3,0)&amp;"",""))</f>
        <v/>
      </c>
      <c r="E9" s="43" t="str">
        <f aca="false">IF($B9="","",IFERROR(VLOOKUP($B9,资产台账!$B$4:$N$53,5,0)&amp;"",""))</f>
        <v/>
      </c>
      <c r="F9" s="44"/>
      <c r="G9" s="44"/>
      <c r="H9" s="44"/>
      <c r="I9" s="44"/>
      <c r="J9" s="44"/>
      <c r="K9" s="44"/>
      <c r="L9" s="44"/>
      <c r="M9" s="44"/>
      <c r="N9" s="44"/>
      <c r="O9" s="44"/>
      <c r="P9" s="44"/>
      <c r="Q9" s="44"/>
      <c r="R9" s="45" t="str">
        <f aca="false">IF($A9="","",SUM(H9:Q9))</f>
        <v/>
      </c>
      <c r="S9" s="45" t="str">
        <f aca="false">IF($A9="","",ROUND($F9-$G9-$R9,2))</f>
        <v/>
      </c>
      <c r="T9" s="28" t="str">
        <f aca="false">IF(OR($A9="",$F9=0),"",$R9/$F9)</f>
        <v/>
      </c>
      <c r="U9" s="35"/>
      <c r="V9" s="0" t="str">
        <f aca="false">IF($A9="","",$A9&amp;"|"&amp;$B9)</f>
        <v/>
      </c>
    </row>
    <row r="10" customFormat="false" ht="18" hidden="false" customHeight="true" outlineLevel="0" collapsed="false">
      <c r="A10" s="36"/>
      <c r="B10" s="36"/>
      <c r="C10" s="48" t="str">
        <f aca="false">IF($B10="","",IFERROR(VLOOKUP($B10,资产台账!$B$4:$N$53,2,0)&amp;"","台账中未登记"))</f>
        <v/>
      </c>
      <c r="D10" s="43" t="str">
        <f aca="false">IF($B10="","",IFERROR(VLOOKUP($B10,资产台账!$B$4:$N$53,3,0)&amp;"",""))</f>
        <v/>
      </c>
      <c r="E10" s="43" t="str">
        <f aca="false">IF($B10="","",IFERROR(VLOOKUP($B10,资产台账!$B$4:$N$53,5,0)&amp;"",""))</f>
        <v/>
      </c>
      <c r="F10" s="44"/>
      <c r="G10" s="44"/>
      <c r="H10" s="44"/>
      <c r="I10" s="44"/>
      <c r="J10" s="44"/>
      <c r="K10" s="44"/>
      <c r="L10" s="44"/>
      <c r="M10" s="44"/>
      <c r="N10" s="44"/>
      <c r="O10" s="44"/>
      <c r="P10" s="44"/>
      <c r="Q10" s="44"/>
      <c r="R10" s="45" t="str">
        <f aca="false">IF($A10="","",SUM(H10:Q10))</f>
        <v/>
      </c>
      <c r="S10" s="45" t="str">
        <f aca="false">IF($A10="","",ROUND($F10-$G10-$R10,2))</f>
        <v/>
      </c>
      <c r="T10" s="28" t="str">
        <f aca="false">IF(OR($A10="",$F10=0),"",$R10/$F10)</f>
        <v/>
      </c>
      <c r="U10" s="35"/>
      <c r="V10" s="0" t="str">
        <f aca="false">IF($A10="","",$A10&amp;"|"&amp;$B10)</f>
        <v/>
      </c>
    </row>
    <row r="11" customFormat="false" ht="18" hidden="false" customHeight="true" outlineLevel="0" collapsed="false">
      <c r="A11" s="36"/>
      <c r="B11" s="36"/>
      <c r="C11" s="48" t="str">
        <f aca="false">IF($B11="","",IFERROR(VLOOKUP($B11,资产台账!$B$4:$N$53,2,0)&amp;"","台账中未登记"))</f>
        <v/>
      </c>
      <c r="D11" s="43" t="str">
        <f aca="false">IF($B11="","",IFERROR(VLOOKUP($B11,资产台账!$B$4:$N$53,3,0)&amp;"",""))</f>
        <v/>
      </c>
      <c r="E11" s="43" t="str">
        <f aca="false">IF($B11="","",IFERROR(VLOOKUP($B11,资产台账!$B$4:$N$53,5,0)&amp;"",""))</f>
        <v/>
      </c>
      <c r="F11" s="44"/>
      <c r="G11" s="44"/>
      <c r="H11" s="44"/>
      <c r="I11" s="44"/>
      <c r="J11" s="44"/>
      <c r="K11" s="44"/>
      <c r="L11" s="44"/>
      <c r="M11" s="44"/>
      <c r="N11" s="44"/>
      <c r="O11" s="44"/>
      <c r="P11" s="44"/>
      <c r="Q11" s="44"/>
      <c r="R11" s="45" t="str">
        <f aca="false">IF($A11="","",SUM(H11:Q11))</f>
        <v/>
      </c>
      <c r="S11" s="45" t="str">
        <f aca="false">IF($A11="","",ROUND($F11-$G11-$R11,2))</f>
        <v/>
      </c>
      <c r="T11" s="28" t="str">
        <f aca="false">IF(OR($A11="",$F11=0),"",$R11/$F11)</f>
        <v/>
      </c>
      <c r="U11" s="35"/>
      <c r="V11" s="0" t="str">
        <f aca="false">IF($A11="","",$A11&amp;"|"&amp;$B11)</f>
        <v/>
      </c>
    </row>
    <row r="12" customFormat="false" ht="18" hidden="false" customHeight="true" outlineLevel="0" collapsed="false">
      <c r="A12" s="36"/>
      <c r="B12" s="36"/>
      <c r="C12" s="48" t="str">
        <f aca="false">IF($B12="","",IFERROR(VLOOKUP($B12,资产台账!$B$4:$N$53,2,0)&amp;"","台账中未登记"))</f>
        <v/>
      </c>
      <c r="D12" s="43" t="str">
        <f aca="false">IF($B12="","",IFERROR(VLOOKUP($B12,资产台账!$B$4:$N$53,3,0)&amp;"",""))</f>
        <v/>
      </c>
      <c r="E12" s="43" t="str">
        <f aca="false">IF($B12="","",IFERROR(VLOOKUP($B12,资产台账!$B$4:$N$53,5,0)&amp;"",""))</f>
        <v/>
      </c>
      <c r="F12" s="44"/>
      <c r="G12" s="44"/>
      <c r="H12" s="44"/>
      <c r="I12" s="44"/>
      <c r="J12" s="44"/>
      <c r="K12" s="44"/>
      <c r="L12" s="44"/>
      <c r="M12" s="44"/>
      <c r="N12" s="44"/>
      <c r="O12" s="44"/>
      <c r="P12" s="44"/>
      <c r="Q12" s="44"/>
      <c r="R12" s="45" t="str">
        <f aca="false">IF($A12="","",SUM(H12:Q12))</f>
        <v/>
      </c>
      <c r="S12" s="45" t="str">
        <f aca="false">IF($A12="","",ROUND($F12-$G12-$R12,2))</f>
        <v/>
      </c>
      <c r="T12" s="28" t="str">
        <f aca="false">IF(OR($A12="",$F12=0),"",$R12/$F12)</f>
        <v/>
      </c>
      <c r="U12" s="35"/>
      <c r="V12" s="0" t="str">
        <f aca="false">IF($A12="","",$A12&amp;"|"&amp;$B12)</f>
        <v/>
      </c>
    </row>
    <row r="13" customFormat="false" ht="18" hidden="false" customHeight="true" outlineLevel="0" collapsed="false">
      <c r="A13" s="36"/>
      <c r="B13" s="36"/>
      <c r="C13" s="48" t="str">
        <f aca="false">IF($B13="","",IFERROR(VLOOKUP($B13,资产台账!$B$4:$N$53,2,0)&amp;"","台账中未登记"))</f>
        <v/>
      </c>
      <c r="D13" s="43" t="str">
        <f aca="false">IF($B13="","",IFERROR(VLOOKUP($B13,资产台账!$B$4:$N$53,3,0)&amp;"",""))</f>
        <v/>
      </c>
      <c r="E13" s="43" t="str">
        <f aca="false">IF($B13="","",IFERROR(VLOOKUP($B13,资产台账!$B$4:$N$53,5,0)&amp;"",""))</f>
        <v/>
      </c>
      <c r="F13" s="44"/>
      <c r="G13" s="44"/>
      <c r="H13" s="44"/>
      <c r="I13" s="44"/>
      <c r="J13" s="44"/>
      <c r="K13" s="44"/>
      <c r="L13" s="44"/>
      <c r="M13" s="44"/>
      <c r="N13" s="44"/>
      <c r="O13" s="44"/>
      <c r="P13" s="44"/>
      <c r="Q13" s="44"/>
      <c r="R13" s="45" t="str">
        <f aca="false">IF($A13="","",SUM(H13:Q13))</f>
        <v/>
      </c>
      <c r="S13" s="45" t="str">
        <f aca="false">IF($A13="","",ROUND($F13-$G13-$R13,2))</f>
        <v/>
      </c>
      <c r="T13" s="28" t="str">
        <f aca="false">IF(OR($A13="",$F13=0),"",$R13/$F13)</f>
        <v/>
      </c>
      <c r="U13" s="35"/>
      <c r="V13" s="0" t="str">
        <f aca="false">IF($A13="","",$A13&amp;"|"&amp;$B13)</f>
        <v/>
      </c>
    </row>
    <row r="14" customFormat="false" ht="18" hidden="false" customHeight="true" outlineLevel="0" collapsed="false">
      <c r="A14" s="36"/>
      <c r="B14" s="36"/>
      <c r="C14" s="48" t="str">
        <f aca="false">IF($B14="","",IFERROR(VLOOKUP($B14,资产台账!$B$4:$N$53,2,0)&amp;"","台账中未登记"))</f>
        <v/>
      </c>
      <c r="D14" s="43" t="str">
        <f aca="false">IF($B14="","",IFERROR(VLOOKUP($B14,资产台账!$B$4:$N$53,3,0)&amp;"",""))</f>
        <v/>
      </c>
      <c r="E14" s="43" t="str">
        <f aca="false">IF($B14="","",IFERROR(VLOOKUP($B14,资产台账!$B$4:$N$53,5,0)&amp;"",""))</f>
        <v/>
      </c>
      <c r="F14" s="44"/>
      <c r="G14" s="44"/>
      <c r="H14" s="44"/>
      <c r="I14" s="44"/>
      <c r="J14" s="44"/>
      <c r="K14" s="44"/>
      <c r="L14" s="44"/>
      <c r="M14" s="44"/>
      <c r="N14" s="44"/>
      <c r="O14" s="44"/>
      <c r="P14" s="44"/>
      <c r="Q14" s="44"/>
      <c r="R14" s="45" t="str">
        <f aca="false">IF($A14="","",SUM(H14:Q14))</f>
        <v/>
      </c>
      <c r="S14" s="45" t="str">
        <f aca="false">IF($A14="","",ROUND($F14-$G14-$R14,2))</f>
        <v/>
      </c>
      <c r="T14" s="28" t="str">
        <f aca="false">IF(OR($A14="",$F14=0),"",$R14/$F14)</f>
        <v/>
      </c>
      <c r="U14" s="35"/>
      <c r="V14" s="0" t="str">
        <f aca="false">IF($A14="","",$A14&amp;"|"&amp;$B14)</f>
        <v/>
      </c>
    </row>
    <row r="15" customFormat="false" ht="18" hidden="false" customHeight="true" outlineLevel="0" collapsed="false">
      <c r="A15" s="36"/>
      <c r="B15" s="36"/>
      <c r="C15" s="48" t="str">
        <f aca="false">IF($B15="","",IFERROR(VLOOKUP($B15,资产台账!$B$4:$N$53,2,0)&amp;"","台账中未登记"))</f>
        <v/>
      </c>
      <c r="D15" s="43" t="str">
        <f aca="false">IF($B15="","",IFERROR(VLOOKUP($B15,资产台账!$B$4:$N$53,3,0)&amp;"",""))</f>
        <v/>
      </c>
      <c r="E15" s="43" t="str">
        <f aca="false">IF($B15="","",IFERROR(VLOOKUP($B15,资产台账!$B$4:$N$53,5,0)&amp;"",""))</f>
        <v/>
      </c>
      <c r="F15" s="44"/>
      <c r="G15" s="44"/>
      <c r="H15" s="44"/>
      <c r="I15" s="44"/>
      <c r="J15" s="44"/>
      <c r="K15" s="44"/>
      <c r="L15" s="44"/>
      <c r="M15" s="44"/>
      <c r="N15" s="44"/>
      <c r="O15" s="44"/>
      <c r="P15" s="44"/>
      <c r="Q15" s="44"/>
      <c r="R15" s="45" t="str">
        <f aca="false">IF($A15="","",SUM(H15:Q15))</f>
        <v/>
      </c>
      <c r="S15" s="45" t="str">
        <f aca="false">IF($A15="","",ROUND($F15-$G15-$R15,2))</f>
        <v/>
      </c>
      <c r="T15" s="28" t="str">
        <f aca="false">IF(OR($A15="",$F15=0),"",$R15/$F15)</f>
        <v/>
      </c>
      <c r="U15" s="35"/>
      <c r="V15" s="0" t="str">
        <f aca="false">IF($A15="","",$A15&amp;"|"&amp;$B15)</f>
        <v/>
      </c>
    </row>
    <row r="16" customFormat="false" ht="18" hidden="false" customHeight="true" outlineLevel="0" collapsed="false">
      <c r="A16" s="36"/>
      <c r="B16" s="36"/>
      <c r="C16" s="48" t="str">
        <f aca="false">IF($B16="","",IFERROR(VLOOKUP($B16,资产台账!$B$4:$N$53,2,0)&amp;"","台账中未登记"))</f>
        <v/>
      </c>
      <c r="D16" s="43" t="str">
        <f aca="false">IF($B16="","",IFERROR(VLOOKUP($B16,资产台账!$B$4:$N$53,3,0)&amp;"",""))</f>
        <v/>
      </c>
      <c r="E16" s="43" t="str">
        <f aca="false">IF($B16="","",IFERROR(VLOOKUP($B16,资产台账!$B$4:$N$53,5,0)&amp;"",""))</f>
        <v/>
      </c>
      <c r="F16" s="44"/>
      <c r="G16" s="44"/>
      <c r="H16" s="44"/>
      <c r="I16" s="44"/>
      <c r="J16" s="44"/>
      <c r="K16" s="44"/>
      <c r="L16" s="44"/>
      <c r="M16" s="44"/>
      <c r="N16" s="44"/>
      <c r="O16" s="44"/>
      <c r="P16" s="44"/>
      <c r="Q16" s="44"/>
      <c r="R16" s="45" t="str">
        <f aca="false">IF($A16="","",SUM(H16:Q16))</f>
        <v/>
      </c>
      <c r="S16" s="45" t="str">
        <f aca="false">IF($A16="","",ROUND($F16-$G16-$R16,2))</f>
        <v/>
      </c>
      <c r="T16" s="28" t="str">
        <f aca="false">IF(OR($A16="",$F16=0),"",$R16/$F16)</f>
        <v/>
      </c>
      <c r="U16" s="35"/>
      <c r="V16" s="0" t="str">
        <f aca="false">IF($A16="","",$A16&amp;"|"&amp;$B16)</f>
        <v/>
      </c>
    </row>
    <row r="17" customFormat="false" ht="18" hidden="false" customHeight="true" outlineLevel="0" collapsed="false">
      <c r="A17" s="36"/>
      <c r="B17" s="36"/>
      <c r="C17" s="48" t="str">
        <f aca="false">IF($B17="","",IFERROR(VLOOKUP($B17,资产台账!$B$4:$N$53,2,0)&amp;"","台账中未登记"))</f>
        <v/>
      </c>
      <c r="D17" s="43" t="str">
        <f aca="false">IF($B17="","",IFERROR(VLOOKUP($B17,资产台账!$B$4:$N$53,3,0)&amp;"",""))</f>
        <v/>
      </c>
      <c r="E17" s="43" t="str">
        <f aca="false">IF($B17="","",IFERROR(VLOOKUP($B17,资产台账!$B$4:$N$53,5,0)&amp;"",""))</f>
        <v/>
      </c>
      <c r="F17" s="44"/>
      <c r="G17" s="44"/>
      <c r="H17" s="44"/>
      <c r="I17" s="44"/>
      <c r="J17" s="44"/>
      <c r="K17" s="44"/>
      <c r="L17" s="44"/>
      <c r="M17" s="44"/>
      <c r="N17" s="44"/>
      <c r="O17" s="44"/>
      <c r="P17" s="44"/>
      <c r="Q17" s="44"/>
      <c r="R17" s="45" t="str">
        <f aca="false">IF($A17="","",SUM(H17:Q17))</f>
        <v/>
      </c>
      <c r="S17" s="45" t="str">
        <f aca="false">IF($A17="","",ROUND($F17-$G17-$R17,2))</f>
        <v/>
      </c>
      <c r="T17" s="28" t="str">
        <f aca="false">IF(OR($A17="",$F17=0),"",$R17/$F17)</f>
        <v/>
      </c>
      <c r="U17" s="35"/>
      <c r="V17" s="0" t="str">
        <f aca="false">IF($A17="","",$A17&amp;"|"&amp;$B17)</f>
        <v/>
      </c>
    </row>
    <row r="18" customFormat="false" ht="18" hidden="false" customHeight="true" outlineLevel="0" collapsed="false">
      <c r="A18" s="36"/>
      <c r="B18" s="36"/>
      <c r="C18" s="48" t="str">
        <f aca="false">IF($B18="","",IFERROR(VLOOKUP($B18,资产台账!$B$4:$N$53,2,0)&amp;"","台账中未登记"))</f>
        <v/>
      </c>
      <c r="D18" s="43" t="str">
        <f aca="false">IF($B18="","",IFERROR(VLOOKUP($B18,资产台账!$B$4:$N$53,3,0)&amp;"",""))</f>
        <v/>
      </c>
      <c r="E18" s="43" t="str">
        <f aca="false">IF($B18="","",IFERROR(VLOOKUP($B18,资产台账!$B$4:$N$53,5,0)&amp;"",""))</f>
        <v/>
      </c>
      <c r="F18" s="44"/>
      <c r="G18" s="44"/>
      <c r="H18" s="44"/>
      <c r="I18" s="44"/>
      <c r="J18" s="44"/>
      <c r="K18" s="44"/>
      <c r="L18" s="44"/>
      <c r="M18" s="44"/>
      <c r="N18" s="44"/>
      <c r="O18" s="44"/>
      <c r="P18" s="44"/>
      <c r="Q18" s="44"/>
      <c r="R18" s="45" t="str">
        <f aca="false">IF($A18="","",SUM(H18:Q18))</f>
        <v/>
      </c>
      <c r="S18" s="45" t="str">
        <f aca="false">IF($A18="","",ROUND($F18-$G18-$R18,2))</f>
        <v/>
      </c>
      <c r="T18" s="28" t="str">
        <f aca="false">IF(OR($A18="",$F18=0),"",$R18/$F18)</f>
        <v/>
      </c>
      <c r="U18" s="35"/>
      <c r="V18" s="0" t="str">
        <f aca="false">IF($A18="","",$A18&amp;"|"&amp;$B18)</f>
        <v/>
      </c>
    </row>
    <row r="19" customFormat="false" ht="18" hidden="false" customHeight="true" outlineLevel="0" collapsed="false">
      <c r="A19" s="36"/>
      <c r="B19" s="36"/>
      <c r="C19" s="48" t="str">
        <f aca="false">IF($B19="","",IFERROR(VLOOKUP($B19,资产台账!$B$4:$N$53,2,0)&amp;"","台账中未登记"))</f>
        <v/>
      </c>
      <c r="D19" s="43" t="str">
        <f aca="false">IF($B19="","",IFERROR(VLOOKUP($B19,资产台账!$B$4:$N$53,3,0)&amp;"",""))</f>
        <v/>
      </c>
      <c r="E19" s="43" t="str">
        <f aca="false">IF($B19="","",IFERROR(VLOOKUP($B19,资产台账!$B$4:$N$53,5,0)&amp;"",""))</f>
        <v/>
      </c>
      <c r="F19" s="44"/>
      <c r="G19" s="44"/>
      <c r="H19" s="44"/>
      <c r="I19" s="44"/>
      <c r="J19" s="44"/>
      <c r="K19" s="44"/>
      <c r="L19" s="44"/>
      <c r="M19" s="44"/>
      <c r="N19" s="44"/>
      <c r="O19" s="44"/>
      <c r="P19" s="44"/>
      <c r="Q19" s="44"/>
      <c r="R19" s="45" t="str">
        <f aca="false">IF($A19="","",SUM(H19:Q19))</f>
        <v/>
      </c>
      <c r="S19" s="45" t="str">
        <f aca="false">IF($A19="","",ROUND($F19-$G19-$R19,2))</f>
        <v/>
      </c>
      <c r="T19" s="28" t="str">
        <f aca="false">IF(OR($A19="",$F19=0),"",$R19/$F19)</f>
        <v/>
      </c>
      <c r="U19" s="35"/>
      <c r="V19" s="0" t="str">
        <f aca="false">IF($A19="","",$A19&amp;"|"&amp;$B19)</f>
        <v/>
      </c>
    </row>
    <row r="20" customFormat="false" ht="18" hidden="false" customHeight="true" outlineLevel="0" collapsed="false">
      <c r="A20" s="36"/>
      <c r="B20" s="36"/>
      <c r="C20" s="48" t="str">
        <f aca="false">IF($B20="","",IFERROR(VLOOKUP($B20,资产台账!$B$4:$N$53,2,0)&amp;"","台账中未登记"))</f>
        <v/>
      </c>
      <c r="D20" s="43" t="str">
        <f aca="false">IF($B20="","",IFERROR(VLOOKUP($B20,资产台账!$B$4:$N$53,3,0)&amp;"",""))</f>
        <v/>
      </c>
      <c r="E20" s="43" t="str">
        <f aca="false">IF($B20="","",IFERROR(VLOOKUP($B20,资产台账!$B$4:$N$53,5,0)&amp;"",""))</f>
        <v/>
      </c>
      <c r="F20" s="44"/>
      <c r="G20" s="44"/>
      <c r="H20" s="44"/>
      <c r="I20" s="44"/>
      <c r="J20" s="44"/>
      <c r="K20" s="44"/>
      <c r="L20" s="44"/>
      <c r="M20" s="44"/>
      <c r="N20" s="44"/>
      <c r="O20" s="44"/>
      <c r="P20" s="44"/>
      <c r="Q20" s="44"/>
      <c r="R20" s="45" t="str">
        <f aca="false">IF($A20="","",SUM(H20:Q20))</f>
        <v/>
      </c>
      <c r="S20" s="45" t="str">
        <f aca="false">IF($A20="","",ROUND($F20-$G20-$R20,2))</f>
        <v/>
      </c>
      <c r="T20" s="28" t="str">
        <f aca="false">IF(OR($A20="",$F20=0),"",$R20/$F20)</f>
        <v/>
      </c>
      <c r="U20" s="35"/>
      <c r="V20" s="0" t="str">
        <f aca="false">IF($A20="","",$A20&amp;"|"&amp;$B20)</f>
        <v/>
      </c>
    </row>
    <row r="21" customFormat="false" ht="18" hidden="false" customHeight="true" outlineLevel="0" collapsed="false">
      <c r="A21" s="36"/>
      <c r="B21" s="36"/>
      <c r="C21" s="48" t="str">
        <f aca="false">IF($B21="","",IFERROR(VLOOKUP($B21,资产台账!$B$4:$N$53,2,0)&amp;"","台账中未登记"))</f>
        <v/>
      </c>
      <c r="D21" s="43" t="str">
        <f aca="false">IF($B21="","",IFERROR(VLOOKUP($B21,资产台账!$B$4:$N$53,3,0)&amp;"",""))</f>
        <v/>
      </c>
      <c r="E21" s="43" t="str">
        <f aca="false">IF($B21="","",IFERROR(VLOOKUP($B21,资产台账!$B$4:$N$53,5,0)&amp;"",""))</f>
        <v/>
      </c>
      <c r="F21" s="44"/>
      <c r="G21" s="44"/>
      <c r="H21" s="44"/>
      <c r="I21" s="44"/>
      <c r="J21" s="44"/>
      <c r="K21" s="44"/>
      <c r="L21" s="44"/>
      <c r="M21" s="44"/>
      <c r="N21" s="44"/>
      <c r="O21" s="44"/>
      <c r="P21" s="44"/>
      <c r="Q21" s="44"/>
      <c r="R21" s="45" t="str">
        <f aca="false">IF($A21="","",SUM(H21:Q21))</f>
        <v/>
      </c>
      <c r="S21" s="45" t="str">
        <f aca="false">IF($A21="","",ROUND($F21-$G21-$R21,2))</f>
        <v/>
      </c>
      <c r="T21" s="28" t="str">
        <f aca="false">IF(OR($A21="",$F21=0),"",$R21/$F21)</f>
        <v/>
      </c>
      <c r="U21" s="35"/>
      <c r="V21" s="0" t="str">
        <f aca="false">IF($A21="","",$A21&amp;"|"&amp;$B21)</f>
        <v/>
      </c>
    </row>
    <row r="22" customFormat="false" ht="18" hidden="false" customHeight="true" outlineLevel="0" collapsed="false">
      <c r="A22" s="36"/>
      <c r="B22" s="36"/>
      <c r="C22" s="48" t="str">
        <f aca="false">IF($B22="","",IFERROR(VLOOKUP($B22,资产台账!$B$4:$N$53,2,0)&amp;"","台账中未登记"))</f>
        <v/>
      </c>
      <c r="D22" s="43" t="str">
        <f aca="false">IF($B22="","",IFERROR(VLOOKUP($B22,资产台账!$B$4:$N$53,3,0)&amp;"",""))</f>
        <v/>
      </c>
      <c r="E22" s="43" t="str">
        <f aca="false">IF($B22="","",IFERROR(VLOOKUP($B22,资产台账!$B$4:$N$53,5,0)&amp;"",""))</f>
        <v/>
      </c>
      <c r="F22" s="44"/>
      <c r="G22" s="44"/>
      <c r="H22" s="44"/>
      <c r="I22" s="44"/>
      <c r="J22" s="44"/>
      <c r="K22" s="44"/>
      <c r="L22" s="44"/>
      <c r="M22" s="44"/>
      <c r="N22" s="44"/>
      <c r="O22" s="44"/>
      <c r="P22" s="44"/>
      <c r="Q22" s="44"/>
      <c r="R22" s="45" t="str">
        <f aca="false">IF($A22="","",SUM(H22:Q22))</f>
        <v/>
      </c>
      <c r="S22" s="45" t="str">
        <f aca="false">IF($A22="","",ROUND($F22-$G22-$R22,2))</f>
        <v/>
      </c>
      <c r="T22" s="28" t="str">
        <f aca="false">IF(OR($A22="",$F22=0),"",$R22/$F22)</f>
        <v/>
      </c>
      <c r="U22" s="35"/>
      <c r="V22" s="0" t="str">
        <f aca="false">IF($A22="","",$A22&amp;"|"&amp;$B22)</f>
        <v/>
      </c>
    </row>
    <row r="23" customFormat="false" ht="18" hidden="false" customHeight="true" outlineLevel="0" collapsed="false">
      <c r="A23" s="36"/>
      <c r="B23" s="36"/>
      <c r="C23" s="48" t="str">
        <f aca="false">IF($B23="","",IFERROR(VLOOKUP($B23,资产台账!$B$4:$N$53,2,0)&amp;"","台账中未登记"))</f>
        <v/>
      </c>
      <c r="D23" s="43" t="str">
        <f aca="false">IF($B23="","",IFERROR(VLOOKUP($B23,资产台账!$B$4:$N$53,3,0)&amp;"",""))</f>
        <v/>
      </c>
      <c r="E23" s="43" t="str">
        <f aca="false">IF($B23="","",IFERROR(VLOOKUP($B23,资产台账!$B$4:$N$53,5,0)&amp;"",""))</f>
        <v/>
      </c>
      <c r="F23" s="44"/>
      <c r="G23" s="44"/>
      <c r="H23" s="44"/>
      <c r="I23" s="44"/>
      <c r="J23" s="44"/>
      <c r="K23" s="44"/>
      <c r="L23" s="44"/>
      <c r="M23" s="44"/>
      <c r="N23" s="44"/>
      <c r="O23" s="44"/>
      <c r="P23" s="44"/>
      <c r="Q23" s="44"/>
      <c r="R23" s="45" t="str">
        <f aca="false">IF($A23="","",SUM(H23:Q23))</f>
        <v/>
      </c>
      <c r="S23" s="45" t="str">
        <f aca="false">IF($A23="","",ROUND($F23-$G23-$R23,2))</f>
        <v/>
      </c>
      <c r="T23" s="28" t="str">
        <f aca="false">IF(OR($A23="",$F23=0),"",$R23/$F23)</f>
        <v/>
      </c>
      <c r="U23" s="35"/>
      <c r="V23" s="0" t="str">
        <f aca="false">IF($A23="","",$A23&amp;"|"&amp;$B23)</f>
        <v/>
      </c>
    </row>
    <row r="24" customFormat="false" ht="18" hidden="false" customHeight="true" outlineLevel="0" collapsed="false">
      <c r="A24" s="36"/>
      <c r="B24" s="36"/>
      <c r="C24" s="48" t="str">
        <f aca="false">IF($B24="","",IFERROR(VLOOKUP($B24,资产台账!$B$4:$N$53,2,0)&amp;"","台账中未登记"))</f>
        <v/>
      </c>
      <c r="D24" s="43" t="str">
        <f aca="false">IF($B24="","",IFERROR(VLOOKUP($B24,资产台账!$B$4:$N$53,3,0)&amp;"",""))</f>
        <v/>
      </c>
      <c r="E24" s="43" t="str">
        <f aca="false">IF($B24="","",IFERROR(VLOOKUP($B24,资产台账!$B$4:$N$53,5,0)&amp;"",""))</f>
        <v/>
      </c>
      <c r="F24" s="44"/>
      <c r="G24" s="44"/>
      <c r="H24" s="44"/>
      <c r="I24" s="44"/>
      <c r="J24" s="44"/>
      <c r="K24" s="44"/>
      <c r="L24" s="44"/>
      <c r="M24" s="44"/>
      <c r="N24" s="44"/>
      <c r="O24" s="44"/>
      <c r="P24" s="44"/>
      <c r="Q24" s="44"/>
      <c r="R24" s="45" t="str">
        <f aca="false">IF($A24="","",SUM(H24:Q24))</f>
        <v/>
      </c>
      <c r="S24" s="45" t="str">
        <f aca="false">IF($A24="","",ROUND($F24-$G24-$R24,2))</f>
        <v/>
      </c>
      <c r="T24" s="28" t="str">
        <f aca="false">IF(OR($A24="",$F24=0),"",$R24/$F24)</f>
        <v/>
      </c>
      <c r="U24" s="35"/>
      <c r="V24" s="0" t="str">
        <f aca="false">IF($A24="","",$A24&amp;"|"&amp;$B24)</f>
        <v/>
      </c>
    </row>
    <row r="25" customFormat="false" ht="18" hidden="false" customHeight="true" outlineLevel="0" collapsed="false">
      <c r="A25" s="36"/>
      <c r="B25" s="36"/>
      <c r="C25" s="48" t="str">
        <f aca="false">IF($B25="","",IFERROR(VLOOKUP($B25,资产台账!$B$4:$N$53,2,0)&amp;"","台账中未登记"))</f>
        <v/>
      </c>
      <c r="D25" s="43" t="str">
        <f aca="false">IF($B25="","",IFERROR(VLOOKUP($B25,资产台账!$B$4:$N$53,3,0)&amp;"",""))</f>
        <v/>
      </c>
      <c r="E25" s="43" t="str">
        <f aca="false">IF($B25="","",IFERROR(VLOOKUP($B25,资产台账!$B$4:$N$53,5,0)&amp;"",""))</f>
        <v/>
      </c>
      <c r="F25" s="44"/>
      <c r="G25" s="44"/>
      <c r="H25" s="44"/>
      <c r="I25" s="44"/>
      <c r="J25" s="44"/>
      <c r="K25" s="44"/>
      <c r="L25" s="44"/>
      <c r="M25" s="44"/>
      <c r="N25" s="44"/>
      <c r="O25" s="44"/>
      <c r="P25" s="44"/>
      <c r="Q25" s="44"/>
      <c r="R25" s="45" t="str">
        <f aca="false">IF($A25="","",SUM(H25:Q25))</f>
        <v/>
      </c>
      <c r="S25" s="45" t="str">
        <f aca="false">IF($A25="","",ROUND($F25-$G25-$R25,2))</f>
        <v/>
      </c>
      <c r="T25" s="28" t="str">
        <f aca="false">IF(OR($A25="",$F25=0),"",$R25/$F25)</f>
        <v/>
      </c>
      <c r="U25" s="35"/>
      <c r="V25" s="0" t="str">
        <f aca="false">IF($A25="","",$A25&amp;"|"&amp;$B25)</f>
        <v/>
      </c>
    </row>
    <row r="26" customFormat="false" ht="18" hidden="false" customHeight="true" outlineLevel="0" collapsed="false">
      <c r="A26" s="36"/>
      <c r="B26" s="36"/>
      <c r="C26" s="48" t="str">
        <f aca="false">IF($B26="","",IFERROR(VLOOKUP($B26,资产台账!$B$4:$N$53,2,0)&amp;"","台账中未登记"))</f>
        <v/>
      </c>
      <c r="D26" s="43" t="str">
        <f aca="false">IF($B26="","",IFERROR(VLOOKUP($B26,资产台账!$B$4:$N$53,3,0)&amp;"",""))</f>
        <v/>
      </c>
      <c r="E26" s="43" t="str">
        <f aca="false">IF($B26="","",IFERROR(VLOOKUP($B26,资产台账!$B$4:$N$53,5,0)&amp;"",""))</f>
        <v/>
      </c>
      <c r="F26" s="44"/>
      <c r="G26" s="44"/>
      <c r="H26" s="44"/>
      <c r="I26" s="44"/>
      <c r="J26" s="44"/>
      <c r="K26" s="44"/>
      <c r="L26" s="44"/>
      <c r="M26" s="44"/>
      <c r="N26" s="44"/>
      <c r="O26" s="44"/>
      <c r="P26" s="44"/>
      <c r="Q26" s="44"/>
      <c r="R26" s="45" t="str">
        <f aca="false">IF($A26="","",SUM(H26:Q26))</f>
        <v/>
      </c>
      <c r="S26" s="45" t="str">
        <f aca="false">IF($A26="","",ROUND($F26-$G26-$R26,2))</f>
        <v/>
      </c>
      <c r="T26" s="28" t="str">
        <f aca="false">IF(OR($A26="",$F26=0),"",$R26/$F26)</f>
        <v/>
      </c>
      <c r="U26" s="35"/>
      <c r="V26" s="0" t="str">
        <f aca="false">IF($A26="","",$A26&amp;"|"&amp;$B26)</f>
        <v/>
      </c>
    </row>
    <row r="27" customFormat="false" ht="18" hidden="false" customHeight="true" outlineLevel="0" collapsed="false">
      <c r="A27" s="36"/>
      <c r="B27" s="36"/>
      <c r="C27" s="48" t="str">
        <f aca="false">IF($B27="","",IFERROR(VLOOKUP($B27,资产台账!$B$4:$N$53,2,0)&amp;"","台账中未登记"))</f>
        <v/>
      </c>
      <c r="D27" s="43" t="str">
        <f aca="false">IF($B27="","",IFERROR(VLOOKUP($B27,资产台账!$B$4:$N$53,3,0)&amp;"",""))</f>
        <v/>
      </c>
      <c r="E27" s="43" t="str">
        <f aca="false">IF($B27="","",IFERROR(VLOOKUP($B27,资产台账!$B$4:$N$53,5,0)&amp;"",""))</f>
        <v/>
      </c>
      <c r="F27" s="44"/>
      <c r="G27" s="44"/>
      <c r="H27" s="44"/>
      <c r="I27" s="44"/>
      <c r="J27" s="44"/>
      <c r="K27" s="44"/>
      <c r="L27" s="44"/>
      <c r="M27" s="44"/>
      <c r="N27" s="44"/>
      <c r="O27" s="44"/>
      <c r="P27" s="44"/>
      <c r="Q27" s="44"/>
      <c r="R27" s="45" t="str">
        <f aca="false">IF($A27="","",SUM(H27:Q27))</f>
        <v/>
      </c>
      <c r="S27" s="45" t="str">
        <f aca="false">IF($A27="","",ROUND($F27-$G27-$R27,2))</f>
        <v/>
      </c>
      <c r="T27" s="28" t="str">
        <f aca="false">IF(OR($A27="",$F27=0),"",$R27/$F27)</f>
        <v/>
      </c>
      <c r="U27" s="35"/>
      <c r="V27" s="0" t="str">
        <f aca="false">IF($A27="","",$A27&amp;"|"&amp;$B27)</f>
        <v/>
      </c>
    </row>
    <row r="28" customFormat="false" ht="18" hidden="false" customHeight="true" outlineLevel="0" collapsed="false">
      <c r="A28" s="36"/>
      <c r="B28" s="36"/>
      <c r="C28" s="48" t="str">
        <f aca="false">IF($B28="","",IFERROR(VLOOKUP($B28,资产台账!$B$4:$N$53,2,0)&amp;"","台账中未登记"))</f>
        <v/>
      </c>
      <c r="D28" s="43" t="str">
        <f aca="false">IF($B28="","",IFERROR(VLOOKUP($B28,资产台账!$B$4:$N$53,3,0)&amp;"",""))</f>
        <v/>
      </c>
      <c r="E28" s="43" t="str">
        <f aca="false">IF($B28="","",IFERROR(VLOOKUP($B28,资产台账!$B$4:$N$53,5,0)&amp;"",""))</f>
        <v/>
      </c>
      <c r="F28" s="44"/>
      <c r="G28" s="44"/>
      <c r="H28" s="44"/>
      <c r="I28" s="44"/>
      <c r="J28" s="44"/>
      <c r="K28" s="44"/>
      <c r="L28" s="44"/>
      <c r="M28" s="44"/>
      <c r="N28" s="44"/>
      <c r="O28" s="44"/>
      <c r="P28" s="44"/>
      <c r="Q28" s="44"/>
      <c r="R28" s="45" t="str">
        <f aca="false">IF($A28="","",SUM(H28:Q28))</f>
        <v/>
      </c>
      <c r="S28" s="45" t="str">
        <f aca="false">IF($A28="","",ROUND($F28-$G28-$R28,2))</f>
        <v/>
      </c>
      <c r="T28" s="28" t="str">
        <f aca="false">IF(OR($A28="",$F28=0),"",$R28/$F28)</f>
        <v/>
      </c>
      <c r="U28" s="35"/>
      <c r="V28" s="0" t="str">
        <f aca="false">IF($A28="","",$A28&amp;"|"&amp;$B28)</f>
        <v/>
      </c>
    </row>
    <row r="29" customFormat="false" ht="18" hidden="false" customHeight="true" outlineLevel="0" collapsed="false">
      <c r="A29" s="36"/>
      <c r="B29" s="36"/>
      <c r="C29" s="48" t="str">
        <f aca="false">IF($B29="","",IFERROR(VLOOKUP($B29,资产台账!$B$4:$N$53,2,0)&amp;"","台账中未登记"))</f>
        <v/>
      </c>
      <c r="D29" s="43" t="str">
        <f aca="false">IF($B29="","",IFERROR(VLOOKUP($B29,资产台账!$B$4:$N$53,3,0)&amp;"",""))</f>
        <v/>
      </c>
      <c r="E29" s="43" t="str">
        <f aca="false">IF($B29="","",IFERROR(VLOOKUP($B29,资产台账!$B$4:$N$53,5,0)&amp;"",""))</f>
        <v/>
      </c>
      <c r="F29" s="44"/>
      <c r="G29" s="44"/>
      <c r="H29" s="44"/>
      <c r="I29" s="44"/>
      <c r="J29" s="44"/>
      <c r="K29" s="44"/>
      <c r="L29" s="44"/>
      <c r="M29" s="44"/>
      <c r="N29" s="44"/>
      <c r="O29" s="44"/>
      <c r="P29" s="44"/>
      <c r="Q29" s="44"/>
      <c r="R29" s="45" t="str">
        <f aca="false">IF($A29="","",SUM(H29:Q29))</f>
        <v/>
      </c>
      <c r="S29" s="45" t="str">
        <f aca="false">IF($A29="","",ROUND($F29-$G29-$R29,2))</f>
        <v/>
      </c>
      <c r="T29" s="28" t="str">
        <f aca="false">IF(OR($A29="",$F29=0),"",$R29/$F29)</f>
        <v/>
      </c>
      <c r="U29" s="35"/>
      <c r="V29" s="0" t="str">
        <f aca="false">IF($A29="","",$A29&amp;"|"&amp;$B29)</f>
        <v/>
      </c>
    </row>
    <row r="30" customFormat="false" ht="18" hidden="false" customHeight="true" outlineLevel="0" collapsed="false">
      <c r="A30" s="36"/>
      <c r="B30" s="36"/>
      <c r="C30" s="48" t="str">
        <f aca="false">IF($B30="","",IFERROR(VLOOKUP($B30,资产台账!$B$4:$N$53,2,0)&amp;"","台账中未登记"))</f>
        <v/>
      </c>
      <c r="D30" s="43" t="str">
        <f aca="false">IF($B30="","",IFERROR(VLOOKUP($B30,资产台账!$B$4:$N$53,3,0)&amp;"",""))</f>
        <v/>
      </c>
      <c r="E30" s="43" t="str">
        <f aca="false">IF($B30="","",IFERROR(VLOOKUP($B30,资产台账!$B$4:$N$53,5,0)&amp;"",""))</f>
        <v/>
      </c>
      <c r="F30" s="44"/>
      <c r="G30" s="44"/>
      <c r="H30" s="44"/>
      <c r="I30" s="44"/>
      <c r="J30" s="44"/>
      <c r="K30" s="44"/>
      <c r="L30" s="44"/>
      <c r="M30" s="44"/>
      <c r="N30" s="44"/>
      <c r="O30" s="44"/>
      <c r="P30" s="44"/>
      <c r="Q30" s="44"/>
      <c r="R30" s="45" t="str">
        <f aca="false">IF($A30="","",SUM(H30:Q30))</f>
        <v/>
      </c>
      <c r="S30" s="45" t="str">
        <f aca="false">IF($A30="","",ROUND($F30-$G30-$R30,2))</f>
        <v/>
      </c>
      <c r="T30" s="28" t="str">
        <f aca="false">IF(OR($A30="",$F30=0),"",$R30/$F30)</f>
        <v/>
      </c>
      <c r="U30" s="35"/>
      <c r="V30" s="0" t="str">
        <f aca="false">IF($A30="","",$A30&amp;"|"&amp;$B30)</f>
        <v/>
      </c>
    </row>
    <row r="31" customFormat="false" ht="18" hidden="false" customHeight="true" outlineLevel="0" collapsed="false">
      <c r="A31" s="36"/>
      <c r="B31" s="36"/>
      <c r="C31" s="48" t="str">
        <f aca="false">IF($B31="","",IFERROR(VLOOKUP($B31,资产台账!$B$4:$N$53,2,0)&amp;"","台账中未登记"))</f>
        <v/>
      </c>
      <c r="D31" s="43" t="str">
        <f aca="false">IF($B31="","",IFERROR(VLOOKUP($B31,资产台账!$B$4:$N$53,3,0)&amp;"",""))</f>
        <v/>
      </c>
      <c r="E31" s="43" t="str">
        <f aca="false">IF($B31="","",IFERROR(VLOOKUP($B31,资产台账!$B$4:$N$53,5,0)&amp;"",""))</f>
        <v/>
      </c>
      <c r="F31" s="44"/>
      <c r="G31" s="44"/>
      <c r="H31" s="44"/>
      <c r="I31" s="44"/>
      <c r="J31" s="44"/>
      <c r="K31" s="44"/>
      <c r="L31" s="44"/>
      <c r="M31" s="44"/>
      <c r="N31" s="44"/>
      <c r="O31" s="44"/>
      <c r="P31" s="44"/>
      <c r="Q31" s="44"/>
      <c r="R31" s="45" t="str">
        <f aca="false">IF($A31="","",SUM(H31:Q31))</f>
        <v/>
      </c>
      <c r="S31" s="45" t="str">
        <f aca="false">IF($A31="","",ROUND($F31-$G31-$R31,2))</f>
        <v/>
      </c>
      <c r="T31" s="28" t="str">
        <f aca="false">IF(OR($A31="",$F31=0),"",$R31/$F31)</f>
        <v/>
      </c>
      <c r="U31" s="35"/>
      <c r="V31" s="0" t="str">
        <f aca="false">IF($A31="","",$A31&amp;"|"&amp;$B31)</f>
        <v/>
      </c>
    </row>
    <row r="32" customFormat="false" ht="18" hidden="false" customHeight="true" outlineLevel="0" collapsed="false">
      <c r="A32" s="36"/>
      <c r="B32" s="36"/>
      <c r="C32" s="48" t="str">
        <f aca="false">IF($B32="","",IFERROR(VLOOKUP($B32,资产台账!$B$4:$N$53,2,0)&amp;"","台账中未登记"))</f>
        <v/>
      </c>
      <c r="D32" s="43" t="str">
        <f aca="false">IF($B32="","",IFERROR(VLOOKUP($B32,资产台账!$B$4:$N$53,3,0)&amp;"",""))</f>
        <v/>
      </c>
      <c r="E32" s="43" t="str">
        <f aca="false">IF($B32="","",IFERROR(VLOOKUP($B32,资产台账!$B$4:$N$53,5,0)&amp;"",""))</f>
        <v/>
      </c>
      <c r="F32" s="44"/>
      <c r="G32" s="44"/>
      <c r="H32" s="44"/>
      <c r="I32" s="44"/>
      <c r="J32" s="44"/>
      <c r="K32" s="44"/>
      <c r="L32" s="44"/>
      <c r="M32" s="44"/>
      <c r="N32" s="44"/>
      <c r="O32" s="44"/>
      <c r="P32" s="44"/>
      <c r="Q32" s="44"/>
      <c r="R32" s="45" t="str">
        <f aca="false">IF($A32="","",SUM(H32:Q32))</f>
        <v/>
      </c>
      <c r="S32" s="45" t="str">
        <f aca="false">IF($A32="","",ROUND($F32-$G32-$R32,2))</f>
        <v/>
      </c>
      <c r="T32" s="28" t="str">
        <f aca="false">IF(OR($A32="",$F32=0),"",$R32/$F32)</f>
        <v/>
      </c>
      <c r="U32" s="35"/>
      <c r="V32" s="0" t="str">
        <f aca="false">IF($A32="","",$A32&amp;"|"&amp;$B32)</f>
        <v/>
      </c>
    </row>
    <row r="33" customFormat="false" ht="18" hidden="false" customHeight="true" outlineLevel="0" collapsed="false">
      <c r="A33" s="36"/>
      <c r="B33" s="36"/>
      <c r="C33" s="48" t="str">
        <f aca="false">IF($B33="","",IFERROR(VLOOKUP($B33,资产台账!$B$4:$N$53,2,0)&amp;"","台账中未登记"))</f>
        <v/>
      </c>
      <c r="D33" s="43" t="str">
        <f aca="false">IF($B33="","",IFERROR(VLOOKUP($B33,资产台账!$B$4:$N$53,3,0)&amp;"",""))</f>
        <v/>
      </c>
      <c r="E33" s="43" t="str">
        <f aca="false">IF($B33="","",IFERROR(VLOOKUP($B33,资产台账!$B$4:$N$53,5,0)&amp;"",""))</f>
        <v/>
      </c>
      <c r="F33" s="44"/>
      <c r="G33" s="44"/>
      <c r="H33" s="44"/>
      <c r="I33" s="44"/>
      <c r="J33" s="44"/>
      <c r="K33" s="44"/>
      <c r="L33" s="44"/>
      <c r="M33" s="44"/>
      <c r="N33" s="44"/>
      <c r="O33" s="44"/>
      <c r="P33" s="44"/>
      <c r="Q33" s="44"/>
      <c r="R33" s="45" t="str">
        <f aca="false">IF($A33="","",SUM(H33:Q33))</f>
        <v/>
      </c>
      <c r="S33" s="45" t="str">
        <f aca="false">IF($A33="","",ROUND($F33-$G33-$R33,2))</f>
        <v/>
      </c>
      <c r="T33" s="28" t="str">
        <f aca="false">IF(OR($A33="",$F33=0),"",$R33/$F33)</f>
        <v/>
      </c>
      <c r="U33" s="35"/>
      <c r="V33" s="0" t="str">
        <f aca="false">IF($A33="","",$A33&amp;"|"&amp;$B33)</f>
        <v/>
      </c>
    </row>
    <row r="34" customFormat="false" ht="18" hidden="false" customHeight="true" outlineLevel="0" collapsed="false">
      <c r="A34" s="36"/>
      <c r="B34" s="36"/>
      <c r="C34" s="48" t="str">
        <f aca="false">IF($B34="","",IFERROR(VLOOKUP($B34,资产台账!$B$4:$N$53,2,0)&amp;"","台账中未登记"))</f>
        <v/>
      </c>
      <c r="D34" s="43" t="str">
        <f aca="false">IF($B34="","",IFERROR(VLOOKUP($B34,资产台账!$B$4:$N$53,3,0)&amp;"",""))</f>
        <v/>
      </c>
      <c r="E34" s="43" t="str">
        <f aca="false">IF($B34="","",IFERROR(VLOOKUP($B34,资产台账!$B$4:$N$53,5,0)&amp;"",""))</f>
        <v/>
      </c>
      <c r="F34" s="44"/>
      <c r="G34" s="44"/>
      <c r="H34" s="44"/>
      <c r="I34" s="44"/>
      <c r="J34" s="44"/>
      <c r="K34" s="44"/>
      <c r="L34" s="44"/>
      <c r="M34" s="44"/>
      <c r="N34" s="44"/>
      <c r="O34" s="44"/>
      <c r="P34" s="44"/>
      <c r="Q34" s="44"/>
      <c r="R34" s="45" t="str">
        <f aca="false">IF($A34="","",SUM(H34:Q34))</f>
        <v/>
      </c>
      <c r="S34" s="45" t="str">
        <f aca="false">IF($A34="","",ROUND($F34-$G34-$R34,2))</f>
        <v/>
      </c>
      <c r="T34" s="28" t="str">
        <f aca="false">IF(OR($A34="",$F34=0),"",$R34/$F34)</f>
        <v/>
      </c>
      <c r="U34" s="35"/>
      <c r="V34" s="0" t="str">
        <f aca="false">IF($A34="","",$A34&amp;"|"&amp;$B34)</f>
        <v/>
      </c>
    </row>
    <row r="35" customFormat="false" ht="18" hidden="false" customHeight="true" outlineLevel="0" collapsed="false">
      <c r="A35" s="36"/>
      <c r="B35" s="36"/>
      <c r="C35" s="48" t="str">
        <f aca="false">IF($B35="","",IFERROR(VLOOKUP($B35,资产台账!$B$4:$N$53,2,0)&amp;"","台账中未登记"))</f>
        <v/>
      </c>
      <c r="D35" s="43" t="str">
        <f aca="false">IF($B35="","",IFERROR(VLOOKUP($B35,资产台账!$B$4:$N$53,3,0)&amp;"",""))</f>
        <v/>
      </c>
      <c r="E35" s="43" t="str">
        <f aca="false">IF($B35="","",IFERROR(VLOOKUP($B35,资产台账!$B$4:$N$53,5,0)&amp;"",""))</f>
        <v/>
      </c>
      <c r="F35" s="44"/>
      <c r="G35" s="44"/>
      <c r="H35" s="44"/>
      <c r="I35" s="44"/>
      <c r="J35" s="44"/>
      <c r="K35" s="44"/>
      <c r="L35" s="44"/>
      <c r="M35" s="44"/>
      <c r="N35" s="44"/>
      <c r="O35" s="44"/>
      <c r="P35" s="44"/>
      <c r="Q35" s="44"/>
      <c r="R35" s="45" t="str">
        <f aca="false">IF($A35="","",SUM(H35:Q35))</f>
        <v/>
      </c>
      <c r="S35" s="45" t="str">
        <f aca="false">IF($A35="","",ROUND($F35-$G35-$R35,2))</f>
        <v/>
      </c>
      <c r="T35" s="28" t="str">
        <f aca="false">IF(OR($A35="",$F35=0),"",$R35/$F35)</f>
        <v/>
      </c>
      <c r="U35" s="35"/>
      <c r="V35" s="0" t="str">
        <f aca="false">IF($A35="","",$A35&amp;"|"&amp;$B35)</f>
        <v/>
      </c>
    </row>
    <row r="36" customFormat="false" ht="18" hidden="false" customHeight="true" outlineLevel="0" collapsed="false">
      <c r="A36" s="36"/>
      <c r="B36" s="36"/>
      <c r="C36" s="48" t="str">
        <f aca="false">IF($B36="","",IFERROR(VLOOKUP($B36,资产台账!$B$4:$N$53,2,0)&amp;"","台账中未登记"))</f>
        <v/>
      </c>
      <c r="D36" s="43" t="str">
        <f aca="false">IF($B36="","",IFERROR(VLOOKUP($B36,资产台账!$B$4:$N$53,3,0)&amp;"",""))</f>
        <v/>
      </c>
      <c r="E36" s="43" t="str">
        <f aca="false">IF($B36="","",IFERROR(VLOOKUP($B36,资产台账!$B$4:$N$53,5,0)&amp;"",""))</f>
        <v/>
      </c>
      <c r="F36" s="44"/>
      <c r="G36" s="44"/>
      <c r="H36" s="44"/>
      <c r="I36" s="44"/>
      <c r="J36" s="44"/>
      <c r="K36" s="44"/>
      <c r="L36" s="44"/>
      <c r="M36" s="44"/>
      <c r="N36" s="44"/>
      <c r="O36" s="44"/>
      <c r="P36" s="44"/>
      <c r="Q36" s="44"/>
      <c r="R36" s="45" t="str">
        <f aca="false">IF($A36="","",SUM(H36:Q36))</f>
        <v/>
      </c>
      <c r="S36" s="45" t="str">
        <f aca="false">IF($A36="","",ROUND($F36-$G36-$R36,2))</f>
        <v/>
      </c>
      <c r="T36" s="28" t="str">
        <f aca="false">IF(OR($A36="",$F36=0),"",$R36/$F36)</f>
        <v/>
      </c>
      <c r="U36" s="35"/>
      <c r="V36" s="0" t="str">
        <f aca="false">IF($A36="","",$A36&amp;"|"&amp;$B36)</f>
        <v/>
      </c>
    </row>
    <row r="37" customFormat="false" ht="18" hidden="false" customHeight="true" outlineLevel="0" collapsed="false">
      <c r="A37" s="36"/>
      <c r="B37" s="36"/>
      <c r="C37" s="48" t="str">
        <f aca="false">IF($B37="","",IFERROR(VLOOKUP($B37,资产台账!$B$4:$N$53,2,0)&amp;"","台账中未登记"))</f>
        <v/>
      </c>
      <c r="D37" s="43" t="str">
        <f aca="false">IF($B37="","",IFERROR(VLOOKUP($B37,资产台账!$B$4:$N$53,3,0)&amp;"",""))</f>
        <v/>
      </c>
      <c r="E37" s="43" t="str">
        <f aca="false">IF($B37="","",IFERROR(VLOOKUP($B37,资产台账!$B$4:$N$53,5,0)&amp;"",""))</f>
        <v/>
      </c>
      <c r="F37" s="44"/>
      <c r="G37" s="44"/>
      <c r="H37" s="44"/>
      <c r="I37" s="44"/>
      <c r="J37" s="44"/>
      <c r="K37" s="44"/>
      <c r="L37" s="44"/>
      <c r="M37" s="44"/>
      <c r="N37" s="44"/>
      <c r="O37" s="44"/>
      <c r="P37" s="44"/>
      <c r="Q37" s="44"/>
      <c r="R37" s="45" t="str">
        <f aca="false">IF($A37="","",SUM(H37:Q37))</f>
        <v/>
      </c>
      <c r="S37" s="45" t="str">
        <f aca="false">IF($A37="","",ROUND($F37-$G37-$R37,2))</f>
        <v/>
      </c>
      <c r="T37" s="28" t="str">
        <f aca="false">IF(OR($A37="",$F37=0),"",$R37/$F37)</f>
        <v/>
      </c>
      <c r="U37" s="35"/>
      <c r="V37" s="0" t="str">
        <f aca="false">IF($A37="","",$A37&amp;"|"&amp;$B37)</f>
        <v/>
      </c>
    </row>
    <row r="38" customFormat="false" ht="18" hidden="false" customHeight="true" outlineLevel="0" collapsed="false">
      <c r="A38" s="36"/>
      <c r="B38" s="36"/>
      <c r="C38" s="48" t="str">
        <f aca="false">IF($B38="","",IFERROR(VLOOKUP($B38,资产台账!$B$4:$N$53,2,0)&amp;"","台账中未登记"))</f>
        <v/>
      </c>
      <c r="D38" s="43" t="str">
        <f aca="false">IF($B38="","",IFERROR(VLOOKUP($B38,资产台账!$B$4:$N$53,3,0)&amp;"",""))</f>
        <v/>
      </c>
      <c r="E38" s="43" t="str">
        <f aca="false">IF($B38="","",IFERROR(VLOOKUP($B38,资产台账!$B$4:$N$53,5,0)&amp;"",""))</f>
        <v/>
      </c>
      <c r="F38" s="44"/>
      <c r="G38" s="44"/>
      <c r="H38" s="44"/>
      <c r="I38" s="44"/>
      <c r="J38" s="44"/>
      <c r="K38" s="44"/>
      <c r="L38" s="44"/>
      <c r="M38" s="44"/>
      <c r="N38" s="44"/>
      <c r="O38" s="44"/>
      <c r="P38" s="44"/>
      <c r="Q38" s="44"/>
      <c r="R38" s="45" t="str">
        <f aca="false">IF($A38="","",SUM(H38:Q38))</f>
        <v/>
      </c>
      <c r="S38" s="45" t="str">
        <f aca="false">IF($A38="","",ROUND($F38-$G38-$R38,2))</f>
        <v/>
      </c>
      <c r="T38" s="28" t="str">
        <f aca="false">IF(OR($A38="",$F38=0),"",$R38/$F38)</f>
        <v/>
      </c>
      <c r="U38" s="35"/>
      <c r="V38" s="0" t="str">
        <f aca="false">IF($A38="","",$A38&amp;"|"&amp;$B38)</f>
        <v/>
      </c>
    </row>
    <row r="39" customFormat="false" ht="18" hidden="false" customHeight="true" outlineLevel="0" collapsed="false">
      <c r="A39" s="36"/>
      <c r="B39" s="36"/>
      <c r="C39" s="48" t="str">
        <f aca="false">IF($B39="","",IFERROR(VLOOKUP($B39,资产台账!$B$4:$N$53,2,0)&amp;"","台账中未登记"))</f>
        <v/>
      </c>
      <c r="D39" s="43" t="str">
        <f aca="false">IF($B39="","",IFERROR(VLOOKUP($B39,资产台账!$B$4:$N$53,3,0)&amp;"",""))</f>
        <v/>
      </c>
      <c r="E39" s="43" t="str">
        <f aca="false">IF($B39="","",IFERROR(VLOOKUP($B39,资产台账!$B$4:$N$53,5,0)&amp;"",""))</f>
        <v/>
      </c>
      <c r="F39" s="44"/>
      <c r="G39" s="44"/>
      <c r="H39" s="44"/>
      <c r="I39" s="44"/>
      <c r="J39" s="44"/>
      <c r="K39" s="44"/>
      <c r="L39" s="44"/>
      <c r="M39" s="44"/>
      <c r="N39" s="44"/>
      <c r="O39" s="44"/>
      <c r="P39" s="44"/>
      <c r="Q39" s="44"/>
      <c r="R39" s="45" t="str">
        <f aca="false">IF($A39="","",SUM(H39:Q39))</f>
        <v/>
      </c>
      <c r="S39" s="45" t="str">
        <f aca="false">IF($A39="","",ROUND($F39-$G39-$R39,2))</f>
        <v/>
      </c>
      <c r="T39" s="28" t="str">
        <f aca="false">IF(OR($A39="",$F39=0),"",$R39/$F39)</f>
        <v/>
      </c>
      <c r="U39" s="35"/>
      <c r="V39" s="0" t="str">
        <f aca="false">IF($A39="","",$A39&amp;"|"&amp;$B39)</f>
        <v/>
      </c>
    </row>
    <row r="40" customFormat="false" ht="18" hidden="false" customHeight="true" outlineLevel="0" collapsed="false">
      <c r="A40" s="36"/>
      <c r="B40" s="36"/>
      <c r="C40" s="48" t="str">
        <f aca="false">IF($B40="","",IFERROR(VLOOKUP($B40,资产台账!$B$4:$N$53,2,0)&amp;"","台账中未登记"))</f>
        <v/>
      </c>
      <c r="D40" s="43" t="str">
        <f aca="false">IF($B40="","",IFERROR(VLOOKUP($B40,资产台账!$B$4:$N$53,3,0)&amp;"",""))</f>
        <v/>
      </c>
      <c r="E40" s="43" t="str">
        <f aca="false">IF($B40="","",IFERROR(VLOOKUP($B40,资产台账!$B$4:$N$53,5,0)&amp;"",""))</f>
        <v/>
      </c>
      <c r="F40" s="44"/>
      <c r="G40" s="44"/>
      <c r="H40" s="44"/>
      <c r="I40" s="44"/>
      <c r="J40" s="44"/>
      <c r="K40" s="44"/>
      <c r="L40" s="44"/>
      <c r="M40" s="44"/>
      <c r="N40" s="44"/>
      <c r="O40" s="44"/>
      <c r="P40" s="44"/>
      <c r="Q40" s="44"/>
      <c r="R40" s="45" t="str">
        <f aca="false">IF($A40="","",SUM(H40:Q40))</f>
        <v/>
      </c>
      <c r="S40" s="45" t="str">
        <f aca="false">IF($A40="","",ROUND($F40-$G40-$R40,2))</f>
        <v/>
      </c>
      <c r="T40" s="28" t="str">
        <f aca="false">IF(OR($A40="",$F40=0),"",$R40/$F40)</f>
        <v/>
      </c>
      <c r="U40" s="35"/>
      <c r="V40" s="0" t="str">
        <f aca="false">IF($A40="","",$A40&amp;"|"&amp;$B40)</f>
        <v/>
      </c>
    </row>
    <row r="41" customFormat="false" ht="18" hidden="false" customHeight="true" outlineLevel="0" collapsed="false">
      <c r="A41" s="36"/>
      <c r="B41" s="36"/>
      <c r="C41" s="48" t="str">
        <f aca="false">IF($B41="","",IFERROR(VLOOKUP($B41,资产台账!$B$4:$N$53,2,0)&amp;"","台账中未登记"))</f>
        <v/>
      </c>
      <c r="D41" s="43" t="str">
        <f aca="false">IF($B41="","",IFERROR(VLOOKUP($B41,资产台账!$B$4:$N$53,3,0)&amp;"",""))</f>
        <v/>
      </c>
      <c r="E41" s="43" t="str">
        <f aca="false">IF($B41="","",IFERROR(VLOOKUP($B41,资产台账!$B$4:$N$53,5,0)&amp;"",""))</f>
        <v/>
      </c>
      <c r="F41" s="44"/>
      <c r="G41" s="44"/>
      <c r="H41" s="44"/>
      <c r="I41" s="44"/>
      <c r="J41" s="44"/>
      <c r="K41" s="44"/>
      <c r="L41" s="44"/>
      <c r="M41" s="44"/>
      <c r="N41" s="44"/>
      <c r="O41" s="44"/>
      <c r="P41" s="44"/>
      <c r="Q41" s="44"/>
      <c r="R41" s="45" t="str">
        <f aca="false">IF($A41="","",SUM(H41:Q41))</f>
        <v/>
      </c>
      <c r="S41" s="45" t="str">
        <f aca="false">IF($A41="","",ROUND($F41-$G41-$R41,2))</f>
        <v/>
      </c>
      <c r="T41" s="28" t="str">
        <f aca="false">IF(OR($A41="",$F41=0),"",$R41/$F41)</f>
        <v/>
      </c>
      <c r="U41" s="35"/>
      <c r="V41" s="0" t="str">
        <f aca="false">IF($A41="","",$A41&amp;"|"&amp;$B41)</f>
        <v/>
      </c>
    </row>
    <row r="42" customFormat="false" ht="18" hidden="false" customHeight="true" outlineLevel="0" collapsed="false">
      <c r="A42" s="36"/>
      <c r="B42" s="36"/>
      <c r="C42" s="48" t="str">
        <f aca="false">IF($B42="","",IFERROR(VLOOKUP($B42,资产台账!$B$4:$N$53,2,0)&amp;"","台账中未登记"))</f>
        <v/>
      </c>
      <c r="D42" s="43" t="str">
        <f aca="false">IF($B42="","",IFERROR(VLOOKUP($B42,资产台账!$B$4:$N$53,3,0)&amp;"",""))</f>
        <v/>
      </c>
      <c r="E42" s="43" t="str">
        <f aca="false">IF($B42="","",IFERROR(VLOOKUP($B42,资产台账!$B$4:$N$53,5,0)&amp;"",""))</f>
        <v/>
      </c>
      <c r="F42" s="44"/>
      <c r="G42" s="44"/>
      <c r="H42" s="44"/>
      <c r="I42" s="44"/>
      <c r="J42" s="44"/>
      <c r="K42" s="44"/>
      <c r="L42" s="44"/>
      <c r="M42" s="44"/>
      <c r="N42" s="44"/>
      <c r="O42" s="44"/>
      <c r="P42" s="44"/>
      <c r="Q42" s="44"/>
      <c r="R42" s="45" t="str">
        <f aca="false">IF($A42="","",SUM(H42:Q42))</f>
        <v/>
      </c>
      <c r="S42" s="45" t="str">
        <f aca="false">IF($A42="","",ROUND($F42-$G42-$R42,2))</f>
        <v/>
      </c>
      <c r="T42" s="28" t="str">
        <f aca="false">IF(OR($A42="",$F42=0),"",$R42/$F42)</f>
        <v/>
      </c>
      <c r="U42" s="35"/>
      <c r="V42" s="0" t="str">
        <f aca="false">IF($A42="","",$A42&amp;"|"&amp;$B42)</f>
        <v/>
      </c>
    </row>
    <row r="43" customFormat="false" ht="18" hidden="false" customHeight="true" outlineLevel="0" collapsed="false">
      <c r="A43" s="36"/>
      <c r="B43" s="36"/>
      <c r="C43" s="48" t="str">
        <f aca="false">IF($B43="","",IFERROR(VLOOKUP($B43,资产台账!$B$4:$N$53,2,0)&amp;"","台账中未登记"))</f>
        <v/>
      </c>
      <c r="D43" s="43" t="str">
        <f aca="false">IF($B43="","",IFERROR(VLOOKUP($B43,资产台账!$B$4:$N$53,3,0)&amp;"",""))</f>
        <v/>
      </c>
      <c r="E43" s="43" t="str">
        <f aca="false">IF($B43="","",IFERROR(VLOOKUP($B43,资产台账!$B$4:$N$53,5,0)&amp;"",""))</f>
        <v/>
      </c>
      <c r="F43" s="44"/>
      <c r="G43" s="44"/>
      <c r="H43" s="44"/>
      <c r="I43" s="44"/>
      <c r="J43" s="44"/>
      <c r="K43" s="44"/>
      <c r="L43" s="44"/>
      <c r="M43" s="44"/>
      <c r="N43" s="44"/>
      <c r="O43" s="44"/>
      <c r="P43" s="44"/>
      <c r="Q43" s="44"/>
      <c r="R43" s="45" t="str">
        <f aca="false">IF($A43="","",SUM(H43:Q43))</f>
        <v/>
      </c>
      <c r="S43" s="45" t="str">
        <f aca="false">IF($A43="","",ROUND($F43-$G43-$R43,2))</f>
        <v/>
      </c>
      <c r="T43" s="28" t="str">
        <f aca="false">IF(OR($A43="",$F43=0),"",$R43/$F43)</f>
        <v/>
      </c>
      <c r="U43" s="35"/>
      <c r="V43" s="0" t="str">
        <f aca="false">IF($A43="","",$A43&amp;"|"&amp;$B43)</f>
        <v/>
      </c>
    </row>
    <row r="44" customFormat="false" ht="18" hidden="false" customHeight="true" outlineLevel="0" collapsed="false">
      <c r="A44" s="36"/>
      <c r="B44" s="36"/>
      <c r="C44" s="48" t="str">
        <f aca="false">IF($B44="","",IFERROR(VLOOKUP($B44,资产台账!$B$4:$N$53,2,0)&amp;"","台账中未登记"))</f>
        <v/>
      </c>
      <c r="D44" s="43" t="str">
        <f aca="false">IF($B44="","",IFERROR(VLOOKUP($B44,资产台账!$B$4:$N$53,3,0)&amp;"",""))</f>
        <v/>
      </c>
      <c r="E44" s="43" t="str">
        <f aca="false">IF($B44="","",IFERROR(VLOOKUP($B44,资产台账!$B$4:$N$53,5,0)&amp;"",""))</f>
        <v/>
      </c>
      <c r="F44" s="44"/>
      <c r="G44" s="44"/>
      <c r="H44" s="44"/>
      <c r="I44" s="44"/>
      <c r="J44" s="44"/>
      <c r="K44" s="44"/>
      <c r="L44" s="44"/>
      <c r="M44" s="44"/>
      <c r="N44" s="44"/>
      <c r="O44" s="44"/>
      <c r="P44" s="44"/>
      <c r="Q44" s="44"/>
      <c r="R44" s="45" t="str">
        <f aca="false">IF($A44="","",SUM(H44:Q44))</f>
        <v/>
      </c>
      <c r="S44" s="45" t="str">
        <f aca="false">IF($A44="","",ROUND($F44-$G44-$R44,2))</f>
        <v/>
      </c>
      <c r="T44" s="28" t="str">
        <f aca="false">IF(OR($A44="",$F44=0),"",$R44/$F44)</f>
        <v/>
      </c>
      <c r="U44" s="35"/>
      <c r="V44" s="0" t="str">
        <f aca="false">IF($A44="","",$A44&amp;"|"&amp;$B44)</f>
        <v/>
      </c>
    </row>
    <row r="45" customFormat="false" ht="18" hidden="false" customHeight="true" outlineLevel="0" collapsed="false">
      <c r="A45" s="36"/>
      <c r="B45" s="36"/>
      <c r="C45" s="48" t="str">
        <f aca="false">IF($B45="","",IFERROR(VLOOKUP($B45,资产台账!$B$4:$N$53,2,0)&amp;"","台账中未登记"))</f>
        <v/>
      </c>
      <c r="D45" s="43" t="str">
        <f aca="false">IF($B45="","",IFERROR(VLOOKUP($B45,资产台账!$B$4:$N$53,3,0)&amp;"",""))</f>
        <v/>
      </c>
      <c r="E45" s="43" t="str">
        <f aca="false">IF($B45="","",IFERROR(VLOOKUP($B45,资产台账!$B$4:$N$53,5,0)&amp;"",""))</f>
        <v/>
      </c>
      <c r="F45" s="44"/>
      <c r="G45" s="44"/>
      <c r="H45" s="44"/>
      <c r="I45" s="44"/>
      <c r="J45" s="44"/>
      <c r="K45" s="44"/>
      <c r="L45" s="44"/>
      <c r="M45" s="44"/>
      <c r="N45" s="44"/>
      <c r="O45" s="44"/>
      <c r="P45" s="44"/>
      <c r="Q45" s="44"/>
      <c r="R45" s="45" t="str">
        <f aca="false">IF($A45="","",SUM(H45:Q45))</f>
        <v/>
      </c>
      <c r="S45" s="45" t="str">
        <f aca="false">IF($A45="","",ROUND($F45-$G45-$R45,2))</f>
        <v/>
      </c>
      <c r="T45" s="28" t="str">
        <f aca="false">IF(OR($A45="",$F45=0),"",$R45/$F45)</f>
        <v/>
      </c>
      <c r="U45" s="35"/>
      <c r="V45" s="0" t="str">
        <f aca="false">IF($A45="","",$A45&amp;"|"&amp;$B45)</f>
        <v/>
      </c>
    </row>
    <row r="46" customFormat="false" ht="18" hidden="false" customHeight="true" outlineLevel="0" collapsed="false">
      <c r="A46" s="36"/>
      <c r="B46" s="36"/>
      <c r="C46" s="48" t="str">
        <f aca="false">IF($B46="","",IFERROR(VLOOKUP($B46,资产台账!$B$4:$N$53,2,0)&amp;"","台账中未登记"))</f>
        <v/>
      </c>
      <c r="D46" s="43" t="str">
        <f aca="false">IF($B46="","",IFERROR(VLOOKUP($B46,资产台账!$B$4:$N$53,3,0)&amp;"",""))</f>
        <v/>
      </c>
      <c r="E46" s="43" t="str">
        <f aca="false">IF($B46="","",IFERROR(VLOOKUP($B46,资产台账!$B$4:$N$53,5,0)&amp;"",""))</f>
        <v/>
      </c>
      <c r="F46" s="44"/>
      <c r="G46" s="44"/>
      <c r="H46" s="44"/>
      <c r="I46" s="44"/>
      <c r="J46" s="44"/>
      <c r="K46" s="44"/>
      <c r="L46" s="44"/>
      <c r="M46" s="44"/>
      <c r="N46" s="44"/>
      <c r="O46" s="44"/>
      <c r="P46" s="44"/>
      <c r="Q46" s="44"/>
      <c r="R46" s="45" t="str">
        <f aca="false">IF($A46="","",SUM(H46:Q46))</f>
        <v/>
      </c>
      <c r="S46" s="45" t="str">
        <f aca="false">IF($A46="","",ROUND($F46-$G46-$R46,2))</f>
        <v/>
      </c>
      <c r="T46" s="28" t="str">
        <f aca="false">IF(OR($A46="",$F46=0),"",$R46/$F46)</f>
        <v/>
      </c>
      <c r="U46" s="35"/>
      <c r="V46" s="0" t="str">
        <f aca="false">IF($A46="","",$A46&amp;"|"&amp;$B46)</f>
        <v/>
      </c>
    </row>
    <row r="47" customFormat="false" ht="18" hidden="false" customHeight="true" outlineLevel="0" collapsed="false">
      <c r="A47" s="36"/>
      <c r="B47" s="36"/>
      <c r="C47" s="48" t="str">
        <f aca="false">IF($B47="","",IFERROR(VLOOKUP($B47,资产台账!$B$4:$N$53,2,0)&amp;"","台账中未登记"))</f>
        <v/>
      </c>
      <c r="D47" s="43" t="str">
        <f aca="false">IF($B47="","",IFERROR(VLOOKUP($B47,资产台账!$B$4:$N$53,3,0)&amp;"",""))</f>
        <v/>
      </c>
      <c r="E47" s="43" t="str">
        <f aca="false">IF($B47="","",IFERROR(VLOOKUP($B47,资产台账!$B$4:$N$53,5,0)&amp;"",""))</f>
        <v/>
      </c>
      <c r="F47" s="44"/>
      <c r="G47" s="44"/>
      <c r="H47" s="44"/>
      <c r="I47" s="44"/>
      <c r="J47" s="44"/>
      <c r="K47" s="44"/>
      <c r="L47" s="44"/>
      <c r="M47" s="44"/>
      <c r="N47" s="44"/>
      <c r="O47" s="44"/>
      <c r="P47" s="44"/>
      <c r="Q47" s="44"/>
      <c r="R47" s="45" t="str">
        <f aca="false">IF($A47="","",SUM(H47:Q47))</f>
        <v/>
      </c>
      <c r="S47" s="45" t="str">
        <f aca="false">IF($A47="","",ROUND($F47-$G47-$R47,2))</f>
        <v/>
      </c>
      <c r="T47" s="28" t="str">
        <f aca="false">IF(OR($A47="",$F47=0),"",$R47/$F47)</f>
        <v/>
      </c>
      <c r="U47" s="35"/>
      <c r="V47" s="0" t="str">
        <f aca="false">IF($A47="","",$A47&amp;"|"&amp;$B47)</f>
        <v/>
      </c>
    </row>
    <row r="48" customFormat="false" ht="18" hidden="false" customHeight="true" outlineLevel="0" collapsed="false">
      <c r="A48" s="36"/>
      <c r="B48" s="36"/>
      <c r="C48" s="48" t="str">
        <f aca="false">IF($B48="","",IFERROR(VLOOKUP($B48,资产台账!$B$4:$N$53,2,0)&amp;"","台账中未登记"))</f>
        <v/>
      </c>
      <c r="D48" s="43" t="str">
        <f aca="false">IF($B48="","",IFERROR(VLOOKUP($B48,资产台账!$B$4:$N$53,3,0)&amp;"",""))</f>
        <v/>
      </c>
      <c r="E48" s="43" t="str">
        <f aca="false">IF($B48="","",IFERROR(VLOOKUP($B48,资产台账!$B$4:$N$53,5,0)&amp;"",""))</f>
        <v/>
      </c>
      <c r="F48" s="44"/>
      <c r="G48" s="44"/>
      <c r="H48" s="44"/>
      <c r="I48" s="44"/>
      <c r="J48" s="44"/>
      <c r="K48" s="44"/>
      <c r="L48" s="44"/>
      <c r="M48" s="44"/>
      <c r="N48" s="44"/>
      <c r="O48" s="44"/>
      <c r="P48" s="44"/>
      <c r="Q48" s="44"/>
      <c r="R48" s="45" t="str">
        <f aca="false">IF($A48="","",SUM(H48:Q48))</f>
        <v/>
      </c>
      <c r="S48" s="45" t="str">
        <f aca="false">IF($A48="","",ROUND($F48-$G48-$R48,2))</f>
        <v/>
      </c>
      <c r="T48" s="28" t="str">
        <f aca="false">IF(OR($A48="",$F48=0),"",$R48/$F48)</f>
        <v/>
      </c>
      <c r="U48" s="35"/>
      <c r="V48" s="0" t="str">
        <f aca="false">IF($A48="","",$A48&amp;"|"&amp;$B48)</f>
        <v/>
      </c>
    </row>
    <row r="49" customFormat="false" ht="18" hidden="false" customHeight="true" outlineLevel="0" collapsed="false">
      <c r="A49" s="36"/>
      <c r="B49" s="36"/>
      <c r="C49" s="48" t="str">
        <f aca="false">IF($B49="","",IFERROR(VLOOKUP($B49,资产台账!$B$4:$N$53,2,0)&amp;"","台账中未登记"))</f>
        <v/>
      </c>
      <c r="D49" s="43" t="str">
        <f aca="false">IF($B49="","",IFERROR(VLOOKUP($B49,资产台账!$B$4:$N$53,3,0)&amp;"",""))</f>
        <v/>
      </c>
      <c r="E49" s="43" t="str">
        <f aca="false">IF($B49="","",IFERROR(VLOOKUP($B49,资产台账!$B$4:$N$53,5,0)&amp;"",""))</f>
        <v/>
      </c>
      <c r="F49" s="44"/>
      <c r="G49" s="44"/>
      <c r="H49" s="44"/>
      <c r="I49" s="44"/>
      <c r="J49" s="44"/>
      <c r="K49" s="44"/>
      <c r="L49" s="44"/>
      <c r="M49" s="44"/>
      <c r="N49" s="44"/>
      <c r="O49" s="44"/>
      <c r="P49" s="44"/>
      <c r="Q49" s="44"/>
      <c r="R49" s="45" t="str">
        <f aca="false">IF($A49="","",SUM(H49:Q49))</f>
        <v/>
      </c>
      <c r="S49" s="45" t="str">
        <f aca="false">IF($A49="","",ROUND($F49-$G49-$R49,2))</f>
        <v/>
      </c>
      <c r="T49" s="28" t="str">
        <f aca="false">IF(OR($A49="",$F49=0),"",$R49/$F49)</f>
        <v/>
      </c>
      <c r="U49" s="35"/>
      <c r="V49" s="0" t="str">
        <f aca="false">IF($A49="","",$A49&amp;"|"&amp;$B49)</f>
        <v/>
      </c>
    </row>
    <row r="50" customFormat="false" ht="18" hidden="false" customHeight="true" outlineLevel="0" collapsed="false">
      <c r="A50" s="36"/>
      <c r="B50" s="36"/>
      <c r="C50" s="48" t="str">
        <f aca="false">IF($B50="","",IFERROR(VLOOKUP($B50,资产台账!$B$4:$N$53,2,0)&amp;"","台账中未登记"))</f>
        <v/>
      </c>
      <c r="D50" s="43" t="str">
        <f aca="false">IF($B50="","",IFERROR(VLOOKUP($B50,资产台账!$B$4:$N$53,3,0)&amp;"",""))</f>
        <v/>
      </c>
      <c r="E50" s="43" t="str">
        <f aca="false">IF($B50="","",IFERROR(VLOOKUP($B50,资产台账!$B$4:$N$53,5,0)&amp;"",""))</f>
        <v/>
      </c>
      <c r="F50" s="44"/>
      <c r="G50" s="44"/>
      <c r="H50" s="44"/>
      <c r="I50" s="44"/>
      <c r="J50" s="44"/>
      <c r="K50" s="44"/>
      <c r="L50" s="44"/>
      <c r="M50" s="44"/>
      <c r="N50" s="44"/>
      <c r="O50" s="44"/>
      <c r="P50" s="44"/>
      <c r="Q50" s="44"/>
      <c r="R50" s="45" t="str">
        <f aca="false">IF($A50="","",SUM(H50:Q50))</f>
        <v/>
      </c>
      <c r="S50" s="45" t="str">
        <f aca="false">IF($A50="","",ROUND($F50-$G50-$R50,2))</f>
        <v/>
      </c>
      <c r="T50" s="28" t="str">
        <f aca="false">IF(OR($A50="",$F50=0),"",$R50/$F50)</f>
        <v/>
      </c>
      <c r="U50" s="35"/>
      <c r="V50" s="0" t="str">
        <f aca="false">IF($A50="","",$A50&amp;"|"&amp;$B50)</f>
        <v/>
      </c>
    </row>
    <row r="51" customFormat="false" ht="18" hidden="false" customHeight="true" outlineLevel="0" collapsed="false">
      <c r="A51" s="36"/>
      <c r="B51" s="36"/>
      <c r="C51" s="48" t="str">
        <f aca="false">IF($B51="","",IFERROR(VLOOKUP($B51,资产台账!$B$4:$N$53,2,0)&amp;"","台账中未登记"))</f>
        <v/>
      </c>
      <c r="D51" s="43" t="str">
        <f aca="false">IF($B51="","",IFERROR(VLOOKUP($B51,资产台账!$B$4:$N$53,3,0)&amp;"",""))</f>
        <v/>
      </c>
      <c r="E51" s="43" t="str">
        <f aca="false">IF($B51="","",IFERROR(VLOOKUP($B51,资产台账!$B$4:$N$53,5,0)&amp;"",""))</f>
        <v/>
      </c>
      <c r="F51" s="44"/>
      <c r="G51" s="44"/>
      <c r="H51" s="44"/>
      <c r="I51" s="44"/>
      <c r="J51" s="44"/>
      <c r="K51" s="44"/>
      <c r="L51" s="44"/>
      <c r="M51" s="44"/>
      <c r="N51" s="44"/>
      <c r="O51" s="44"/>
      <c r="P51" s="44"/>
      <c r="Q51" s="44"/>
      <c r="R51" s="45" t="str">
        <f aca="false">IF($A51="","",SUM(H51:Q51))</f>
        <v/>
      </c>
      <c r="S51" s="45" t="str">
        <f aca="false">IF($A51="","",ROUND($F51-$G51-$R51,2))</f>
        <v/>
      </c>
      <c r="T51" s="28" t="str">
        <f aca="false">IF(OR($A51="",$F51=0),"",$R51/$F51)</f>
        <v/>
      </c>
      <c r="U51" s="35"/>
      <c r="V51" s="0" t="str">
        <f aca="false">IF($A51="","",$A51&amp;"|"&amp;$B51)</f>
        <v/>
      </c>
    </row>
    <row r="52" customFormat="false" ht="18" hidden="false" customHeight="true" outlineLevel="0" collapsed="false">
      <c r="A52" s="36"/>
      <c r="B52" s="36"/>
      <c r="C52" s="48" t="str">
        <f aca="false">IF($B52="","",IFERROR(VLOOKUP($B52,资产台账!$B$4:$N$53,2,0)&amp;"","台账中未登记"))</f>
        <v/>
      </c>
      <c r="D52" s="43" t="str">
        <f aca="false">IF($B52="","",IFERROR(VLOOKUP($B52,资产台账!$B$4:$N$53,3,0)&amp;"",""))</f>
        <v/>
      </c>
      <c r="E52" s="43" t="str">
        <f aca="false">IF($B52="","",IFERROR(VLOOKUP($B52,资产台账!$B$4:$N$53,5,0)&amp;"",""))</f>
        <v/>
      </c>
      <c r="F52" s="44"/>
      <c r="G52" s="44"/>
      <c r="H52" s="44"/>
      <c r="I52" s="44"/>
      <c r="J52" s="44"/>
      <c r="K52" s="44"/>
      <c r="L52" s="44"/>
      <c r="M52" s="44"/>
      <c r="N52" s="44"/>
      <c r="O52" s="44"/>
      <c r="P52" s="44"/>
      <c r="Q52" s="44"/>
      <c r="R52" s="45" t="str">
        <f aca="false">IF($A52="","",SUM(H52:Q52))</f>
        <v/>
      </c>
      <c r="S52" s="45" t="str">
        <f aca="false">IF($A52="","",ROUND($F52-$G52-$R52,2))</f>
        <v/>
      </c>
      <c r="T52" s="28" t="str">
        <f aca="false">IF(OR($A52="",$F52=0),"",$R52/$F52)</f>
        <v/>
      </c>
      <c r="U52" s="35"/>
      <c r="V52" s="0" t="str">
        <f aca="false">IF($A52="","",$A52&amp;"|"&amp;$B52)</f>
        <v/>
      </c>
    </row>
    <row r="53" customFormat="false" ht="18" hidden="false" customHeight="true" outlineLevel="0" collapsed="false">
      <c r="A53" s="36"/>
      <c r="B53" s="36"/>
      <c r="C53" s="48" t="str">
        <f aca="false">IF($B53="","",IFERROR(VLOOKUP($B53,资产台账!$B$4:$N$53,2,0)&amp;"","台账中未登记"))</f>
        <v/>
      </c>
      <c r="D53" s="43" t="str">
        <f aca="false">IF($B53="","",IFERROR(VLOOKUP($B53,资产台账!$B$4:$N$53,3,0)&amp;"",""))</f>
        <v/>
      </c>
      <c r="E53" s="43" t="str">
        <f aca="false">IF($B53="","",IFERROR(VLOOKUP($B53,资产台账!$B$4:$N$53,5,0)&amp;"",""))</f>
        <v/>
      </c>
      <c r="F53" s="44"/>
      <c r="G53" s="44"/>
      <c r="H53" s="44"/>
      <c r="I53" s="44"/>
      <c r="J53" s="44"/>
      <c r="K53" s="44"/>
      <c r="L53" s="44"/>
      <c r="M53" s="44"/>
      <c r="N53" s="44"/>
      <c r="O53" s="44"/>
      <c r="P53" s="44"/>
      <c r="Q53" s="44"/>
      <c r="R53" s="45" t="str">
        <f aca="false">IF($A53="","",SUM(H53:Q53))</f>
        <v/>
      </c>
      <c r="S53" s="45" t="str">
        <f aca="false">IF($A53="","",ROUND($F53-$G53-$R53,2))</f>
        <v/>
      </c>
      <c r="T53" s="28" t="str">
        <f aca="false">IF(OR($A53="",$F53=0),"",$R53/$F53)</f>
        <v/>
      </c>
      <c r="U53" s="35"/>
      <c r="V53" s="0" t="str">
        <f aca="false">IF($A53="","",$A53&amp;"|"&amp;$B53)</f>
        <v/>
      </c>
    </row>
    <row r="54" customFormat="false" ht="18" hidden="false" customHeight="true" outlineLevel="0" collapsed="false">
      <c r="A54" s="36"/>
      <c r="B54" s="36"/>
      <c r="C54" s="48" t="str">
        <f aca="false">IF($B54="","",IFERROR(VLOOKUP($B54,资产台账!$B$4:$N$53,2,0)&amp;"","台账中未登记"))</f>
        <v/>
      </c>
      <c r="D54" s="43" t="str">
        <f aca="false">IF($B54="","",IFERROR(VLOOKUP($B54,资产台账!$B$4:$N$53,3,0)&amp;"",""))</f>
        <v/>
      </c>
      <c r="E54" s="43" t="str">
        <f aca="false">IF($B54="","",IFERROR(VLOOKUP($B54,资产台账!$B$4:$N$53,5,0)&amp;"",""))</f>
        <v/>
      </c>
      <c r="F54" s="44"/>
      <c r="G54" s="44"/>
      <c r="H54" s="44"/>
      <c r="I54" s="44"/>
      <c r="J54" s="44"/>
      <c r="K54" s="44"/>
      <c r="L54" s="44"/>
      <c r="M54" s="44"/>
      <c r="N54" s="44"/>
      <c r="O54" s="44"/>
      <c r="P54" s="44"/>
      <c r="Q54" s="44"/>
      <c r="R54" s="45" t="str">
        <f aca="false">IF($A54="","",SUM(H54:Q54))</f>
        <v/>
      </c>
      <c r="S54" s="45" t="str">
        <f aca="false">IF($A54="","",ROUND($F54-$G54-$R54,2))</f>
        <v/>
      </c>
      <c r="T54" s="28" t="str">
        <f aca="false">IF(OR($A54="",$F54=0),"",$R54/$F54)</f>
        <v/>
      </c>
      <c r="U54" s="35"/>
      <c r="V54" s="0" t="str">
        <f aca="false">IF($A54="","",$A54&amp;"|"&amp;$B54)</f>
        <v/>
      </c>
    </row>
    <row r="55" customFormat="false" ht="18" hidden="false" customHeight="true" outlineLevel="0" collapsed="false">
      <c r="A55" s="36"/>
      <c r="B55" s="36"/>
      <c r="C55" s="48" t="str">
        <f aca="false">IF($B55="","",IFERROR(VLOOKUP($B55,资产台账!$B$4:$N$53,2,0)&amp;"","台账中未登记"))</f>
        <v/>
      </c>
      <c r="D55" s="43" t="str">
        <f aca="false">IF($B55="","",IFERROR(VLOOKUP($B55,资产台账!$B$4:$N$53,3,0)&amp;"",""))</f>
        <v/>
      </c>
      <c r="E55" s="43" t="str">
        <f aca="false">IF($B55="","",IFERROR(VLOOKUP($B55,资产台账!$B$4:$N$53,5,0)&amp;"",""))</f>
        <v/>
      </c>
      <c r="F55" s="44"/>
      <c r="G55" s="44"/>
      <c r="H55" s="44"/>
      <c r="I55" s="44"/>
      <c r="J55" s="44"/>
      <c r="K55" s="44"/>
      <c r="L55" s="44"/>
      <c r="M55" s="44"/>
      <c r="N55" s="44"/>
      <c r="O55" s="44"/>
      <c r="P55" s="44"/>
      <c r="Q55" s="44"/>
      <c r="R55" s="45" t="str">
        <f aca="false">IF($A55="","",SUM(H55:Q55))</f>
        <v/>
      </c>
      <c r="S55" s="45" t="str">
        <f aca="false">IF($A55="","",ROUND($F55-$G55-$R55,2))</f>
        <v/>
      </c>
      <c r="T55" s="28" t="str">
        <f aca="false">IF(OR($A55="",$F55=0),"",$R55/$F55)</f>
        <v/>
      </c>
      <c r="U55" s="35"/>
      <c r="V55" s="0" t="str">
        <f aca="false">IF($A55="","",$A55&amp;"|"&amp;$B55)</f>
        <v/>
      </c>
    </row>
    <row r="56" customFormat="false" ht="18" hidden="false" customHeight="true" outlineLevel="0" collapsed="false">
      <c r="A56" s="36"/>
      <c r="B56" s="36"/>
      <c r="C56" s="48" t="str">
        <f aca="false">IF($B56="","",IFERROR(VLOOKUP($B56,资产台账!$B$4:$N$53,2,0)&amp;"","台账中未登记"))</f>
        <v/>
      </c>
      <c r="D56" s="43" t="str">
        <f aca="false">IF($B56="","",IFERROR(VLOOKUP($B56,资产台账!$B$4:$N$53,3,0)&amp;"",""))</f>
        <v/>
      </c>
      <c r="E56" s="43" t="str">
        <f aca="false">IF($B56="","",IFERROR(VLOOKUP($B56,资产台账!$B$4:$N$53,5,0)&amp;"",""))</f>
        <v/>
      </c>
      <c r="F56" s="44"/>
      <c r="G56" s="44"/>
      <c r="H56" s="44"/>
      <c r="I56" s="44"/>
      <c r="J56" s="44"/>
      <c r="K56" s="44"/>
      <c r="L56" s="44"/>
      <c r="M56" s="44"/>
      <c r="N56" s="44"/>
      <c r="O56" s="44"/>
      <c r="P56" s="44"/>
      <c r="Q56" s="44"/>
      <c r="R56" s="45" t="str">
        <f aca="false">IF($A56="","",SUM(H56:Q56))</f>
        <v/>
      </c>
      <c r="S56" s="45" t="str">
        <f aca="false">IF($A56="","",ROUND($F56-$G56-$R56,2))</f>
        <v/>
      </c>
      <c r="T56" s="28" t="str">
        <f aca="false">IF(OR($A56="",$F56=0),"",$R56/$F56)</f>
        <v/>
      </c>
      <c r="U56" s="35"/>
      <c r="V56" s="0" t="str">
        <f aca="false">IF($A56="","",$A56&amp;"|"&amp;$B56)</f>
        <v/>
      </c>
    </row>
    <row r="57" customFormat="false" ht="18" hidden="false" customHeight="true" outlineLevel="0" collapsed="false">
      <c r="A57" s="36"/>
      <c r="B57" s="36"/>
      <c r="C57" s="48" t="str">
        <f aca="false">IF($B57="","",IFERROR(VLOOKUP($B57,资产台账!$B$4:$N$53,2,0)&amp;"","台账中未登记"))</f>
        <v/>
      </c>
      <c r="D57" s="43" t="str">
        <f aca="false">IF($B57="","",IFERROR(VLOOKUP($B57,资产台账!$B$4:$N$53,3,0)&amp;"",""))</f>
        <v/>
      </c>
      <c r="E57" s="43" t="str">
        <f aca="false">IF($B57="","",IFERROR(VLOOKUP($B57,资产台账!$B$4:$N$53,5,0)&amp;"",""))</f>
        <v/>
      </c>
      <c r="F57" s="44"/>
      <c r="G57" s="44"/>
      <c r="H57" s="44"/>
      <c r="I57" s="44"/>
      <c r="J57" s="44"/>
      <c r="K57" s="44"/>
      <c r="L57" s="44"/>
      <c r="M57" s="44"/>
      <c r="N57" s="44"/>
      <c r="O57" s="44"/>
      <c r="P57" s="44"/>
      <c r="Q57" s="44"/>
      <c r="R57" s="45" t="str">
        <f aca="false">IF($A57="","",SUM(H57:Q57))</f>
        <v/>
      </c>
      <c r="S57" s="45" t="str">
        <f aca="false">IF($A57="","",ROUND($F57-$G57-$R57,2))</f>
        <v/>
      </c>
      <c r="T57" s="28" t="str">
        <f aca="false">IF(OR($A57="",$F57=0),"",$R57/$F57)</f>
        <v/>
      </c>
      <c r="U57" s="35"/>
      <c r="V57" s="0" t="str">
        <f aca="false">IF($A57="","",$A57&amp;"|"&amp;$B57)</f>
        <v/>
      </c>
    </row>
    <row r="58" customFormat="false" ht="18" hidden="false" customHeight="true" outlineLevel="0" collapsed="false">
      <c r="A58" s="36"/>
      <c r="B58" s="36"/>
      <c r="C58" s="48" t="str">
        <f aca="false">IF($B58="","",IFERROR(VLOOKUP($B58,资产台账!$B$4:$N$53,2,0)&amp;"","台账中未登记"))</f>
        <v/>
      </c>
      <c r="D58" s="43" t="str">
        <f aca="false">IF($B58="","",IFERROR(VLOOKUP($B58,资产台账!$B$4:$N$53,3,0)&amp;"",""))</f>
        <v/>
      </c>
      <c r="E58" s="43" t="str">
        <f aca="false">IF($B58="","",IFERROR(VLOOKUP($B58,资产台账!$B$4:$N$53,5,0)&amp;"",""))</f>
        <v/>
      </c>
      <c r="F58" s="44"/>
      <c r="G58" s="44"/>
      <c r="H58" s="44"/>
      <c r="I58" s="44"/>
      <c r="J58" s="44"/>
      <c r="K58" s="44"/>
      <c r="L58" s="44"/>
      <c r="M58" s="44"/>
      <c r="N58" s="44"/>
      <c r="O58" s="44"/>
      <c r="P58" s="44"/>
      <c r="Q58" s="44"/>
      <c r="R58" s="45" t="str">
        <f aca="false">IF($A58="","",SUM(H58:Q58))</f>
        <v/>
      </c>
      <c r="S58" s="45" t="str">
        <f aca="false">IF($A58="","",ROUND($F58-$G58-$R58,2))</f>
        <v/>
      </c>
      <c r="T58" s="28" t="str">
        <f aca="false">IF(OR($A58="",$F58=0),"",$R58/$F58)</f>
        <v/>
      </c>
      <c r="U58" s="35"/>
      <c r="V58" s="0" t="str">
        <f aca="false">IF($A58="","",$A58&amp;"|"&amp;$B58)</f>
        <v/>
      </c>
    </row>
    <row r="59" customFormat="false" ht="18" hidden="false" customHeight="true" outlineLevel="0" collapsed="false">
      <c r="A59" s="36"/>
      <c r="B59" s="36"/>
      <c r="C59" s="48" t="str">
        <f aca="false">IF($B59="","",IFERROR(VLOOKUP($B59,资产台账!$B$4:$N$53,2,0)&amp;"","台账中未登记"))</f>
        <v/>
      </c>
      <c r="D59" s="43" t="str">
        <f aca="false">IF($B59="","",IFERROR(VLOOKUP($B59,资产台账!$B$4:$N$53,3,0)&amp;"",""))</f>
        <v/>
      </c>
      <c r="E59" s="43" t="str">
        <f aca="false">IF($B59="","",IFERROR(VLOOKUP($B59,资产台账!$B$4:$N$53,5,0)&amp;"",""))</f>
        <v/>
      </c>
      <c r="F59" s="44"/>
      <c r="G59" s="44"/>
      <c r="H59" s="44"/>
      <c r="I59" s="44"/>
      <c r="J59" s="44"/>
      <c r="K59" s="44"/>
      <c r="L59" s="44"/>
      <c r="M59" s="44"/>
      <c r="N59" s="44"/>
      <c r="O59" s="44"/>
      <c r="P59" s="44"/>
      <c r="Q59" s="44"/>
      <c r="R59" s="45" t="str">
        <f aca="false">IF($A59="","",SUM(H59:Q59))</f>
        <v/>
      </c>
      <c r="S59" s="45" t="str">
        <f aca="false">IF($A59="","",ROUND($F59-$G59-$R59,2))</f>
        <v/>
      </c>
      <c r="T59" s="28" t="str">
        <f aca="false">IF(OR($A59="",$F59=0),"",$R59/$F59)</f>
        <v/>
      </c>
      <c r="U59" s="35"/>
      <c r="V59" s="0" t="str">
        <f aca="false">IF($A59="","",$A59&amp;"|"&amp;$B59)</f>
        <v/>
      </c>
    </row>
    <row r="60" customFormat="false" ht="18" hidden="false" customHeight="true" outlineLevel="0" collapsed="false">
      <c r="A60" s="36"/>
      <c r="B60" s="36"/>
      <c r="C60" s="48" t="str">
        <f aca="false">IF($B60="","",IFERROR(VLOOKUP($B60,资产台账!$B$4:$N$53,2,0)&amp;"","台账中未登记"))</f>
        <v/>
      </c>
      <c r="D60" s="43" t="str">
        <f aca="false">IF($B60="","",IFERROR(VLOOKUP($B60,资产台账!$B$4:$N$53,3,0)&amp;"",""))</f>
        <v/>
      </c>
      <c r="E60" s="43" t="str">
        <f aca="false">IF($B60="","",IFERROR(VLOOKUP($B60,资产台账!$B$4:$N$53,5,0)&amp;"",""))</f>
        <v/>
      </c>
      <c r="F60" s="44"/>
      <c r="G60" s="44"/>
      <c r="H60" s="44"/>
      <c r="I60" s="44"/>
      <c r="J60" s="44"/>
      <c r="K60" s="44"/>
      <c r="L60" s="44"/>
      <c r="M60" s="44"/>
      <c r="N60" s="44"/>
      <c r="O60" s="44"/>
      <c r="P60" s="44"/>
      <c r="Q60" s="44"/>
      <c r="R60" s="45" t="str">
        <f aca="false">IF($A60="","",SUM(H60:Q60))</f>
        <v/>
      </c>
      <c r="S60" s="45" t="str">
        <f aca="false">IF($A60="","",ROUND($F60-$G60-$R60,2))</f>
        <v/>
      </c>
      <c r="T60" s="28" t="str">
        <f aca="false">IF(OR($A60="",$F60=0),"",$R60/$F60)</f>
        <v/>
      </c>
      <c r="U60" s="35"/>
      <c r="V60" s="0" t="str">
        <f aca="false">IF($A60="","",$A60&amp;"|"&amp;$B60)</f>
        <v/>
      </c>
    </row>
    <row r="61" customFormat="false" ht="18" hidden="false" customHeight="true" outlineLevel="0" collapsed="false">
      <c r="A61" s="36"/>
      <c r="B61" s="36"/>
      <c r="C61" s="48" t="str">
        <f aca="false">IF($B61="","",IFERROR(VLOOKUP($B61,资产台账!$B$4:$N$53,2,0)&amp;"","台账中未登记"))</f>
        <v/>
      </c>
      <c r="D61" s="43" t="str">
        <f aca="false">IF($B61="","",IFERROR(VLOOKUP($B61,资产台账!$B$4:$N$53,3,0)&amp;"",""))</f>
        <v/>
      </c>
      <c r="E61" s="43" t="str">
        <f aca="false">IF($B61="","",IFERROR(VLOOKUP($B61,资产台账!$B$4:$N$53,5,0)&amp;"",""))</f>
        <v/>
      </c>
      <c r="F61" s="44"/>
      <c r="G61" s="44"/>
      <c r="H61" s="44"/>
      <c r="I61" s="44"/>
      <c r="J61" s="44"/>
      <c r="K61" s="44"/>
      <c r="L61" s="44"/>
      <c r="M61" s="44"/>
      <c r="N61" s="44"/>
      <c r="O61" s="44"/>
      <c r="P61" s="44"/>
      <c r="Q61" s="44"/>
      <c r="R61" s="45" t="str">
        <f aca="false">IF($A61="","",SUM(H61:Q61))</f>
        <v/>
      </c>
      <c r="S61" s="45" t="str">
        <f aca="false">IF($A61="","",ROUND($F61-$G61-$R61,2))</f>
        <v/>
      </c>
      <c r="T61" s="28" t="str">
        <f aca="false">IF(OR($A61="",$F61=0),"",$R61/$F61)</f>
        <v/>
      </c>
      <c r="U61" s="35"/>
      <c r="V61" s="0" t="str">
        <f aca="false">IF($A61="","",$A61&amp;"|"&amp;$B61)</f>
        <v/>
      </c>
    </row>
    <row r="62" customFormat="false" ht="18" hidden="false" customHeight="true" outlineLevel="0" collapsed="false">
      <c r="A62" s="36"/>
      <c r="B62" s="36"/>
      <c r="C62" s="48" t="str">
        <f aca="false">IF($B62="","",IFERROR(VLOOKUP($B62,资产台账!$B$4:$N$53,2,0)&amp;"","台账中未登记"))</f>
        <v/>
      </c>
      <c r="D62" s="43" t="str">
        <f aca="false">IF($B62="","",IFERROR(VLOOKUP($B62,资产台账!$B$4:$N$53,3,0)&amp;"",""))</f>
        <v/>
      </c>
      <c r="E62" s="43" t="str">
        <f aca="false">IF($B62="","",IFERROR(VLOOKUP($B62,资产台账!$B$4:$N$53,5,0)&amp;"",""))</f>
        <v/>
      </c>
      <c r="F62" s="44"/>
      <c r="G62" s="44"/>
      <c r="H62" s="44"/>
      <c r="I62" s="44"/>
      <c r="J62" s="44"/>
      <c r="K62" s="44"/>
      <c r="L62" s="44"/>
      <c r="M62" s="44"/>
      <c r="N62" s="44"/>
      <c r="O62" s="44"/>
      <c r="P62" s="44"/>
      <c r="Q62" s="44"/>
      <c r="R62" s="45" t="str">
        <f aca="false">IF($A62="","",SUM(H62:Q62))</f>
        <v/>
      </c>
      <c r="S62" s="45" t="str">
        <f aca="false">IF($A62="","",ROUND($F62-$G62-$R62,2))</f>
        <v/>
      </c>
      <c r="T62" s="28" t="str">
        <f aca="false">IF(OR($A62="",$F62=0),"",$R62/$F62)</f>
        <v/>
      </c>
      <c r="U62" s="35"/>
      <c r="V62" s="0" t="str">
        <f aca="false">IF($A62="","",$A62&amp;"|"&amp;$B62)</f>
        <v/>
      </c>
    </row>
    <row r="63" customFormat="false" ht="18" hidden="false" customHeight="true" outlineLevel="0" collapsed="false">
      <c r="A63" s="36"/>
      <c r="B63" s="36"/>
      <c r="C63" s="48" t="str">
        <f aca="false">IF($B63="","",IFERROR(VLOOKUP($B63,资产台账!$B$4:$N$53,2,0)&amp;"","台账中未登记"))</f>
        <v/>
      </c>
      <c r="D63" s="43" t="str">
        <f aca="false">IF($B63="","",IFERROR(VLOOKUP($B63,资产台账!$B$4:$N$53,3,0)&amp;"",""))</f>
        <v/>
      </c>
      <c r="E63" s="43" t="str">
        <f aca="false">IF($B63="","",IFERROR(VLOOKUP($B63,资产台账!$B$4:$N$53,5,0)&amp;"",""))</f>
        <v/>
      </c>
      <c r="F63" s="44"/>
      <c r="G63" s="44"/>
      <c r="H63" s="44"/>
      <c r="I63" s="44"/>
      <c r="J63" s="44"/>
      <c r="K63" s="44"/>
      <c r="L63" s="44"/>
      <c r="M63" s="44"/>
      <c r="N63" s="44"/>
      <c r="O63" s="44"/>
      <c r="P63" s="44"/>
      <c r="Q63" s="44"/>
      <c r="R63" s="45" t="str">
        <f aca="false">IF($A63="","",SUM(H63:Q63))</f>
        <v/>
      </c>
      <c r="S63" s="45" t="str">
        <f aca="false">IF($A63="","",ROUND($F63-$G63-$R63,2))</f>
        <v/>
      </c>
      <c r="T63" s="28" t="str">
        <f aca="false">IF(OR($A63="",$F63=0),"",$R63/$F63)</f>
        <v/>
      </c>
      <c r="U63" s="35"/>
      <c r="V63" s="0" t="str">
        <f aca="false">IF($A63="","",$A63&amp;"|"&amp;$B63)</f>
        <v/>
      </c>
    </row>
    <row r="64" customFormat="false" ht="18" hidden="false" customHeight="true" outlineLevel="0" collapsed="false">
      <c r="A64" s="36"/>
      <c r="B64" s="36"/>
      <c r="C64" s="48" t="str">
        <f aca="false">IF($B64="","",IFERROR(VLOOKUP($B64,资产台账!$B$4:$N$53,2,0)&amp;"","台账中未登记"))</f>
        <v/>
      </c>
      <c r="D64" s="43" t="str">
        <f aca="false">IF($B64="","",IFERROR(VLOOKUP($B64,资产台账!$B$4:$N$53,3,0)&amp;"",""))</f>
        <v/>
      </c>
      <c r="E64" s="43" t="str">
        <f aca="false">IF($B64="","",IFERROR(VLOOKUP($B64,资产台账!$B$4:$N$53,5,0)&amp;"",""))</f>
        <v/>
      </c>
      <c r="F64" s="44"/>
      <c r="G64" s="44"/>
      <c r="H64" s="44"/>
      <c r="I64" s="44"/>
      <c r="J64" s="44"/>
      <c r="K64" s="44"/>
      <c r="L64" s="44"/>
      <c r="M64" s="44"/>
      <c r="N64" s="44"/>
      <c r="O64" s="44"/>
      <c r="P64" s="44"/>
      <c r="Q64" s="44"/>
      <c r="R64" s="45" t="str">
        <f aca="false">IF($A64="","",SUM(H64:Q64))</f>
        <v/>
      </c>
      <c r="S64" s="45" t="str">
        <f aca="false">IF($A64="","",ROUND($F64-$G64-$R64,2))</f>
        <v/>
      </c>
      <c r="T64" s="28" t="str">
        <f aca="false">IF(OR($A64="",$F64=0),"",$R64/$F64)</f>
        <v/>
      </c>
      <c r="U64" s="35"/>
      <c r="V64" s="0" t="str">
        <f aca="false">IF($A64="","",$A64&amp;"|"&amp;$B64)</f>
        <v/>
      </c>
    </row>
    <row r="65" customFormat="false" ht="18" hidden="false" customHeight="true" outlineLevel="0" collapsed="false">
      <c r="A65" s="36"/>
      <c r="B65" s="36"/>
      <c r="C65" s="48" t="str">
        <f aca="false">IF($B65="","",IFERROR(VLOOKUP($B65,资产台账!$B$4:$N$53,2,0)&amp;"","台账中未登记"))</f>
        <v/>
      </c>
      <c r="D65" s="43" t="str">
        <f aca="false">IF($B65="","",IFERROR(VLOOKUP($B65,资产台账!$B$4:$N$53,3,0)&amp;"",""))</f>
        <v/>
      </c>
      <c r="E65" s="43" t="str">
        <f aca="false">IF($B65="","",IFERROR(VLOOKUP($B65,资产台账!$B$4:$N$53,5,0)&amp;"",""))</f>
        <v/>
      </c>
      <c r="F65" s="44"/>
      <c r="G65" s="44"/>
      <c r="H65" s="44"/>
      <c r="I65" s="44"/>
      <c r="J65" s="44"/>
      <c r="K65" s="44"/>
      <c r="L65" s="44"/>
      <c r="M65" s="44"/>
      <c r="N65" s="44"/>
      <c r="O65" s="44"/>
      <c r="P65" s="44"/>
      <c r="Q65" s="44"/>
      <c r="R65" s="45" t="str">
        <f aca="false">IF($A65="","",SUM(H65:Q65))</f>
        <v/>
      </c>
      <c r="S65" s="45" t="str">
        <f aca="false">IF($A65="","",ROUND($F65-$G65-$R65,2))</f>
        <v/>
      </c>
      <c r="T65" s="28" t="str">
        <f aca="false">IF(OR($A65="",$F65=0),"",$R65/$F65)</f>
        <v/>
      </c>
      <c r="U65" s="35"/>
      <c r="V65" s="0" t="str">
        <f aca="false">IF($A65="","",$A65&amp;"|"&amp;$B65)</f>
        <v/>
      </c>
    </row>
    <row r="66" customFormat="false" ht="18" hidden="false" customHeight="true" outlineLevel="0" collapsed="false">
      <c r="A66" s="36"/>
      <c r="B66" s="36"/>
      <c r="C66" s="48" t="str">
        <f aca="false">IF($B66="","",IFERROR(VLOOKUP($B66,资产台账!$B$4:$N$53,2,0)&amp;"","台账中未登记"))</f>
        <v/>
      </c>
      <c r="D66" s="43" t="str">
        <f aca="false">IF($B66="","",IFERROR(VLOOKUP($B66,资产台账!$B$4:$N$53,3,0)&amp;"",""))</f>
        <v/>
      </c>
      <c r="E66" s="43" t="str">
        <f aca="false">IF($B66="","",IFERROR(VLOOKUP($B66,资产台账!$B$4:$N$53,5,0)&amp;"",""))</f>
        <v/>
      </c>
      <c r="F66" s="44"/>
      <c r="G66" s="44"/>
      <c r="H66" s="44"/>
      <c r="I66" s="44"/>
      <c r="J66" s="44"/>
      <c r="K66" s="44"/>
      <c r="L66" s="44"/>
      <c r="M66" s="44"/>
      <c r="N66" s="44"/>
      <c r="O66" s="44"/>
      <c r="P66" s="44"/>
      <c r="Q66" s="44"/>
      <c r="R66" s="45" t="str">
        <f aca="false">IF($A66="","",SUM(H66:Q66))</f>
        <v/>
      </c>
      <c r="S66" s="45" t="str">
        <f aca="false">IF($A66="","",ROUND($F66-$G66-$R66,2))</f>
        <v/>
      </c>
      <c r="T66" s="28" t="str">
        <f aca="false">IF(OR($A66="",$F66=0),"",$R66/$F66)</f>
        <v/>
      </c>
      <c r="U66" s="35"/>
      <c r="V66" s="0" t="str">
        <f aca="false">IF($A66="","",$A66&amp;"|"&amp;$B66)</f>
        <v/>
      </c>
    </row>
    <row r="67" customFormat="false" ht="18" hidden="false" customHeight="true" outlineLevel="0" collapsed="false">
      <c r="A67" s="36"/>
      <c r="B67" s="36"/>
      <c r="C67" s="48" t="str">
        <f aca="false">IF($B67="","",IFERROR(VLOOKUP($B67,资产台账!$B$4:$N$53,2,0)&amp;"","台账中未登记"))</f>
        <v/>
      </c>
      <c r="D67" s="43" t="str">
        <f aca="false">IF($B67="","",IFERROR(VLOOKUP($B67,资产台账!$B$4:$N$53,3,0)&amp;"",""))</f>
        <v/>
      </c>
      <c r="E67" s="43" t="str">
        <f aca="false">IF($B67="","",IFERROR(VLOOKUP($B67,资产台账!$B$4:$N$53,5,0)&amp;"",""))</f>
        <v/>
      </c>
      <c r="F67" s="44"/>
      <c r="G67" s="44"/>
      <c r="H67" s="44"/>
      <c r="I67" s="44"/>
      <c r="J67" s="44"/>
      <c r="K67" s="44"/>
      <c r="L67" s="44"/>
      <c r="M67" s="44"/>
      <c r="N67" s="44"/>
      <c r="O67" s="44"/>
      <c r="P67" s="44"/>
      <c r="Q67" s="44"/>
      <c r="R67" s="45" t="str">
        <f aca="false">IF($A67="","",SUM(H67:Q67))</f>
        <v/>
      </c>
      <c r="S67" s="45" t="str">
        <f aca="false">IF($A67="","",ROUND($F67-$G67-$R67,2))</f>
        <v/>
      </c>
      <c r="T67" s="28" t="str">
        <f aca="false">IF(OR($A67="",$F67=0),"",$R67/$F67)</f>
        <v/>
      </c>
      <c r="U67" s="35"/>
      <c r="V67" s="0" t="str">
        <f aca="false">IF($A67="","",$A67&amp;"|"&amp;$B67)</f>
        <v/>
      </c>
    </row>
    <row r="68" customFormat="false" ht="18" hidden="false" customHeight="true" outlineLevel="0" collapsed="false">
      <c r="A68" s="36"/>
      <c r="B68" s="36"/>
      <c r="C68" s="48" t="str">
        <f aca="false">IF($B68="","",IFERROR(VLOOKUP($B68,资产台账!$B$4:$N$53,2,0)&amp;"","台账中未登记"))</f>
        <v/>
      </c>
      <c r="D68" s="43" t="str">
        <f aca="false">IF($B68="","",IFERROR(VLOOKUP($B68,资产台账!$B$4:$N$53,3,0)&amp;"",""))</f>
        <v/>
      </c>
      <c r="E68" s="43" t="str">
        <f aca="false">IF($B68="","",IFERROR(VLOOKUP($B68,资产台账!$B$4:$N$53,5,0)&amp;"",""))</f>
        <v/>
      </c>
      <c r="F68" s="44"/>
      <c r="G68" s="44"/>
      <c r="H68" s="44"/>
      <c r="I68" s="44"/>
      <c r="J68" s="44"/>
      <c r="K68" s="44"/>
      <c r="L68" s="44"/>
      <c r="M68" s="44"/>
      <c r="N68" s="44"/>
      <c r="O68" s="44"/>
      <c r="P68" s="44"/>
      <c r="Q68" s="44"/>
      <c r="R68" s="45" t="str">
        <f aca="false">IF($A68="","",SUM(H68:Q68))</f>
        <v/>
      </c>
      <c r="S68" s="45" t="str">
        <f aca="false">IF($A68="","",ROUND($F68-$G68-$R68,2))</f>
        <v/>
      </c>
      <c r="T68" s="28" t="str">
        <f aca="false">IF(OR($A68="",$F68=0),"",$R68/$F68)</f>
        <v/>
      </c>
      <c r="U68" s="35"/>
      <c r="V68" s="0" t="str">
        <f aca="false">IF($A68="","",$A68&amp;"|"&amp;$B68)</f>
        <v/>
      </c>
    </row>
    <row r="69" customFormat="false" ht="18" hidden="false" customHeight="true" outlineLevel="0" collapsed="false">
      <c r="A69" s="36"/>
      <c r="B69" s="36"/>
      <c r="C69" s="48" t="str">
        <f aca="false">IF($B69="","",IFERROR(VLOOKUP($B69,资产台账!$B$4:$N$53,2,0)&amp;"","台账中未登记"))</f>
        <v/>
      </c>
      <c r="D69" s="43" t="str">
        <f aca="false">IF($B69="","",IFERROR(VLOOKUP($B69,资产台账!$B$4:$N$53,3,0)&amp;"",""))</f>
        <v/>
      </c>
      <c r="E69" s="43" t="str">
        <f aca="false">IF($B69="","",IFERROR(VLOOKUP($B69,资产台账!$B$4:$N$53,5,0)&amp;"",""))</f>
        <v/>
      </c>
      <c r="F69" s="44"/>
      <c r="G69" s="44"/>
      <c r="H69" s="44"/>
      <c r="I69" s="44"/>
      <c r="J69" s="44"/>
      <c r="K69" s="44"/>
      <c r="L69" s="44"/>
      <c r="M69" s="44"/>
      <c r="N69" s="44"/>
      <c r="O69" s="44"/>
      <c r="P69" s="44"/>
      <c r="Q69" s="44"/>
      <c r="R69" s="45" t="str">
        <f aca="false">IF($A69="","",SUM(H69:Q69))</f>
        <v/>
      </c>
      <c r="S69" s="45" t="str">
        <f aca="false">IF($A69="","",ROUND($F69-$G69-$R69,2))</f>
        <v/>
      </c>
      <c r="T69" s="28" t="str">
        <f aca="false">IF(OR($A69="",$F69=0),"",$R69/$F69)</f>
        <v/>
      </c>
      <c r="U69" s="35"/>
      <c r="V69" s="0" t="str">
        <f aca="false">IF($A69="","",$A69&amp;"|"&amp;$B69)</f>
        <v/>
      </c>
    </row>
    <row r="70" customFormat="false" ht="18" hidden="false" customHeight="true" outlineLevel="0" collapsed="false">
      <c r="A70" s="36"/>
      <c r="B70" s="36"/>
      <c r="C70" s="48" t="str">
        <f aca="false">IF($B70="","",IFERROR(VLOOKUP($B70,资产台账!$B$4:$N$53,2,0)&amp;"","台账中未登记"))</f>
        <v/>
      </c>
      <c r="D70" s="43" t="str">
        <f aca="false">IF($B70="","",IFERROR(VLOOKUP($B70,资产台账!$B$4:$N$53,3,0)&amp;"",""))</f>
        <v/>
      </c>
      <c r="E70" s="43" t="str">
        <f aca="false">IF($B70="","",IFERROR(VLOOKUP($B70,资产台账!$B$4:$N$53,5,0)&amp;"",""))</f>
        <v/>
      </c>
      <c r="F70" s="44"/>
      <c r="G70" s="44"/>
      <c r="H70" s="44"/>
      <c r="I70" s="44"/>
      <c r="J70" s="44"/>
      <c r="K70" s="44"/>
      <c r="L70" s="44"/>
      <c r="M70" s="44"/>
      <c r="N70" s="44"/>
      <c r="O70" s="44"/>
      <c r="P70" s="44"/>
      <c r="Q70" s="44"/>
      <c r="R70" s="45" t="str">
        <f aca="false">IF($A70="","",SUM(H70:Q70))</f>
        <v/>
      </c>
      <c r="S70" s="45" t="str">
        <f aca="false">IF($A70="","",ROUND($F70-$G70-$R70,2))</f>
        <v/>
      </c>
      <c r="T70" s="28" t="str">
        <f aca="false">IF(OR($A70="",$F70=0),"",$R70/$F70)</f>
        <v/>
      </c>
      <c r="U70" s="35"/>
      <c r="V70" s="0" t="str">
        <f aca="false">IF($A70="","",$A70&amp;"|"&amp;$B70)</f>
        <v/>
      </c>
    </row>
    <row r="71" customFormat="false" ht="18" hidden="false" customHeight="true" outlineLevel="0" collapsed="false">
      <c r="A71" s="36"/>
      <c r="B71" s="36"/>
      <c r="C71" s="48" t="str">
        <f aca="false">IF($B71="","",IFERROR(VLOOKUP($B71,资产台账!$B$4:$N$53,2,0)&amp;"","台账中未登记"))</f>
        <v/>
      </c>
      <c r="D71" s="43" t="str">
        <f aca="false">IF($B71="","",IFERROR(VLOOKUP($B71,资产台账!$B$4:$N$53,3,0)&amp;"",""))</f>
        <v/>
      </c>
      <c r="E71" s="43" t="str">
        <f aca="false">IF($B71="","",IFERROR(VLOOKUP($B71,资产台账!$B$4:$N$53,5,0)&amp;"",""))</f>
        <v/>
      </c>
      <c r="F71" s="44"/>
      <c r="G71" s="44"/>
      <c r="H71" s="44"/>
      <c r="I71" s="44"/>
      <c r="J71" s="44"/>
      <c r="K71" s="44"/>
      <c r="L71" s="44"/>
      <c r="M71" s="44"/>
      <c r="N71" s="44"/>
      <c r="O71" s="44"/>
      <c r="P71" s="44"/>
      <c r="Q71" s="44"/>
      <c r="R71" s="45" t="str">
        <f aca="false">IF($A71="","",SUM(H71:Q71))</f>
        <v/>
      </c>
      <c r="S71" s="45" t="str">
        <f aca="false">IF($A71="","",ROUND($F71-$G71-$R71,2))</f>
        <v/>
      </c>
      <c r="T71" s="28" t="str">
        <f aca="false">IF(OR($A71="",$F71=0),"",$R71/$F71)</f>
        <v/>
      </c>
      <c r="U71" s="35"/>
      <c r="V71" s="0" t="str">
        <f aca="false">IF($A71="","",$A71&amp;"|"&amp;$B71)</f>
        <v/>
      </c>
    </row>
    <row r="72" customFormat="false" ht="18" hidden="false" customHeight="true" outlineLevel="0" collapsed="false">
      <c r="A72" s="36"/>
      <c r="B72" s="36"/>
      <c r="C72" s="48" t="str">
        <f aca="false">IF($B72="","",IFERROR(VLOOKUP($B72,资产台账!$B$4:$N$53,2,0)&amp;"","台账中未登记"))</f>
        <v/>
      </c>
      <c r="D72" s="43" t="str">
        <f aca="false">IF($B72="","",IFERROR(VLOOKUP($B72,资产台账!$B$4:$N$53,3,0)&amp;"",""))</f>
        <v/>
      </c>
      <c r="E72" s="43" t="str">
        <f aca="false">IF($B72="","",IFERROR(VLOOKUP($B72,资产台账!$B$4:$N$53,5,0)&amp;"",""))</f>
        <v/>
      </c>
      <c r="F72" s="44"/>
      <c r="G72" s="44"/>
      <c r="H72" s="44"/>
      <c r="I72" s="44"/>
      <c r="J72" s="44"/>
      <c r="K72" s="44"/>
      <c r="L72" s="44"/>
      <c r="M72" s="44"/>
      <c r="N72" s="44"/>
      <c r="O72" s="44"/>
      <c r="P72" s="44"/>
      <c r="Q72" s="44"/>
      <c r="R72" s="45" t="str">
        <f aca="false">IF($A72="","",SUM(H72:Q72))</f>
        <v/>
      </c>
      <c r="S72" s="45" t="str">
        <f aca="false">IF($A72="","",ROUND($F72-$G72-$R72,2))</f>
        <v/>
      </c>
      <c r="T72" s="28" t="str">
        <f aca="false">IF(OR($A72="",$F72=0),"",$R72/$F72)</f>
        <v/>
      </c>
      <c r="U72" s="35"/>
      <c r="V72" s="0" t="str">
        <f aca="false">IF($A72="","",$A72&amp;"|"&amp;$B72)</f>
        <v/>
      </c>
    </row>
    <row r="73" customFormat="false" ht="18" hidden="false" customHeight="true" outlineLevel="0" collapsed="false">
      <c r="A73" s="36"/>
      <c r="B73" s="36"/>
      <c r="C73" s="48" t="str">
        <f aca="false">IF($B73="","",IFERROR(VLOOKUP($B73,资产台账!$B$4:$N$53,2,0)&amp;"","台账中未登记"))</f>
        <v/>
      </c>
      <c r="D73" s="43" t="str">
        <f aca="false">IF($B73="","",IFERROR(VLOOKUP($B73,资产台账!$B$4:$N$53,3,0)&amp;"",""))</f>
        <v/>
      </c>
      <c r="E73" s="43" t="str">
        <f aca="false">IF($B73="","",IFERROR(VLOOKUP($B73,资产台账!$B$4:$N$53,5,0)&amp;"",""))</f>
        <v/>
      </c>
      <c r="F73" s="44"/>
      <c r="G73" s="44"/>
      <c r="H73" s="44"/>
      <c r="I73" s="44"/>
      <c r="J73" s="44"/>
      <c r="K73" s="44"/>
      <c r="L73" s="44"/>
      <c r="M73" s="44"/>
      <c r="N73" s="44"/>
      <c r="O73" s="44"/>
      <c r="P73" s="44"/>
      <c r="Q73" s="44"/>
      <c r="R73" s="45" t="str">
        <f aca="false">IF($A73="","",SUM(H73:Q73))</f>
        <v/>
      </c>
      <c r="S73" s="45" t="str">
        <f aca="false">IF($A73="","",ROUND($F73-$G73-$R73,2))</f>
        <v/>
      </c>
      <c r="T73" s="28" t="str">
        <f aca="false">IF(OR($A73="",$F73=0),"",$R73/$F73)</f>
        <v/>
      </c>
      <c r="U73" s="35"/>
      <c r="V73" s="0" t="str">
        <f aca="false">IF($A73="","",$A73&amp;"|"&amp;$B73)</f>
        <v/>
      </c>
    </row>
    <row r="74" customFormat="false" ht="18" hidden="false" customHeight="true" outlineLevel="0" collapsed="false">
      <c r="A74" s="36"/>
      <c r="B74" s="36"/>
      <c r="C74" s="48" t="str">
        <f aca="false">IF($B74="","",IFERROR(VLOOKUP($B74,资产台账!$B$4:$N$53,2,0)&amp;"","台账中未登记"))</f>
        <v/>
      </c>
      <c r="D74" s="43" t="str">
        <f aca="false">IF($B74="","",IFERROR(VLOOKUP($B74,资产台账!$B$4:$N$53,3,0)&amp;"",""))</f>
        <v/>
      </c>
      <c r="E74" s="43" t="str">
        <f aca="false">IF($B74="","",IFERROR(VLOOKUP($B74,资产台账!$B$4:$N$53,5,0)&amp;"",""))</f>
        <v/>
      </c>
      <c r="F74" s="44"/>
      <c r="G74" s="44"/>
      <c r="H74" s="44"/>
      <c r="I74" s="44"/>
      <c r="J74" s="44"/>
      <c r="K74" s="44"/>
      <c r="L74" s="44"/>
      <c r="M74" s="44"/>
      <c r="N74" s="44"/>
      <c r="O74" s="44"/>
      <c r="P74" s="44"/>
      <c r="Q74" s="44"/>
      <c r="R74" s="45" t="str">
        <f aca="false">IF($A74="","",SUM(H74:Q74))</f>
        <v/>
      </c>
      <c r="S74" s="45" t="str">
        <f aca="false">IF($A74="","",ROUND($F74-$G74-$R74,2))</f>
        <v/>
      </c>
      <c r="T74" s="28" t="str">
        <f aca="false">IF(OR($A74="",$F74=0),"",$R74/$F74)</f>
        <v/>
      </c>
      <c r="U74" s="35"/>
      <c r="V74" s="0" t="str">
        <f aca="false">IF($A74="","",$A74&amp;"|"&amp;$B74)</f>
        <v/>
      </c>
    </row>
    <row r="75" customFormat="false" ht="18" hidden="false" customHeight="true" outlineLevel="0" collapsed="false">
      <c r="A75" s="36"/>
      <c r="B75" s="36"/>
      <c r="C75" s="48" t="str">
        <f aca="false">IF($B75="","",IFERROR(VLOOKUP($B75,资产台账!$B$4:$N$53,2,0)&amp;"","台账中未登记"))</f>
        <v/>
      </c>
      <c r="D75" s="43" t="str">
        <f aca="false">IF($B75="","",IFERROR(VLOOKUP($B75,资产台账!$B$4:$N$53,3,0)&amp;"",""))</f>
        <v/>
      </c>
      <c r="E75" s="43" t="str">
        <f aca="false">IF($B75="","",IFERROR(VLOOKUP($B75,资产台账!$B$4:$N$53,5,0)&amp;"",""))</f>
        <v/>
      </c>
      <c r="F75" s="44"/>
      <c r="G75" s="44"/>
      <c r="H75" s="44"/>
      <c r="I75" s="44"/>
      <c r="J75" s="44"/>
      <c r="K75" s="44"/>
      <c r="L75" s="44"/>
      <c r="M75" s="44"/>
      <c r="N75" s="44"/>
      <c r="O75" s="44"/>
      <c r="P75" s="44"/>
      <c r="Q75" s="44"/>
      <c r="R75" s="45" t="str">
        <f aca="false">IF($A75="","",SUM(H75:Q75))</f>
        <v/>
      </c>
      <c r="S75" s="45" t="str">
        <f aca="false">IF($A75="","",ROUND($F75-$G75-$R75,2))</f>
        <v/>
      </c>
      <c r="T75" s="28" t="str">
        <f aca="false">IF(OR($A75="",$F75=0),"",$R75/$F75)</f>
        <v/>
      </c>
      <c r="U75" s="35"/>
      <c r="V75" s="0" t="str">
        <f aca="false">IF($A75="","",$A75&amp;"|"&amp;$B75)</f>
        <v/>
      </c>
    </row>
    <row r="76" customFormat="false" ht="18" hidden="false" customHeight="true" outlineLevel="0" collapsed="false">
      <c r="A76" s="36"/>
      <c r="B76" s="36"/>
      <c r="C76" s="48" t="str">
        <f aca="false">IF($B76="","",IFERROR(VLOOKUP($B76,资产台账!$B$4:$N$53,2,0)&amp;"","台账中未登记"))</f>
        <v/>
      </c>
      <c r="D76" s="43" t="str">
        <f aca="false">IF($B76="","",IFERROR(VLOOKUP($B76,资产台账!$B$4:$N$53,3,0)&amp;"",""))</f>
        <v/>
      </c>
      <c r="E76" s="43" t="str">
        <f aca="false">IF($B76="","",IFERROR(VLOOKUP($B76,资产台账!$B$4:$N$53,5,0)&amp;"",""))</f>
        <v/>
      </c>
      <c r="F76" s="44"/>
      <c r="G76" s="44"/>
      <c r="H76" s="44"/>
      <c r="I76" s="44"/>
      <c r="J76" s="44"/>
      <c r="K76" s="44"/>
      <c r="L76" s="44"/>
      <c r="M76" s="44"/>
      <c r="N76" s="44"/>
      <c r="O76" s="44"/>
      <c r="P76" s="44"/>
      <c r="Q76" s="44"/>
      <c r="R76" s="45" t="str">
        <f aca="false">IF($A76="","",SUM(H76:Q76))</f>
        <v/>
      </c>
      <c r="S76" s="45" t="str">
        <f aca="false">IF($A76="","",ROUND($F76-$G76-$R76,2))</f>
        <v/>
      </c>
      <c r="T76" s="28" t="str">
        <f aca="false">IF(OR($A76="",$F76=0),"",$R76/$F76)</f>
        <v/>
      </c>
      <c r="U76" s="35"/>
      <c r="V76" s="0" t="str">
        <f aca="false">IF($A76="","",$A76&amp;"|"&amp;$B76)</f>
        <v/>
      </c>
    </row>
    <row r="77" customFormat="false" ht="18" hidden="false" customHeight="true" outlineLevel="0" collapsed="false">
      <c r="A77" s="36"/>
      <c r="B77" s="36"/>
      <c r="C77" s="48" t="str">
        <f aca="false">IF($B77="","",IFERROR(VLOOKUP($B77,资产台账!$B$4:$N$53,2,0)&amp;"","台账中未登记"))</f>
        <v/>
      </c>
      <c r="D77" s="43" t="str">
        <f aca="false">IF($B77="","",IFERROR(VLOOKUP($B77,资产台账!$B$4:$N$53,3,0)&amp;"",""))</f>
        <v/>
      </c>
      <c r="E77" s="43" t="str">
        <f aca="false">IF($B77="","",IFERROR(VLOOKUP($B77,资产台账!$B$4:$N$53,5,0)&amp;"",""))</f>
        <v/>
      </c>
      <c r="F77" s="44"/>
      <c r="G77" s="44"/>
      <c r="H77" s="44"/>
      <c r="I77" s="44"/>
      <c r="J77" s="44"/>
      <c r="K77" s="44"/>
      <c r="L77" s="44"/>
      <c r="M77" s="44"/>
      <c r="N77" s="44"/>
      <c r="O77" s="44"/>
      <c r="P77" s="44"/>
      <c r="Q77" s="44"/>
      <c r="R77" s="45" t="str">
        <f aca="false">IF($A77="","",SUM(H77:Q77))</f>
        <v/>
      </c>
      <c r="S77" s="45" t="str">
        <f aca="false">IF($A77="","",ROUND($F77-$G77-$R77,2))</f>
        <v/>
      </c>
      <c r="T77" s="28" t="str">
        <f aca="false">IF(OR($A77="",$F77=0),"",$R77/$F77)</f>
        <v/>
      </c>
      <c r="U77" s="35"/>
      <c r="V77" s="0" t="str">
        <f aca="false">IF($A77="","",$A77&amp;"|"&amp;$B77)</f>
        <v/>
      </c>
    </row>
    <row r="78" customFormat="false" ht="18" hidden="false" customHeight="true" outlineLevel="0" collapsed="false">
      <c r="A78" s="36"/>
      <c r="B78" s="36"/>
      <c r="C78" s="48" t="str">
        <f aca="false">IF($B78="","",IFERROR(VLOOKUP($B78,资产台账!$B$4:$N$53,2,0)&amp;"","台账中未登记"))</f>
        <v/>
      </c>
      <c r="D78" s="43" t="str">
        <f aca="false">IF($B78="","",IFERROR(VLOOKUP($B78,资产台账!$B$4:$N$53,3,0)&amp;"",""))</f>
        <v/>
      </c>
      <c r="E78" s="43" t="str">
        <f aca="false">IF($B78="","",IFERROR(VLOOKUP($B78,资产台账!$B$4:$N$53,5,0)&amp;"",""))</f>
        <v/>
      </c>
      <c r="F78" s="44"/>
      <c r="G78" s="44"/>
      <c r="H78" s="44"/>
      <c r="I78" s="44"/>
      <c r="J78" s="44"/>
      <c r="K78" s="44"/>
      <c r="L78" s="44"/>
      <c r="M78" s="44"/>
      <c r="N78" s="44"/>
      <c r="O78" s="44"/>
      <c r="P78" s="44"/>
      <c r="Q78" s="44"/>
      <c r="R78" s="45" t="str">
        <f aca="false">IF($A78="","",SUM(H78:Q78))</f>
        <v/>
      </c>
      <c r="S78" s="45" t="str">
        <f aca="false">IF($A78="","",ROUND($F78-$G78-$R78,2))</f>
        <v/>
      </c>
      <c r="T78" s="28" t="str">
        <f aca="false">IF(OR($A78="",$F78=0),"",$R78/$F78)</f>
        <v/>
      </c>
      <c r="U78" s="35"/>
      <c r="V78" s="0" t="str">
        <f aca="false">IF($A78="","",$A78&amp;"|"&amp;$B78)</f>
        <v/>
      </c>
    </row>
    <row r="79" customFormat="false" ht="18" hidden="false" customHeight="true" outlineLevel="0" collapsed="false">
      <c r="A79" s="36"/>
      <c r="B79" s="36"/>
      <c r="C79" s="48" t="str">
        <f aca="false">IF($B79="","",IFERROR(VLOOKUP($B79,资产台账!$B$4:$N$53,2,0)&amp;"","台账中未登记"))</f>
        <v/>
      </c>
      <c r="D79" s="43" t="str">
        <f aca="false">IF($B79="","",IFERROR(VLOOKUP($B79,资产台账!$B$4:$N$53,3,0)&amp;"",""))</f>
        <v/>
      </c>
      <c r="E79" s="43" t="str">
        <f aca="false">IF($B79="","",IFERROR(VLOOKUP($B79,资产台账!$B$4:$N$53,5,0)&amp;"",""))</f>
        <v/>
      </c>
      <c r="F79" s="44"/>
      <c r="G79" s="44"/>
      <c r="H79" s="44"/>
      <c r="I79" s="44"/>
      <c r="J79" s="44"/>
      <c r="K79" s="44"/>
      <c r="L79" s="44"/>
      <c r="M79" s="44"/>
      <c r="N79" s="44"/>
      <c r="O79" s="44"/>
      <c r="P79" s="44"/>
      <c r="Q79" s="44"/>
      <c r="R79" s="45" t="str">
        <f aca="false">IF($A79="","",SUM(H79:Q79))</f>
        <v/>
      </c>
      <c r="S79" s="45" t="str">
        <f aca="false">IF($A79="","",ROUND($F79-$G79-$R79,2))</f>
        <v/>
      </c>
      <c r="T79" s="28" t="str">
        <f aca="false">IF(OR($A79="",$F79=0),"",$R79/$F79)</f>
        <v/>
      </c>
      <c r="U79" s="35"/>
      <c r="V79" s="0" t="str">
        <f aca="false">IF($A79="","",$A79&amp;"|"&amp;$B79)</f>
        <v/>
      </c>
    </row>
    <row r="80" customFormat="false" ht="18" hidden="false" customHeight="true" outlineLevel="0" collapsed="false">
      <c r="A80" s="36"/>
      <c r="B80" s="36"/>
      <c r="C80" s="48" t="str">
        <f aca="false">IF($B80="","",IFERROR(VLOOKUP($B80,资产台账!$B$4:$N$53,2,0)&amp;"","台账中未登记"))</f>
        <v/>
      </c>
      <c r="D80" s="43" t="str">
        <f aca="false">IF($B80="","",IFERROR(VLOOKUP($B80,资产台账!$B$4:$N$53,3,0)&amp;"",""))</f>
        <v/>
      </c>
      <c r="E80" s="43" t="str">
        <f aca="false">IF($B80="","",IFERROR(VLOOKUP($B80,资产台账!$B$4:$N$53,5,0)&amp;"",""))</f>
        <v/>
      </c>
      <c r="F80" s="44"/>
      <c r="G80" s="44"/>
      <c r="H80" s="44"/>
      <c r="I80" s="44"/>
      <c r="J80" s="44"/>
      <c r="K80" s="44"/>
      <c r="L80" s="44"/>
      <c r="M80" s="44"/>
      <c r="N80" s="44"/>
      <c r="O80" s="44"/>
      <c r="P80" s="44"/>
      <c r="Q80" s="44"/>
      <c r="R80" s="45" t="str">
        <f aca="false">IF($A80="","",SUM(H80:Q80))</f>
        <v/>
      </c>
      <c r="S80" s="45" t="str">
        <f aca="false">IF($A80="","",ROUND($F80-$G80-$R80,2))</f>
        <v/>
      </c>
      <c r="T80" s="28" t="str">
        <f aca="false">IF(OR($A80="",$F80=0),"",$R80/$F80)</f>
        <v/>
      </c>
      <c r="U80" s="35"/>
      <c r="V80" s="0" t="str">
        <f aca="false">IF($A80="","",$A80&amp;"|"&amp;$B80)</f>
        <v/>
      </c>
    </row>
    <row r="81" customFormat="false" ht="18" hidden="false" customHeight="true" outlineLevel="0" collapsed="false">
      <c r="A81" s="36"/>
      <c r="B81" s="36"/>
      <c r="C81" s="48" t="str">
        <f aca="false">IF($B81="","",IFERROR(VLOOKUP($B81,资产台账!$B$4:$N$53,2,0)&amp;"","台账中未登记"))</f>
        <v/>
      </c>
      <c r="D81" s="43" t="str">
        <f aca="false">IF($B81="","",IFERROR(VLOOKUP($B81,资产台账!$B$4:$N$53,3,0)&amp;"",""))</f>
        <v/>
      </c>
      <c r="E81" s="43" t="str">
        <f aca="false">IF($B81="","",IFERROR(VLOOKUP($B81,资产台账!$B$4:$N$53,5,0)&amp;"",""))</f>
        <v/>
      </c>
      <c r="F81" s="44"/>
      <c r="G81" s="44"/>
      <c r="H81" s="44"/>
      <c r="I81" s="44"/>
      <c r="J81" s="44"/>
      <c r="K81" s="44"/>
      <c r="L81" s="44"/>
      <c r="M81" s="44"/>
      <c r="N81" s="44"/>
      <c r="O81" s="44"/>
      <c r="P81" s="44"/>
      <c r="Q81" s="44"/>
      <c r="R81" s="45" t="str">
        <f aca="false">IF($A81="","",SUM(H81:Q81))</f>
        <v/>
      </c>
      <c r="S81" s="45" t="str">
        <f aca="false">IF($A81="","",ROUND($F81-$G81-$R81,2))</f>
        <v/>
      </c>
      <c r="T81" s="28" t="str">
        <f aca="false">IF(OR($A81="",$F81=0),"",$R81/$F81)</f>
        <v/>
      </c>
      <c r="U81" s="35"/>
      <c r="V81" s="0" t="str">
        <f aca="false">IF($A81="","",$A81&amp;"|"&amp;$B81)</f>
        <v/>
      </c>
    </row>
    <row r="82" customFormat="false" ht="18" hidden="false" customHeight="true" outlineLevel="0" collapsed="false">
      <c r="A82" s="36"/>
      <c r="B82" s="36"/>
      <c r="C82" s="48" t="str">
        <f aca="false">IF($B82="","",IFERROR(VLOOKUP($B82,资产台账!$B$4:$N$53,2,0)&amp;"","台账中未登记"))</f>
        <v/>
      </c>
      <c r="D82" s="43" t="str">
        <f aca="false">IF($B82="","",IFERROR(VLOOKUP($B82,资产台账!$B$4:$N$53,3,0)&amp;"",""))</f>
        <v/>
      </c>
      <c r="E82" s="43" t="str">
        <f aca="false">IF($B82="","",IFERROR(VLOOKUP($B82,资产台账!$B$4:$N$53,5,0)&amp;"",""))</f>
        <v/>
      </c>
      <c r="F82" s="44"/>
      <c r="G82" s="44"/>
      <c r="H82" s="44"/>
      <c r="I82" s="44"/>
      <c r="J82" s="44"/>
      <c r="K82" s="44"/>
      <c r="L82" s="44"/>
      <c r="M82" s="44"/>
      <c r="N82" s="44"/>
      <c r="O82" s="44"/>
      <c r="P82" s="44"/>
      <c r="Q82" s="44"/>
      <c r="R82" s="45" t="str">
        <f aca="false">IF($A82="","",SUM(H82:Q82))</f>
        <v/>
      </c>
      <c r="S82" s="45" t="str">
        <f aca="false">IF($A82="","",ROUND($F82-$G82-$R82,2))</f>
        <v/>
      </c>
      <c r="T82" s="28" t="str">
        <f aca="false">IF(OR($A82="",$F82=0),"",$R82/$F82)</f>
        <v/>
      </c>
      <c r="U82" s="35"/>
      <c r="V82" s="0" t="str">
        <f aca="false">IF($A82="","",$A82&amp;"|"&amp;$B82)</f>
        <v/>
      </c>
    </row>
    <row r="83" customFormat="false" ht="18" hidden="false" customHeight="true" outlineLevel="0" collapsed="false">
      <c r="A83" s="36"/>
      <c r="B83" s="36"/>
      <c r="C83" s="48" t="str">
        <f aca="false">IF($B83="","",IFERROR(VLOOKUP($B83,资产台账!$B$4:$N$53,2,0)&amp;"","台账中未登记"))</f>
        <v/>
      </c>
      <c r="D83" s="43" t="str">
        <f aca="false">IF($B83="","",IFERROR(VLOOKUP($B83,资产台账!$B$4:$N$53,3,0)&amp;"",""))</f>
        <v/>
      </c>
      <c r="E83" s="43" t="str">
        <f aca="false">IF($B83="","",IFERROR(VLOOKUP($B83,资产台账!$B$4:$N$53,5,0)&amp;"",""))</f>
        <v/>
      </c>
      <c r="F83" s="44"/>
      <c r="G83" s="44"/>
      <c r="H83" s="44"/>
      <c r="I83" s="44"/>
      <c r="J83" s="44"/>
      <c r="K83" s="44"/>
      <c r="L83" s="44"/>
      <c r="M83" s="44"/>
      <c r="N83" s="44"/>
      <c r="O83" s="44"/>
      <c r="P83" s="44"/>
      <c r="Q83" s="44"/>
      <c r="R83" s="45" t="str">
        <f aca="false">IF($A83="","",SUM(H83:Q83))</f>
        <v/>
      </c>
      <c r="S83" s="45" t="str">
        <f aca="false">IF($A83="","",ROUND($F83-$G83-$R83,2))</f>
        <v/>
      </c>
      <c r="T83" s="28" t="str">
        <f aca="false">IF(OR($A83="",$F83=0),"",$R83/$F83)</f>
        <v/>
      </c>
      <c r="U83" s="35"/>
      <c r="V83" s="0" t="str">
        <f aca="false">IF($A83="","",$A83&amp;"|"&amp;$B83)</f>
        <v/>
      </c>
    </row>
    <row r="84" customFormat="false" ht="18" hidden="false" customHeight="true" outlineLevel="0" collapsed="false">
      <c r="A84" s="36"/>
      <c r="B84" s="36"/>
      <c r="C84" s="48" t="str">
        <f aca="false">IF($B84="","",IFERROR(VLOOKUP($B84,资产台账!$B$4:$N$53,2,0)&amp;"","台账中未登记"))</f>
        <v/>
      </c>
      <c r="D84" s="43" t="str">
        <f aca="false">IF($B84="","",IFERROR(VLOOKUP($B84,资产台账!$B$4:$N$53,3,0)&amp;"",""))</f>
        <v/>
      </c>
      <c r="E84" s="43" t="str">
        <f aca="false">IF($B84="","",IFERROR(VLOOKUP($B84,资产台账!$B$4:$N$53,5,0)&amp;"",""))</f>
        <v/>
      </c>
      <c r="F84" s="44"/>
      <c r="G84" s="44"/>
      <c r="H84" s="44"/>
      <c r="I84" s="44"/>
      <c r="J84" s="44"/>
      <c r="K84" s="44"/>
      <c r="L84" s="44"/>
      <c r="M84" s="44"/>
      <c r="N84" s="44"/>
      <c r="O84" s="44"/>
      <c r="P84" s="44"/>
      <c r="Q84" s="44"/>
      <c r="R84" s="45" t="str">
        <f aca="false">IF($A84="","",SUM(H84:Q84))</f>
        <v/>
      </c>
      <c r="S84" s="45" t="str">
        <f aca="false">IF($A84="","",ROUND($F84-$G84-$R84,2))</f>
        <v/>
      </c>
      <c r="T84" s="28" t="str">
        <f aca="false">IF(OR($A84="",$F84=0),"",$R84/$F84)</f>
        <v/>
      </c>
      <c r="U84" s="35"/>
      <c r="V84" s="0" t="str">
        <f aca="false">IF($A84="","",$A84&amp;"|"&amp;$B84)</f>
        <v/>
      </c>
    </row>
    <row r="85" customFormat="false" ht="18" hidden="false" customHeight="true" outlineLevel="0" collapsed="false">
      <c r="A85" s="36"/>
      <c r="B85" s="36"/>
      <c r="C85" s="48" t="str">
        <f aca="false">IF($B85="","",IFERROR(VLOOKUP($B85,资产台账!$B$4:$N$53,2,0)&amp;"","台账中未登记"))</f>
        <v/>
      </c>
      <c r="D85" s="43" t="str">
        <f aca="false">IF($B85="","",IFERROR(VLOOKUP($B85,资产台账!$B$4:$N$53,3,0)&amp;"",""))</f>
        <v/>
      </c>
      <c r="E85" s="43" t="str">
        <f aca="false">IF($B85="","",IFERROR(VLOOKUP($B85,资产台账!$B$4:$N$53,5,0)&amp;"",""))</f>
        <v/>
      </c>
      <c r="F85" s="44"/>
      <c r="G85" s="44"/>
      <c r="H85" s="44"/>
      <c r="I85" s="44"/>
      <c r="J85" s="44"/>
      <c r="K85" s="44"/>
      <c r="L85" s="44"/>
      <c r="M85" s="44"/>
      <c r="N85" s="44"/>
      <c r="O85" s="44"/>
      <c r="P85" s="44"/>
      <c r="Q85" s="44"/>
      <c r="R85" s="45" t="str">
        <f aca="false">IF($A85="","",SUM(H85:Q85))</f>
        <v/>
      </c>
      <c r="S85" s="45" t="str">
        <f aca="false">IF($A85="","",ROUND($F85-$G85-$R85,2))</f>
        <v/>
      </c>
      <c r="T85" s="28" t="str">
        <f aca="false">IF(OR($A85="",$F85=0),"",$R85/$F85)</f>
        <v/>
      </c>
      <c r="U85" s="35"/>
      <c r="V85" s="0" t="str">
        <f aca="false">IF($A85="","",$A85&amp;"|"&amp;$B85)</f>
        <v/>
      </c>
    </row>
    <row r="86" customFormat="false" ht="18" hidden="false" customHeight="true" outlineLevel="0" collapsed="false">
      <c r="A86" s="36"/>
      <c r="B86" s="36"/>
      <c r="C86" s="48" t="str">
        <f aca="false">IF($B86="","",IFERROR(VLOOKUP($B86,资产台账!$B$4:$N$53,2,0)&amp;"","台账中未登记"))</f>
        <v/>
      </c>
      <c r="D86" s="43" t="str">
        <f aca="false">IF($B86="","",IFERROR(VLOOKUP($B86,资产台账!$B$4:$N$53,3,0)&amp;"",""))</f>
        <v/>
      </c>
      <c r="E86" s="43" t="str">
        <f aca="false">IF($B86="","",IFERROR(VLOOKUP($B86,资产台账!$B$4:$N$53,5,0)&amp;"",""))</f>
        <v/>
      </c>
      <c r="F86" s="44"/>
      <c r="G86" s="44"/>
      <c r="H86" s="44"/>
      <c r="I86" s="44"/>
      <c r="J86" s="44"/>
      <c r="K86" s="44"/>
      <c r="L86" s="44"/>
      <c r="M86" s="44"/>
      <c r="N86" s="44"/>
      <c r="O86" s="44"/>
      <c r="P86" s="44"/>
      <c r="Q86" s="44"/>
      <c r="R86" s="45" t="str">
        <f aca="false">IF($A86="","",SUM(H86:Q86))</f>
        <v/>
      </c>
      <c r="S86" s="45" t="str">
        <f aca="false">IF($A86="","",ROUND($F86-$G86-$R86,2))</f>
        <v/>
      </c>
      <c r="T86" s="28" t="str">
        <f aca="false">IF(OR($A86="",$F86=0),"",$R86/$F86)</f>
        <v/>
      </c>
      <c r="U86" s="35"/>
      <c r="V86" s="0" t="str">
        <f aca="false">IF($A86="","",$A86&amp;"|"&amp;$B86)</f>
        <v/>
      </c>
    </row>
    <row r="87" customFormat="false" ht="18" hidden="false" customHeight="true" outlineLevel="0" collapsed="false">
      <c r="A87" s="36"/>
      <c r="B87" s="36"/>
      <c r="C87" s="48" t="str">
        <f aca="false">IF($B87="","",IFERROR(VLOOKUP($B87,资产台账!$B$4:$N$53,2,0)&amp;"","台账中未登记"))</f>
        <v/>
      </c>
      <c r="D87" s="43" t="str">
        <f aca="false">IF($B87="","",IFERROR(VLOOKUP($B87,资产台账!$B$4:$N$53,3,0)&amp;"",""))</f>
        <v/>
      </c>
      <c r="E87" s="43" t="str">
        <f aca="false">IF($B87="","",IFERROR(VLOOKUP($B87,资产台账!$B$4:$N$53,5,0)&amp;"",""))</f>
        <v/>
      </c>
      <c r="F87" s="44"/>
      <c r="G87" s="44"/>
      <c r="H87" s="44"/>
      <c r="I87" s="44"/>
      <c r="J87" s="44"/>
      <c r="K87" s="44"/>
      <c r="L87" s="44"/>
      <c r="M87" s="44"/>
      <c r="N87" s="44"/>
      <c r="O87" s="44"/>
      <c r="P87" s="44"/>
      <c r="Q87" s="44"/>
      <c r="R87" s="45" t="str">
        <f aca="false">IF($A87="","",SUM(H87:Q87))</f>
        <v/>
      </c>
      <c r="S87" s="45" t="str">
        <f aca="false">IF($A87="","",ROUND($F87-$G87-$R87,2))</f>
        <v/>
      </c>
      <c r="T87" s="28" t="str">
        <f aca="false">IF(OR($A87="",$F87=0),"",$R87/$F87)</f>
        <v/>
      </c>
      <c r="U87" s="35"/>
      <c r="V87" s="0" t="str">
        <f aca="false">IF($A87="","",$A87&amp;"|"&amp;$B87)</f>
        <v/>
      </c>
    </row>
    <row r="88" customFormat="false" ht="18" hidden="false" customHeight="true" outlineLevel="0" collapsed="false">
      <c r="A88" s="36"/>
      <c r="B88" s="36"/>
      <c r="C88" s="48" t="str">
        <f aca="false">IF($B88="","",IFERROR(VLOOKUP($B88,资产台账!$B$4:$N$53,2,0)&amp;"","台账中未登记"))</f>
        <v/>
      </c>
      <c r="D88" s="43" t="str">
        <f aca="false">IF($B88="","",IFERROR(VLOOKUP($B88,资产台账!$B$4:$N$53,3,0)&amp;"",""))</f>
        <v/>
      </c>
      <c r="E88" s="43" t="str">
        <f aca="false">IF($B88="","",IFERROR(VLOOKUP($B88,资产台账!$B$4:$N$53,5,0)&amp;"",""))</f>
        <v/>
      </c>
      <c r="F88" s="44"/>
      <c r="G88" s="44"/>
      <c r="H88" s="44"/>
      <c r="I88" s="44"/>
      <c r="J88" s="44"/>
      <c r="K88" s="44"/>
      <c r="L88" s="44"/>
      <c r="M88" s="44"/>
      <c r="N88" s="44"/>
      <c r="O88" s="44"/>
      <c r="P88" s="44"/>
      <c r="Q88" s="44"/>
      <c r="R88" s="45" t="str">
        <f aca="false">IF($A88="","",SUM(H88:Q88))</f>
        <v/>
      </c>
      <c r="S88" s="45" t="str">
        <f aca="false">IF($A88="","",ROUND($F88-$G88-$R88,2))</f>
        <v/>
      </c>
      <c r="T88" s="28" t="str">
        <f aca="false">IF(OR($A88="",$F88=0),"",$R88/$F88)</f>
        <v/>
      </c>
      <c r="U88" s="35"/>
      <c r="V88" s="0" t="str">
        <f aca="false">IF($A88="","",$A88&amp;"|"&amp;$B88)</f>
        <v/>
      </c>
    </row>
    <row r="89" customFormat="false" ht="18" hidden="false" customHeight="true" outlineLevel="0" collapsed="false">
      <c r="A89" s="36"/>
      <c r="B89" s="36"/>
      <c r="C89" s="48" t="str">
        <f aca="false">IF($B89="","",IFERROR(VLOOKUP($B89,资产台账!$B$4:$N$53,2,0)&amp;"","台账中未登记"))</f>
        <v/>
      </c>
      <c r="D89" s="43" t="str">
        <f aca="false">IF($B89="","",IFERROR(VLOOKUP($B89,资产台账!$B$4:$N$53,3,0)&amp;"",""))</f>
        <v/>
      </c>
      <c r="E89" s="43" t="str">
        <f aca="false">IF($B89="","",IFERROR(VLOOKUP($B89,资产台账!$B$4:$N$53,5,0)&amp;"",""))</f>
        <v/>
      </c>
      <c r="F89" s="44"/>
      <c r="G89" s="44"/>
      <c r="H89" s="44"/>
      <c r="I89" s="44"/>
      <c r="J89" s="44"/>
      <c r="K89" s="44"/>
      <c r="L89" s="44"/>
      <c r="M89" s="44"/>
      <c r="N89" s="44"/>
      <c r="O89" s="44"/>
      <c r="P89" s="44"/>
      <c r="Q89" s="44"/>
      <c r="R89" s="45" t="str">
        <f aca="false">IF($A89="","",SUM(H89:Q89))</f>
        <v/>
      </c>
      <c r="S89" s="45" t="str">
        <f aca="false">IF($A89="","",ROUND($F89-$G89-$R89,2))</f>
        <v/>
      </c>
      <c r="T89" s="28" t="str">
        <f aca="false">IF(OR($A89="",$F89=0),"",$R89/$F89)</f>
        <v/>
      </c>
      <c r="U89" s="35"/>
      <c r="V89" s="0" t="str">
        <f aca="false">IF($A89="","",$A89&amp;"|"&amp;$B89)</f>
        <v/>
      </c>
    </row>
    <row r="90" customFormat="false" ht="18" hidden="false" customHeight="true" outlineLevel="0" collapsed="false">
      <c r="A90" s="36"/>
      <c r="B90" s="36"/>
      <c r="C90" s="48" t="str">
        <f aca="false">IF($B90="","",IFERROR(VLOOKUP($B90,资产台账!$B$4:$N$53,2,0)&amp;"","台账中未登记"))</f>
        <v/>
      </c>
      <c r="D90" s="43" t="str">
        <f aca="false">IF($B90="","",IFERROR(VLOOKUP($B90,资产台账!$B$4:$N$53,3,0)&amp;"",""))</f>
        <v/>
      </c>
      <c r="E90" s="43" t="str">
        <f aca="false">IF($B90="","",IFERROR(VLOOKUP($B90,资产台账!$B$4:$N$53,5,0)&amp;"",""))</f>
        <v/>
      </c>
      <c r="F90" s="44"/>
      <c r="G90" s="44"/>
      <c r="H90" s="44"/>
      <c r="I90" s="44"/>
      <c r="J90" s="44"/>
      <c r="K90" s="44"/>
      <c r="L90" s="44"/>
      <c r="M90" s="44"/>
      <c r="N90" s="44"/>
      <c r="O90" s="44"/>
      <c r="P90" s="44"/>
      <c r="Q90" s="44"/>
      <c r="R90" s="45" t="str">
        <f aca="false">IF($A90="","",SUM(H90:Q90))</f>
        <v/>
      </c>
      <c r="S90" s="45" t="str">
        <f aca="false">IF($A90="","",ROUND($F90-$G90-$R90,2))</f>
        <v/>
      </c>
      <c r="T90" s="28" t="str">
        <f aca="false">IF(OR($A90="",$F90=0),"",$R90/$F90)</f>
        <v/>
      </c>
      <c r="U90" s="35"/>
      <c r="V90" s="0" t="str">
        <f aca="false">IF($A90="","",$A90&amp;"|"&amp;$B90)</f>
        <v/>
      </c>
    </row>
    <row r="91" customFormat="false" ht="18" hidden="false" customHeight="true" outlineLevel="0" collapsed="false">
      <c r="A91" s="36"/>
      <c r="B91" s="36"/>
      <c r="C91" s="48" t="str">
        <f aca="false">IF($B91="","",IFERROR(VLOOKUP($B91,资产台账!$B$4:$N$53,2,0)&amp;"","台账中未登记"))</f>
        <v/>
      </c>
      <c r="D91" s="43" t="str">
        <f aca="false">IF($B91="","",IFERROR(VLOOKUP($B91,资产台账!$B$4:$N$53,3,0)&amp;"",""))</f>
        <v/>
      </c>
      <c r="E91" s="43" t="str">
        <f aca="false">IF($B91="","",IFERROR(VLOOKUP($B91,资产台账!$B$4:$N$53,5,0)&amp;"",""))</f>
        <v/>
      </c>
      <c r="F91" s="44"/>
      <c r="G91" s="44"/>
      <c r="H91" s="44"/>
      <c r="I91" s="44"/>
      <c r="J91" s="44"/>
      <c r="K91" s="44"/>
      <c r="L91" s="44"/>
      <c r="M91" s="44"/>
      <c r="N91" s="44"/>
      <c r="O91" s="44"/>
      <c r="P91" s="44"/>
      <c r="Q91" s="44"/>
      <c r="R91" s="45" t="str">
        <f aca="false">IF($A91="","",SUM(H91:Q91))</f>
        <v/>
      </c>
      <c r="S91" s="45" t="str">
        <f aca="false">IF($A91="","",ROUND($F91-$G91-$R91,2))</f>
        <v/>
      </c>
      <c r="T91" s="28" t="str">
        <f aca="false">IF(OR($A91="",$F91=0),"",$R91/$F91)</f>
        <v/>
      </c>
      <c r="U91" s="35"/>
      <c r="V91" s="0" t="str">
        <f aca="false">IF($A91="","",$A91&amp;"|"&amp;$B91)</f>
        <v/>
      </c>
    </row>
    <row r="92" customFormat="false" ht="18" hidden="false" customHeight="true" outlineLevel="0" collapsed="false">
      <c r="A92" s="36"/>
      <c r="B92" s="36"/>
      <c r="C92" s="48" t="str">
        <f aca="false">IF($B92="","",IFERROR(VLOOKUP($B92,资产台账!$B$4:$N$53,2,0)&amp;"","台账中未登记"))</f>
        <v/>
      </c>
      <c r="D92" s="43" t="str">
        <f aca="false">IF($B92="","",IFERROR(VLOOKUP($B92,资产台账!$B$4:$N$53,3,0)&amp;"",""))</f>
        <v/>
      </c>
      <c r="E92" s="43" t="str">
        <f aca="false">IF($B92="","",IFERROR(VLOOKUP($B92,资产台账!$B$4:$N$53,5,0)&amp;"",""))</f>
        <v/>
      </c>
      <c r="F92" s="44"/>
      <c r="G92" s="44"/>
      <c r="H92" s="44"/>
      <c r="I92" s="44"/>
      <c r="J92" s="44"/>
      <c r="K92" s="44"/>
      <c r="L92" s="44"/>
      <c r="M92" s="44"/>
      <c r="N92" s="44"/>
      <c r="O92" s="44"/>
      <c r="P92" s="44"/>
      <c r="Q92" s="44"/>
      <c r="R92" s="45" t="str">
        <f aca="false">IF($A92="","",SUM(H92:Q92))</f>
        <v/>
      </c>
      <c r="S92" s="45" t="str">
        <f aca="false">IF($A92="","",ROUND($F92-$G92-$R92,2))</f>
        <v/>
      </c>
      <c r="T92" s="28" t="str">
        <f aca="false">IF(OR($A92="",$F92=0),"",$R92/$F92)</f>
        <v/>
      </c>
      <c r="U92" s="35"/>
      <c r="V92" s="0" t="str">
        <f aca="false">IF($A92="","",$A92&amp;"|"&amp;$B92)</f>
        <v/>
      </c>
    </row>
    <row r="93" customFormat="false" ht="18" hidden="false" customHeight="true" outlineLevel="0" collapsed="false">
      <c r="A93" s="36"/>
      <c r="B93" s="36"/>
      <c r="C93" s="48" t="str">
        <f aca="false">IF($B93="","",IFERROR(VLOOKUP($B93,资产台账!$B$4:$N$53,2,0)&amp;"","台账中未登记"))</f>
        <v/>
      </c>
      <c r="D93" s="43" t="str">
        <f aca="false">IF($B93="","",IFERROR(VLOOKUP($B93,资产台账!$B$4:$N$53,3,0)&amp;"",""))</f>
        <v/>
      </c>
      <c r="E93" s="43" t="str">
        <f aca="false">IF($B93="","",IFERROR(VLOOKUP($B93,资产台账!$B$4:$N$53,5,0)&amp;"",""))</f>
        <v/>
      </c>
      <c r="F93" s="44"/>
      <c r="G93" s="44"/>
      <c r="H93" s="44"/>
      <c r="I93" s="44"/>
      <c r="J93" s="44"/>
      <c r="K93" s="44"/>
      <c r="L93" s="44"/>
      <c r="M93" s="44"/>
      <c r="N93" s="44"/>
      <c r="O93" s="44"/>
      <c r="P93" s="44"/>
      <c r="Q93" s="44"/>
      <c r="R93" s="45" t="str">
        <f aca="false">IF($A93="","",SUM(H93:Q93))</f>
        <v/>
      </c>
      <c r="S93" s="45" t="str">
        <f aca="false">IF($A93="","",ROUND($F93-$G93-$R93,2))</f>
        <v/>
      </c>
      <c r="T93" s="28" t="str">
        <f aca="false">IF(OR($A93="",$F93=0),"",$R93/$F93)</f>
        <v/>
      </c>
      <c r="U93" s="35"/>
      <c r="V93" s="0" t="str">
        <f aca="false">IF($A93="","",$A93&amp;"|"&amp;$B93)</f>
        <v/>
      </c>
    </row>
    <row r="94" customFormat="false" ht="18" hidden="false" customHeight="true" outlineLevel="0" collapsed="false">
      <c r="A94" s="36"/>
      <c r="B94" s="36"/>
      <c r="C94" s="48" t="str">
        <f aca="false">IF($B94="","",IFERROR(VLOOKUP($B94,资产台账!$B$4:$N$53,2,0)&amp;"","台账中未登记"))</f>
        <v/>
      </c>
      <c r="D94" s="43" t="str">
        <f aca="false">IF($B94="","",IFERROR(VLOOKUP($B94,资产台账!$B$4:$N$53,3,0)&amp;"",""))</f>
        <v/>
      </c>
      <c r="E94" s="43" t="str">
        <f aca="false">IF($B94="","",IFERROR(VLOOKUP($B94,资产台账!$B$4:$N$53,5,0)&amp;"",""))</f>
        <v/>
      </c>
      <c r="F94" s="44"/>
      <c r="G94" s="44"/>
      <c r="H94" s="44"/>
      <c r="I94" s="44"/>
      <c r="J94" s="44"/>
      <c r="K94" s="44"/>
      <c r="L94" s="44"/>
      <c r="M94" s="44"/>
      <c r="N94" s="44"/>
      <c r="O94" s="44"/>
      <c r="P94" s="44"/>
      <c r="Q94" s="44"/>
      <c r="R94" s="45" t="str">
        <f aca="false">IF($A94="","",SUM(H94:Q94))</f>
        <v/>
      </c>
      <c r="S94" s="45" t="str">
        <f aca="false">IF($A94="","",ROUND($F94-$G94-$R94,2))</f>
        <v/>
      </c>
      <c r="T94" s="28" t="str">
        <f aca="false">IF(OR($A94="",$F94=0),"",$R94/$F94)</f>
        <v/>
      </c>
      <c r="U94" s="35"/>
      <c r="V94" s="0" t="str">
        <f aca="false">IF($A94="","",$A94&amp;"|"&amp;$B94)</f>
        <v/>
      </c>
    </row>
    <row r="95" customFormat="false" ht="18" hidden="false" customHeight="true" outlineLevel="0" collapsed="false">
      <c r="A95" s="36"/>
      <c r="B95" s="36"/>
      <c r="C95" s="48" t="str">
        <f aca="false">IF($B95="","",IFERROR(VLOOKUP($B95,资产台账!$B$4:$N$53,2,0)&amp;"","台账中未登记"))</f>
        <v/>
      </c>
      <c r="D95" s="43" t="str">
        <f aca="false">IF($B95="","",IFERROR(VLOOKUP($B95,资产台账!$B$4:$N$53,3,0)&amp;"",""))</f>
        <v/>
      </c>
      <c r="E95" s="43" t="str">
        <f aca="false">IF($B95="","",IFERROR(VLOOKUP($B95,资产台账!$B$4:$N$53,5,0)&amp;"",""))</f>
        <v/>
      </c>
      <c r="F95" s="44"/>
      <c r="G95" s="44"/>
      <c r="H95" s="44"/>
      <c r="I95" s="44"/>
      <c r="J95" s="44"/>
      <c r="K95" s="44"/>
      <c r="L95" s="44"/>
      <c r="M95" s="44"/>
      <c r="N95" s="44"/>
      <c r="O95" s="44"/>
      <c r="P95" s="44"/>
      <c r="Q95" s="44"/>
      <c r="R95" s="45" t="str">
        <f aca="false">IF($A95="","",SUM(H95:Q95))</f>
        <v/>
      </c>
      <c r="S95" s="45" t="str">
        <f aca="false">IF($A95="","",ROUND($F95-$G95-$R95,2))</f>
        <v/>
      </c>
      <c r="T95" s="28" t="str">
        <f aca="false">IF(OR($A95="",$F95=0),"",$R95/$F95)</f>
        <v/>
      </c>
      <c r="U95" s="35"/>
      <c r="V95" s="0" t="str">
        <f aca="false">IF($A95="","",$A95&amp;"|"&amp;$B95)</f>
        <v/>
      </c>
    </row>
    <row r="96" customFormat="false" ht="18" hidden="false" customHeight="true" outlineLevel="0" collapsed="false">
      <c r="A96" s="36"/>
      <c r="B96" s="36"/>
      <c r="C96" s="48" t="str">
        <f aca="false">IF($B96="","",IFERROR(VLOOKUP($B96,资产台账!$B$4:$N$53,2,0)&amp;"","台账中未登记"))</f>
        <v/>
      </c>
      <c r="D96" s="43" t="str">
        <f aca="false">IF($B96="","",IFERROR(VLOOKUP($B96,资产台账!$B$4:$N$53,3,0)&amp;"",""))</f>
        <v/>
      </c>
      <c r="E96" s="43" t="str">
        <f aca="false">IF($B96="","",IFERROR(VLOOKUP($B96,资产台账!$B$4:$N$53,5,0)&amp;"",""))</f>
        <v/>
      </c>
      <c r="F96" s="44"/>
      <c r="G96" s="44"/>
      <c r="H96" s="44"/>
      <c r="I96" s="44"/>
      <c r="J96" s="44"/>
      <c r="K96" s="44"/>
      <c r="L96" s="44"/>
      <c r="M96" s="44"/>
      <c r="N96" s="44"/>
      <c r="O96" s="44"/>
      <c r="P96" s="44"/>
      <c r="Q96" s="44"/>
      <c r="R96" s="45" t="str">
        <f aca="false">IF($A96="","",SUM(H96:Q96))</f>
        <v/>
      </c>
      <c r="S96" s="45" t="str">
        <f aca="false">IF($A96="","",ROUND($F96-$G96-$R96,2))</f>
        <v/>
      </c>
      <c r="T96" s="28" t="str">
        <f aca="false">IF(OR($A96="",$F96=0),"",$R96/$F96)</f>
        <v/>
      </c>
      <c r="U96" s="35"/>
      <c r="V96" s="0" t="str">
        <f aca="false">IF($A96="","",$A96&amp;"|"&amp;$B96)</f>
        <v/>
      </c>
    </row>
    <row r="97" customFormat="false" ht="18" hidden="false" customHeight="true" outlineLevel="0" collapsed="false">
      <c r="A97" s="36"/>
      <c r="B97" s="36"/>
      <c r="C97" s="48" t="str">
        <f aca="false">IF($B97="","",IFERROR(VLOOKUP($B97,资产台账!$B$4:$N$53,2,0)&amp;"","台账中未登记"))</f>
        <v/>
      </c>
      <c r="D97" s="43" t="str">
        <f aca="false">IF($B97="","",IFERROR(VLOOKUP($B97,资产台账!$B$4:$N$53,3,0)&amp;"",""))</f>
        <v/>
      </c>
      <c r="E97" s="43" t="str">
        <f aca="false">IF($B97="","",IFERROR(VLOOKUP($B97,资产台账!$B$4:$N$53,5,0)&amp;"",""))</f>
        <v/>
      </c>
      <c r="F97" s="44"/>
      <c r="G97" s="44"/>
      <c r="H97" s="44"/>
      <c r="I97" s="44"/>
      <c r="J97" s="44"/>
      <c r="K97" s="44"/>
      <c r="L97" s="44"/>
      <c r="M97" s="44"/>
      <c r="N97" s="44"/>
      <c r="O97" s="44"/>
      <c r="P97" s="44"/>
      <c r="Q97" s="44"/>
      <c r="R97" s="45" t="str">
        <f aca="false">IF($A97="","",SUM(H97:Q97))</f>
        <v/>
      </c>
      <c r="S97" s="45" t="str">
        <f aca="false">IF($A97="","",ROUND($F97-$G97-$R97,2))</f>
        <v/>
      </c>
      <c r="T97" s="28" t="str">
        <f aca="false">IF(OR($A97="",$F97=0),"",$R97/$F97)</f>
        <v/>
      </c>
      <c r="U97" s="35"/>
      <c r="V97" s="0" t="str">
        <f aca="false">IF($A97="","",$A97&amp;"|"&amp;$B97)</f>
        <v/>
      </c>
    </row>
    <row r="98" customFormat="false" ht="18" hidden="false" customHeight="true" outlineLevel="0" collapsed="false">
      <c r="A98" s="36"/>
      <c r="B98" s="36"/>
      <c r="C98" s="48" t="str">
        <f aca="false">IF($B98="","",IFERROR(VLOOKUP($B98,资产台账!$B$4:$N$53,2,0)&amp;"","台账中未登记"))</f>
        <v/>
      </c>
      <c r="D98" s="43" t="str">
        <f aca="false">IF($B98="","",IFERROR(VLOOKUP($B98,资产台账!$B$4:$N$53,3,0)&amp;"",""))</f>
        <v/>
      </c>
      <c r="E98" s="43" t="str">
        <f aca="false">IF($B98="","",IFERROR(VLOOKUP($B98,资产台账!$B$4:$N$53,5,0)&amp;"",""))</f>
        <v/>
      </c>
      <c r="F98" s="44"/>
      <c r="G98" s="44"/>
      <c r="H98" s="44"/>
      <c r="I98" s="44"/>
      <c r="J98" s="44"/>
      <c r="K98" s="44"/>
      <c r="L98" s="44"/>
      <c r="M98" s="44"/>
      <c r="N98" s="44"/>
      <c r="O98" s="44"/>
      <c r="P98" s="44"/>
      <c r="Q98" s="44"/>
      <c r="R98" s="45" t="str">
        <f aca="false">IF($A98="","",SUM(H98:Q98))</f>
        <v/>
      </c>
      <c r="S98" s="45" t="str">
        <f aca="false">IF($A98="","",ROUND($F98-$G98-$R98,2))</f>
        <v/>
      </c>
      <c r="T98" s="28" t="str">
        <f aca="false">IF(OR($A98="",$F98=0),"",$R98/$F98)</f>
        <v/>
      </c>
      <c r="U98" s="35"/>
      <c r="V98" s="0" t="str">
        <f aca="false">IF($A98="","",$A98&amp;"|"&amp;$B98)</f>
        <v/>
      </c>
    </row>
    <row r="99" customFormat="false" ht="18" hidden="false" customHeight="true" outlineLevel="0" collapsed="false">
      <c r="A99" s="36"/>
      <c r="B99" s="36"/>
      <c r="C99" s="48" t="str">
        <f aca="false">IF($B99="","",IFERROR(VLOOKUP($B99,资产台账!$B$4:$N$53,2,0)&amp;"","台账中未登记"))</f>
        <v/>
      </c>
      <c r="D99" s="43" t="str">
        <f aca="false">IF($B99="","",IFERROR(VLOOKUP($B99,资产台账!$B$4:$N$53,3,0)&amp;"",""))</f>
        <v/>
      </c>
      <c r="E99" s="43" t="str">
        <f aca="false">IF($B99="","",IFERROR(VLOOKUP($B99,资产台账!$B$4:$N$53,5,0)&amp;"",""))</f>
        <v/>
      </c>
      <c r="F99" s="44"/>
      <c r="G99" s="44"/>
      <c r="H99" s="44"/>
      <c r="I99" s="44"/>
      <c r="J99" s="44"/>
      <c r="K99" s="44"/>
      <c r="L99" s="44"/>
      <c r="M99" s="44"/>
      <c r="N99" s="44"/>
      <c r="O99" s="44"/>
      <c r="P99" s="44"/>
      <c r="Q99" s="44"/>
      <c r="R99" s="45" t="str">
        <f aca="false">IF($A99="","",SUM(H99:Q99))</f>
        <v/>
      </c>
      <c r="S99" s="45" t="str">
        <f aca="false">IF($A99="","",ROUND($F99-$G99-$R99,2))</f>
        <v/>
      </c>
      <c r="T99" s="28" t="str">
        <f aca="false">IF(OR($A99="",$F99=0),"",$R99/$F99)</f>
        <v/>
      </c>
      <c r="U99" s="35"/>
      <c r="V99" s="0" t="str">
        <f aca="false">IF($A99="","",$A99&amp;"|"&amp;$B99)</f>
        <v/>
      </c>
    </row>
    <row r="100" customFormat="false" ht="18" hidden="false" customHeight="true" outlineLevel="0" collapsed="false">
      <c r="A100" s="36"/>
      <c r="B100" s="36"/>
      <c r="C100" s="48" t="str">
        <f aca="false">IF($B100="","",IFERROR(VLOOKUP($B100,资产台账!$B$4:$N$53,2,0)&amp;"","台账中未登记"))</f>
        <v/>
      </c>
      <c r="D100" s="43" t="str">
        <f aca="false">IF($B100="","",IFERROR(VLOOKUP($B100,资产台账!$B$4:$N$53,3,0)&amp;"",""))</f>
        <v/>
      </c>
      <c r="E100" s="43" t="str">
        <f aca="false">IF($B100="","",IFERROR(VLOOKUP($B100,资产台账!$B$4:$N$53,5,0)&amp;"",""))</f>
        <v/>
      </c>
      <c r="F100" s="44"/>
      <c r="G100" s="44"/>
      <c r="H100" s="44"/>
      <c r="I100" s="44"/>
      <c r="J100" s="44"/>
      <c r="K100" s="44"/>
      <c r="L100" s="44"/>
      <c r="M100" s="44"/>
      <c r="N100" s="44"/>
      <c r="O100" s="44"/>
      <c r="P100" s="44"/>
      <c r="Q100" s="44"/>
      <c r="R100" s="45" t="str">
        <f aca="false">IF($A100="","",SUM(H100:Q100))</f>
        <v/>
      </c>
      <c r="S100" s="45" t="str">
        <f aca="false">IF($A100="","",ROUND($F100-$G100-$R100,2))</f>
        <v/>
      </c>
      <c r="T100" s="28" t="str">
        <f aca="false">IF(OR($A100="",$F100=0),"",$R100/$F100)</f>
        <v/>
      </c>
      <c r="U100" s="35"/>
      <c r="V100" s="0" t="str">
        <f aca="false">IF($A100="","",$A100&amp;"|"&amp;$B100)</f>
        <v/>
      </c>
    </row>
    <row r="101" customFormat="false" ht="18" hidden="false" customHeight="true" outlineLevel="0" collapsed="false">
      <c r="A101" s="36"/>
      <c r="B101" s="36"/>
      <c r="C101" s="48" t="str">
        <f aca="false">IF($B101="","",IFERROR(VLOOKUP($B101,资产台账!$B$4:$N$53,2,0)&amp;"","台账中未登记"))</f>
        <v/>
      </c>
      <c r="D101" s="43" t="str">
        <f aca="false">IF($B101="","",IFERROR(VLOOKUP($B101,资产台账!$B$4:$N$53,3,0)&amp;"",""))</f>
        <v/>
      </c>
      <c r="E101" s="43" t="str">
        <f aca="false">IF($B101="","",IFERROR(VLOOKUP($B101,资产台账!$B$4:$N$53,5,0)&amp;"",""))</f>
        <v/>
      </c>
      <c r="F101" s="44"/>
      <c r="G101" s="44"/>
      <c r="H101" s="44"/>
      <c r="I101" s="44"/>
      <c r="J101" s="44"/>
      <c r="K101" s="44"/>
      <c r="L101" s="44"/>
      <c r="M101" s="44"/>
      <c r="N101" s="44"/>
      <c r="O101" s="44"/>
      <c r="P101" s="44"/>
      <c r="Q101" s="44"/>
      <c r="R101" s="45" t="str">
        <f aca="false">IF($A101="","",SUM(H101:Q101))</f>
        <v/>
      </c>
      <c r="S101" s="45" t="str">
        <f aca="false">IF($A101="","",ROUND($F101-$G101-$R101,2))</f>
        <v/>
      </c>
      <c r="T101" s="28" t="str">
        <f aca="false">IF(OR($A101="",$F101=0),"",$R101/$F101)</f>
        <v/>
      </c>
      <c r="U101" s="35"/>
      <c r="V101" s="0" t="str">
        <f aca="false">IF($A101="","",$A101&amp;"|"&amp;$B101)</f>
        <v/>
      </c>
    </row>
    <row r="102" customFormat="false" ht="18" hidden="false" customHeight="true" outlineLevel="0" collapsed="false">
      <c r="A102" s="36"/>
      <c r="B102" s="36"/>
      <c r="C102" s="48" t="str">
        <f aca="false">IF($B102="","",IFERROR(VLOOKUP($B102,资产台账!$B$4:$N$53,2,0)&amp;"","台账中未登记"))</f>
        <v/>
      </c>
      <c r="D102" s="43" t="str">
        <f aca="false">IF($B102="","",IFERROR(VLOOKUP($B102,资产台账!$B$4:$N$53,3,0)&amp;"",""))</f>
        <v/>
      </c>
      <c r="E102" s="43" t="str">
        <f aca="false">IF($B102="","",IFERROR(VLOOKUP($B102,资产台账!$B$4:$N$53,5,0)&amp;"",""))</f>
        <v/>
      </c>
      <c r="F102" s="44"/>
      <c r="G102" s="44"/>
      <c r="H102" s="44"/>
      <c r="I102" s="44"/>
      <c r="J102" s="44"/>
      <c r="K102" s="44"/>
      <c r="L102" s="44"/>
      <c r="M102" s="44"/>
      <c r="N102" s="44"/>
      <c r="O102" s="44"/>
      <c r="P102" s="44"/>
      <c r="Q102" s="44"/>
      <c r="R102" s="45" t="str">
        <f aca="false">IF($A102="","",SUM(H102:Q102))</f>
        <v/>
      </c>
      <c r="S102" s="45" t="str">
        <f aca="false">IF($A102="","",ROUND($F102-$G102-$R102,2))</f>
        <v/>
      </c>
      <c r="T102" s="28" t="str">
        <f aca="false">IF(OR($A102="",$F102=0),"",$R102/$F102)</f>
        <v/>
      </c>
      <c r="U102" s="35"/>
      <c r="V102" s="0" t="str">
        <f aca="false">IF($A102="","",$A102&amp;"|"&amp;$B102)</f>
        <v/>
      </c>
    </row>
    <row r="103" customFormat="false" ht="18" hidden="false" customHeight="true" outlineLevel="0" collapsed="false">
      <c r="A103" s="36"/>
      <c r="B103" s="36"/>
      <c r="C103" s="48" t="str">
        <f aca="false">IF($B103="","",IFERROR(VLOOKUP($B103,资产台账!$B$4:$N$53,2,0)&amp;"","台账中未登记"))</f>
        <v/>
      </c>
      <c r="D103" s="43" t="str">
        <f aca="false">IF($B103="","",IFERROR(VLOOKUP($B103,资产台账!$B$4:$N$53,3,0)&amp;"",""))</f>
        <v/>
      </c>
      <c r="E103" s="43" t="str">
        <f aca="false">IF($B103="","",IFERROR(VLOOKUP($B103,资产台账!$B$4:$N$53,5,0)&amp;"",""))</f>
        <v/>
      </c>
      <c r="F103" s="44"/>
      <c r="G103" s="44"/>
      <c r="H103" s="44"/>
      <c r="I103" s="44"/>
      <c r="J103" s="44"/>
      <c r="K103" s="44"/>
      <c r="L103" s="44"/>
      <c r="M103" s="44"/>
      <c r="N103" s="44"/>
      <c r="O103" s="44"/>
      <c r="P103" s="44"/>
      <c r="Q103" s="44"/>
      <c r="R103" s="45" t="str">
        <f aca="false">IF($A103="","",SUM(H103:Q103))</f>
        <v/>
      </c>
      <c r="S103" s="45" t="str">
        <f aca="false">IF($A103="","",ROUND($F103-$G103-$R103,2))</f>
        <v/>
      </c>
      <c r="T103" s="28" t="str">
        <f aca="false">IF(OR($A103="",$F103=0),"",$R103/$F103)</f>
        <v/>
      </c>
      <c r="U103" s="35"/>
      <c r="V103" s="0" t="str">
        <f aca="false">IF($A103="","",$A103&amp;"|"&amp;$B103)</f>
        <v/>
      </c>
    </row>
    <row r="104" customFormat="false" ht="18" hidden="false" customHeight="true" outlineLevel="0" collapsed="false">
      <c r="A104" s="36"/>
      <c r="B104" s="36"/>
      <c r="C104" s="48" t="str">
        <f aca="false">IF($B104="","",IFERROR(VLOOKUP($B104,资产台账!$B$4:$N$53,2,0)&amp;"","台账中未登记"))</f>
        <v/>
      </c>
      <c r="D104" s="43" t="str">
        <f aca="false">IF($B104="","",IFERROR(VLOOKUP($B104,资产台账!$B$4:$N$53,3,0)&amp;"",""))</f>
        <v/>
      </c>
      <c r="E104" s="43" t="str">
        <f aca="false">IF($B104="","",IFERROR(VLOOKUP($B104,资产台账!$B$4:$N$53,5,0)&amp;"",""))</f>
        <v/>
      </c>
      <c r="F104" s="44"/>
      <c r="G104" s="44"/>
      <c r="H104" s="44"/>
      <c r="I104" s="44"/>
      <c r="J104" s="44"/>
      <c r="K104" s="44"/>
      <c r="L104" s="44"/>
      <c r="M104" s="44"/>
      <c r="N104" s="44"/>
      <c r="O104" s="44"/>
      <c r="P104" s="44"/>
      <c r="Q104" s="44"/>
      <c r="R104" s="45" t="str">
        <f aca="false">IF($A104="","",SUM(H104:Q104))</f>
        <v/>
      </c>
      <c r="S104" s="45" t="str">
        <f aca="false">IF($A104="","",ROUND($F104-$G104-$R104,2))</f>
        <v/>
      </c>
      <c r="T104" s="28" t="str">
        <f aca="false">IF(OR($A104="",$F104=0),"",$R104/$F104)</f>
        <v/>
      </c>
      <c r="U104" s="35"/>
      <c r="V104" s="0" t="str">
        <f aca="false">IF($A104="","",$A104&amp;"|"&amp;$B104)</f>
        <v/>
      </c>
    </row>
    <row r="105" customFormat="false" ht="18" hidden="false" customHeight="true" outlineLevel="0" collapsed="false">
      <c r="A105" s="36"/>
      <c r="B105" s="36"/>
      <c r="C105" s="48" t="str">
        <f aca="false">IF($B105="","",IFERROR(VLOOKUP($B105,资产台账!$B$4:$N$53,2,0)&amp;"","台账中未登记"))</f>
        <v/>
      </c>
      <c r="D105" s="43" t="str">
        <f aca="false">IF($B105="","",IFERROR(VLOOKUP($B105,资产台账!$B$4:$N$53,3,0)&amp;"",""))</f>
        <v/>
      </c>
      <c r="E105" s="43" t="str">
        <f aca="false">IF($B105="","",IFERROR(VLOOKUP($B105,资产台账!$B$4:$N$53,5,0)&amp;"",""))</f>
        <v/>
      </c>
      <c r="F105" s="44"/>
      <c r="G105" s="44"/>
      <c r="H105" s="44"/>
      <c r="I105" s="44"/>
      <c r="J105" s="44"/>
      <c r="K105" s="44"/>
      <c r="L105" s="44"/>
      <c r="M105" s="44"/>
      <c r="N105" s="44"/>
      <c r="O105" s="44"/>
      <c r="P105" s="44"/>
      <c r="Q105" s="44"/>
      <c r="R105" s="45" t="str">
        <f aca="false">IF($A105="","",SUM(H105:Q105))</f>
        <v/>
      </c>
      <c r="S105" s="45" t="str">
        <f aca="false">IF($A105="","",ROUND($F105-$G105-$R105,2))</f>
        <v/>
      </c>
      <c r="T105" s="28" t="str">
        <f aca="false">IF(OR($A105="",$F105=0),"",$R105/$F105)</f>
        <v/>
      </c>
      <c r="U105" s="35"/>
      <c r="V105" s="0" t="str">
        <f aca="false">IF($A105="","",$A105&amp;"|"&amp;$B105)</f>
        <v/>
      </c>
    </row>
    <row r="106" customFormat="false" ht="18" hidden="false" customHeight="true" outlineLevel="0" collapsed="false">
      <c r="A106" s="36"/>
      <c r="B106" s="36"/>
      <c r="C106" s="48" t="str">
        <f aca="false">IF($B106="","",IFERROR(VLOOKUP($B106,资产台账!$B$4:$N$53,2,0)&amp;"","台账中未登记"))</f>
        <v/>
      </c>
      <c r="D106" s="43" t="str">
        <f aca="false">IF($B106="","",IFERROR(VLOOKUP($B106,资产台账!$B$4:$N$53,3,0)&amp;"",""))</f>
        <v/>
      </c>
      <c r="E106" s="43" t="str">
        <f aca="false">IF($B106="","",IFERROR(VLOOKUP($B106,资产台账!$B$4:$N$53,5,0)&amp;"",""))</f>
        <v/>
      </c>
      <c r="F106" s="44"/>
      <c r="G106" s="44"/>
      <c r="H106" s="44"/>
      <c r="I106" s="44"/>
      <c r="J106" s="44"/>
      <c r="K106" s="44"/>
      <c r="L106" s="44"/>
      <c r="M106" s="44"/>
      <c r="N106" s="44"/>
      <c r="O106" s="44"/>
      <c r="P106" s="44"/>
      <c r="Q106" s="44"/>
      <c r="R106" s="45" t="str">
        <f aca="false">IF($A106="","",SUM(H106:Q106))</f>
        <v/>
      </c>
      <c r="S106" s="45" t="str">
        <f aca="false">IF($A106="","",ROUND($F106-$G106-$R106,2))</f>
        <v/>
      </c>
      <c r="T106" s="28" t="str">
        <f aca="false">IF(OR($A106="",$F106=0),"",$R106/$F106)</f>
        <v/>
      </c>
      <c r="U106" s="35"/>
      <c r="V106" s="0" t="str">
        <f aca="false">IF($A106="","",$A106&amp;"|"&amp;$B106)</f>
        <v/>
      </c>
    </row>
    <row r="107" customFormat="false" ht="18" hidden="false" customHeight="true" outlineLevel="0" collapsed="false">
      <c r="A107" s="36"/>
      <c r="B107" s="36"/>
      <c r="C107" s="48" t="str">
        <f aca="false">IF($B107="","",IFERROR(VLOOKUP($B107,资产台账!$B$4:$N$53,2,0)&amp;"","台账中未登记"))</f>
        <v/>
      </c>
      <c r="D107" s="43" t="str">
        <f aca="false">IF($B107="","",IFERROR(VLOOKUP($B107,资产台账!$B$4:$N$53,3,0)&amp;"",""))</f>
        <v/>
      </c>
      <c r="E107" s="43" t="str">
        <f aca="false">IF($B107="","",IFERROR(VLOOKUP($B107,资产台账!$B$4:$N$53,5,0)&amp;"",""))</f>
        <v/>
      </c>
      <c r="F107" s="44"/>
      <c r="G107" s="44"/>
      <c r="H107" s="44"/>
      <c r="I107" s="44"/>
      <c r="J107" s="44"/>
      <c r="K107" s="44"/>
      <c r="L107" s="44"/>
      <c r="M107" s="44"/>
      <c r="N107" s="44"/>
      <c r="O107" s="44"/>
      <c r="P107" s="44"/>
      <c r="Q107" s="44"/>
      <c r="R107" s="45" t="str">
        <f aca="false">IF($A107="","",SUM(H107:Q107))</f>
        <v/>
      </c>
      <c r="S107" s="45" t="str">
        <f aca="false">IF($A107="","",ROUND($F107-$G107-$R107,2))</f>
        <v/>
      </c>
      <c r="T107" s="28" t="str">
        <f aca="false">IF(OR($A107="",$F107=0),"",$R107/$F107)</f>
        <v/>
      </c>
      <c r="U107" s="35"/>
      <c r="V107" s="0" t="str">
        <f aca="false">IF($A107="","",$A107&amp;"|"&amp;$B107)</f>
        <v/>
      </c>
    </row>
    <row r="108" customFormat="false" ht="18" hidden="false" customHeight="true" outlineLevel="0" collapsed="false">
      <c r="A108" s="36"/>
      <c r="B108" s="36"/>
      <c r="C108" s="48" t="str">
        <f aca="false">IF($B108="","",IFERROR(VLOOKUP($B108,资产台账!$B$4:$N$53,2,0)&amp;"","台账中未登记"))</f>
        <v/>
      </c>
      <c r="D108" s="43" t="str">
        <f aca="false">IF($B108="","",IFERROR(VLOOKUP($B108,资产台账!$B$4:$N$53,3,0)&amp;"",""))</f>
        <v/>
      </c>
      <c r="E108" s="43" t="str">
        <f aca="false">IF($B108="","",IFERROR(VLOOKUP($B108,资产台账!$B$4:$N$53,5,0)&amp;"",""))</f>
        <v/>
      </c>
      <c r="F108" s="44"/>
      <c r="G108" s="44"/>
      <c r="H108" s="44"/>
      <c r="I108" s="44"/>
      <c r="J108" s="44"/>
      <c r="K108" s="44"/>
      <c r="L108" s="44"/>
      <c r="M108" s="44"/>
      <c r="N108" s="44"/>
      <c r="O108" s="44"/>
      <c r="P108" s="44"/>
      <c r="Q108" s="44"/>
      <c r="R108" s="45" t="str">
        <f aca="false">IF($A108="","",SUM(H108:Q108))</f>
        <v/>
      </c>
      <c r="S108" s="45" t="str">
        <f aca="false">IF($A108="","",ROUND($F108-$G108-$R108,2))</f>
        <v/>
      </c>
      <c r="T108" s="28" t="str">
        <f aca="false">IF(OR($A108="",$F108=0),"",$R108/$F108)</f>
        <v/>
      </c>
      <c r="U108" s="35"/>
      <c r="V108" s="0" t="str">
        <f aca="false">IF($A108="","",$A108&amp;"|"&amp;$B108)</f>
        <v/>
      </c>
    </row>
    <row r="109" customFormat="false" ht="18" hidden="false" customHeight="true" outlineLevel="0" collapsed="false">
      <c r="A109" s="36"/>
      <c r="B109" s="36"/>
      <c r="C109" s="48" t="str">
        <f aca="false">IF($B109="","",IFERROR(VLOOKUP($B109,资产台账!$B$4:$N$53,2,0)&amp;"","台账中未登记"))</f>
        <v/>
      </c>
      <c r="D109" s="43" t="str">
        <f aca="false">IF($B109="","",IFERROR(VLOOKUP($B109,资产台账!$B$4:$N$53,3,0)&amp;"",""))</f>
        <v/>
      </c>
      <c r="E109" s="43" t="str">
        <f aca="false">IF($B109="","",IFERROR(VLOOKUP($B109,资产台账!$B$4:$N$53,5,0)&amp;"",""))</f>
        <v/>
      </c>
      <c r="F109" s="44"/>
      <c r="G109" s="44"/>
      <c r="H109" s="44"/>
      <c r="I109" s="44"/>
      <c r="J109" s="44"/>
      <c r="K109" s="44"/>
      <c r="L109" s="44"/>
      <c r="M109" s="44"/>
      <c r="N109" s="44"/>
      <c r="O109" s="44"/>
      <c r="P109" s="44"/>
      <c r="Q109" s="44"/>
      <c r="R109" s="45" t="str">
        <f aca="false">IF($A109="","",SUM(H109:Q109))</f>
        <v/>
      </c>
      <c r="S109" s="45" t="str">
        <f aca="false">IF($A109="","",ROUND($F109-$G109-$R109,2))</f>
        <v/>
      </c>
      <c r="T109" s="28" t="str">
        <f aca="false">IF(OR($A109="",$F109=0),"",$R109/$F109)</f>
        <v/>
      </c>
      <c r="U109" s="35"/>
      <c r="V109" s="0" t="str">
        <f aca="false">IF($A109="","",$A109&amp;"|"&amp;$B109)</f>
        <v/>
      </c>
    </row>
    <row r="110" customFormat="false" ht="18" hidden="false" customHeight="true" outlineLevel="0" collapsed="false">
      <c r="A110" s="36"/>
      <c r="B110" s="36"/>
      <c r="C110" s="48" t="str">
        <f aca="false">IF($B110="","",IFERROR(VLOOKUP($B110,资产台账!$B$4:$N$53,2,0)&amp;"","台账中未登记"))</f>
        <v/>
      </c>
      <c r="D110" s="43" t="str">
        <f aca="false">IF($B110="","",IFERROR(VLOOKUP($B110,资产台账!$B$4:$N$53,3,0)&amp;"",""))</f>
        <v/>
      </c>
      <c r="E110" s="43" t="str">
        <f aca="false">IF($B110="","",IFERROR(VLOOKUP($B110,资产台账!$B$4:$N$53,5,0)&amp;"",""))</f>
        <v/>
      </c>
      <c r="F110" s="44"/>
      <c r="G110" s="44"/>
      <c r="H110" s="44"/>
      <c r="I110" s="44"/>
      <c r="J110" s="44"/>
      <c r="K110" s="44"/>
      <c r="L110" s="44"/>
      <c r="M110" s="44"/>
      <c r="N110" s="44"/>
      <c r="O110" s="44"/>
      <c r="P110" s="44"/>
      <c r="Q110" s="44"/>
      <c r="R110" s="45" t="str">
        <f aca="false">IF($A110="","",SUM(H110:Q110))</f>
        <v/>
      </c>
      <c r="S110" s="45" t="str">
        <f aca="false">IF($A110="","",ROUND($F110-$G110-$R110,2))</f>
        <v/>
      </c>
      <c r="T110" s="28" t="str">
        <f aca="false">IF(OR($A110="",$F110=0),"",$R110/$F110)</f>
        <v/>
      </c>
      <c r="U110" s="35"/>
      <c r="V110" s="0" t="str">
        <f aca="false">IF($A110="","",$A110&amp;"|"&amp;$B110)</f>
        <v/>
      </c>
    </row>
    <row r="111" customFormat="false" ht="18" hidden="false" customHeight="true" outlineLevel="0" collapsed="false">
      <c r="A111" s="36"/>
      <c r="B111" s="36"/>
      <c r="C111" s="48" t="str">
        <f aca="false">IF($B111="","",IFERROR(VLOOKUP($B111,资产台账!$B$4:$N$53,2,0)&amp;"","台账中未登记"))</f>
        <v/>
      </c>
      <c r="D111" s="43" t="str">
        <f aca="false">IF($B111="","",IFERROR(VLOOKUP($B111,资产台账!$B$4:$N$53,3,0)&amp;"",""))</f>
        <v/>
      </c>
      <c r="E111" s="43" t="str">
        <f aca="false">IF($B111="","",IFERROR(VLOOKUP($B111,资产台账!$B$4:$N$53,5,0)&amp;"",""))</f>
        <v/>
      </c>
      <c r="F111" s="44"/>
      <c r="G111" s="44"/>
      <c r="H111" s="44"/>
      <c r="I111" s="44"/>
      <c r="J111" s="44"/>
      <c r="K111" s="44"/>
      <c r="L111" s="44"/>
      <c r="M111" s="44"/>
      <c r="N111" s="44"/>
      <c r="O111" s="44"/>
      <c r="P111" s="44"/>
      <c r="Q111" s="44"/>
      <c r="R111" s="45" t="str">
        <f aca="false">IF($A111="","",SUM(H111:Q111))</f>
        <v/>
      </c>
      <c r="S111" s="45" t="str">
        <f aca="false">IF($A111="","",ROUND($F111-$G111-$R111,2))</f>
        <v/>
      </c>
      <c r="T111" s="28" t="str">
        <f aca="false">IF(OR($A111="",$F111=0),"",$R111/$F111)</f>
        <v/>
      </c>
      <c r="U111" s="35"/>
      <c r="V111" s="0" t="str">
        <f aca="false">IF($A111="","",$A111&amp;"|"&amp;$B111)</f>
        <v/>
      </c>
    </row>
    <row r="112" customFormat="false" ht="18" hidden="false" customHeight="true" outlineLevel="0" collapsed="false">
      <c r="A112" s="36"/>
      <c r="B112" s="36"/>
      <c r="C112" s="48" t="str">
        <f aca="false">IF($B112="","",IFERROR(VLOOKUP($B112,资产台账!$B$4:$N$53,2,0)&amp;"","台账中未登记"))</f>
        <v/>
      </c>
      <c r="D112" s="43" t="str">
        <f aca="false">IF($B112="","",IFERROR(VLOOKUP($B112,资产台账!$B$4:$N$53,3,0)&amp;"",""))</f>
        <v/>
      </c>
      <c r="E112" s="43" t="str">
        <f aca="false">IF($B112="","",IFERROR(VLOOKUP($B112,资产台账!$B$4:$N$53,5,0)&amp;"",""))</f>
        <v/>
      </c>
      <c r="F112" s="44"/>
      <c r="G112" s="44"/>
      <c r="H112" s="44"/>
      <c r="I112" s="44"/>
      <c r="J112" s="44"/>
      <c r="K112" s="44"/>
      <c r="L112" s="44"/>
      <c r="M112" s="44"/>
      <c r="N112" s="44"/>
      <c r="O112" s="44"/>
      <c r="P112" s="44"/>
      <c r="Q112" s="44"/>
      <c r="R112" s="45" t="str">
        <f aca="false">IF($A112="","",SUM(H112:Q112))</f>
        <v/>
      </c>
      <c r="S112" s="45" t="str">
        <f aca="false">IF($A112="","",ROUND($F112-$G112-$R112,2))</f>
        <v/>
      </c>
      <c r="T112" s="28" t="str">
        <f aca="false">IF(OR($A112="",$F112=0),"",$R112/$F112)</f>
        <v/>
      </c>
      <c r="U112" s="35"/>
      <c r="V112" s="0" t="str">
        <f aca="false">IF($A112="","",$A112&amp;"|"&amp;$B112)</f>
        <v/>
      </c>
    </row>
    <row r="113" customFormat="false" ht="18" hidden="false" customHeight="true" outlineLevel="0" collapsed="false">
      <c r="A113" s="36"/>
      <c r="B113" s="36"/>
      <c r="C113" s="48" t="str">
        <f aca="false">IF($B113="","",IFERROR(VLOOKUP($B113,资产台账!$B$4:$N$53,2,0)&amp;"","台账中未登记"))</f>
        <v/>
      </c>
      <c r="D113" s="43" t="str">
        <f aca="false">IF($B113="","",IFERROR(VLOOKUP($B113,资产台账!$B$4:$N$53,3,0)&amp;"",""))</f>
        <v/>
      </c>
      <c r="E113" s="43" t="str">
        <f aca="false">IF($B113="","",IFERROR(VLOOKUP($B113,资产台账!$B$4:$N$53,5,0)&amp;"",""))</f>
        <v/>
      </c>
      <c r="F113" s="44"/>
      <c r="G113" s="44"/>
      <c r="H113" s="44"/>
      <c r="I113" s="44"/>
      <c r="J113" s="44"/>
      <c r="K113" s="44"/>
      <c r="L113" s="44"/>
      <c r="M113" s="44"/>
      <c r="N113" s="44"/>
      <c r="O113" s="44"/>
      <c r="P113" s="44"/>
      <c r="Q113" s="44"/>
      <c r="R113" s="45" t="str">
        <f aca="false">IF($A113="","",SUM(H113:Q113))</f>
        <v/>
      </c>
      <c r="S113" s="45" t="str">
        <f aca="false">IF($A113="","",ROUND($F113-$G113-$R113,2))</f>
        <v/>
      </c>
      <c r="T113" s="28" t="str">
        <f aca="false">IF(OR($A113="",$F113=0),"",$R113/$F113)</f>
        <v/>
      </c>
      <c r="U113" s="35"/>
      <c r="V113" s="0" t="str">
        <f aca="false">IF($A113="","",$A113&amp;"|"&amp;$B113)</f>
        <v/>
      </c>
    </row>
    <row r="114" customFormat="false" ht="18" hidden="false" customHeight="true" outlineLevel="0" collapsed="false">
      <c r="A114" s="36"/>
      <c r="B114" s="36"/>
      <c r="C114" s="48" t="str">
        <f aca="false">IF($B114="","",IFERROR(VLOOKUP($B114,资产台账!$B$4:$N$53,2,0)&amp;"","台账中未登记"))</f>
        <v/>
      </c>
      <c r="D114" s="43" t="str">
        <f aca="false">IF($B114="","",IFERROR(VLOOKUP($B114,资产台账!$B$4:$N$53,3,0)&amp;"",""))</f>
        <v/>
      </c>
      <c r="E114" s="43" t="str">
        <f aca="false">IF($B114="","",IFERROR(VLOOKUP($B114,资产台账!$B$4:$N$53,5,0)&amp;"",""))</f>
        <v/>
      </c>
      <c r="F114" s="44"/>
      <c r="G114" s="44"/>
      <c r="H114" s="44"/>
      <c r="I114" s="44"/>
      <c r="J114" s="44"/>
      <c r="K114" s="44"/>
      <c r="L114" s="44"/>
      <c r="M114" s="44"/>
      <c r="N114" s="44"/>
      <c r="O114" s="44"/>
      <c r="P114" s="44"/>
      <c r="Q114" s="44"/>
      <c r="R114" s="45" t="str">
        <f aca="false">IF($A114="","",SUM(H114:Q114))</f>
        <v/>
      </c>
      <c r="S114" s="45" t="str">
        <f aca="false">IF($A114="","",ROUND($F114-$G114-$R114,2))</f>
        <v/>
      </c>
      <c r="T114" s="28" t="str">
        <f aca="false">IF(OR($A114="",$F114=0),"",$R114/$F114)</f>
        <v/>
      </c>
      <c r="U114" s="35"/>
      <c r="V114" s="0" t="str">
        <f aca="false">IF($A114="","",$A114&amp;"|"&amp;$B114)</f>
        <v/>
      </c>
    </row>
    <row r="115" customFormat="false" ht="18" hidden="false" customHeight="true" outlineLevel="0" collapsed="false">
      <c r="A115" s="36"/>
      <c r="B115" s="36"/>
      <c r="C115" s="48" t="str">
        <f aca="false">IF($B115="","",IFERROR(VLOOKUP($B115,资产台账!$B$4:$N$53,2,0)&amp;"","台账中未登记"))</f>
        <v/>
      </c>
      <c r="D115" s="43" t="str">
        <f aca="false">IF($B115="","",IFERROR(VLOOKUP($B115,资产台账!$B$4:$N$53,3,0)&amp;"",""))</f>
        <v/>
      </c>
      <c r="E115" s="43" t="str">
        <f aca="false">IF($B115="","",IFERROR(VLOOKUP($B115,资产台账!$B$4:$N$53,5,0)&amp;"",""))</f>
        <v/>
      </c>
      <c r="F115" s="44"/>
      <c r="G115" s="44"/>
      <c r="H115" s="44"/>
      <c r="I115" s="44"/>
      <c r="J115" s="44"/>
      <c r="K115" s="44"/>
      <c r="L115" s="44"/>
      <c r="M115" s="44"/>
      <c r="N115" s="44"/>
      <c r="O115" s="44"/>
      <c r="P115" s="44"/>
      <c r="Q115" s="44"/>
      <c r="R115" s="45" t="str">
        <f aca="false">IF($A115="","",SUM(H115:Q115))</f>
        <v/>
      </c>
      <c r="S115" s="45" t="str">
        <f aca="false">IF($A115="","",ROUND($F115-$G115-$R115,2))</f>
        <v/>
      </c>
      <c r="T115" s="28" t="str">
        <f aca="false">IF(OR($A115="",$F115=0),"",$R115/$F115)</f>
        <v/>
      </c>
      <c r="U115" s="35"/>
      <c r="V115" s="0" t="str">
        <f aca="false">IF($A115="","",$A115&amp;"|"&amp;$B115)</f>
        <v/>
      </c>
    </row>
    <row r="116" customFormat="false" ht="18" hidden="false" customHeight="true" outlineLevel="0" collapsed="false">
      <c r="A116" s="36"/>
      <c r="B116" s="36"/>
      <c r="C116" s="48" t="str">
        <f aca="false">IF($B116="","",IFERROR(VLOOKUP($B116,资产台账!$B$4:$N$53,2,0)&amp;"","台账中未登记"))</f>
        <v/>
      </c>
      <c r="D116" s="43" t="str">
        <f aca="false">IF($B116="","",IFERROR(VLOOKUP($B116,资产台账!$B$4:$N$53,3,0)&amp;"",""))</f>
        <v/>
      </c>
      <c r="E116" s="43" t="str">
        <f aca="false">IF($B116="","",IFERROR(VLOOKUP($B116,资产台账!$B$4:$N$53,5,0)&amp;"",""))</f>
        <v/>
      </c>
      <c r="F116" s="44"/>
      <c r="G116" s="44"/>
      <c r="H116" s="44"/>
      <c r="I116" s="44"/>
      <c r="J116" s="44"/>
      <c r="K116" s="44"/>
      <c r="L116" s="44"/>
      <c r="M116" s="44"/>
      <c r="N116" s="44"/>
      <c r="O116" s="44"/>
      <c r="P116" s="44"/>
      <c r="Q116" s="44"/>
      <c r="R116" s="45" t="str">
        <f aca="false">IF($A116="","",SUM(H116:Q116))</f>
        <v/>
      </c>
      <c r="S116" s="45" t="str">
        <f aca="false">IF($A116="","",ROUND($F116-$G116-$R116,2))</f>
        <v/>
      </c>
      <c r="T116" s="28" t="str">
        <f aca="false">IF(OR($A116="",$F116=0),"",$R116/$F116)</f>
        <v/>
      </c>
      <c r="U116" s="35"/>
      <c r="V116" s="0" t="str">
        <f aca="false">IF($A116="","",$A116&amp;"|"&amp;$B116)</f>
        <v/>
      </c>
    </row>
    <row r="117" customFormat="false" ht="18" hidden="false" customHeight="true" outlineLevel="0" collapsed="false">
      <c r="A117" s="36"/>
      <c r="B117" s="36"/>
      <c r="C117" s="48" t="str">
        <f aca="false">IF($B117="","",IFERROR(VLOOKUP($B117,资产台账!$B$4:$N$53,2,0)&amp;"","台账中未登记"))</f>
        <v/>
      </c>
      <c r="D117" s="43" t="str">
        <f aca="false">IF($B117="","",IFERROR(VLOOKUP($B117,资产台账!$B$4:$N$53,3,0)&amp;"",""))</f>
        <v/>
      </c>
      <c r="E117" s="43" t="str">
        <f aca="false">IF($B117="","",IFERROR(VLOOKUP($B117,资产台账!$B$4:$N$53,5,0)&amp;"",""))</f>
        <v/>
      </c>
      <c r="F117" s="44"/>
      <c r="G117" s="44"/>
      <c r="H117" s="44"/>
      <c r="I117" s="44"/>
      <c r="J117" s="44"/>
      <c r="K117" s="44"/>
      <c r="L117" s="44"/>
      <c r="M117" s="44"/>
      <c r="N117" s="44"/>
      <c r="O117" s="44"/>
      <c r="P117" s="44"/>
      <c r="Q117" s="44"/>
      <c r="R117" s="45" t="str">
        <f aca="false">IF($A117="","",SUM(H117:Q117))</f>
        <v/>
      </c>
      <c r="S117" s="45" t="str">
        <f aca="false">IF($A117="","",ROUND($F117-$G117-$R117,2))</f>
        <v/>
      </c>
      <c r="T117" s="28" t="str">
        <f aca="false">IF(OR($A117="",$F117=0),"",$R117/$F117)</f>
        <v/>
      </c>
      <c r="U117" s="35"/>
      <c r="V117" s="0" t="str">
        <f aca="false">IF($A117="","",$A117&amp;"|"&amp;$B117)</f>
        <v/>
      </c>
    </row>
    <row r="118" customFormat="false" ht="18" hidden="false" customHeight="true" outlineLevel="0" collapsed="false">
      <c r="A118" s="36"/>
      <c r="B118" s="36"/>
      <c r="C118" s="48" t="str">
        <f aca="false">IF($B118="","",IFERROR(VLOOKUP($B118,资产台账!$B$4:$N$53,2,0)&amp;"","台账中未登记"))</f>
        <v/>
      </c>
      <c r="D118" s="43" t="str">
        <f aca="false">IF($B118="","",IFERROR(VLOOKUP($B118,资产台账!$B$4:$N$53,3,0)&amp;"",""))</f>
        <v/>
      </c>
      <c r="E118" s="43" t="str">
        <f aca="false">IF($B118="","",IFERROR(VLOOKUP($B118,资产台账!$B$4:$N$53,5,0)&amp;"",""))</f>
        <v/>
      </c>
      <c r="F118" s="44"/>
      <c r="G118" s="44"/>
      <c r="H118" s="44"/>
      <c r="I118" s="44"/>
      <c r="J118" s="44"/>
      <c r="K118" s="44"/>
      <c r="L118" s="44"/>
      <c r="M118" s="44"/>
      <c r="N118" s="44"/>
      <c r="O118" s="44"/>
      <c r="P118" s="44"/>
      <c r="Q118" s="44"/>
      <c r="R118" s="45" t="str">
        <f aca="false">IF($A118="","",SUM(H118:Q118))</f>
        <v/>
      </c>
      <c r="S118" s="45" t="str">
        <f aca="false">IF($A118="","",ROUND($F118-$G118-$R118,2))</f>
        <v/>
      </c>
      <c r="T118" s="28" t="str">
        <f aca="false">IF(OR($A118="",$F118=0),"",$R118/$F118)</f>
        <v/>
      </c>
      <c r="U118" s="35"/>
      <c r="V118" s="0" t="str">
        <f aca="false">IF($A118="","",$A118&amp;"|"&amp;$B118)</f>
        <v/>
      </c>
    </row>
    <row r="119" customFormat="false" ht="18" hidden="false" customHeight="true" outlineLevel="0" collapsed="false">
      <c r="A119" s="36"/>
      <c r="B119" s="36"/>
      <c r="C119" s="48" t="str">
        <f aca="false">IF($B119="","",IFERROR(VLOOKUP($B119,资产台账!$B$4:$N$53,2,0)&amp;"","台账中未登记"))</f>
        <v/>
      </c>
      <c r="D119" s="43" t="str">
        <f aca="false">IF($B119="","",IFERROR(VLOOKUP($B119,资产台账!$B$4:$N$53,3,0)&amp;"",""))</f>
        <v/>
      </c>
      <c r="E119" s="43" t="str">
        <f aca="false">IF($B119="","",IFERROR(VLOOKUP($B119,资产台账!$B$4:$N$53,5,0)&amp;"",""))</f>
        <v/>
      </c>
      <c r="F119" s="44"/>
      <c r="G119" s="44"/>
      <c r="H119" s="44"/>
      <c r="I119" s="44"/>
      <c r="J119" s="44"/>
      <c r="K119" s="44"/>
      <c r="L119" s="44"/>
      <c r="M119" s="44"/>
      <c r="N119" s="44"/>
      <c r="O119" s="44"/>
      <c r="P119" s="44"/>
      <c r="Q119" s="44"/>
      <c r="R119" s="45" t="str">
        <f aca="false">IF($A119="","",SUM(H119:Q119))</f>
        <v/>
      </c>
      <c r="S119" s="45" t="str">
        <f aca="false">IF($A119="","",ROUND($F119-$G119-$R119,2))</f>
        <v/>
      </c>
      <c r="T119" s="28" t="str">
        <f aca="false">IF(OR($A119="",$F119=0),"",$R119/$F119)</f>
        <v/>
      </c>
      <c r="U119" s="35"/>
      <c r="V119" s="0" t="str">
        <f aca="false">IF($A119="","",$A119&amp;"|"&amp;$B119)</f>
        <v/>
      </c>
    </row>
    <row r="120" customFormat="false" ht="18" hidden="false" customHeight="true" outlineLevel="0" collapsed="false">
      <c r="A120" s="36"/>
      <c r="B120" s="36"/>
      <c r="C120" s="48" t="str">
        <f aca="false">IF($B120="","",IFERROR(VLOOKUP($B120,资产台账!$B$4:$N$53,2,0)&amp;"","台账中未登记"))</f>
        <v/>
      </c>
      <c r="D120" s="43" t="str">
        <f aca="false">IF($B120="","",IFERROR(VLOOKUP($B120,资产台账!$B$4:$N$53,3,0)&amp;"",""))</f>
        <v/>
      </c>
      <c r="E120" s="43" t="str">
        <f aca="false">IF($B120="","",IFERROR(VLOOKUP($B120,资产台账!$B$4:$N$53,5,0)&amp;"",""))</f>
        <v/>
      </c>
      <c r="F120" s="44"/>
      <c r="G120" s="44"/>
      <c r="H120" s="44"/>
      <c r="I120" s="44"/>
      <c r="J120" s="44"/>
      <c r="K120" s="44"/>
      <c r="L120" s="44"/>
      <c r="M120" s="44"/>
      <c r="N120" s="44"/>
      <c r="O120" s="44"/>
      <c r="P120" s="44"/>
      <c r="Q120" s="44"/>
      <c r="R120" s="45" t="str">
        <f aca="false">IF($A120="","",SUM(H120:Q120))</f>
        <v/>
      </c>
      <c r="S120" s="45" t="str">
        <f aca="false">IF($A120="","",ROUND($F120-$G120-$R120,2))</f>
        <v/>
      </c>
      <c r="T120" s="28" t="str">
        <f aca="false">IF(OR($A120="",$F120=0),"",$R120/$F120)</f>
        <v/>
      </c>
      <c r="U120" s="35"/>
      <c r="V120" s="0" t="str">
        <f aca="false">IF($A120="","",$A120&amp;"|"&amp;$B120)</f>
        <v/>
      </c>
    </row>
    <row r="121" customFormat="false" ht="18" hidden="false" customHeight="true" outlineLevel="0" collapsed="false">
      <c r="A121" s="36"/>
      <c r="B121" s="36"/>
      <c r="C121" s="48" t="str">
        <f aca="false">IF($B121="","",IFERROR(VLOOKUP($B121,资产台账!$B$4:$N$53,2,0)&amp;"","台账中未登记"))</f>
        <v/>
      </c>
      <c r="D121" s="43" t="str">
        <f aca="false">IF($B121="","",IFERROR(VLOOKUP($B121,资产台账!$B$4:$N$53,3,0)&amp;"",""))</f>
        <v/>
      </c>
      <c r="E121" s="43" t="str">
        <f aca="false">IF($B121="","",IFERROR(VLOOKUP($B121,资产台账!$B$4:$N$53,5,0)&amp;"",""))</f>
        <v/>
      </c>
      <c r="F121" s="44"/>
      <c r="G121" s="44"/>
      <c r="H121" s="44"/>
      <c r="I121" s="44"/>
      <c r="J121" s="44"/>
      <c r="K121" s="44"/>
      <c r="L121" s="44"/>
      <c r="M121" s="44"/>
      <c r="N121" s="44"/>
      <c r="O121" s="44"/>
      <c r="P121" s="44"/>
      <c r="Q121" s="44"/>
      <c r="R121" s="45" t="str">
        <f aca="false">IF($A121="","",SUM(H121:Q121))</f>
        <v/>
      </c>
      <c r="S121" s="45" t="str">
        <f aca="false">IF($A121="","",ROUND($F121-$G121-$R121,2))</f>
        <v/>
      </c>
      <c r="T121" s="28" t="str">
        <f aca="false">IF(OR($A121="",$F121=0),"",$R121/$F121)</f>
        <v/>
      </c>
      <c r="U121" s="35"/>
      <c r="V121" s="0" t="str">
        <f aca="false">IF($A121="","",$A121&amp;"|"&amp;$B121)</f>
        <v/>
      </c>
    </row>
    <row r="122" customFormat="false" ht="18" hidden="false" customHeight="true" outlineLevel="0" collapsed="false">
      <c r="A122" s="36"/>
      <c r="B122" s="36"/>
      <c r="C122" s="48" t="str">
        <f aca="false">IF($B122="","",IFERROR(VLOOKUP($B122,资产台账!$B$4:$N$53,2,0)&amp;"","台账中未登记"))</f>
        <v/>
      </c>
      <c r="D122" s="43" t="str">
        <f aca="false">IF($B122="","",IFERROR(VLOOKUP($B122,资产台账!$B$4:$N$53,3,0)&amp;"",""))</f>
        <v/>
      </c>
      <c r="E122" s="43" t="str">
        <f aca="false">IF($B122="","",IFERROR(VLOOKUP($B122,资产台账!$B$4:$N$53,5,0)&amp;"",""))</f>
        <v/>
      </c>
      <c r="F122" s="44"/>
      <c r="G122" s="44"/>
      <c r="H122" s="44"/>
      <c r="I122" s="44"/>
      <c r="J122" s="44"/>
      <c r="K122" s="44"/>
      <c r="L122" s="44"/>
      <c r="M122" s="44"/>
      <c r="N122" s="44"/>
      <c r="O122" s="44"/>
      <c r="P122" s="44"/>
      <c r="Q122" s="44"/>
      <c r="R122" s="45" t="str">
        <f aca="false">IF($A122="","",SUM(H122:Q122))</f>
        <v/>
      </c>
      <c r="S122" s="45" t="str">
        <f aca="false">IF($A122="","",ROUND($F122-$G122-$R122,2))</f>
        <v/>
      </c>
      <c r="T122" s="28" t="str">
        <f aca="false">IF(OR($A122="",$F122=0),"",$R122/$F122)</f>
        <v/>
      </c>
      <c r="U122" s="35"/>
      <c r="V122" s="0" t="str">
        <f aca="false">IF($A122="","",$A122&amp;"|"&amp;$B122)</f>
        <v/>
      </c>
    </row>
    <row r="123" customFormat="false" ht="18" hidden="false" customHeight="true" outlineLevel="0" collapsed="false">
      <c r="A123" s="36"/>
      <c r="B123" s="36"/>
      <c r="C123" s="48" t="str">
        <f aca="false">IF($B123="","",IFERROR(VLOOKUP($B123,资产台账!$B$4:$N$53,2,0)&amp;"","台账中未登记"))</f>
        <v/>
      </c>
      <c r="D123" s="43" t="str">
        <f aca="false">IF($B123="","",IFERROR(VLOOKUP($B123,资产台账!$B$4:$N$53,3,0)&amp;"",""))</f>
        <v/>
      </c>
      <c r="E123" s="43" t="str">
        <f aca="false">IF($B123="","",IFERROR(VLOOKUP($B123,资产台账!$B$4:$N$53,5,0)&amp;"",""))</f>
        <v/>
      </c>
      <c r="F123" s="44"/>
      <c r="G123" s="44"/>
      <c r="H123" s="44"/>
      <c r="I123" s="44"/>
      <c r="J123" s="44"/>
      <c r="K123" s="44"/>
      <c r="L123" s="44"/>
      <c r="M123" s="44"/>
      <c r="N123" s="44"/>
      <c r="O123" s="44"/>
      <c r="P123" s="44"/>
      <c r="Q123" s="44"/>
      <c r="R123" s="45" t="str">
        <f aca="false">IF($A123="","",SUM(H123:Q123))</f>
        <v/>
      </c>
      <c r="S123" s="45" t="str">
        <f aca="false">IF($A123="","",ROUND($F123-$G123-$R123,2))</f>
        <v/>
      </c>
      <c r="T123" s="28" t="str">
        <f aca="false">IF(OR($A123="",$F123=0),"",$R123/$F123)</f>
        <v/>
      </c>
      <c r="U123" s="35"/>
      <c r="V123" s="0" t="str">
        <f aca="false">IF($A123="","",$A123&amp;"|"&amp;$B123)</f>
        <v/>
      </c>
    </row>
    <row r="124" customFormat="false" ht="18" hidden="false" customHeight="true" outlineLevel="0" collapsed="false">
      <c r="A124" s="36"/>
      <c r="B124" s="36"/>
      <c r="C124" s="48" t="str">
        <f aca="false">IF($B124="","",IFERROR(VLOOKUP($B124,资产台账!$B$4:$N$53,2,0)&amp;"","台账中未登记"))</f>
        <v/>
      </c>
      <c r="D124" s="43" t="str">
        <f aca="false">IF($B124="","",IFERROR(VLOOKUP($B124,资产台账!$B$4:$N$53,3,0)&amp;"",""))</f>
        <v/>
      </c>
      <c r="E124" s="43" t="str">
        <f aca="false">IF($B124="","",IFERROR(VLOOKUP($B124,资产台账!$B$4:$N$53,5,0)&amp;"",""))</f>
        <v/>
      </c>
      <c r="F124" s="44"/>
      <c r="G124" s="44"/>
      <c r="H124" s="44"/>
      <c r="I124" s="44"/>
      <c r="J124" s="44"/>
      <c r="K124" s="44"/>
      <c r="L124" s="44"/>
      <c r="M124" s="44"/>
      <c r="N124" s="44"/>
      <c r="O124" s="44"/>
      <c r="P124" s="44"/>
      <c r="Q124" s="44"/>
      <c r="R124" s="45" t="str">
        <f aca="false">IF($A124="","",SUM(H124:Q124))</f>
        <v/>
      </c>
      <c r="S124" s="45" t="str">
        <f aca="false">IF($A124="","",ROUND($F124-$G124-$R124,2))</f>
        <v/>
      </c>
      <c r="T124" s="28" t="str">
        <f aca="false">IF(OR($A124="",$F124=0),"",$R124/$F124)</f>
        <v/>
      </c>
      <c r="U124" s="35"/>
      <c r="V124" s="0" t="str">
        <f aca="false">IF($A124="","",$A124&amp;"|"&amp;$B124)</f>
        <v/>
      </c>
    </row>
    <row r="125" customFormat="false" ht="18" hidden="false" customHeight="true" outlineLevel="0" collapsed="false">
      <c r="A125" s="36"/>
      <c r="B125" s="36"/>
      <c r="C125" s="48" t="str">
        <f aca="false">IF($B125="","",IFERROR(VLOOKUP($B125,资产台账!$B$4:$N$53,2,0)&amp;"","台账中未登记"))</f>
        <v/>
      </c>
      <c r="D125" s="43" t="str">
        <f aca="false">IF($B125="","",IFERROR(VLOOKUP($B125,资产台账!$B$4:$N$53,3,0)&amp;"",""))</f>
        <v/>
      </c>
      <c r="E125" s="43" t="str">
        <f aca="false">IF($B125="","",IFERROR(VLOOKUP($B125,资产台账!$B$4:$N$53,5,0)&amp;"",""))</f>
        <v/>
      </c>
      <c r="F125" s="44"/>
      <c r="G125" s="44"/>
      <c r="H125" s="44"/>
      <c r="I125" s="44"/>
      <c r="J125" s="44"/>
      <c r="K125" s="44"/>
      <c r="L125" s="44"/>
      <c r="M125" s="44"/>
      <c r="N125" s="44"/>
      <c r="O125" s="44"/>
      <c r="P125" s="44"/>
      <c r="Q125" s="44"/>
      <c r="R125" s="45" t="str">
        <f aca="false">IF($A125="","",SUM(H125:Q125))</f>
        <v/>
      </c>
      <c r="S125" s="45" t="str">
        <f aca="false">IF($A125="","",ROUND($F125-$G125-$R125,2))</f>
        <v/>
      </c>
      <c r="T125" s="28" t="str">
        <f aca="false">IF(OR($A125="",$F125=0),"",$R125/$F125)</f>
        <v/>
      </c>
      <c r="U125" s="35"/>
      <c r="V125" s="0" t="str">
        <f aca="false">IF($A125="","",$A125&amp;"|"&amp;$B125)</f>
        <v/>
      </c>
    </row>
  </sheetData>
  <autoFilter ref="A5:U125"/>
  <mergeCells count="15">
    <mergeCell ref="A1:B1"/>
    <mergeCell ref="C1:U1"/>
    <mergeCell ref="A2:U2"/>
    <mergeCell ref="A3:A5"/>
    <mergeCell ref="B3:B5"/>
    <mergeCell ref="C3:C5"/>
    <mergeCell ref="D3:D5"/>
    <mergeCell ref="E3:E5"/>
    <mergeCell ref="F3:F5"/>
    <mergeCell ref="G3:G5"/>
    <mergeCell ref="H3:Q3"/>
    <mergeCell ref="R3:R5"/>
    <mergeCell ref="S3:S5"/>
    <mergeCell ref="T3:T5"/>
    <mergeCell ref="U3:U5"/>
  </mergeCells>
  <conditionalFormatting sqref="S6:S125">
    <cfRule type="expression" priority="2" aboveAverage="0" equalAverage="0" bottom="0" percent="0" rank="0" text="" dxfId="0">
      <formula>AND($A6&lt;&gt;"",$S6&lt;&gt;0)</formula>
    </cfRule>
  </conditionalFormatting>
  <dataValidations count="2">
    <dataValidation allowBlank="true" errorStyle="stop" operator="between" showDropDown="false" showErrorMessage="false" showInputMessage="false" sqref="A6:A125" type="list">
      <formula1>"2026-01,2026-02,2026-03,2026-04,2026-05,2026-06,2026-07,2026-08,2026-09,2026-10,2026-11,2026-12"</formula1>
      <formula2>0</formula2>
    </dataValidation>
    <dataValidation allowBlank="true" errorStyle="stop" operator="between" showDropDown="false" showErrorMessage="false" showInputMessage="false" sqref="B6:B125" type="list">
      <formula1>资产编号列表</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550A"/>
    <pageSetUpPr fitToPage="true"/>
  </sheetPr>
  <dimension ref="A1:X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2" min="1" style="0" width="11"/>
    <col collapsed="false" customWidth="true" hidden="false" outlineLevel="0" max="3" min="3" style="0" width="24"/>
    <col collapsed="false" customWidth="true" hidden="false" outlineLevel="0" max="5" min="4" style="0" width="11"/>
    <col collapsed="false" customWidth="true" hidden="false" outlineLevel="0" max="7" min="6" style="0" width="13"/>
    <col collapsed="false" customWidth="true" hidden="false" outlineLevel="0" max="8" min="8" style="0" width="12"/>
    <col collapsed="false" customWidth="true" hidden="false" outlineLevel="0" max="9" min="9" style="0" width="13"/>
    <col collapsed="false" customWidth="true" hidden="false" outlineLevel="0" max="19" min="10" style="0" width="12"/>
    <col collapsed="false" customWidth="true" hidden="false" outlineLevel="0" max="20" min="20" style="0" width="14"/>
    <col collapsed="false" customWidth="true" hidden="false" outlineLevel="0" max="21" min="21" style="0" width="15"/>
    <col collapsed="false" customWidth="true" hidden="false" outlineLevel="0" max="22" min="22" style="0" width="22"/>
    <col collapsed="false" customWidth="true" hidden="true" outlineLevel="0" max="24" min="23" style="0" width="13"/>
  </cols>
  <sheetData>
    <row r="1" customFormat="false" ht="43.5" hidden="false" customHeight="true" outlineLevel="0" collapsed="false">
      <c r="A1" s="1" t="s">
        <v>0</v>
      </c>
      <c r="B1" s="1"/>
      <c r="C1" s="2" t="str">
        <f aca="false">IF(使用说明!$B$2="","",使用说明!$B$2&amp;"    ")&amp;"十、《无形资产费用分配表》（财务按月按项目核算、按年汇总，2026年度）"</f>
        <v>十、《无形资产费用分配表》（财务按月按项目核算、按年汇总，2026年度）</v>
      </c>
      <c r="D1" s="2"/>
      <c r="E1" s="2"/>
      <c r="F1" s="2"/>
      <c r="G1" s="2"/>
      <c r="H1" s="2"/>
      <c r="I1" s="2"/>
      <c r="J1" s="2"/>
      <c r="K1" s="2"/>
      <c r="L1" s="2"/>
      <c r="M1" s="2"/>
      <c r="N1" s="2"/>
      <c r="O1" s="2"/>
      <c r="P1" s="2"/>
      <c r="Q1" s="2"/>
      <c r="R1" s="2"/>
      <c r="S1" s="2"/>
      <c r="T1" s="2"/>
      <c r="U1" s="2"/>
      <c r="V1" s="2"/>
    </row>
    <row r="2" customFormat="false" ht="30" hidden="false" customHeight="true" outlineLevel="0" collapsed="false">
      <c r="A2" s="17" t="s">
        <v>268</v>
      </c>
      <c r="B2" s="17"/>
      <c r="C2" s="17"/>
      <c r="D2" s="17"/>
      <c r="E2" s="17"/>
      <c r="F2" s="17"/>
      <c r="G2" s="17"/>
      <c r="H2" s="17"/>
      <c r="I2" s="17"/>
      <c r="J2" s="17"/>
      <c r="K2" s="17"/>
      <c r="L2" s="17"/>
      <c r="M2" s="17"/>
      <c r="N2" s="17"/>
      <c r="O2" s="17"/>
      <c r="P2" s="17"/>
      <c r="Q2" s="17"/>
      <c r="R2" s="17"/>
      <c r="S2" s="17"/>
      <c r="T2" s="17"/>
      <c r="U2" s="17"/>
      <c r="V2" s="17"/>
    </row>
    <row r="3" customFormat="false" ht="25.5" hidden="false" customHeight="true" outlineLevel="0" collapsed="false">
      <c r="A3" s="18" t="s">
        <v>224</v>
      </c>
      <c r="B3" s="18" t="s">
        <v>181</v>
      </c>
      <c r="C3" s="18" t="s">
        <v>265</v>
      </c>
      <c r="D3" s="18" t="s">
        <v>183</v>
      </c>
      <c r="E3" s="18" t="s">
        <v>190</v>
      </c>
      <c r="F3" s="18" t="s">
        <v>269</v>
      </c>
      <c r="G3" s="18" t="s">
        <v>267</v>
      </c>
      <c r="H3" s="18" t="s">
        <v>256</v>
      </c>
      <c r="I3" s="18" t="s">
        <v>260</v>
      </c>
      <c r="J3" s="18" t="s">
        <v>270</v>
      </c>
      <c r="K3" s="18"/>
      <c r="L3" s="18"/>
      <c r="M3" s="18"/>
      <c r="N3" s="18"/>
      <c r="O3" s="18"/>
      <c r="P3" s="18"/>
      <c r="Q3" s="18"/>
      <c r="R3" s="18"/>
      <c r="S3" s="18"/>
      <c r="T3" s="18" t="s">
        <v>271</v>
      </c>
      <c r="U3" s="18" t="s">
        <v>272</v>
      </c>
      <c r="V3" s="46" t="s">
        <v>249</v>
      </c>
    </row>
    <row r="4" customFormat="false" ht="18" hidden="false" customHeight="true" outlineLevel="0" collapsed="false">
      <c r="A4" s="18"/>
      <c r="B4" s="18"/>
      <c r="C4" s="18"/>
      <c r="D4" s="18"/>
      <c r="E4" s="18"/>
      <c r="F4" s="18"/>
      <c r="G4" s="18"/>
      <c r="H4" s="18"/>
      <c r="I4" s="18"/>
      <c r="J4" s="40" t="str">
        <f aca="false">项目清单!$B$4</f>
        <v>RD01</v>
      </c>
      <c r="K4" s="40" t="str">
        <f aca="false">项目清单!$B$5</f>
        <v>RD02</v>
      </c>
      <c r="L4" s="40" t="str">
        <f aca="false">项目清单!$B$6</f>
        <v>RD03</v>
      </c>
      <c r="M4" s="40" t="str">
        <f aca="false">项目清单!$B$7</f>
        <v>RD04</v>
      </c>
      <c r="N4" s="40" t="str">
        <f aca="false">项目清单!$B$8</f>
        <v>RD05</v>
      </c>
      <c r="O4" s="40" t="str">
        <f aca="false">项目清单!$B$9</f>
        <v>RD06</v>
      </c>
      <c r="P4" s="40" t="str">
        <f aca="false">项目清单!$B$10</f>
        <v>RD07</v>
      </c>
      <c r="Q4" s="40" t="str">
        <f aca="false">项目清单!$B$11</f>
        <v>RD08</v>
      </c>
      <c r="R4" s="40" t="str">
        <f aca="false">项目清单!$B$12</f>
        <v>RD09</v>
      </c>
      <c r="S4" s="40" t="str">
        <f aca="false">项目清单!$B$13</f>
        <v>RD10</v>
      </c>
      <c r="T4" s="18"/>
      <c r="U4" s="18"/>
      <c r="V4" s="46"/>
    </row>
    <row r="5" customFormat="false" ht="33.75" hidden="false" customHeight="true" outlineLevel="0" collapsed="false">
      <c r="A5" s="18"/>
      <c r="B5" s="18"/>
      <c r="C5" s="18"/>
      <c r="D5" s="18"/>
      <c r="E5" s="18"/>
      <c r="F5" s="18"/>
      <c r="G5" s="18"/>
      <c r="H5" s="18"/>
      <c r="I5" s="18"/>
      <c r="J5" s="41" t="str">
        <f aca="false">IF(J4="","",IFERROR(VLOOKUP(J4,项目清单!$B$4:$C$13,2,0)&amp;"",""))</f>
        <v>高回弹低压缩永久变形3C用聚氨酯泡棉开发</v>
      </c>
      <c r="K5" s="41" t="str">
        <f aca="false">IF(K4="","",IFERROR(VLOOKUP(K4,项目清单!$B$4:$C$13,2,0)&amp;"",""))</f>
        <v>动力电池模组用高阻燃缓冲泡棉研发</v>
      </c>
      <c r="L5" s="41" t="str">
        <f aca="false">IF(L4="","",IFERROR(VLOOKUP(L4,项目清单!$B$4:$C$13,2,0)&amp;"",""))</f>
        <v>泡棉与PET基材无溶剂贴合工艺开发</v>
      </c>
      <c r="M5" s="41" t="str">
        <f aca="false">IF(M4="","",IFERROR(VLOOKUP(M4,项目清单!$B$4:$C$13,2,0)&amp;"",""))</f>
        <v>超薄泡棉高精度分切及毛边控制技术研究</v>
      </c>
      <c r="N5" s="41" t="str">
        <f aca="false">IF(N4="","",IFERROR(VLOOKUP(N4,项目清单!$B$4:$C$13,2,0)&amp;"",""))</f>
        <v>新能源汽车电池包用导热缓冲复合材料开发</v>
      </c>
      <c r="O5" s="41" t="str">
        <f aca="false">IF(O4="","",IFERROR(VLOOKUP(O4,项目清单!$B$4:$C$13,2,0)&amp;"",""))</f>
        <v>3C电子用超薄黑色遮光泡棉制备技术</v>
      </c>
      <c r="P5" s="41" t="str">
        <f aca="false">IF(P4="","",IFERROR(VLOOKUP(P4,项目清单!$B$4:$C$13,2,0)&amp;"",""))</f>
        <v>环保型水性胶泡棉贴合技术开发</v>
      </c>
      <c r="Q5" s="41" t="str">
        <f aca="false">IF(Q4="","",IFERROR(VLOOKUP(Q4,项目清单!$B$4:$C$13,2,0)&amp;"",""))</f>
        <v>泡棉模切自动化在线检测技术研究</v>
      </c>
      <c r="R5" s="41" t="str">
        <f aca="false">IF(R4="","",IFERROR(VLOOKUP(R4,项目清单!$B$4:$C$13,2,0)&amp;"",""))</f>
        <v/>
      </c>
      <c r="S5" s="41" t="str">
        <f aca="false">IF(S4="","",IFERROR(VLOOKUP(S4,项目清单!$B$4:$C$13,2,0)&amp;"",""))</f>
        <v/>
      </c>
      <c r="T5" s="18"/>
      <c r="U5" s="18"/>
      <c r="V5" s="46"/>
      <c r="W5" s="42" t="s">
        <v>250</v>
      </c>
      <c r="X5" s="42" t="s">
        <v>251</v>
      </c>
    </row>
    <row r="6" customFormat="false" ht="18" hidden="false" customHeight="true" outlineLevel="0" collapsed="false">
      <c r="A6" s="36" t="s">
        <v>100</v>
      </c>
      <c r="B6" s="36" t="s">
        <v>217</v>
      </c>
      <c r="C6" s="48" t="str">
        <f aca="false">IF($B6="","",IFERROR(VLOOKUP($B6,资产台账!$B$4:$N$53,2,0)&amp;"","台账中未登记"))</f>
        <v>（示例）泡棉配方模拟软件</v>
      </c>
      <c r="D6" s="43" t="str">
        <f aca="false">IF($B6="","",IFERROR(VLOOKUP($B6,资产台账!$B$4:$N$53,3,0)&amp;"",""))</f>
        <v>无形资产</v>
      </c>
      <c r="E6" s="43" t="str">
        <f aca="false">IF($B6="","",IFERROR(VLOOKUP($B6,资产台账!$B$4:$N$53,10,0)&amp;"",""))</f>
        <v>摊销</v>
      </c>
      <c r="F6" s="49" t="n">
        <f aca="false">IF($B6="","",IFERROR(VLOOKUP($B6,资产台账!$B$4:$N$53,9,0),0))</f>
        <v>4000</v>
      </c>
      <c r="G6" s="45" t="n">
        <f aca="false">IF(OR($A6="",$W6=0),0,INDEX(无形资产工时分配表!$F$6:$F$125,$W6))</f>
        <v>160</v>
      </c>
      <c r="H6" s="45" t="n">
        <f aca="false">IF(OR($A6="",$W6=0),0,INDEX(无形资产工时分配表!$R$6:$R$125,$W6))</f>
        <v>160</v>
      </c>
      <c r="I6" s="28" t="n">
        <f aca="false">IF(OR($A6="",$G6=0),"",$H6/$G6)</f>
        <v>1</v>
      </c>
      <c r="J6" s="27" t="n">
        <f aca="false">IF(OR($A6="",$G6=0),"",ROUND($F6*INDEX(无形资产工时分配表!$H$6:$H$125,$W6)/$G6,2))</f>
        <v>1500</v>
      </c>
      <c r="K6" s="27" t="n">
        <f aca="false">IF(OR($A6="",$G6=0),"",ROUND($F6*INDEX(无形资产工时分配表!$I$6:$I$125,$W6)/$G6,2))</f>
        <v>1500</v>
      </c>
      <c r="L6" s="27" t="n">
        <f aca="false">IF(OR($A6="",$G6=0),"",ROUND($F6*INDEX(无形资产工时分配表!$J$6:$J$125,$W6)/$G6,2))</f>
        <v>0</v>
      </c>
      <c r="M6" s="27" t="n">
        <f aca="false">IF(OR($A6="",$G6=0),"",ROUND($F6*INDEX(无形资产工时分配表!$K$6:$K$125,$W6)/$G6,2))</f>
        <v>0</v>
      </c>
      <c r="N6" s="27" t="n">
        <f aca="false">IF(OR($A6="",$G6=0),"",ROUND($F6*INDEX(无形资产工时分配表!$L$6:$L$125,$W6)/$G6,2))</f>
        <v>1000</v>
      </c>
      <c r="O6" s="27" t="n">
        <f aca="false">IF(OR($A6="",$G6=0),"",ROUND($F6*INDEX(无形资产工时分配表!$M$6:$M$125,$W6)/$G6,2))</f>
        <v>0</v>
      </c>
      <c r="P6" s="27" t="n">
        <f aca="false">IF(OR($A6="",$G6=0),"",ROUND($F6*INDEX(无形资产工时分配表!$N$6:$N$125,$W6)/$G6,2))</f>
        <v>0</v>
      </c>
      <c r="Q6" s="27" t="n">
        <f aca="false">IF(OR($A6="",$G6=0),"",ROUND($F6*INDEX(无形资产工时分配表!$O$6:$O$125,$W6)/$G6,2))</f>
        <v>0</v>
      </c>
      <c r="R6" s="27" t="n">
        <f aca="false">IF(OR($A6="",$G6=0),"",ROUND($F6*INDEX(无形资产工时分配表!$P$6:$P$125,$W6)/$G6,2))</f>
        <v>0</v>
      </c>
      <c r="S6" s="27" t="n">
        <f aca="false">IF(OR($A6="",$G6=0),"",ROUND($F6*INDEX(无形资产工时分配表!$Q$6:$Q$125,$W6)/$G6,2))</f>
        <v>0</v>
      </c>
      <c r="T6" s="27" t="n">
        <f aca="false">IF($A6="","",ROUND(SUM(J6:S6),2))</f>
        <v>4000</v>
      </c>
      <c r="U6" s="27" t="n">
        <f aca="false">IF($A6="","",ROUND($F6-T6,2))</f>
        <v>0</v>
      </c>
      <c r="V6" s="43" t="str">
        <f aca="false">IF($A6="","",IF($D6="设备","⚠ 设备请在仪器设备工时费用分配表登记",IF($W6=0,"⚠ 工时分配表无此资产当月记录",IF($X6&gt;1,"⚠ 工时分配表存在重复行","√ 正常"))))</f>
        <v>√ 正常</v>
      </c>
      <c r="W6" s="47" t="n">
        <f aca="false">IF($A6="",0,IFERROR(MATCH($A6&amp;"|"&amp;$B6,无形资产工时分配表!$V$6:$V$125,0),0))</f>
        <v>1</v>
      </c>
      <c r="X6" s="47" t="n">
        <f aca="false">IF($A6="",0,COUNTIFS(无形资产工时分配表!$A$6:$A$125,$A6,无形资产工时分配表!$B$6:$B$125,$B6))</f>
        <v>1</v>
      </c>
    </row>
    <row r="7" customFormat="false" ht="18" hidden="false" customHeight="true" outlineLevel="0" collapsed="false">
      <c r="A7" s="36"/>
      <c r="B7" s="36"/>
      <c r="C7" s="48" t="str">
        <f aca="false">IF($B7="","",IFERROR(VLOOKUP($B7,资产台账!$B$4:$N$53,2,0)&amp;"","台账中未登记"))</f>
        <v/>
      </c>
      <c r="D7" s="43" t="str">
        <f aca="false">IF($B7="","",IFERROR(VLOOKUP($B7,资产台账!$B$4:$N$53,3,0)&amp;"",""))</f>
        <v/>
      </c>
      <c r="E7" s="43" t="str">
        <f aca="false">IF($B7="","",IFERROR(VLOOKUP($B7,资产台账!$B$4:$N$53,10,0)&amp;"",""))</f>
        <v/>
      </c>
      <c r="F7" s="49" t="str">
        <f aca="false">IF($B7="","",IFERROR(VLOOKUP($B7,资产台账!$B$4:$N$53,9,0),0))</f>
        <v/>
      </c>
      <c r="G7" s="45" t="n">
        <f aca="false">IF(OR($A7="",$W7=0),0,INDEX(无形资产工时分配表!$F$6:$F$125,$W7))</f>
        <v>0</v>
      </c>
      <c r="H7" s="45" t="n">
        <f aca="false">IF(OR($A7="",$W7=0),0,INDEX(无形资产工时分配表!$R$6:$R$125,$W7))</f>
        <v>0</v>
      </c>
      <c r="I7" s="28" t="str">
        <f aca="false">IF(OR($A7="",$G7=0),"",$H7/$G7)</f>
        <v/>
      </c>
      <c r="J7" s="27" t="str">
        <f aca="false">IF(OR($A7="",$G7=0),"",ROUND($F7*INDEX(无形资产工时分配表!$H$6:$H$125,$W7)/$G7,2))</f>
        <v/>
      </c>
      <c r="K7" s="27" t="str">
        <f aca="false">IF(OR($A7="",$G7=0),"",ROUND($F7*INDEX(无形资产工时分配表!$I$6:$I$125,$W7)/$G7,2))</f>
        <v/>
      </c>
      <c r="L7" s="27" t="str">
        <f aca="false">IF(OR($A7="",$G7=0),"",ROUND($F7*INDEX(无形资产工时分配表!$J$6:$J$125,$W7)/$G7,2))</f>
        <v/>
      </c>
      <c r="M7" s="27" t="str">
        <f aca="false">IF(OR($A7="",$G7=0),"",ROUND($F7*INDEX(无形资产工时分配表!$K$6:$K$125,$W7)/$G7,2))</f>
        <v/>
      </c>
      <c r="N7" s="27" t="str">
        <f aca="false">IF(OR($A7="",$G7=0),"",ROUND($F7*INDEX(无形资产工时分配表!$L$6:$L$125,$W7)/$G7,2))</f>
        <v/>
      </c>
      <c r="O7" s="27" t="str">
        <f aca="false">IF(OR($A7="",$G7=0),"",ROUND($F7*INDEX(无形资产工时分配表!$M$6:$M$125,$W7)/$G7,2))</f>
        <v/>
      </c>
      <c r="P7" s="27" t="str">
        <f aca="false">IF(OR($A7="",$G7=0),"",ROUND($F7*INDEX(无形资产工时分配表!$N$6:$N$125,$W7)/$G7,2))</f>
        <v/>
      </c>
      <c r="Q7" s="27" t="str">
        <f aca="false">IF(OR($A7="",$G7=0),"",ROUND($F7*INDEX(无形资产工时分配表!$O$6:$O$125,$W7)/$G7,2))</f>
        <v/>
      </c>
      <c r="R7" s="27" t="str">
        <f aca="false">IF(OR($A7="",$G7=0),"",ROUND($F7*INDEX(无形资产工时分配表!$P$6:$P$125,$W7)/$G7,2))</f>
        <v/>
      </c>
      <c r="S7" s="27" t="str">
        <f aca="false">IF(OR($A7="",$G7=0),"",ROUND($F7*INDEX(无形资产工时分配表!$Q$6:$Q$125,$W7)/$G7,2))</f>
        <v/>
      </c>
      <c r="T7" s="27" t="str">
        <f aca="false">IF($A7="","",ROUND(SUM(J7:S7),2))</f>
        <v/>
      </c>
      <c r="U7" s="27" t="str">
        <f aca="false">IF($A7="","",ROUND($F7-T7,2))</f>
        <v/>
      </c>
      <c r="V7" s="43" t="str">
        <f aca="false">IF($A7="","",IF($D7="设备","⚠ 设备请在仪器设备工时费用分配表登记",IF($W7=0,"⚠ 工时分配表无此资产当月记录",IF($X7&gt;1,"⚠ 工时分配表存在重复行","√ 正常"))))</f>
        <v/>
      </c>
      <c r="W7" s="47" t="n">
        <f aca="false">IF($A7="",0,IFERROR(MATCH($A7&amp;"|"&amp;$B7,无形资产工时分配表!$V$6:$V$125,0),0))</f>
        <v>0</v>
      </c>
      <c r="X7" s="47" t="n">
        <f aca="false">IF($A7="",0,COUNTIFS(无形资产工时分配表!$A$6:$A$125,$A7,无形资产工时分配表!$B$6:$B$125,$B7))</f>
        <v>0</v>
      </c>
    </row>
    <row r="8" customFormat="false" ht="18" hidden="false" customHeight="true" outlineLevel="0" collapsed="false">
      <c r="A8" s="36"/>
      <c r="B8" s="36"/>
      <c r="C8" s="48" t="str">
        <f aca="false">IF($B8="","",IFERROR(VLOOKUP($B8,资产台账!$B$4:$N$53,2,0)&amp;"","台账中未登记"))</f>
        <v/>
      </c>
      <c r="D8" s="43" t="str">
        <f aca="false">IF($B8="","",IFERROR(VLOOKUP($B8,资产台账!$B$4:$N$53,3,0)&amp;"",""))</f>
        <v/>
      </c>
      <c r="E8" s="43" t="str">
        <f aca="false">IF($B8="","",IFERROR(VLOOKUP($B8,资产台账!$B$4:$N$53,10,0)&amp;"",""))</f>
        <v/>
      </c>
      <c r="F8" s="49" t="str">
        <f aca="false">IF($B8="","",IFERROR(VLOOKUP($B8,资产台账!$B$4:$N$53,9,0),0))</f>
        <v/>
      </c>
      <c r="G8" s="45" t="n">
        <f aca="false">IF(OR($A8="",$W8=0),0,INDEX(无形资产工时分配表!$F$6:$F$125,$W8))</f>
        <v>0</v>
      </c>
      <c r="H8" s="45" t="n">
        <f aca="false">IF(OR($A8="",$W8=0),0,INDEX(无形资产工时分配表!$R$6:$R$125,$W8))</f>
        <v>0</v>
      </c>
      <c r="I8" s="28" t="str">
        <f aca="false">IF(OR($A8="",$G8=0),"",$H8/$G8)</f>
        <v/>
      </c>
      <c r="J8" s="27" t="str">
        <f aca="false">IF(OR($A8="",$G8=0),"",ROUND($F8*INDEX(无形资产工时分配表!$H$6:$H$125,$W8)/$G8,2))</f>
        <v/>
      </c>
      <c r="K8" s="27" t="str">
        <f aca="false">IF(OR($A8="",$G8=0),"",ROUND($F8*INDEX(无形资产工时分配表!$I$6:$I$125,$W8)/$G8,2))</f>
        <v/>
      </c>
      <c r="L8" s="27" t="str">
        <f aca="false">IF(OR($A8="",$G8=0),"",ROUND($F8*INDEX(无形资产工时分配表!$J$6:$J$125,$W8)/$G8,2))</f>
        <v/>
      </c>
      <c r="M8" s="27" t="str">
        <f aca="false">IF(OR($A8="",$G8=0),"",ROUND($F8*INDEX(无形资产工时分配表!$K$6:$K$125,$W8)/$G8,2))</f>
        <v/>
      </c>
      <c r="N8" s="27" t="str">
        <f aca="false">IF(OR($A8="",$G8=0),"",ROUND($F8*INDEX(无形资产工时分配表!$L$6:$L$125,$W8)/$G8,2))</f>
        <v/>
      </c>
      <c r="O8" s="27" t="str">
        <f aca="false">IF(OR($A8="",$G8=0),"",ROUND($F8*INDEX(无形资产工时分配表!$M$6:$M$125,$W8)/$G8,2))</f>
        <v/>
      </c>
      <c r="P8" s="27" t="str">
        <f aca="false">IF(OR($A8="",$G8=0),"",ROUND($F8*INDEX(无形资产工时分配表!$N$6:$N$125,$W8)/$G8,2))</f>
        <v/>
      </c>
      <c r="Q8" s="27" t="str">
        <f aca="false">IF(OR($A8="",$G8=0),"",ROUND($F8*INDEX(无形资产工时分配表!$O$6:$O$125,$W8)/$G8,2))</f>
        <v/>
      </c>
      <c r="R8" s="27" t="str">
        <f aca="false">IF(OR($A8="",$G8=0),"",ROUND($F8*INDEX(无形资产工时分配表!$P$6:$P$125,$W8)/$G8,2))</f>
        <v/>
      </c>
      <c r="S8" s="27" t="str">
        <f aca="false">IF(OR($A8="",$G8=0),"",ROUND($F8*INDEX(无形资产工时分配表!$Q$6:$Q$125,$W8)/$G8,2))</f>
        <v/>
      </c>
      <c r="T8" s="27" t="str">
        <f aca="false">IF($A8="","",ROUND(SUM(J8:S8),2))</f>
        <v/>
      </c>
      <c r="U8" s="27" t="str">
        <f aca="false">IF($A8="","",ROUND($F8-T8,2))</f>
        <v/>
      </c>
      <c r="V8" s="43" t="str">
        <f aca="false">IF($A8="","",IF($D8="设备","⚠ 设备请在仪器设备工时费用分配表登记",IF($W8=0,"⚠ 工时分配表无此资产当月记录",IF($X8&gt;1,"⚠ 工时分配表存在重复行","√ 正常"))))</f>
        <v/>
      </c>
      <c r="W8" s="47" t="n">
        <f aca="false">IF($A8="",0,IFERROR(MATCH($A8&amp;"|"&amp;$B8,无形资产工时分配表!$V$6:$V$125,0),0))</f>
        <v>0</v>
      </c>
      <c r="X8" s="47" t="n">
        <f aca="false">IF($A8="",0,COUNTIFS(无形资产工时分配表!$A$6:$A$125,$A8,无形资产工时分配表!$B$6:$B$125,$B8))</f>
        <v>0</v>
      </c>
    </row>
    <row r="9" customFormat="false" ht="18" hidden="false" customHeight="true" outlineLevel="0" collapsed="false">
      <c r="A9" s="36"/>
      <c r="B9" s="36"/>
      <c r="C9" s="48" t="str">
        <f aca="false">IF($B9="","",IFERROR(VLOOKUP($B9,资产台账!$B$4:$N$53,2,0)&amp;"","台账中未登记"))</f>
        <v/>
      </c>
      <c r="D9" s="43" t="str">
        <f aca="false">IF($B9="","",IFERROR(VLOOKUP($B9,资产台账!$B$4:$N$53,3,0)&amp;"",""))</f>
        <v/>
      </c>
      <c r="E9" s="43" t="str">
        <f aca="false">IF($B9="","",IFERROR(VLOOKUP($B9,资产台账!$B$4:$N$53,10,0)&amp;"",""))</f>
        <v/>
      </c>
      <c r="F9" s="49" t="str">
        <f aca="false">IF($B9="","",IFERROR(VLOOKUP($B9,资产台账!$B$4:$N$53,9,0),0))</f>
        <v/>
      </c>
      <c r="G9" s="45" t="n">
        <f aca="false">IF(OR($A9="",$W9=0),0,INDEX(无形资产工时分配表!$F$6:$F$125,$W9))</f>
        <v>0</v>
      </c>
      <c r="H9" s="45" t="n">
        <f aca="false">IF(OR($A9="",$W9=0),0,INDEX(无形资产工时分配表!$R$6:$R$125,$W9))</f>
        <v>0</v>
      </c>
      <c r="I9" s="28" t="str">
        <f aca="false">IF(OR($A9="",$G9=0),"",$H9/$G9)</f>
        <v/>
      </c>
      <c r="J9" s="27" t="str">
        <f aca="false">IF(OR($A9="",$G9=0),"",ROUND($F9*INDEX(无形资产工时分配表!$H$6:$H$125,$W9)/$G9,2))</f>
        <v/>
      </c>
      <c r="K9" s="27" t="str">
        <f aca="false">IF(OR($A9="",$G9=0),"",ROUND($F9*INDEX(无形资产工时分配表!$I$6:$I$125,$W9)/$G9,2))</f>
        <v/>
      </c>
      <c r="L9" s="27" t="str">
        <f aca="false">IF(OR($A9="",$G9=0),"",ROUND($F9*INDEX(无形资产工时分配表!$J$6:$J$125,$W9)/$G9,2))</f>
        <v/>
      </c>
      <c r="M9" s="27" t="str">
        <f aca="false">IF(OR($A9="",$G9=0),"",ROUND($F9*INDEX(无形资产工时分配表!$K$6:$K$125,$W9)/$G9,2))</f>
        <v/>
      </c>
      <c r="N9" s="27" t="str">
        <f aca="false">IF(OR($A9="",$G9=0),"",ROUND($F9*INDEX(无形资产工时分配表!$L$6:$L$125,$W9)/$G9,2))</f>
        <v/>
      </c>
      <c r="O9" s="27" t="str">
        <f aca="false">IF(OR($A9="",$G9=0),"",ROUND($F9*INDEX(无形资产工时分配表!$M$6:$M$125,$W9)/$G9,2))</f>
        <v/>
      </c>
      <c r="P9" s="27" t="str">
        <f aca="false">IF(OR($A9="",$G9=0),"",ROUND($F9*INDEX(无形资产工时分配表!$N$6:$N$125,$W9)/$G9,2))</f>
        <v/>
      </c>
      <c r="Q9" s="27" t="str">
        <f aca="false">IF(OR($A9="",$G9=0),"",ROUND($F9*INDEX(无形资产工时分配表!$O$6:$O$125,$W9)/$G9,2))</f>
        <v/>
      </c>
      <c r="R9" s="27" t="str">
        <f aca="false">IF(OR($A9="",$G9=0),"",ROUND($F9*INDEX(无形资产工时分配表!$P$6:$P$125,$W9)/$G9,2))</f>
        <v/>
      </c>
      <c r="S9" s="27" t="str">
        <f aca="false">IF(OR($A9="",$G9=0),"",ROUND($F9*INDEX(无形资产工时分配表!$Q$6:$Q$125,$W9)/$G9,2))</f>
        <v/>
      </c>
      <c r="T9" s="27" t="str">
        <f aca="false">IF($A9="","",ROUND(SUM(J9:S9),2))</f>
        <v/>
      </c>
      <c r="U9" s="27" t="str">
        <f aca="false">IF($A9="","",ROUND($F9-T9,2))</f>
        <v/>
      </c>
      <c r="V9" s="43" t="str">
        <f aca="false">IF($A9="","",IF($D9="设备","⚠ 设备请在仪器设备工时费用分配表登记",IF($W9=0,"⚠ 工时分配表无此资产当月记录",IF($X9&gt;1,"⚠ 工时分配表存在重复行","√ 正常"))))</f>
        <v/>
      </c>
      <c r="W9" s="47" t="n">
        <f aca="false">IF($A9="",0,IFERROR(MATCH($A9&amp;"|"&amp;$B9,无形资产工时分配表!$V$6:$V$125,0),0))</f>
        <v>0</v>
      </c>
      <c r="X9" s="47" t="n">
        <f aca="false">IF($A9="",0,COUNTIFS(无形资产工时分配表!$A$6:$A$125,$A9,无形资产工时分配表!$B$6:$B$125,$B9))</f>
        <v>0</v>
      </c>
    </row>
    <row r="10" customFormat="false" ht="18" hidden="false" customHeight="true" outlineLevel="0" collapsed="false">
      <c r="A10" s="36"/>
      <c r="B10" s="36"/>
      <c r="C10" s="48" t="str">
        <f aca="false">IF($B10="","",IFERROR(VLOOKUP($B10,资产台账!$B$4:$N$53,2,0)&amp;"","台账中未登记"))</f>
        <v/>
      </c>
      <c r="D10" s="43" t="str">
        <f aca="false">IF($B10="","",IFERROR(VLOOKUP($B10,资产台账!$B$4:$N$53,3,0)&amp;"",""))</f>
        <v/>
      </c>
      <c r="E10" s="43" t="str">
        <f aca="false">IF($B10="","",IFERROR(VLOOKUP($B10,资产台账!$B$4:$N$53,10,0)&amp;"",""))</f>
        <v/>
      </c>
      <c r="F10" s="49" t="str">
        <f aca="false">IF($B10="","",IFERROR(VLOOKUP($B10,资产台账!$B$4:$N$53,9,0),0))</f>
        <v/>
      </c>
      <c r="G10" s="45" t="n">
        <f aca="false">IF(OR($A10="",$W10=0),0,INDEX(无形资产工时分配表!$F$6:$F$125,$W10))</f>
        <v>0</v>
      </c>
      <c r="H10" s="45" t="n">
        <f aca="false">IF(OR($A10="",$W10=0),0,INDEX(无形资产工时分配表!$R$6:$R$125,$W10))</f>
        <v>0</v>
      </c>
      <c r="I10" s="28" t="str">
        <f aca="false">IF(OR($A10="",$G10=0),"",$H10/$G10)</f>
        <v/>
      </c>
      <c r="J10" s="27" t="str">
        <f aca="false">IF(OR($A10="",$G10=0),"",ROUND($F10*INDEX(无形资产工时分配表!$H$6:$H$125,$W10)/$G10,2))</f>
        <v/>
      </c>
      <c r="K10" s="27" t="str">
        <f aca="false">IF(OR($A10="",$G10=0),"",ROUND($F10*INDEX(无形资产工时分配表!$I$6:$I$125,$W10)/$G10,2))</f>
        <v/>
      </c>
      <c r="L10" s="27" t="str">
        <f aca="false">IF(OR($A10="",$G10=0),"",ROUND($F10*INDEX(无形资产工时分配表!$J$6:$J$125,$W10)/$G10,2))</f>
        <v/>
      </c>
      <c r="M10" s="27" t="str">
        <f aca="false">IF(OR($A10="",$G10=0),"",ROUND($F10*INDEX(无形资产工时分配表!$K$6:$K$125,$W10)/$G10,2))</f>
        <v/>
      </c>
      <c r="N10" s="27" t="str">
        <f aca="false">IF(OR($A10="",$G10=0),"",ROUND($F10*INDEX(无形资产工时分配表!$L$6:$L$125,$W10)/$G10,2))</f>
        <v/>
      </c>
      <c r="O10" s="27" t="str">
        <f aca="false">IF(OR($A10="",$G10=0),"",ROUND($F10*INDEX(无形资产工时分配表!$M$6:$M$125,$W10)/$G10,2))</f>
        <v/>
      </c>
      <c r="P10" s="27" t="str">
        <f aca="false">IF(OR($A10="",$G10=0),"",ROUND($F10*INDEX(无形资产工时分配表!$N$6:$N$125,$W10)/$G10,2))</f>
        <v/>
      </c>
      <c r="Q10" s="27" t="str">
        <f aca="false">IF(OR($A10="",$G10=0),"",ROUND($F10*INDEX(无形资产工时分配表!$O$6:$O$125,$W10)/$G10,2))</f>
        <v/>
      </c>
      <c r="R10" s="27" t="str">
        <f aca="false">IF(OR($A10="",$G10=0),"",ROUND($F10*INDEX(无形资产工时分配表!$P$6:$P$125,$W10)/$G10,2))</f>
        <v/>
      </c>
      <c r="S10" s="27" t="str">
        <f aca="false">IF(OR($A10="",$G10=0),"",ROUND($F10*INDEX(无形资产工时分配表!$Q$6:$Q$125,$W10)/$G10,2))</f>
        <v/>
      </c>
      <c r="T10" s="27" t="str">
        <f aca="false">IF($A10="","",ROUND(SUM(J10:S10),2))</f>
        <v/>
      </c>
      <c r="U10" s="27" t="str">
        <f aca="false">IF($A10="","",ROUND($F10-T10,2))</f>
        <v/>
      </c>
      <c r="V10" s="43" t="str">
        <f aca="false">IF($A10="","",IF($D10="设备","⚠ 设备请在仪器设备工时费用分配表登记",IF($W10=0,"⚠ 工时分配表无此资产当月记录",IF($X10&gt;1,"⚠ 工时分配表存在重复行","√ 正常"))))</f>
        <v/>
      </c>
      <c r="W10" s="47" t="n">
        <f aca="false">IF($A10="",0,IFERROR(MATCH($A10&amp;"|"&amp;$B10,无形资产工时分配表!$V$6:$V$125,0),0))</f>
        <v>0</v>
      </c>
      <c r="X10" s="47" t="n">
        <f aca="false">IF($A10="",0,COUNTIFS(无形资产工时分配表!$A$6:$A$125,$A10,无形资产工时分配表!$B$6:$B$125,$B10))</f>
        <v>0</v>
      </c>
    </row>
    <row r="11" customFormat="false" ht="18" hidden="false" customHeight="true" outlineLevel="0" collapsed="false">
      <c r="A11" s="36"/>
      <c r="B11" s="36"/>
      <c r="C11" s="48" t="str">
        <f aca="false">IF($B11="","",IFERROR(VLOOKUP($B11,资产台账!$B$4:$N$53,2,0)&amp;"","台账中未登记"))</f>
        <v/>
      </c>
      <c r="D11" s="43" t="str">
        <f aca="false">IF($B11="","",IFERROR(VLOOKUP($B11,资产台账!$B$4:$N$53,3,0)&amp;"",""))</f>
        <v/>
      </c>
      <c r="E11" s="43" t="str">
        <f aca="false">IF($B11="","",IFERROR(VLOOKUP($B11,资产台账!$B$4:$N$53,10,0)&amp;"",""))</f>
        <v/>
      </c>
      <c r="F11" s="49" t="str">
        <f aca="false">IF($B11="","",IFERROR(VLOOKUP($B11,资产台账!$B$4:$N$53,9,0),0))</f>
        <v/>
      </c>
      <c r="G11" s="45" t="n">
        <f aca="false">IF(OR($A11="",$W11=0),0,INDEX(无形资产工时分配表!$F$6:$F$125,$W11))</f>
        <v>0</v>
      </c>
      <c r="H11" s="45" t="n">
        <f aca="false">IF(OR($A11="",$W11=0),0,INDEX(无形资产工时分配表!$R$6:$R$125,$W11))</f>
        <v>0</v>
      </c>
      <c r="I11" s="28" t="str">
        <f aca="false">IF(OR($A11="",$G11=0),"",$H11/$G11)</f>
        <v/>
      </c>
      <c r="J11" s="27" t="str">
        <f aca="false">IF(OR($A11="",$G11=0),"",ROUND($F11*INDEX(无形资产工时分配表!$H$6:$H$125,$W11)/$G11,2))</f>
        <v/>
      </c>
      <c r="K11" s="27" t="str">
        <f aca="false">IF(OR($A11="",$G11=0),"",ROUND($F11*INDEX(无形资产工时分配表!$I$6:$I$125,$W11)/$G11,2))</f>
        <v/>
      </c>
      <c r="L11" s="27" t="str">
        <f aca="false">IF(OR($A11="",$G11=0),"",ROUND($F11*INDEX(无形资产工时分配表!$J$6:$J$125,$W11)/$G11,2))</f>
        <v/>
      </c>
      <c r="M11" s="27" t="str">
        <f aca="false">IF(OR($A11="",$G11=0),"",ROUND($F11*INDEX(无形资产工时分配表!$K$6:$K$125,$W11)/$G11,2))</f>
        <v/>
      </c>
      <c r="N11" s="27" t="str">
        <f aca="false">IF(OR($A11="",$G11=0),"",ROUND($F11*INDEX(无形资产工时分配表!$L$6:$L$125,$W11)/$G11,2))</f>
        <v/>
      </c>
      <c r="O11" s="27" t="str">
        <f aca="false">IF(OR($A11="",$G11=0),"",ROUND($F11*INDEX(无形资产工时分配表!$M$6:$M$125,$W11)/$G11,2))</f>
        <v/>
      </c>
      <c r="P11" s="27" t="str">
        <f aca="false">IF(OR($A11="",$G11=0),"",ROUND($F11*INDEX(无形资产工时分配表!$N$6:$N$125,$W11)/$G11,2))</f>
        <v/>
      </c>
      <c r="Q11" s="27" t="str">
        <f aca="false">IF(OR($A11="",$G11=0),"",ROUND($F11*INDEX(无形资产工时分配表!$O$6:$O$125,$W11)/$G11,2))</f>
        <v/>
      </c>
      <c r="R11" s="27" t="str">
        <f aca="false">IF(OR($A11="",$G11=0),"",ROUND($F11*INDEX(无形资产工时分配表!$P$6:$P$125,$W11)/$G11,2))</f>
        <v/>
      </c>
      <c r="S11" s="27" t="str">
        <f aca="false">IF(OR($A11="",$G11=0),"",ROUND($F11*INDEX(无形资产工时分配表!$Q$6:$Q$125,$W11)/$G11,2))</f>
        <v/>
      </c>
      <c r="T11" s="27" t="str">
        <f aca="false">IF($A11="","",ROUND(SUM(J11:S11),2))</f>
        <v/>
      </c>
      <c r="U11" s="27" t="str">
        <f aca="false">IF($A11="","",ROUND($F11-T11,2))</f>
        <v/>
      </c>
      <c r="V11" s="43" t="str">
        <f aca="false">IF($A11="","",IF($D11="设备","⚠ 设备请在仪器设备工时费用分配表登记",IF($W11=0,"⚠ 工时分配表无此资产当月记录",IF($X11&gt;1,"⚠ 工时分配表存在重复行","√ 正常"))))</f>
        <v/>
      </c>
      <c r="W11" s="47" t="n">
        <f aca="false">IF($A11="",0,IFERROR(MATCH($A11&amp;"|"&amp;$B11,无形资产工时分配表!$V$6:$V$125,0),0))</f>
        <v>0</v>
      </c>
      <c r="X11" s="47" t="n">
        <f aca="false">IF($A11="",0,COUNTIFS(无形资产工时分配表!$A$6:$A$125,$A11,无形资产工时分配表!$B$6:$B$125,$B11))</f>
        <v>0</v>
      </c>
    </row>
    <row r="12" customFormat="false" ht="18" hidden="false" customHeight="true" outlineLevel="0" collapsed="false">
      <c r="A12" s="36"/>
      <c r="B12" s="36"/>
      <c r="C12" s="48" t="str">
        <f aca="false">IF($B12="","",IFERROR(VLOOKUP($B12,资产台账!$B$4:$N$53,2,0)&amp;"","台账中未登记"))</f>
        <v/>
      </c>
      <c r="D12" s="43" t="str">
        <f aca="false">IF($B12="","",IFERROR(VLOOKUP($B12,资产台账!$B$4:$N$53,3,0)&amp;"",""))</f>
        <v/>
      </c>
      <c r="E12" s="43" t="str">
        <f aca="false">IF($B12="","",IFERROR(VLOOKUP($B12,资产台账!$B$4:$N$53,10,0)&amp;"",""))</f>
        <v/>
      </c>
      <c r="F12" s="49" t="str">
        <f aca="false">IF($B12="","",IFERROR(VLOOKUP($B12,资产台账!$B$4:$N$53,9,0),0))</f>
        <v/>
      </c>
      <c r="G12" s="45" t="n">
        <f aca="false">IF(OR($A12="",$W12=0),0,INDEX(无形资产工时分配表!$F$6:$F$125,$W12))</f>
        <v>0</v>
      </c>
      <c r="H12" s="45" t="n">
        <f aca="false">IF(OR($A12="",$W12=0),0,INDEX(无形资产工时分配表!$R$6:$R$125,$W12))</f>
        <v>0</v>
      </c>
      <c r="I12" s="28" t="str">
        <f aca="false">IF(OR($A12="",$G12=0),"",$H12/$G12)</f>
        <v/>
      </c>
      <c r="J12" s="27" t="str">
        <f aca="false">IF(OR($A12="",$G12=0),"",ROUND($F12*INDEX(无形资产工时分配表!$H$6:$H$125,$W12)/$G12,2))</f>
        <v/>
      </c>
      <c r="K12" s="27" t="str">
        <f aca="false">IF(OR($A12="",$G12=0),"",ROUND($F12*INDEX(无形资产工时分配表!$I$6:$I$125,$W12)/$G12,2))</f>
        <v/>
      </c>
      <c r="L12" s="27" t="str">
        <f aca="false">IF(OR($A12="",$G12=0),"",ROUND($F12*INDEX(无形资产工时分配表!$J$6:$J$125,$W12)/$G12,2))</f>
        <v/>
      </c>
      <c r="M12" s="27" t="str">
        <f aca="false">IF(OR($A12="",$G12=0),"",ROUND($F12*INDEX(无形资产工时分配表!$K$6:$K$125,$W12)/$G12,2))</f>
        <v/>
      </c>
      <c r="N12" s="27" t="str">
        <f aca="false">IF(OR($A12="",$G12=0),"",ROUND($F12*INDEX(无形资产工时分配表!$L$6:$L$125,$W12)/$G12,2))</f>
        <v/>
      </c>
      <c r="O12" s="27" t="str">
        <f aca="false">IF(OR($A12="",$G12=0),"",ROUND($F12*INDEX(无形资产工时分配表!$M$6:$M$125,$W12)/$G12,2))</f>
        <v/>
      </c>
      <c r="P12" s="27" t="str">
        <f aca="false">IF(OR($A12="",$G12=0),"",ROUND($F12*INDEX(无形资产工时分配表!$N$6:$N$125,$W12)/$G12,2))</f>
        <v/>
      </c>
      <c r="Q12" s="27" t="str">
        <f aca="false">IF(OR($A12="",$G12=0),"",ROUND($F12*INDEX(无形资产工时分配表!$O$6:$O$125,$W12)/$G12,2))</f>
        <v/>
      </c>
      <c r="R12" s="27" t="str">
        <f aca="false">IF(OR($A12="",$G12=0),"",ROUND($F12*INDEX(无形资产工时分配表!$P$6:$P$125,$W12)/$G12,2))</f>
        <v/>
      </c>
      <c r="S12" s="27" t="str">
        <f aca="false">IF(OR($A12="",$G12=0),"",ROUND($F12*INDEX(无形资产工时分配表!$Q$6:$Q$125,$W12)/$G12,2))</f>
        <v/>
      </c>
      <c r="T12" s="27" t="str">
        <f aca="false">IF($A12="","",ROUND(SUM(J12:S12),2))</f>
        <v/>
      </c>
      <c r="U12" s="27" t="str">
        <f aca="false">IF($A12="","",ROUND($F12-T12,2))</f>
        <v/>
      </c>
      <c r="V12" s="43" t="str">
        <f aca="false">IF($A12="","",IF($D12="设备","⚠ 设备请在仪器设备工时费用分配表登记",IF($W12=0,"⚠ 工时分配表无此资产当月记录",IF($X12&gt;1,"⚠ 工时分配表存在重复行","√ 正常"))))</f>
        <v/>
      </c>
      <c r="W12" s="47" t="n">
        <f aca="false">IF($A12="",0,IFERROR(MATCH($A12&amp;"|"&amp;$B12,无形资产工时分配表!$V$6:$V$125,0),0))</f>
        <v>0</v>
      </c>
      <c r="X12" s="47" t="n">
        <f aca="false">IF($A12="",0,COUNTIFS(无形资产工时分配表!$A$6:$A$125,$A12,无形资产工时分配表!$B$6:$B$125,$B12))</f>
        <v>0</v>
      </c>
    </row>
    <row r="13" customFormat="false" ht="18" hidden="false" customHeight="true" outlineLevel="0" collapsed="false">
      <c r="A13" s="36"/>
      <c r="B13" s="36"/>
      <c r="C13" s="48" t="str">
        <f aca="false">IF($B13="","",IFERROR(VLOOKUP($B13,资产台账!$B$4:$N$53,2,0)&amp;"","台账中未登记"))</f>
        <v/>
      </c>
      <c r="D13" s="43" t="str">
        <f aca="false">IF($B13="","",IFERROR(VLOOKUP($B13,资产台账!$B$4:$N$53,3,0)&amp;"",""))</f>
        <v/>
      </c>
      <c r="E13" s="43" t="str">
        <f aca="false">IF($B13="","",IFERROR(VLOOKUP($B13,资产台账!$B$4:$N$53,10,0)&amp;"",""))</f>
        <v/>
      </c>
      <c r="F13" s="49" t="str">
        <f aca="false">IF($B13="","",IFERROR(VLOOKUP($B13,资产台账!$B$4:$N$53,9,0),0))</f>
        <v/>
      </c>
      <c r="G13" s="45" t="n">
        <f aca="false">IF(OR($A13="",$W13=0),0,INDEX(无形资产工时分配表!$F$6:$F$125,$W13))</f>
        <v>0</v>
      </c>
      <c r="H13" s="45" t="n">
        <f aca="false">IF(OR($A13="",$W13=0),0,INDEX(无形资产工时分配表!$R$6:$R$125,$W13))</f>
        <v>0</v>
      </c>
      <c r="I13" s="28" t="str">
        <f aca="false">IF(OR($A13="",$G13=0),"",$H13/$G13)</f>
        <v/>
      </c>
      <c r="J13" s="27" t="str">
        <f aca="false">IF(OR($A13="",$G13=0),"",ROUND($F13*INDEX(无形资产工时分配表!$H$6:$H$125,$W13)/$G13,2))</f>
        <v/>
      </c>
      <c r="K13" s="27" t="str">
        <f aca="false">IF(OR($A13="",$G13=0),"",ROUND($F13*INDEX(无形资产工时分配表!$I$6:$I$125,$W13)/$G13,2))</f>
        <v/>
      </c>
      <c r="L13" s="27" t="str">
        <f aca="false">IF(OR($A13="",$G13=0),"",ROUND($F13*INDEX(无形资产工时分配表!$J$6:$J$125,$W13)/$G13,2))</f>
        <v/>
      </c>
      <c r="M13" s="27" t="str">
        <f aca="false">IF(OR($A13="",$G13=0),"",ROUND($F13*INDEX(无形资产工时分配表!$K$6:$K$125,$W13)/$G13,2))</f>
        <v/>
      </c>
      <c r="N13" s="27" t="str">
        <f aca="false">IF(OR($A13="",$G13=0),"",ROUND($F13*INDEX(无形资产工时分配表!$L$6:$L$125,$W13)/$G13,2))</f>
        <v/>
      </c>
      <c r="O13" s="27" t="str">
        <f aca="false">IF(OR($A13="",$G13=0),"",ROUND($F13*INDEX(无形资产工时分配表!$M$6:$M$125,$W13)/$G13,2))</f>
        <v/>
      </c>
      <c r="P13" s="27" t="str">
        <f aca="false">IF(OR($A13="",$G13=0),"",ROUND($F13*INDEX(无形资产工时分配表!$N$6:$N$125,$W13)/$G13,2))</f>
        <v/>
      </c>
      <c r="Q13" s="27" t="str">
        <f aca="false">IF(OR($A13="",$G13=0),"",ROUND($F13*INDEX(无形资产工时分配表!$O$6:$O$125,$W13)/$G13,2))</f>
        <v/>
      </c>
      <c r="R13" s="27" t="str">
        <f aca="false">IF(OR($A13="",$G13=0),"",ROUND($F13*INDEX(无形资产工时分配表!$P$6:$P$125,$W13)/$G13,2))</f>
        <v/>
      </c>
      <c r="S13" s="27" t="str">
        <f aca="false">IF(OR($A13="",$G13=0),"",ROUND($F13*INDEX(无形资产工时分配表!$Q$6:$Q$125,$W13)/$G13,2))</f>
        <v/>
      </c>
      <c r="T13" s="27" t="str">
        <f aca="false">IF($A13="","",ROUND(SUM(J13:S13),2))</f>
        <v/>
      </c>
      <c r="U13" s="27" t="str">
        <f aca="false">IF($A13="","",ROUND($F13-T13,2))</f>
        <v/>
      </c>
      <c r="V13" s="43" t="str">
        <f aca="false">IF($A13="","",IF($D13="设备","⚠ 设备请在仪器设备工时费用分配表登记",IF($W13=0,"⚠ 工时分配表无此资产当月记录",IF($X13&gt;1,"⚠ 工时分配表存在重复行","√ 正常"))))</f>
        <v/>
      </c>
      <c r="W13" s="47" t="n">
        <f aca="false">IF($A13="",0,IFERROR(MATCH($A13&amp;"|"&amp;$B13,无形资产工时分配表!$V$6:$V$125,0),0))</f>
        <v>0</v>
      </c>
      <c r="X13" s="47" t="n">
        <f aca="false">IF($A13="",0,COUNTIFS(无形资产工时分配表!$A$6:$A$125,$A13,无形资产工时分配表!$B$6:$B$125,$B13))</f>
        <v>0</v>
      </c>
    </row>
    <row r="14" customFormat="false" ht="18" hidden="false" customHeight="true" outlineLevel="0" collapsed="false">
      <c r="A14" s="36"/>
      <c r="B14" s="36"/>
      <c r="C14" s="48" t="str">
        <f aca="false">IF($B14="","",IFERROR(VLOOKUP($B14,资产台账!$B$4:$N$53,2,0)&amp;"","台账中未登记"))</f>
        <v/>
      </c>
      <c r="D14" s="43" t="str">
        <f aca="false">IF($B14="","",IFERROR(VLOOKUP($B14,资产台账!$B$4:$N$53,3,0)&amp;"",""))</f>
        <v/>
      </c>
      <c r="E14" s="43" t="str">
        <f aca="false">IF($B14="","",IFERROR(VLOOKUP($B14,资产台账!$B$4:$N$53,10,0)&amp;"",""))</f>
        <v/>
      </c>
      <c r="F14" s="49" t="str">
        <f aca="false">IF($B14="","",IFERROR(VLOOKUP($B14,资产台账!$B$4:$N$53,9,0),0))</f>
        <v/>
      </c>
      <c r="G14" s="45" t="n">
        <f aca="false">IF(OR($A14="",$W14=0),0,INDEX(无形资产工时分配表!$F$6:$F$125,$W14))</f>
        <v>0</v>
      </c>
      <c r="H14" s="45" t="n">
        <f aca="false">IF(OR($A14="",$W14=0),0,INDEX(无形资产工时分配表!$R$6:$R$125,$W14))</f>
        <v>0</v>
      </c>
      <c r="I14" s="28" t="str">
        <f aca="false">IF(OR($A14="",$G14=0),"",$H14/$G14)</f>
        <v/>
      </c>
      <c r="J14" s="27" t="str">
        <f aca="false">IF(OR($A14="",$G14=0),"",ROUND($F14*INDEX(无形资产工时分配表!$H$6:$H$125,$W14)/$G14,2))</f>
        <v/>
      </c>
      <c r="K14" s="27" t="str">
        <f aca="false">IF(OR($A14="",$G14=0),"",ROUND($F14*INDEX(无形资产工时分配表!$I$6:$I$125,$W14)/$G14,2))</f>
        <v/>
      </c>
      <c r="L14" s="27" t="str">
        <f aca="false">IF(OR($A14="",$G14=0),"",ROUND($F14*INDEX(无形资产工时分配表!$J$6:$J$125,$W14)/$G14,2))</f>
        <v/>
      </c>
      <c r="M14" s="27" t="str">
        <f aca="false">IF(OR($A14="",$G14=0),"",ROUND($F14*INDEX(无形资产工时分配表!$K$6:$K$125,$W14)/$G14,2))</f>
        <v/>
      </c>
      <c r="N14" s="27" t="str">
        <f aca="false">IF(OR($A14="",$G14=0),"",ROUND($F14*INDEX(无形资产工时分配表!$L$6:$L$125,$W14)/$G14,2))</f>
        <v/>
      </c>
      <c r="O14" s="27" t="str">
        <f aca="false">IF(OR($A14="",$G14=0),"",ROUND($F14*INDEX(无形资产工时分配表!$M$6:$M$125,$W14)/$G14,2))</f>
        <v/>
      </c>
      <c r="P14" s="27" t="str">
        <f aca="false">IF(OR($A14="",$G14=0),"",ROUND($F14*INDEX(无形资产工时分配表!$N$6:$N$125,$W14)/$G14,2))</f>
        <v/>
      </c>
      <c r="Q14" s="27" t="str">
        <f aca="false">IF(OR($A14="",$G14=0),"",ROUND($F14*INDEX(无形资产工时分配表!$O$6:$O$125,$W14)/$G14,2))</f>
        <v/>
      </c>
      <c r="R14" s="27" t="str">
        <f aca="false">IF(OR($A14="",$G14=0),"",ROUND($F14*INDEX(无形资产工时分配表!$P$6:$P$125,$W14)/$G14,2))</f>
        <v/>
      </c>
      <c r="S14" s="27" t="str">
        <f aca="false">IF(OR($A14="",$G14=0),"",ROUND($F14*INDEX(无形资产工时分配表!$Q$6:$Q$125,$W14)/$G14,2))</f>
        <v/>
      </c>
      <c r="T14" s="27" t="str">
        <f aca="false">IF($A14="","",ROUND(SUM(J14:S14),2))</f>
        <v/>
      </c>
      <c r="U14" s="27" t="str">
        <f aca="false">IF($A14="","",ROUND($F14-T14,2))</f>
        <v/>
      </c>
      <c r="V14" s="43" t="str">
        <f aca="false">IF($A14="","",IF($D14="设备","⚠ 设备请在仪器设备工时费用分配表登记",IF($W14=0,"⚠ 工时分配表无此资产当月记录",IF($X14&gt;1,"⚠ 工时分配表存在重复行","√ 正常"))))</f>
        <v/>
      </c>
      <c r="W14" s="47" t="n">
        <f aca="false">IF($A14="",0,IFERROR(MATCH($A14&amp;"|"&amp;$B14,无形资产工时分配表!$V$6:$V$125,0),0))</f>
        <v>0</v>
      </c>
      <c r="X14" s="47" t="n">
        <f aca="false">IF($A14="",0,COUNTIFS(无形资产工时分配表!$A$6:$A$125,$A14,无形资产工时分配表!$B$6:$B$125,$B14))</f>
        <v>0</v>
      </c>
    </row>
    <row r="15" customFormat="false" ht="18" hidden="false" customHeight="true" outlineLevel="0" collapsed="false">
      <c r="A15" s="36"/>
      <c r="B15" s="36"/>
      <c r="C15" s="48" t="str">
        <f aca="false">IF($B15="","",IFERROR(VLOOKUP($B15,资产台账!$B$4:$N$53,2,0)&amp;"","台账中未登记"))</f>
        <v/>
      </c>
      <c r="D15" s="43" t="str">
        <f aca="false">IF($B15="","",IFERROR(VLOOKUP($B15,资产台账!$B$4:$N$53,3,0)&amp;"",""))</f>
        <v/>
      </c>
      <c r="E15" s="43" t="str">
        <f aca="false">IF($B15="","",IFERROR(VLOOKUP($B15,资产台账!$B$4:$N$53,10,0)&amp;"",""))</f>
        <v/>
      </c>
      <c r="F15" s="49" t="str">
        <f aca="false">IF($B15="","",IFERROR(VLOOKUP($B15,资产台账!$B$4:$N$53,9,0),0))</f>
        <v/>
      </c>
      <c r="G15" s="45" t="n">
        <f aca="false">IF(OR($A15="",$W15=0),0,INDEX(无形资产工时分配表!$F$6:$F$125,$W15))</f>
        <v>0</v>
      </c>
      <c r="H15" s="45" t="n">
        <f aca="false">IF(OR($A15="",$W15=0),0,INDEX(无形资产工时分配表!$R$6:$R$125,$W15))</f>
        <v>0</v>
      </c>
      <c r="I15" s="28" t="str">
        <f aca="false">IF(OR($A15="",$G15=0),"",$H15/$G15)</f>
        <v/>
      </c>
      <c r="J15" s="27" t="str">
        <f aca="false">IF(OR($A15="",$G15=0),"",ROUND($F15*INDEX(无形资产工时分配表!$H$6:$H$125,$W15)/$G15,2))</f>
        <v/>
      </c>
      <c r="K15" s="27" t="str">
        <f aca="false">IF(OR($A15="",$G15=0),"",ROUND($F15*INDEX(无形资产工时分配表!$I$6:$I$125,$W15)/$G15,2))</f>
        <v/>
      </c>
      <c r="L15" s="27" t="str">
        <f aca="false">IF(OR($A15="",$G15=0),"",ROUND($F15*INDEX(无形资产工时分配表!$J$6:$J$125,$W15)/$G15,2))</f>
        <v/>
      </c>
      <c r="M15" s="27" t="str">
        <f aca="false">IF(OR($A15="",$G15=0),"",ROUND($F15*INDEX(无形资产工时分配表!$K$6:$K$125,$W15)/$G15,2))</f>
        <v/>
      </c>
      <c r="N15" s="27" t="str">
        <f aca="false">IF(OR($A15="",$G15=0),"",ROUND($F15*INDEX(无形资产工时分配表!$L$6:$L$125,$W15)/$G15,2))</f>
        <v/>
      </c>
      <c r="O15" s="27" t="str">
        <f aca="false">IF(OR($A15="",$G15=0),"",ROUND($F15*INDEX(无形资产工时分配表!$M$6:$M$125,$W15)/$G15,2))</f>
        <v/>
      </c>
      <c r="P15" s="27" t="str">
        <f aca="false">IF(OR($A15="",$G15=0),"",ROUND($F15*INDEX(无形资产工时分配表!$N$6:$N$125,$W15)/$G15,2))</f>
        <v/>
      </c>
      <c r="Q15" s="27" t="str">
        <f aca="false">IF(OR($A15="",$G15=0),"",ROUND($F15*INDEX(无形资产工时分配表!$O$6:$O$125,$W15)/$G15,2))</f>
        <v/>
      </c>
      <c r="R15" s="27" t="str">
        <f aca="false">IF(OR($A15="",$G15=0),"",ROUND($F15*INDEX(无形资产工时分配表!$P$6:$P$125,$W15)/$G15,2))</f>
        <v/>
      </c>
      <c r="S15" s="27" t="str">
        <f aca="false">IF(OR($A15="",$G15=0),"",ROUND($F15*INDEX(无形资产工时分配表!$Q$6:$Q$125,$W15)/$G15,2))</f>
        <v/>
      </c>
      <c r="T15" s="27" t="str">
        <f aca="false">IF($A15="","",ROUND(SUM(J15:S15),2))</f>
        <v/>
      </c>
      <c r="U15" s="27" t="str">
        <f aca="false">IF($A15="","",ROUND($F15-T15,2))</f>
        <v/>
      </c>
      <c r="V15" s="43" t="str">
        <f aca="false">IF($A15="","",IF($D15="设备","⚠ 设备请在仪器设备工时费用分配表登记",IF($W15=0,"⚠ 工时分配表无此资产当月记录",IF($X15&gt;1,"⚠ 工时分配表存在重复行","√ 正常"))))</f>
        <v/>
      </c>
      <c r="W15" s="47" t="n">
        <f aca="false">IF($A15="",0,IFERROR(MATCH($A15&amp;"|"&amp;$B15,无形资产工时分配表!$V$6:$V$125,0),0))</f>
        <v>0</v>
      </c>
      <c r="X15" s="47" t="n">
        <f aca="false">IF($A15="",0,COUNTIFS(无形资产工时分配表!$A$6:$A$125,$A15,无形资产工时分配表!$B$6:$B$125,$B15))</f>
        <v>0</v>
      </c>
    </row>
    <row r="16" customFormat="false" ht="18" hidden="false" customHeight="true" outlineLevel="0" collapsed="false">
      <c r="A16" s="36"/>
      <c r="B16" s="36"/>
      <c r="C16" s="48" t="str">
        <f aca="false">IF($B16="","",IFERROR(VLOOKUP($B16,资产台账!$B$4:$N$53,2,0)&amp;"","台账中未登记"))</f>
        <v/>
      </c>
      <c r="D16" s="43" t="str">
        <f aca="false">IF($B16="","",IFERROR(VLOOKUP($B16,资产台账!$B$4:$N$53,3,0)&amp;"",""))</f>
        <v/>
      </c>
      <c r="E16" s="43" t="str">
        <f aca="false">IF($B16="","",IFERROR(VLOOKUP($B16,资产台账!$B$4:$N$53,10,0)&amp;"",""))</f>
        <v/>
      </c>
      <c r="F16" s="49" t="str">
        <f aca="false">IF($B16="","",IFERROR(VLOOKUP($B16,资产台账!$B$4:$N$53,9,0),0))</f>
        <v/>
      </c>
      <c r="G16" s="45" t="n">
        <f aca="false">IF(OR($A16="",$W16=0),0,INDEX(无形资产工时分配表!$F$6:$F$125,$W16))</f>
        <v>0</v>
      </c>
      <c r="H16" s="45" t="n">
        <f aca="false">IF(OR($A16="",$W16=0),0,INDEX(无形资产工时分配表!$R$6:$R$125,$W16))</f>
        <v>0</v>
      </c>
      <c r="I16" s="28" t="str">
        <f aca="false">IF(OR($A16="",$G16=0),"",$H16/$G16)</f>
        <v/>
      </c>
      <c r="J16" s="27" t="str">
        <f aca="false">IF(OR($A16="",$G16=0),"",ROUND($F16*INDEX(无形资产工时分配表!$H$6:$H$125,$W16)/$G16,2))</f>
        <v/>
      </c>
      <c r="K16" s="27" t="str">
        <f aca="false">IF(OR($A16="",$G16=0),"",ROUND($F16*INDEX(无形资产工时分配表!$I$6:$I$125,$W16)/$G16,2))</f>
        <v/>
      </c>
      <c r="L16" s="27" t="str">
        <f aca="false">IF(OR($A16="",$G16=0),"",ROUND($F16*INDEX(无形资产工时分配表!$J$6:$J$125,$W16)/$G16,2))</f>
        <v/>
      </c>
      <c r="M16" s="27" t="str">
        <f aca="false">IF(OR($A16="",$G16=0),"",ROUND($F16*INDEX(无形资产工时分配表!$K$6:$K$125,$W16)/$G16,2))</f>
        <v/>
      </c>
      <c r="N16" s="27" t="str">
        <f aca="false">IF(OR($A16="",$G16=0),"",ROUND($F16*INDEX(无形资产工时分配表!$L$6:$L$125,$W16)/$G16,2))</f>
        <v/>
      </c>
      <c r="O16" s="27" t="str">
        <f aca="false">IF(OR($A16="",$G16=0),"",ROUND($F16*INDEX(无形资产工时分配表!$M$6:$M$125,$W16)/$G16,2))</f>
        <v/>
      </c>
      <c r="P16" s="27" t="str">
        <f aca="false">IF(OR($A16="",$G16=0),"",ROUND($F16*INDEX(无形资产工时分配表!$N$6:$N$125,$W16)/$G16,2))</f>
        <v/>
      </c>
      <c r="Q16" s="27" t="str">
        <f aca="false">IF(OR($A16="",$G16=0),"",ROUND($F16*INDEX(无形资产工时分配表!$O$6:$O$125,$W16)/$G16,2))</f>
        <v/>
      </c>
      <c r="R16" s="27" t="str">
        <f aca="false">IF(OR($A16="",$G16=0),"",ROUND($F16*INDEX(无形资产工时分配表!$P$6:$P$125,$W16)/$G16,2))</f>
        <v/>
      </c>
      <c r="S16" s="27" t="str">
        <f aca="false">IF(OR($A16="",$G16=0),"",ROUND($F16*INDEX(无形资产工时分配表!$Q$6:$Q$125,$W16)/$G16,2))</f>
        <v/>
      </c>
      <c r="T16" s="27" t="str">
        <f aca="false">IF($A16="","",ROUND(SUM(J16:S16),2))</f>
        <v/>
      </c>
      <c r="U16" s="27" t="str">
        <f aca="false">IF($A16="","",ROUND($F16-T16,2))</f>
        <v/>
      </c>
      <c r="V16" s="43" t="str">
        <f aca="false">IF($A16="","",IF($D16="设备","⚠ 设备请在仪器设备工时费用分配表登记",IF($W16=0,"⚠ 工时分配表无此资产当月记录",IF($X16&gt;1,"⚠ 工时分配表存在重复行","√ 正常"))))</f>
        <v/>
      </c>
      <c r="W16" s="47" t="n">
        <f aca="false">IF($A16="",0,IFERROR(MATCH($A16&amp;"|"&amp;$B16,无形资产工时分配表!$V$6:$V$125,0),0))</f>
        <v>0</v>
      </c>
      <c r="X16" s="47" t="n">
        <f aca="false">IF($A16="",0,COUNTIFS(无形资产工时分配表!$A$6:$A$125,$A16,无形资产工时分配表!$B$6:$B$125,$B16))</f>
        <v>0</v>
      </c>
    </row>
    <row r="17" customFormat="false" ht="18" hidden="false" customHeight="true" outlineLevel="0" collapsed="false">
      <c r="A17" s="36"/>
      <c r="B17" s="36"/>
      <c r="C17" s="48" t="str">
        <f aca="false">IF($B17="","",IFERROR(VLOOKUP($B17,资产台账!$B$4:$N$53,2,0)&amp;"","台账中未登记"))</f>
        <v/>
      </c>
      <c r="D17" s="43" t="str">
        <f aca="false">IF($B17="","",IFERROR(VLOOKUP($B17,资产台账!$B$4:$N$53,3,0)&amp;"",""))</f>
        <v/>
      </c>
      <c r="E17" s="43" t="str">
        <f aca="false">IF($B17="","",IFERROR(VLOOKUP($B17,资产台账!$B$4:$N$53,10,0)&amp;"",""))</f>
        <v/>
      </c>
      <c r="F17" s="49" t="str">
        <f aca="false">IF($B17="","",IFERROR(VLOOKUP($B17,资产台账!$B$4:$N$53,9,0),0))</f>
        <v/>
      </c>
      <c r="G17" s="45" t="n">
        <f aca="false">IF(OR($A17="",$W17=0),0,INDEX(无形资产工时分配表!$F$6:$F$125,$W17))</f>
        <v>0</v>
      </c>
      <c r="H17" s="45" t="n">
        <f aca="false">IF(OR($A17="",$W17=0),0,INDEX(无形资产工时分配表!$R$6:$R$125,$W17))</f>
        <v>0</v>
      </c>
      <c r="I17" s="28" t="str">
        <f aca="false">IF(OR($A17="",$G17=0),"",$H17/$G17)</f>
        <v/>
      </c>
      <c r="J17" s="27" t="str">
        <f aca="false">IF(OR($A17="",$G17=0),"",ROUND($F17*INDEX(无形资产工时分配表!$H$6:$H$125,$W17)/$G17,2))</f>
        <v/>
      </c>
      <c r="K17" s="27" t="str">
        <f aca="false">IF(OR($A17="",$G17=0),"",ROUND($F17*INDEX(无形资产工时分配表!$I$6:$I$125,$W17)/$G17,2))</f>
        <v/>
      </c>
      <c r="L17" s="27" t="str">
        <f aca="false">IF(OR($A17="",$G17=0),"",ROUND($F17*INDEX(无形资产工时分配表!$J$6:$J$125,$W17)/$G17,2))</f>
        <v/>
      </c>
      <c r="M17" s="27" t="str">
        <f aca="false">IF(OR($A17="",$G17=0),"",ROUND($F17*INDEX(无形资产工时分配表!$K$6:$K$125,$W17)/$G17,2))</f>
        <v/>
      </c>
      <c r="N17" s="27" t="str">
        <f aca="false">IF(OR($A17="",$G17=0),"",ROUND($F17*INDEX(无形资产工时分配表!$L$6:$L$125,$W17)/$G17,2))</f>
        <v/>
      </c>
      <c r="O17" s="27" t="str">
        <f aca="false">IF(OR($A17="",$G17=0),"",ROUND($F17*INDEX(无形资产工时分配表!$M$6:$M$125,$W17)/$G17,2))</f>
        <v/>
      </c>
      <c r="P17" s="27" t="str">
        <f aca="false">IF(OR($A17="",$G17=0),"",ROUND($F17*INDEX(无形资产工时分配表!$N$6:$N$125,$W17)/$G17,2))</f>
        <v/>
      </c>
      <c r="Q17" s="27" t="str">
        <f aca="false">IF(OR($A17="",$G17=0),"",ROUND($F17*INDEX(无形资产工时分配表!$O$6:$O$125,$W17)/$G17,2))</f>
        <v/>
      </c>
      <c r="R17" s="27" t="str">
        <f aca="false">IF(OR($A17="",$G17=0),"",ROUND($F17*INDEX(无形资产工时分配表!$P$6:$P$125,$W17)/$G17,2))</f>
        <v/>
      </c>
      <c r="S17" s="27" t="str">
        <f aca="false">IF(OR($A17="",$G17=0),"",ROUND($F17*INDEX(无形资产工时分配表!$Q$6:$Q$125,$W17)/$G17,2))</f>
        <v/>
      </c>
      <c r="T17" s="27" t="str">
        <f aca="false">IF($A17="","",ROUND(SUM(J17:S17),2))</f>
        <v/>
      </c>
      <c r="U17" s="27" t="str">
        <f aca="false">IF($A17="","",ROUND($F17-T17,2))</f>
        <v/>
      </c>
      <c r="V17" s="43" t="str">
        <f aca="false">IF($A17="","",IF($D17="设备","⚠ 设备请在仪器设备工时费用分配表登记",IF($W17=0,"⚠ 工时分配表无此资产当月记录",IF($X17&gt;1,"⚠ 工时分配表存在重复行","√ 正常"))))</f>
        <v/>
      </c>
      <c r="W17" s="47" t="n">
        <f aca="false">IF($A17="",0,IFERROR(MATCH($A17&amp;"|"&amp;$B17,无形资产工时分配表!$V$6:$V$125,0),0))</f>
        <v>0</v>
      </c>
      <c r="X17" s="47" t="n">
        <f aca="false">IF($A17="",0,COUNTIFS(无形资产工时分配表!$A$6:$A$125,$A17,无形资产工时分配表!$B$6:$B$125,$B17))</f>
        <v>0</v>
      </c>
    </row>
    <row r="18" customFormat="false" ht="18" hidden="false" customHeight="true" outlineLevel="0" collapsed="false">
      <c r="A18" s="36"/>
      <c r="B18" s="36"/>
      <c r="C18" s="48" t="str">
        <f aca="false">IF($B18="","",IFERROR(VLOOKUP($B18,资产台账!$B$4:$N$53,2,0)&amp;"","台账中未登记"))</f>
        <v/>
      </c>
      <c r="D18" s="43" t="str">
        <f aca="false">IF($B18="","",IFERROR(VLOOKUP($B18,资产台账!$B$4:$N$53,3,0)&amp;"",""))</f>
        <v/>
      </c>
      <c r="E18" s="43" t="str">
        <f aca="false">IF($B18="","",IFERROR(VLOOKUP($B18,资产台账!$B$4:$N$53,10,0)&amp;"",""))</f>
        <v/>
      </c>
      <c r="F18" s="49" t="str">
        <f aca="false">IF($B18="","",IFERROR(VLOOKUP($B18,资产台账!$B$4:$N$53,9,0),0))</f>
        <v/>
      </c>
      <c r="G18" s="45" t="n">
        <f aca="false">IF(OR($A18="",$W18=0),0,INDEX(无形资产工时分配表!$F$6:$F$125,$W18))</f>
        <v>0</v>
      </c>
      <c r="H18" s="45" t="n">
        <f aca="false">IF(OR($A18="",$W18=0),0,INDEX(无形资产工时分配表!$R$6:$R$125,$W18))</f>
        <v>0</v>
      </c>
      <c r="I18" s="28" t="str">
        <f aca="false">IF(OR($A18="",$G18=0),"",$H18/$G18)</f>
        <v/>
      </c>
      <c r="J18" s="27" t="str">
        <f aca="false">IF(OR($A18="",$G18=0),"",ROUND($F18*INDEX(无形资产工时分配表!$H$6:$H$125,$W18)/$G18,2))</f>
        <v/>
      </c>
      <c r="K18" s="27" t="str">
        <f aca="false">IF(OR($A18="",$G18=0),"",ROUND($F18*INDEX(无形资产工时分配表!$I$6:$I$125,$W18)/$G18,2))</f>
        <v/>
      </c>
      <c r="L18" s="27" t="str">
        <f aca="false">IF(OR($A18="",$G18=0),"",ROUND($F18*INDEX(无形资产工时分配表!$J$6:$J$125,$W18)/$G18,2))</f>
        <v/>
      </c>
      <c r="M18" s="27" t="str">
        <f aca="false">IF(OR($A18="",$G18=0),"",ROUND($F18*INDEX(无形资产工时分配表!$K$6:$K$125,$W18)/$G18,2))</f>
        <v/>
      </c>
      <c r="N18" s="27" t="str">
        <f aca="false">IF(OR($A18="",$G18=0),"",ROUND($F18*INDEX(无形资产工时分配表!$L$6:$L$125,$W18)/$G18,2))</f>
        <v/>
      </c>
      <c r="O18" s="27" t="str">
        <f aca="false">IF(OR($A18="",$G18=0),"",ROUND($F18*INDEX(无形资产工时分配表!$M$6:$M$125,$W18)/$G18,2))</f>
        <v/>
      </c>
      <c r="P18" s="27" t="str">
        <f aca="false">IF(OR($A18="",$G18=0),"",ROUND($F18*INDEX(无形资产工时分配表!$N$6:$N$125,$W18)/$G18,2))</f>
        <v/>
      </c>
      <c r="Q18" s="27" t="str">
        <f aca="false">IF(OR($A18="",$G18=0),"",ROUND($F18*INDEX(无形资产工时分配表!$O$6:$O$125,$W18)/$G18,2))</f>
        <v/>
      </c>
      <c r="R18" s="27" t="str">
        <f aca="false">IF(OR($A18="",$G18=0),"",ROUND($F18*INDEX(无形资产工时分配表!$P$6:$P$125,$W18)/$G18,2))</f>
        <v/>
      </c>
      <c r="S18" s="27" t="str">
        <f aca="false">IF(OR($A18="",$G18=0),"",ROUND($F18*INDEX(无形资产工时分配表!$Q$6:$Q$125,$W18)/$G18,2))</f>
        <v/>
      </c>
      <c r="T18" s="27" t="str">
        <f aca="false">IF($A18="","",ROUND(SUM(J18:S18),2))</f>
        <v/>
      </c>
      <c r="U18" s="27" t="str">
        <f aca="false">IF($A18="","",ROUND($F18-T18,2))</f>
        <v/>
      </c>
      <c r="V18" s="43" t="str">
        <f aca="false">IF($A18="","",IF($D18="设备","⚠ 设备请在仪器设备工时费用分配表登记",IF($W18=0,"⚠ 工时分配表无此资产当月记录",IF($X18&gt;1,"⚠ 工时分配表存在重复行","√ 正常"))))</f>
        <v/>
      </c>
      <c r="W18" s="47" t="n">
        <f aca="false">IF($A18="",0,IFERROR(MATCH($A18&amp;"|"&amp;$B18,无形资产工时分配表!$V$6:$V$125,0),0))</f>
        <v>0</v>
      </c>
      <c r="X18" s="47" t="n">
        <f aca="false">IF($A18="",0,COUNTIFS(无形资产工时分配表!$A$6:$A$125,$A18,无形资产工时分配表!$B$6:$B$125,$B18))</f>
        <v>0</v>
      </c>
    </row>
    <row r="19" customFormat="false" ht="18" hidden="false" customHeight="true" outlineLevel="0" collapsed="false">
      <c r="A19" s="36"/>
      <c r="B19" s="36"/>
      <c r="C19" s="48" t="str">
        <f aca="false">IF($B19="","",IFERROR(VLOOKUP($B19,资产台账!$B$4:$N$53,2,0)&amp;"","台账中未登记"))</f>
        <v/>
      </c>
      <c r="D19" s="43" t="str">
        <f aca="false">IF($B19="","",IFERROR(VLOOKUP($B19,资产台账!$B$4:$N$53,3,0)&amp;"",""))</f>
        <v/>
      </c>
      <c r="E19" s="43" t="str">
        <f aca="false">IF($B19="","",IFERROR(VLOOKUP($B19,资产台账!$B$4:$N$53,10,0)&amp;"",""))</f>
        <v/>
      </c>
      <c r="F19" s="49" t="str">
        <f aca="false">IF($B19="","",IFERROR(VLOOKUP($B19,资产台账!$B$4:$N$53,9,0),0))</f>
        <v/>
      </c>
      <c r="G19" s="45" t="n">
        <f aca="false">IF(OR($A19="",$W19=0),0,INDEX(无形资产工时分配表!$F$6:$F$125,$W19))</f>
        <v>0</v>
      </c>
      <c r="H19" s="45" t="n">
        <f aca="false">IF(OR($A19="",$W19=0),0,INDEX(无形资产工时分配表!$R$6:$R$125,$W19))</f>
        <v>0</v>
      </c>
      <c r="I19" s="28" t="str">
        <f aca="false">IF(OR($A19="",$G19=0),"",$H19/$G19)</f>
        <v/>
      </c>
      <c r="J19" s="27" t="str">
        <f aca="false">IF(OR($A19="",$G19=0),"",ROUND($F19*INDEX(无形资产工时分配表!$H$6:$H$125,$W19)/$G19,2))</f>
        <v/>
      </c>
      <c r="K19" s="27" t="str">
        <f aca="false">IF(OR($A19="",$G19=0),"",ROUND($F19*INDEX(无形资产工时分配表!$I$6:$I$125,$W19)/$G19,2))</f>
        <v/>
      </c>
      <c r="L19" s="27" t="str">
        <f aca="false">IF(OR($A19="",$G19=0),"",ROUND($F19*INDEX(无形资产工时分配表!$J$6:$J$125,$W19)/$G19,2))</f>
        <v/>
      </c>
      <c r="M19" s="27" t="str">
        <f aca="false">IF(OR($A19="",$G19=0),"",ROUND($F19*INDEX(无形资产工时分配表!$K$6:$K$125,$W19)/$G19,2))</f>
        <v/>
      </c>
      <c r="N19" s="27" t="str">
        <f aca="false">IF(OR($A19="",$G19=0),"",ROUND($F19*INDEX(无形资产工时分配表!$L$6:$L$125,$W19)/$G19,2))</f>
        <v/>
      </c>
      <c r="O19" s="27" t="str">
        <f aca="false">IF(OR($A19="",$G19=0),"",ROUND($F19*INDEX(无形资产工时分配表!$M$6:$M$125,$W19)/$G19,2))</f>
        <v/>
      </c>
      <c r="P19" s="27" t="str">
        <f aca="false">IF(OR($A19="",$G19=0),"",ROUND($F19*INDEX(无形资产工时分配表!$N$6:$N$125,$W19)/$G19,2))</f>
        <v/>
      </c>
      <c r="Q19" s="27" t="str">
        <f aca="false">IF(OR($A19="",$G19=0),"",ROUND($F19*INDEX(无形资产工时分配表!$O$6:$O$125,$W19)/$G19,2))</f>
        <v/>
      </c>
      <c r="R19" s="27" t="str">
        <f aca="false">IF(OR($A19="",$G19=0),"",ROUND($F19*INDEX(无形资产工时分配表!$P$6:$P$125,$W19)/$G19,2))</f>
        <v/>
      </c>
      <c r="S19" s="27" t="str">
        <f aca="false">IF(OR($A19="",$G19=0),"",ROUND($F19*INDEX(无形资产工时分配表!$Q$6:$Q$125,$W19)/$G19,2))</f>
        <v/>
      </c>
      <c r="T19" s="27" t="str">
        <f aca="false">IF($A19="","",ROUND(SUM(J19:S19),2))</f>
        <v/>
      </c>
      <c r="U19" s="27" t="str">
        <f aca="false">IF($A19="","",ROUND($F19-T19,2))</f>
        <v/>
      </c>
      <c r="V19" s="43" t="str">
        <f aca="false">IF($A19="","",IF($D19="设备","⚠ 设备请在仪器设备工时费用分配表登记",IF($W19=0,"⚠ 工时分配表无此资产当月记录",IF($X19&gt;1,"⚠ 工时分配表存在重复行","√ 正常"))))</f>
        <v/>
      </c>
      <c r="W19" s="47" t="n">
        <f aca="false">IF($A19="",0,IFERROR(MATCH($A19&amp;"|"&amp;$B19,无形资产工时分配表!$V$6:$V$125,0),0))</f>
        <v>0</v>
      </c>
      <c r="X19" s="47" t="n">
        <f aca="false">IF($A19="",0,COUNTIFS(无形资产工时分配表!$A$6:$A$125,$A19,无形资产工时分配表!$B$6:$B$125,$B19))</f>
        <v>0</v>
      </c>
    </row>
    <row r="20" customFormat="false" ht="18" hidden="false" customHeight="true" outlineLevel="0" collapsed="false">
      <c r="A20" s="36"/>
      <c r="B20" s="36"/>
      <c r="C20" s="48" t="str">
        <f aca="false">IF($B20="","",IFERROR(VLOOKUP($B20,资产台账!$B$4:$N$53,2,0)&amp;"","台账中未登记"))</f>
        <v/>
      </c>
      <c r="D20" s="43" t="str">
        <f aca="false">IF($B20="","",IFERROR(VLOOKUP($B20,资产台账!$B$4:$N$53,3,0)&amp;"",""))</f>
        <v/>
      </c>
      <c r="E20" s="43" t="str">
        <f aca="false">IF($B20="","",IFERROR(VLOOKUP($B20,资产台账!$B$4:$N$53,10,0)&amp;"",""))</f>
        <v/>
      </c>
      <c r="F20" s="49" t="str">
        <f aca="false">IF($B20="","",IFERROR(VLOOKUP($B20,资产台账!$B$4:$N$53,9,0),0))</f>
        <v/>
      </c>
      <c r="G20" s="45" t="n">
        <f aca="false">IF(OR($A20="",$W20=0),0,INDEX(无形资产工时分配表!$F$6:$F$125,$W20))</f>
        <v>0</v>
      </c>
      <c r="H20" s="45" t="n">
        <f aca="false">IF(OR($A20="",$W20=0),0,INDEX(无形资产工时分配表!$R$6:$R$125,$W20))</f>
        <v>0</v>
      </c>
      <c r="I20" s="28" t="str">
        <f aca="false">IF(OR($A20="",$G20=0),"",$H20/$G20)</f>
        <v/>
      </c>
      <c r="J20" s="27" t="str">
        <f aca="false">IF(OR($A20="",$G20=0),"",ROUND($F20*INDEX(无形资产工时分配表!$H$6:$H$125,$W20)/$G20,2))</f>
        <v/>
      </c>
      <c r="K20" s="27" t="str">
        <f aca="false">IF(OR($A20="",$G20=0),"",ROUND($F20*INDEX(无形资产工时分配表!$I$6:$I$125,$W20)/$G20,2))</f>
        <v/>
      </c>
      <c r="L20" s="27" t="str">
        <f aca="false">IF(OR($A20="",$G20=0),"",ROUND($F20*INDEX(无形资产工时分配表!$J$6:$J$125,$W20)/$G20,2))</f>
        <v/>
      </c>
      <c r="M20" s="27" t="str">
        <f aca="false">IF(OR($A20="",$G20=0),"",ROUND($F20*INDEX(无形资产工时分配表!$K$6:$K$125,$W20)/$G20,2))</f>
        <v/>
      </c>
      <c r="N20" s="27" t="str">
        <f aca="false">IF(OR($A20="",$G20=0),"",ROUND($F20*INDEX(无形资产工时分配表!$L$6:$L$125,$W20)/$G20,2))</f>
        <v/>
      </c>
      <c r="O20" s="27" t="str">
        <f aca="false">IF(OR($A20="",$G20=0),"",ROUND($F20*INDEX(无形资产工时分配表!$M$6:$M$125,$W20)/$G20,2))</f>
        <v/>
      </c>
      <c r="P20" s="27" t="str">
        <f aca="false">IF(OR($A20="",$G20=0),"",ROUND($F20*INDEX(无形资产工时分配表!$N$6:$N$125,$W20)/$G20,2))</f>
        <v/>
      </c>
      <c r="Q20" s="27" t="str">
        <f aca="false">IF(OR($A20="",$G20=0),"",ROUND($F20*INDEX(无形资产工时分配表!$O$6:$O$125,$W20)/$G20,2))</f>
        <v/>
      </c>
      <c r="R20" s="27" t="str">
        <f aca="false">IF(OR($A20="",$G20=0),"",ROUND($F20*INDEX(无形资产工时分配表!$P$6:$P$125,$W20)/$G20,2))</f>
        <v/>
      </c>
      <c r="S20" s="27" t="str">
        <f aca="false">IF(OR($A20="",$G20=0),"",ROUND($F20*INDEX(无形资产工时分配表!$Q$6:$Q$125,$W20)/$G20,2))</f>
        <v/>
      </c>
      <c r="T20" s="27" t="str">
        <f aca="false">IF($A20="","",ROUND(SUM(J20:S20),2))</f>
        <v/>
      </c>
      <c r="U20" s="27" t="str">
        <f aca="false">IF($A20="","",ROUND($F20-T20,2))</f>
        <v/>
      </c>
      <c r="V20" s="43" t="str">
        <f aca="false">IF($A20="","",IF($D20="设备","⚠ 设备请在仪器设备工时费用分配表登记",IF($W20=0,"⚠ 工时分配表无此资产当月记录",IF($X20&gt;1,"⚠ 工时分配表存在重复行","√ 正常"))))</f>
        <v/>
      </c>
      <c r="W20" s="47" t="n">
        <f aca="false">IF($A20="",0,IFERROR(MATCH($A20&amp;"|"&amp;$B20,无形资产工时分配表!$V$6:$V$125,0),0))</f>
        <v>0</v>
      </c>
      <c r="X20" s="47" t="n">
        <f aca="false">IF($A20="",0,COUNTIFS(无形资产工时分配表!$A$6:$A$125,$A20,无形资产工时分配表!$B$6:$B$125,$B20))</f>
        <v>0</v>
      </c>
    </row>
    <row r="21" customFormat="false" ht="18" hidden="false" customHeight="true" outlineLevel="0" collapsed="false">
      <c r="A21" s="36"/>
      <c r="B21" s="36"/>
      <c r="C21" s="48" t="str">
        <f aca="false">IF($B21="","",IFERROR(VLOOKUP($B21,资产台账!$B$4:$N$53,2,0)&amp;"","台账中未登记"))</f>
        <v/>
      </c>
      <c r="D21" s="43" t="str">
        <f aca="false">IF($B21="","",IFERROR(VLOOKUP($B21,资产台账!$B$4:$N$53,3,0)&amp;"",""))</f>
        <v/>
      </c>
      <c r="E21" s="43" t="str">
        <f aca="false">IF($B21="","",IFERROR(VLOOKUP($B21,资产台账!$B$4:$N$53,10,0)&amp;"",""))</f>
        <v/>
      </c>
      <c r="F21" s="49" t="str">
        <f aca="false">IF($B21="","",IFERROR(VLOOKUP($B21,资产台账!$B$4:$N$53,9,0),0))</f>
        <v/>
      </c>
      <c r="G21" s="45" t="n">
        <f aca="false">IF(OR($A21="",$W21=0),0,INDEX(无形资产工时分配表!$F$6:$F$125,$W21))</f>
        <v>0</v>
      </c>
      <c r="H21" s="45" t="n">
        <f aca="false">IF(OR($A21="",$W21=0),0,INDEX(无形资产工时分配表!$R$6:$R$125,$W21))</f>
        <v>0</v>
      </c>
      <c r="I21" s="28" t="str">
        <f aca="false">IF(OR($A21="",$G21=0),"",$H21/$G21)</f>
        <v/>
      </c>
      <c r="J21" s="27" t="str">
        <f aca="false">IF(OR($A21="",$G21=0),"",ROUND($F21*INDEX(无形资产工时分配表!$H$6:$H$125,$W21)/$G21,2))</f>
        <v/>
      </c>
      <c r="K21" s="27" t="str">
        <f aca="false">IF(OR($A21="",$G21=0),"",ROUND($F21*INDEX(无形资产工时分配表!$I$6:$I$125,$W21)/$G21,2))</f>
        <v/>
      </c>
      <c r="L21" s="27" t="str">
        <f aca="false">IF(OR($A21="",$G21=0),"",ROUND($F21*INDEX(无形资产工时分配表!$J$6:$J$125,$W21)/$G21,2))</f>
        <v/>
      </c>
      <c r="M21" s="27" t="str">
        <f aca="false">IF(OR($A21="",$G21=0),"",ROUND($F21*INDEX(无形资产工时分配表!$K$6:$K$125,$W21)/$G21,2))</f>
        <v/>
      </c>
      <c r="N21" s="27" t="str">
        <f aca="false">IF(OR($A21="",$G21=0),"",ROUND($F21*INDEX(无形资产工时分配表!$L$6:$L$125,$W21)/$G21,2))</f>
        <v/>
      </c>
      <c r="O21" s="27" t="str">
        <f aca="false">IF(OR($A21="",$G21=0),"",ROUND($F21*INDEX(无形资产工时分配表!$M$6:$M$125,$W21)/$G21,2))</f>
        <v/>
      </c>
      <c r="P21" s="27" t="str">
        <f aca="false">IF(OR($A21="",$G21=0),"",ROUND($F21*INDEX(无形资产工时分配表!$N$6:$N$125,$W21)/$G21,2))</f>
        <v/>
      </c>
      <c r="Q21" s="27" t="str">
        <f aca="false">IF(OR($A21="",$G21=0),"",ROUND($F21*INDEX(无形资产工时分配表!$O$6:$O$125,$W21)/$G21,2))</f>
        <v/>
      </c>
      <c r="R21" s="27" t="str">
        <f aca="false">IF(OR($A21="",$G21=0),"",ROUND($F21*INDEX(无形资产工时分配表!$P$6:$P$125,$W21)/$G21,2))</f>
        <v/>
      </c>
      <c r="S21" s="27" t="str">
        <f aca="false">IF(OR($A21="",$G21=0),"",ROUND($F21*INDEX(无形资产工时分配表!$Q$6:$Q$125,$W21)/$G21,2))</f>
        <v/>
      </c>
      <c r="T21" s="27" t="str">
        <f aca="false">IF($A21="","",ROUND(SUM(J21:S21),2))</f>
        <v/>
      </c>
      <c r="U21" s="27" t="str">
        <f aca="false">IF($A21="","",ROUND($F21-T21,2))</f>
        <v/>
      </c>
      <c r="V21" s="43" t="str">
        <f aca="false">IF($A21="","",IF($D21="设备","⚠ 设备请在仪器设备工时费用分配表登记",IF($W21=0,"⚠ 工时分配表无此资产当月记录",IF($X21&gt;1,"⚠ 工时分配表存在重复行","√ 正常"))))</f>
        <v/>
      </c>
      <c r="W21" s="47" t="n">
        <f aca="false">IF($A21="",0,IFERROR(MATCH($A21&amp;"|"&amp;$B21,无形资产工时分配表!$V$6:$V$125,0),0))</f>
        <v>0</v>
      </c>
      <c r="X21" s="47" t="n">
        <f aca="false">IF($A21="",0,COUNTIFS(无形资产工时分配表!$A$6:$A$125,$A21,无形资产工时分配表!$B$6:$B$125,$B21))</f>
        <v>0</v>
      </c>
    </row>
    <row r="22" customFormat="false" ht="18" hidden="false" customHeight="true" outlineLevel="0" collapsed="false">
      <c r="A22" s="36"/>
      <c r="B22" s="36"/>
      <c r="C22" s="48" t="str">
        <f aca="false">IF($B22="","",IFERROR(VLOOKUP($B22,资产台账!$B$4:$N$53,2,0)&amp;"","台账中未登记"))</f>
        <v/>
      </c>
      <c r="D22" s="43" t="str">
        <f aca="false">IF($B22="","",IFERROR(VLOOKUP($B22,资产台账!$B$4:$N$53,3,0)&amp;"",""))</f>
        <v/>
      </c>
      <c r="E22" s="43" t="str">
        <f aca="false">IF($B22="","",IFERROR(VLOOKUP($B22,资产台账!$B$4:$N$53,10,0)&amp;"",""))</f>
        <v/>
      </c>
      <c r="F22" s="49" t="str">
        <f aca="false">IF($B22="","",IFERROR(VLOOKUP($B22,资产台账!$B$4:$N$53,9,0),0))</f>
        <v/>
      </c>
      <c r="G22" s="45" t="n">
        <f aca="false">IF(OR($A22="",$W22=0),0,INDEX(无形资产工时分配表!$F$6:$F$125,$W22))</f>
        <v>0</v>
      </c>
      <c r="H22" s="45" t="n">
        <f aca="false">IF(OR($A22="",$W22=0),0,INDEX(无形资产工时分配表!$R$6:$R$125,$W22))</f>
        <v>0</v>
      </c>
      <c r="I22" s="28" t="str">
        <f aca="false">IF(OR($A22="",$G22=0),"",$H22/$G22)</f>
        <v/>
      </c>
      <c r="J22" s="27" t="str">
        <f aca="false">IF(OR($A22="",$G22=0),"",ROUND($F22*INDEX(无形资产工时分配表!$H$6:$H$125,$W22)/$G22,2))</f>
        <v/>
      </c>
      <c r="K22" s="27" t="str">
        <f aca="false">IF(OR($A22="",$G22=0),"",ROUND($F22*INDEX(无形资产工时分配表!$I$6:$I$125,$W22)/$G22,2))</f>
        <v/>
      </c>
      <c r="L22" s="27" t="str">
        <f aca="false">IF(OR($A22="",$G22=0),"",ROUND($F22*INDEX(无形资产工时分配表!$J$6:$J$125,$W22)/$G22,2))</f>
        <v/>
      </c>
      <c r="M22" s="27" t="str">
        <f aca="false">IF(OR($A22="",$G22=0),"",ROUND($F22*INDEX(无形资产工时分配表!$K$6:$K$125,$W22)/$G22,2))</f>
        <v/>
      </c>
      <c r="N22" s="27" t="str">
        <f aca="false">IF(OR($A22="",$G22=0),"",ROUND($F22*INDEX(无形资产工时分配表!$L$6:$L$125,$W22)/$G22,2))</f>
        <v/>
      </c>
      <c r="O22" s="27" t="str">
        <f aca="false">IF(OR($A22="",$G22=0),"",ROUND($F22*INDEX(无形资产工时分配表!$M$6:$M$125,$W22)/$G22,2))</f>
        <v/>
      </c>
      <c r="P22" s="27" t="str">
        <f aca="false">IF(OR($A22="",$G22=0),"",ROUND($F22*INDEX(无形资产工时分配表!$N$6:$N$125,$W22)/$G22,2))</f>
        <v/>
      </c>
      <c r="Q22" s="27" t="str">
        <f aca="false">IF(OR($A22="",$G22=0),"",ROUND($F22*INDEX(无形资产工时分配表!$O$6:$O$125,$W22)/$G22,2))</f>
        <v/>
      </c>
      <c r="R22" s="27" t="str">
        <f aca="false">IF(OR($A22="",$G22=0),"",ROUND($F22*INDEX(无形资产工时分配表!$P$6:$P$125,$W22)/$G22,2))</f>
        <v/>
      </c>
      <c r="S22" s="27" t="str">
        <f aca="false">IF(OR($A22="",$G22=0),"",ROUND($F22*INDEX(无形资产工时分配表!$Q$6:$Q$125,$W22)/$G22,2))</f>
        <v/>
      </c>
      <c r="T22" s="27" t="str">
        <f aca="false">IF($A22="","",ROUND(SUM(J22:S22),2))</f>
        <v/>
      </c>
      <c r="U22" s="27" t="str">
        <f aca="false">IF($A22="","",ROUND($F22-T22,2))</f>
        <v/>
      </c>
      <c r="V22" s="43" t="str">
        <f aca="false">IF($A22="","",IF($D22="设备","⚠ 设备请在仪器设备工时费用分配表登记",IF($W22=0,"⚠ 工时分配表无此资产当月记录",IF($X22&gt;1,"⚠ 工时分配表存在重复行","√ 正常"))))</f>
        <v/>
      </c>
      <c r="W22" s="47" t="n">
        <f aca="false">IF($A22="",0,IFERROR(MATCH($A22&amp;"|"&amp;$B22,无形资产工时分配表!$V$6:$V$125,0),0))</f>
        <v>0</v>
      </c>
      <c r="X22" s="47" t="n">
        <f aca="false">IF($A22="",0,COUNTIFS(无形资产工时分配表!$A$6:$A$125,$A22,无形资产工时分配表!$B$6:$B$125,$B22))</f>
        <v>0</v>
      </c>
    </row>
    <row r="23" customFormat="false" ht="18" hidden="false" customHeight="true" outlineLevel="0" collapsed="false">
      <c r="A23" s="36"/>
      <c r="B23" s="36"/>
      <c r="C23" s="48" t="str">
        <f aca="false">IF($B23="","",IFERROR(VLOOKUP($B23,资产台账!$B$4:$N$53,2,0)&amp;"","台账中未登记"))</f>
        <v/>
      </c>
      <c r="D23" s="43" t="str">
        <f aca="false">IF($B23="","",IFERROR(VLOOKUP($B23,资产台账!$B$4:$N$53,3,0)&amp;"",""))</f>
        <v/>
      </c>
      <c r="E23" s="43" t="str">
        <f aca="false">IF($B23="","",IFERROR(VLOOKUP($B23,资产台账!$B$4:$N$53,10,0)&amp;"",""))</f>
        <v/>
      </c>
      <c r="F23" s="49" t="str">
        <f aca="false">IF($B23="","",IFERROR(VLOOKUP($B23,资产台账!$B$4:$N$53,9,0),0))</f>
        <v/>
      </c>
      <c r="G23" s="45" t="n">
        <f aca="false">IF(OR($A23="",$W23=0),0,INDEX(无形资产工时分配表!$F$6:$F$125,$W23))</f>
        <v>0</v>
      </c>
      <c r="H23" s="45" t="n">
        <f aca="false">IF(OR($A23="",$W23=0),0,INDEX(无形资产工时分配表!$R$6:$R$125,$W23))</f>
        <v>0</v>
      </c>
      <c r="I23" s="28" t="str">
        <f aca="false">IF(OR($A23="",$G23=0),"",$H23/$G23)</f>
        <v/>
      </c>
      <c r="J23" s="27" t="str">
        <f aca="false">IF(OR($A23="",$G23=0),"",ROUND($F23*INDEX(无形资产工时分配表!$H$6:$H$125,$W23)/$G23,2))</f>
        <v/>
      </c>
      <c r="K23" s="27" t="str">
        <f aca="false">IF(OR($A23="",$G23=0),"",ROUND($F23*INDEX(无形资产工时分配表!$I$6:$I$125,$W23)/$G23,2))</f>
        <v/>
      </c>
      <c r="L23" s="27" t="str">
        <f aca="false">IF(OR($A23="",$G23=0),"",ROUND($F23*INDEX(无形资产工时分配表!$J$6:$J$125,$W23)/$G23,2))</f>
        <v/>
      </c>
      <c r="M23" s="27" t="str">
        <f aca="false">IF(OR($A23="",$G23=0),"",ROUND($F23*INDEX(无形资产工时分配表!$K$6:$K$125,$W23)/$G23,2))</f>
        <v/>
      </c>
      <c r="N23" s="27" t="str">
        <f aca="false">IF(OR($A23="",$G23=0),"",ROUND($F23*INDEX(无形资产工时分配表!$L$6:$L$125,$W23)/$G23,2))</f>
        <v/>
      </c>
      <c r="O23" s="27" t="str">
        <f aca="false">IF(OR($A23="",$G23=0),"",ROUND($F23*INDEX(无形资产工时分配表!$M$6:$M$125,$W23)/$G23,2))</f>
        <v/>
      </c>
      <c r="P23" s="27" t="str">
        <f aca="false">IF(OR($A23="",$G23=0),"",ROUND($F23*INDEX(无形资产工时分配表!$N$6:$N$125,$W23)/$G23,2))</f>
        <v/>
      </c>
      <c r="Q23" s="27" t="str">
        <f aca="false">IF(OR($A23="",$G23=0),"",ROUND($F23*INDEX(无形资产工时分配表!$O$6:$O$125,$W23)/$G23,2))</f>
        <v/>
      </c>
      <c r="R23" s="27" t="str">
        <f aca="false">IF(OR($A23="",$G23=0),"",ROUND($F23*INDEX(无形资产工时分配表!$P$6:$P$125,$W23)/$G23,2))</f>
        <v/>
      </c>
      <c r="S23" s="27" t="str">
        <f aca="false">IF(OR($A23="",$G23=0),"",ROUND($F23*INDEX(无形资产工时分配表!$Q$6:$Q$125,$W23)/$G23,2))</f>
        <v/>
      </c>
      <c r="T23" s="27" t="str">
        <f aca="false">IF($A23="","",ROUND(SUM(J23:S23),2))</f>
        <v/>
      </c>
      <c r="U23" s="27" t="str">
        <f aca="false">IF($A23="","",ROUND($F23-T23,2))</f>
        <v/>
      </c>
      <c r="V23" s="43" t="str">
        <f aca="false">IF($A23="","",IF($D23="设备","⚠ 设备请在仪器设备工时费用分配表登记",IF($W23=0,"⚠ 工时分配表无此资产当月记录",IF($X23&gt;1,"⚠ 工时分配表存在重复行","√ 正常"))))</f>
        <v/>
      </c>
      <c r="W23" s="47" t="n">
        <f aca="false">IF($A23="",0,IFERROR(MATCH($A23&amp;"|"&amp;$B23,无形资产工时分配表!$V$6:$V$125,0),0))</f>
        <v>0</v>
      </c>
      <c r="X23" s="47" t="n">
        <f aca="false">IF($A23="",0,COUNTIFS(无形资产工时分配表!$A$6:$A$125,$A23,无形资产工时分配表!$B$6:$B$125,$B23))</f>
        <v>0</v>
      </c>
    </row>
    <row r="24" customFormat="false" ht="18" hidden="false" customHeight="true" outlineLevel="0" collapsed="false">
      <c r="A24" s="36"/>
      <c r="B24" s="36"/>
      <c r="C24" s="48" t="str">
        <f aca="false">IF($B24="","",IFERROR(VLOOKUP($B24,资产台账!$B$4:$N$53,2,0)&amp;"","台账中未登记"))</f>
        <v/>
      </c>
      <c r="D24" s="43" t="str">
        <f aca="false">IF($B24="","",IFERROR(VLOOKUP($B24,资产台账!$B$4:$N$53,3,0)&amp;"",""))</f>
        <v/>
      </c>
      <c r="E24" s="43" t="str">
        <f aca="false">IF($B24="","",IFERROR(VLOOKUP($B24,资产台账!$B$4:$N$53,10,0)&amp;"",""))</f>
        <v/>
      </c>
      <c r="F24" s="49" t="str">
        <f aca="false">IF($B24="","",IFERROR(VLOOKUP($B24,资产台账!$B$4:$N$53,9,0),0))</f>
        <v/>
      </c>
      <c r="G24" s="45" t="n">
        <f aca="false">IF(OR($A24="",$W24=0),0,INDEX(无形资产工时分配表!$F$6:$F$125,$W24))</f>
        <v>0</v>
      </c>
      <c r="H24" s="45" t="n">
        <f aca="false">IF(OR($A24="",$W24=0),0,INDEX(无形资产工时分配表!$R$6:$R$125,$W24))</f>
        <v>0</v>
      </c>
      <c r="I24" s="28" t="str">
        <f aca="false">IF(OR($A24="",$G24=0),"",$H24/$G24)</f>
        <v/>
      </c>
      <c r="J24" s="27" t="str">
        <f aca="false">IF(OR($A24="",$G24=0),"",ROUND($F24*INDEX(无形资产工时分配表!$H$6:$H$125,$W24)/$G24,2))</f>
        <v/>
      </c>
      <c r="K24" s="27" t="str">
        <f aca="false">IF(OR($A24="",$G24=0),"",ROUND($F24*INDEX(无形资产工时分配表!$I$6:$I$125,$W24)/$G24,2))</f>
        <v/>
      </c>
      <c r="L24" s="27" t="str">
        <f aca="false">IF(OR($A24="",$G24=0),"",ROUND($F24*INDEX(无形资产工时分配表!$J$6:$J$125,$W24)/$G24,2))</f>
        <v/>
      </c>
      <c r="M24" s="27" t="str">
        <f aca="false">IF(OR($A24="",$G24=0),"",ROUND($F24*INDEX(无形资产工时分配表!$K$6:$K$125,$W24)/$G24,2))</f>
        <v/>
      </c>
      <c r="N24" s="27" t="str">
        <f aca="false">IF(OR($A24="",$G24=0),"",ROUND($F24*INDEX(无形资产工时分配表!$L$6:$L$125,$W24)/$G24,2))</f>
        <v/>
      </c>
      <c r="O24" s="27" t="str">
        <f aca="false">IF(OR($A24="",$G24=0),"",ROUND($F24*INDEX(无形资产工时分配表!$M$6:$M$125,$W24)/$G24,2))</f>
        <v/>
      </c>
      <c r="P24" s="27" t="str">
        <f aca="false">IF(OR($A24="",$G24=0),"",ROUND($F24*INDEX(无形资产工时分配表!$N$6:$N$125,$W24)/$G24,2))</f>
        <v/>
      </c>
      <c r="Q24" s="27" t="str">
        <f aca="false">IF(OR($A24="",$G24=0),"",ROUND($F24*INDEX(无形资产工时分配表!$O$6:$O$125,$W24)/$G24,2))</f>
        <v/>
      </c>
      <c r="R24" s="27" t="str">
        <f aca="false">IF(OR($A24="",$G24=0),"",ROUND($F24*INDEX(无形资产工时分配表!$P$6:$P$125,$W24)/$G24,2))</f>
        <v/>
      </c>
      <c r="S24" s="27" t="str">
        <f aca="false">IF(OR($A24="",$G24=0),"",ROUND($F24*INDEX(无形资产工时分配表!$Q$6:$Q$125,$W24)/$G24,2))</f>
        <v/>
      </c>
      <c r="T24" s="27" t="str">
        <f aca="false">IF($A24="","",ROUND(SUM(J24:S24),2))</f>
        <v/>
      </c>
      <c r="U24" s="27" t="str">
        <f aca="false">IF($A24="","",ROUND($F24-T24,2))</f>
        <v/>
      </c>
      <c r="V24" s="43" t="str">
        <f aca="false">IF($A24="","",IF($D24="设备","⚠ 设备请在仪器设备工时费用分配表登记",IF($W24=0,"⚠ 工时分配表无此资产当月记录",IF($X24&gt;1,"⚠ 工时分配表存在重复行","√ 正常"))))</f>
        <v/>
      </c>
      <c r="W24" s="47" t="n">
        <f aca="false">IF($A24="",0,IFERROR(MATCH($A24&amp;"|"&amp;$B24,无形资产工时分配表!$V$6:$V$125,0),0))</f>
        <v>0</v>
      </c>
      <c r="X24" s="47" t="n">
        <f aca="false">IF($A24="",0,COUNTIFS(无形资产工时分配表!$A$6:$A$125,$A24,无形资产工时分配表!$B$6:$B$125,$B24))</f>
        <v>0</v>
      </c>
    </row>
    <row r="25" customFormat="false" ht="18" hidden="false" customHeight="true" outlineLevel="0" collapsed="false">
      <c r="A25" s="36"/>
      <c r="B25" s="36"/>
      <c r="C25" s="48" t="str">
        <f aca="false">IF($B25="","",IFERROR(VLOOKUP($B25,资产台账!$B$4:$N$53,2,0)&amp;"","台账中未登记"))</f>
        <v/>
      </c>
      <c r="D25" s="43" t="str">
        <f aca="false">IF($B25="","",IFERROR(VLOOKUP($B25,资产台账!$B$4:$N$53,3,0)&amp;"",""))</f>
        <v/>
      </c>
      <c r="E25" s="43" t="str">
        <f aca="false">IF($B25="","",IFERROR(VLOOKUP($B25,资产台账!$B$4:$N$53,10,0)&amp;"",""))</f>
        <v/>
      </c>
      <c r="F25" s="49" t="str">
        <f aca="false">IF($B25="","",IFERROR(VLOOKUP($B25,资产台账!$B$4:$N$53,9,0),0))</f>
        <v/>
      </c>
      <c r="G25" s="45" t="n">
        <f aca="false">IF(OR($A25="",$W25=0),0,INDEX(无形资产工时分配表!$F$6:$F$125,$W25))</f>
        <v>0</v>
      </c>
      <c r="H25" s="45" t="n">
        <f aca="false">IF(OR($A25="",$W25=0),0,INDEX(无形资产工时分配表!$R$6:$R$125,$W25))</f>
        <v>0</v>
      </c>
      <c r="I25" s="28" t="str">
        <f aca="false">IF(OR($A25="",$G25=0),"",$H25/$G25)</f>
        <v/>
      </c>
      <c r="J25" s="27" t="str">
        <f aca="false">IF(OR($A25="",$G25=0),"",ROUND($F25*INDEX(无形资产工时分配表!$H$6:$H$125,$W25)/$G25,2))</f>
        <v/>
      </c>
      <c r="K25" s="27" t="str">
        <f aca="false">IF(OR($A25="",$G25=0),"",ROUND($F25*INDEX(无形资产工时分配表!$I$6:$I$125,$W25)/$G25,2))</f>
        <v/>
      </c>
      <c r="L25" s="27" t="str">
        <f aca="false">IF(OR($A25="",$G25=0),"",ROUND($F25*INDEX(无形资产工时分配表!$J$6:$J$125,$W25)/$G25,2))</f>
        <v/>
      </c>
      <c r="M25" s="27" t="str">
        <f aca="false">IF(OR($A25="",$G25=0),"",ROUND($F25*INDEX(无形资产工时分配表!$K$6:$K$125,$W25)/$G25,2))</f>
        <v/>
      </c>
      <c r="N25" s="27" t="str">
        <f aca="false">IF(OR($A25="",$G25=0),"",ROUND($F25*INDEX(无形资产工时分配表!$L$6:$L$125,$W25)/$G25,2))</f>
        <v/>
      </c>
      <c r="O25" s="27" t="str">
        <f aca="false">IF(OR($A25="",$G25=0),"",ROUND($F25*INDEX(无形资产工时分配表!$M$6:$M$125,$W25)/$G25,2))</f>
        <v/>
      </c>
      <c r="P25" s="27" t="str">
        <f aca="false">IF(OR($A25="",$G25=0),"",ROUND($F25*INDEX(无形资产工时分配表!$N$6:$N$125,$W25)/$G25,2))</f>
        <v/>
      </c>
      <c r="Q25" s="27" t="str">
        <f aca="false">IF(OR($A25="",$G25=0),"",ROUND($F25*INDEX(无形资产工时分配表!$O$6:$O$125,$W25)/$G25,2))</f>
        <v/>
      </c>
      <c r="R25" s="27" t="str">
        <f aca="false">IF(OR($A25="",$G25=0),"",ROUND($F25*INDEX(无形资产工时分配表!$P$6:$P$125,$W25)/$G25,2))</f>
        <v/>
      </c>
      <c r="S25" s="27" t="str">
        <f aca="false">IF(OR($A25="",$G25=0),"",ROUND($F25*INDEX(无形资产工时分配表!$Q$6:$Q$125,$W25)/$G25,2))</f>
        <v/>
      </c>
      <c r="T25" s="27" t="str">
        <f aca="false">IF($A25="","",ROUND(SUM(J25:S25),2))</f>
        <v/>
      </c>
      <c r="U25" s="27" t="str">
        <f aca="false">IF($A25="","",ROUND($F25-T25,2))</f>
        <v/>
      </c>
      <c r="V25" s="43" t="str">
        <f aca="false">IF($A25="","",IF($D25="设备","⚠ 设备请在仪器设备工时费用分配表登记",IF($W25=0,"⚠ 工时分配表无此资产当月记录",IF($X25&gt;1,"⚠ 工时分配表存在重复行","√ 正常"))))</f>
        <v/>
      </c>
      <c r="W25" s="47" t="n">
        <f aca="false">IF($A25="",0,IFERROR(MATCH($A25&amp;"|"&amp;$B25,无形资产工时分配表!$V$6:$V$125,0),0))</f>
        <v>0</v>
      </c>
      <c r="X25" s="47" t="n">
        <f aca="false">IF($A25="",0,COUNTIFS(无形资产工时分配表!$A$6:$A$125,$A25,无形资产工时分配表!$B$6:$B$125,$B25))</f>
        <v>0</v>
      </c>
    </row>
    <row r="26" customFormat="false" ht="18" hidden="false" customHeight="true" outlineLevel="0" collapsed="false">
      <c r="A26" s="36"/>
      <c r="B26" s="36"/>
      <c r="C26" s="48" t="str">
        <f aca="false">IF($B26="","",IFERROR(VLOOKUP($B26,资产台账!$B$4:$N$53,2,0)&amp;"","台账中未登记"))</f>
        <v/>
      </c>
      <c r="D26" s="43" t="str">
        <f aca="false">IF($B26="","",IFERROR(VLOOKUP($B26,资产台账!$B$4:$N$53,3,0)&amp;"",""))</f>
        <v/>
      </c>
      <c r="E26" s="43" t="str">
        <f aca="false">IF($B26="","",IFERROR(VLOOKUP($B26,资产台账!$B$4:$N$53,10,0)&amp;"",""))</f>
        <v/>
      </c>
      <c r="F26" s="49" t="str">
        <f aca="false">IF($B26="","",IFERROR(VLOOKUP($B26,资产台账!$B$4:$N$53,9,0),0))</f>
        <v/>
      </c>
      <c r="G26" s="45" t="n">
        <f aca="false">IF(OR($A26="",$W26=0),0,INDEX(无形资产工时分配表!$F$6:$F$125,$W26))</f>
        <v>0</v>
      </c>
      <c r="H26" s="45" t="n">
        <f aca="false">IF(OR($A26="",$W26=0),0,INDEX(无形资产工时分配表!$R$6:$R$125,$W26))</f>
        <v>0</v>
      </c>
      <c r="I26" s="28" t="str">
        <f aca="false">IF(OR($A26="",$G26=0),"",$H26/$G26)</f>
        <v/>
      </c>
      <c r="J26" s="27" t="str">
        <f aca="false">IF(OR($A26="",$G26=0),"",ROUND($F26*INDEX(无形资产工时分配表!$H$6:$H$125,$W26)/$G26,2))</f>
        <v/>
      </c>
      <c r="K26" s="27" t="str">
        <f aca="false">IF(OR($A26="",$G26=0),"",ROUND($F26*INDEX(无形资产工时分配表!$I$6:$I$125,$W26)/$G26,2))</f>
        <v/>
      </c>
      <c r="L26" s="27" t="str">
        <f aca="false">IF(OR($A26="",$G26=0),"",ROUND($F26*INDEX(无形资产工时分配表!$J$6:$J$125,$W26)/$G26,2))</f>
        <v/>
      </c>
      <c r="M26" s="27" t="str">
        <f aca="false">IF(OR($A26="",$G26=0),"",ROUND($F26*INDEX(无形资产工时分配表!$K$6:$K$125,$W26)/$G26,2))</f>
        <v/>
      </c>
      <c r="N26" s="27" t="str">
        <f aca="false">IF(OR($A26="",$G26=0),"",ROUND($F26*INDEX(无形资产工时分配表!$L$6:$L$125,$W26)/$G26,2))</f>
        <v/>
      </c>
      <c r="O26" s="27" t="str">
        <f aca="false">IF(OR($A26="",$G26=0),"",ROUND($F26*INDEX(无形资产工时分配表!$M$6:$M$125,$W26)/$G26,2))</f>
        <v/>
      </c>
      <c r="P26" s="27" t="str">
        <f aca="false">IF(OR($A26="",$G26=0),"",ROUND($F26*INDEX(无形资产工时分配表!$N$6:$N$125,$W26)/$G26,2))</f>
        <v/>
      </c>
      <c r="Q26" s="27" t="str">
        <f aca="false">IF(OR($A26="",$G26=0),"",ROUND($F26*INDEX(无形资产工时分配表!$O$6:$O$125,$W26)/$G26,2))</f>
        <v/>
      </c>
      <c r="R26" s="27" t="str">
        <f aca="false">IF(OR($A26="",$G26=0),"",ROUND($F26*INDEX(无形资产工时分配表!$P$6:$P$125,$W26)/$G26,2))</f>
        <v/>
      </c>
      <c r="S26" s="27" t="str">
        <f aca="false">IF(OR($A26="",$G26=0),"",ROUND($F26*INDEX(无形资产工时分配表!$Q$6:$Q$125,$W26)/$G26,2))</f>
        <v/>
      </c>
      <c r="T26" s="27" t="str">
        <f aca="false">IF($A26="","",ROUND(SUM(J26:S26),2))</f>
        <v/>
      </c>
      <c r="U26" s="27" t="str">
        <f aca="false">IF($A26="","",ROUND($F26-T26,2))</f>
        <v/>
      </c>
      <c r="V26" s="43" t="str">
        <f aca="false">IF($A26="","",IF($D26="设备","⚠ 设备请在仪器设备工时费用分配表登记",IF($W26=0,"⚠ 工时分配表无此资产当月记录",IF($X26&gt;1,"⚠ 工时分配表存在重复行","√ 正常"))))</f>
        <v/>
      </c>
      <c r="W26" s="47" t="n">
        <f aca="false">IF($A26="",0,IFERROR(MATCH($A26&amp;"|"&amp;$B26,无形资产工时分配表!$V$6:$V$125,0),0))</f>
        <v>0</v>
      </c>
      <c r="X26" s="47" t="n">
        <f aca="false">IF($A26="",0,COUNTIFS(无形资产工时分配表!$A$6:$A$125,$A26,无形资产工时分配表!$B$6:$B$125,$B26))</f>
        <v>0</v>
      </c>
    </row>
    <row r="27" customFormat="false" ht="18" hidden="false" customHeight="true" outlineLevel="0" collapsed="false">
      <c r="A27" s="36"/>
      <c r="B27" s="36"/>
      <c r="C27" s="48" t="str">
        <f aca="false">IF($B27="","",IFERROR(VLOOKUP($B27,资产台账!$B$4:$N$53,2,0)&amp;"","台账中未登记"))</f>
        <v/>
      </c>
      <c r="D27" s="43" t="str">
        <f aca="false">IF($B27="","",IFERROR(VLOOKUP($B27,资产台账!$B$4:$N$53,3,0)&amp;"",""))</f>
        <v/>
      </c>
      <c r="E27" s="43" t="str">
        <f aca="false">IF($B27="","",IFERROR(VLOOKUP($B27,资产台账!$B$4:$N$53,10,0)&amp;"",""))</f>
        <v/>
      </c>
      <c r="F27" s="49" t="str">
        <f aca="false">IF($B27="","",IFERROR(VLOOKUP($B27,资产台账!$B$4:$N$53,9,0),0))</f>
        <v/>
      </c>
      <c r="G27" s="45" t="n">
        <f aca="false">IF(OR($A27="",$W27=0),0,INDEX(无形资产工时分配表!$F$6:$F$125,$W27))</f>
        <v>0</v>
      </c>
      <c r="H27" s="45" t="n">
        <f aca="false">IF(OR($A27="",$W27=0),0,INDEX(无形资产工时分配表!$R$6:$R$125,$W27))</f>
        <v>0</v>
      </c>
      <c r="I27" s="28" t="str">
        <f aca="false">IF(OR($A27="",$G27=0),"",$H27/$G27)</f>
        <v/>
      </c>
      <c r="J27" s="27" t="str">
        <f aca="false">IF(OR($A27="",$G27=0),"",ROUND($F27*INDEX(无形资产工时分配表!$H$6:$H$125,$W27)/$G27,2))</f>
        <v/>
      </c>
      <c r="K27" s="27" t="str">
        <f aca="false">IF(OR($A27="",$G27=0),"",ROUND($F27*INDEX(无形资产工时分配表!$I$6:$I$125,$W27)/$G27,2))</f>
        <v/>
      </c>
      <c r="L27" s="27" t="str">
        <f aca="false">IF(OR($A27="",$G27=0),"",ROUND($F27*INDEX(无形资产工时分配表!$J$6:$J$125,$W27)/$G27,2))</f>
        <v/>
      </c>
      <c r="M27" s="27" t="str">
        <f aca="false">IF(OR($A27="",$G27=0),"",ROUND($F27*INDEX(无形资产工时分配表!$K$6:$K$125,$W27)/$G27,2))</f>
        <v/>
      </c>
      <c r="N27" s="27" t="str">
        <f aca="false">IF(OR($A27="",$G27=0),"",ROUND($F27*INDEX(无形资产工时分配表!$L$6:$L$125,$W27)/$G27,2))</f>
        <v/>
      </c>
      <c r="O27" s="27" t="str">
        <f aca="false">IF(OR($A27="",$G27=0),"",ROUND($F27*INDEX(无形资产工时分配表!$M$6:$M$125,$W27)/$G27,2))</f>
        <v/>
      </c>
      <c r="P27" s="27" t="str">
        <f aca="false">IF(OR($A27="",$G27=0),"",ROUND($F27*INDEX(无形资产工时分配表!$N$6:$N$125,$W27)/$G27,2))</f>
        <v/>
      </c>
      <c r="Q27" s="27" t="str">
        <f aca="false">IF(OR($A27="",$G27=0),"",ROUND($F27*INDEX(无形资产工时分配表!$O$6:$O$125,$W27)/$G27,2))</f>
        <v/>
      </c>
      <c r="R27" s="27" t="str">
        <f aca="false">IF(OR($A27="",$G27=0),"",ROUND($F27*INDEX(无形资产工时分配表!$P$6:$P$125,$W27)/$G27,2))</f>
        <v/>
      </c>
      <c r="S27" s="27" t="str">
        <f aca="false">IF(OR($A27="",$G27=0),"",ROUND($F27*INDEX(无形资产工时分配表!$Q$6:$Q$125,$W27)/$G27,2))</f>
        <v/>
      </c>
      <c r="T27" s="27" t="str">
        <f aca="false">IF($A27="","",ROUND(SUM(J27:S27),2))</f>
        <v/>
      </c>
      <c r="U27" s="27" t="str">
        <f aca="false">IF($A27="","",ROUND($F27-T27,2))</f>
        <v/>
      </c>
      <c r="V27" s="43" t="str">
        <f aca="false">IF($A27="","",IF($D27="设备","⚠ 设备请在仪器设备工时费用分配表登记",IF($W27=0,"⚠ 工时分配表无此资产当月记录",IF($X27&gt;1,"⚠ 工时分配表存在重复行","√ 正常"))))</f>
        <v/>
      </c>
      <c r="W27" s="47" t="n">
        <f aca="false">IF($A27="",0,IFERROR(MATCH($A27&amp;"|"&amp;$B27,无形资产工时分配表!$V$6:$V$125,0),0))</f>
        <v>0</v>
      </c>
      <c r="X27" s="47" t="n">
        <f aca="false">IF($A27="",0,COUNTIFS(无形资产工时分配表!$A$6:$A$125,$A27,无形资产工时分配表!$B$6:$B$125,$B27))</f>
        <v>0</v>
      </c>
    </row>
    <row r="28" customFormat="false" ht="18" hidden="false" customHeight="true" outlineLevel="0" collapsed="false">
      <c r="A28" s="36"/>
      <c r="B28" s="36"/>
      <c r="C28" s="48" t="str">
        <f aca="false">IF($B28="","",IFERROR(VLOOKUP($B28,资产台账!$B$4:$N$53,2,0)&amp;"","台账中未登记"))</f>
        <v/>
      </c>
      <c r="D28" s="43" t="str">
        <f aca="false">IF($B28="","",IFERROR(VLOOKUP($B28,资产台账!$B$4:$N$53,3,0)&amp;"",""))</f>
        <v/>
      </c>
      <c r="E28" s="43" t="str">
        <f aca="false">IF($B28="","",IFERROR(VLOOKUP($B28,资产台账!$B$4:$N$53,10,0)&amp;"",""))</f>
        <v/>
      </c>
      <c r="F28" s="49" t="str">
        <f aca="false">IF($B28="","",IFERROR(VLOOKUP($B28,资产台账!$B$4:$N$53,9,0),0))</f>
        <v/>
      </c>
      <c r="G28" s="45" t="n">
        <f aca="false">IF(OR($A28="",$W28=0),0,INDEX(无形资产工时分配表!$F$6:$F$125,$W28))</f>
        <v>0</v>
      </c>
      <c r="H28" s="45" t="n">
        <f aca="false">IF(OR($A28="",$W28=0),0,INDEX(无形资产工时分配表!$R$6:$R$125,$W28))</f>
        <v>0</v>
      </c>
      <c r="I28" s="28" t="str">
        <f aca="false">IF(OR($A28="",$G28=0),"",$H28/$G28)</f>
        <v/>
      </c>
      <c r="J28" s="27" t="str">
        <f aca="false">IF(OR($A28="",$G28=0),"",ROUND($F28*INDEX(无形资产工时分配表!$H$6:$H$125,$W28)/$G28,2))</f>
        <v/>
      </c>
      <c r="K28" s="27" t="str">
        <f aca="false">IF(OR($A28="",$G28=0),"",ROUND($F28*INDEX(无形资产工时分配表!$I$6:$I$125,$W28)/$G28,2))</f>
        <v/>
      </c>
      <c r="L28" s="27" t="str">
        <f aca="false">IF(OR($A28="",$G28=0),"",ROUND($F28*INDEX(无形资产工时分配表!$J$6:$J$125,$W28)/$G28,2))</f>
        <v/>
      </c>
      <c r="M28" s="27" t="str">
        <f aca="false">IF(OR($A28="",$G28=0),"",ROUND($F28*INDEX(无形资产工时分配表!$K$6:$K$125,$W28)/$G28,2))</f>
        <v/>
      </c>
      <c r="N28" s="27" t="str">
        <f aca="false">IF(OR($A28="",$G28=0),"",ROUND($F28*INDEX(无形资产工时分配表!$L$6:$L$125,$W28)/$G28,2))</f>
        <v/>
      </c>
      <c r="O28" s="27" t="str">
        <f aca="false">IF(OR($A28="",$G28=0),"",ROUND($F28*INDEX(无形资产工时分配表!$M$6:$M$125,$W28)/$G28,2))</f>
        <v/>
      </c>
      <c r="P28" s="27" t="str">
        <f aca="false">IF(OR($A28="",$G28=0),"",ROUND($F28*INDEX(无形资产工时分配表!$N$6:$N$125,$W28)/$G28,2))</f>
        <v/>
      </c>
      <c r="Q28" s="27" t="str">
        <f aca="false">IF(OR($A28="",$G28=0),"",ROUND($F28*INDEX(无形资产工时分配表!$O$6:$O$125,$W28)/$G28,2))</f>
        <v/>
      </c>
      <c r="R28" s="27" t="str">
        <f aca="false">IF(OR($A28="",$G28=0),"",ROUND($F28*INDEX(无形资产工时分配表!$P$6:$P$125,$W28)/$G28,2))</f>
        <v/>
      </c>
      <c r="S28" s="27" t="str">
        <f aca="false">IF(OR($A28="",$G28=0),"",ROUND($F28*INDEX(无形资产工时分配表!$Q$6:$Q$125,$W28)/$G28,2))</f>
        <v/>
      </c>
      <c r="T28" s="27" t="str">
        <f aca="false">IF($A28="","",ROUND(SUM(J28:S28),2))</f>
        <v/>
      </c>
      <c r="U28" s="27" t="str">
        <f aca="false">IF($A28="","",ROUND($F28-T28,2))</f>
        <v/>
      </c>
      <c r="V28" s="43" t="str">
        <f aca="false">IF($A28="","",IF($D28="设备","⚠ 设备请在仪器设备工时费用分配表登记",IF($W28=0,"⚠ 工时分配表无此资产当月记录",IF($X28&gt;1,"⚠ 工时分配表存在重复行","√ 正常"))))</f>
        <v/>
      </c>
      <c r="W28" s="47" t="n">
        <f aca="false">IF($A28="",0,IFERROR(MATCH($A28&amp;"|"&amp;$B28,无形资产工时分配表!$V$6:$V$125,0),0))</f>
        <v>0</v>
      </c>
      <c r="X28" s="47" t="n">
        <f aca="false">IF($A28="",0,COUNTIFS(无形资产工时分配表!$A$6:$A$125,$A28,无形资产工时分配表!$B$6:$B$125,$B28))</f>
        <v>0</v>
      </c>
    </row>
    <row r="29" customFormat="false" ht="18" hidden="false" customHeight="true" outlineLevel="0" collapsed="false">
      <c r="A29" s="36"/>
      <c r="B29" s="36"/>
      <c r="C29" s="48" t="str">
        <f aca="false">IF($B29="","",IFERROR(VLOOKUP($B29,资产台账!$B$4:$N$53,2,0)&amp;"","台账中未登记"))</f>
        <v/>
      </c>
      <c r="D29" s="43" t="str">
        <f aca="false">IF($B29="","",IFERROR(VLOOKUP($B29,资产台账!$B$4:$N$53,3,0)&amp;"",""))</f>
        <v/>
      </c>
      <c r="E29" s="43" t="str">
        <f aca="false">IF($B29="","",IFERROR(VLOOKUP($B29,资产台账!$B$4:$N$53,10,0)&amp;"",""))</f>
        <v/>
      </c>
      <c r="F29" s="49" t="str">
        <f aca="false">IF($B29="","",IFERROR(VLOOKUP($B29,资产台账!$B$4:$N$53,9,0),0))</f>
        <v/>
      </c>
      <c r="G29" s="45" t="n">
        <f aca="false">IF(OR($A29="",$W29=0),0,INDEX(无形资产工时分配表!$F$6:$F$125,$W29))</f>
        <v>0</v>
      </c>
      <c r="H29" s="45" t="n">
        <f aca="false">IF(OR($A29="",$W29=0),0,INDEX(无形资产工时分配表!$R$6:$R$125,$W29))</f>
        <v>0</v>
      </c>
      <c r="I29" s="28" t="str">
        <f aca="false">IF(OR($A29="",$G29=0),"",$H29/$G29)</f>
        <v/>
      </c>
      <c r="J29" s="27" t="str">
        <f aca="false">IF(OR($A29="",$G29=0),"",ROUND($F29*INDEX(无形资产工时分配表!$H$6:$H$125,$W29)/$G29,2))</f>
        <v/>
      </c>
      <c r="K29" s="27" t="str">
        <f aca="false">IF(OR($A29="",$G29=0),"",ROUND($F29*INDEX(无形资产工时分配表!$I$6:$I$125,$W29)/$G29,2))</f>
        <v/>
      </c>
      <c r="L29" s="27" t="str">
        <f aca="false">IF(OR($A29="",$G29=0),"",ROUND($F29*INDEX(无形资产工时分配表!$J$6:$J$125,$W29)/$G29,2))</f>
        <v/>
      </c>
      <c r="M29" s="27" t="str">
        <f aca="false">IF(OR($A29="",$G29=0),"",ROUND($F29*INDEX(无形资产工时分配表!$K$6:$K$125,$W29)/$G29,2))</f>
        <v/>
      </c>
      <c r="N29" s="27" t="str">
        <f aca="false">IF(OR($A29="",$G29=0),"",ROUND($F29*INDEX(无形资产工时分配表!$L$6:$L$125,$W29)/$G29,2))</f>
        <v/>
      </c>
      <c r="O29" s="27" t="str">
        <f aca="false">IF(OR($A29="",$G29=0),"",ROUND($F29*INDEX(无形资产工时分配表!$M$6:$M$125,$W29)/$G29,2))</f>
        <v/>
      </c>
      <c r="P29" s="27" t="str">
        <f aca="false">IF(OR($A29="",$G29=0),"",ROUND($F29*INDEX(无形资产工时分配表!$N$6:$N$125,$W29)/$G29,2))</f>
        <v/>
      </c>
      <c r="Q29" s="27" t="str">
        <f aca="false">IF(OR($A29="",$G29=0),"",ROUND($F29*INDEX(无形资产工时分配表!$O$6:$O$125,$W29)/$G29,2))</f>
        <v/>
      </c>
      <c r="R29" s="27" t="str">
        <f aca="false">IF(OR($A29="",$G29=0),"",ROUND($F29*INDEX(无形资产工时分配表!$P$6:$P$125,$W29)/$G29,2))</f>
        <v/>
      </c>
      <c r="S29" s="27" t="str">
        <f aca="false">IF(OR($A29="",$G29=0),"",ROUND($F29*INDEX(无形资产工时分配表!$Q$6:$Q$125,$W29)/$G29,2))</f>
        <v/>
      </c>
      <c r="T29" s="27" t="str">
        <f aca="false">IF($A29="","",ROUND(SUM(J29:S29),2))</f>
        <v/>
      </c>
      <c r="U29" s="27" t="str">
        <f aca="false">IF($A29="","",ROUND($F29-T29,2))</f>
        <v/>
      </c>
      <c r="V29" s="43" t="str">
        <f aca="false">IF($A29="","",IF($D29="设备","⚠ 设备请在仪器设备工时费用分配表登记",IF($W29=0,"⚠ 工时分配表无此资产当月记录",IF($X29&gt;1,"⚠ 工时分配表存在重复行","√ 正常"))))</f>
        <v/>
      </c>
      <c r="W29" s="47" t="n">
        <f aca="false">IF($A29="",0,IFERROR(MATCH($A29&amp;"|"&amp;$B29,无形资产工时分配表!$V$6:$V$125,0),0))</f>
        <v>0</v>
      </c>
      <c r="X29" s="47" t="n">
        <f aca="false">IF($A29="",0,COUNTIFS(无形资产工时分配表!$A$6:$A$125,$A29,无形资产工时分配表!$B$6:$B$125,$B29))</f>
        <v>0</v>
      </c>
    </row>
    <row r="30" customFormat="false" ht="18" hidden="false" customHeight="true" outlineLevel="0" collapsed="false">
      <c r="A30" s="36"/>
      <c r="B30" s="36"/>
      <c r="C30" s="48" t="str">
        <f aca="false">IF($B30="","",IFERROR(VLOOKUP($B30,资产台账!$B$4:$N$53,2,0)&amp;"","台账中未登记"))</f>
        <v/>
      </c>
      <c r="D30" s="43" t="str">
        <f aca="false">IF($B30="","",IFERROR(VLOOKUP($B30,资产台账!$B$4:$N$53,3,0)&amp;"",""))</f>
        <v/>
      </c>
      <c r="E30" s="43" t="str">
        <f aca="false">IF($B30="","",IFERROR(VLOOKUP($B30,资产台账!$B$4:$N$53,10,0)&amp;"",""))</f>
        <v/>
      </c>
      <c r="F30" s="49" t="str">
        <f aca="false">IF($B30="","",IFERROR(VLOOKUP($B30,资产台账!$B$4:$N$53,9,0),0))</f>
        <v/>
      </c>
      <c r="G30" s="45" t="n">
        <f aca="false">IF(OR($A30="",$W30=0),0,INDEX(无形资产工时分配表!$F$6:$F$125,$W30))</f>
        <v>0</v>
      </c>
      <c r="H30" s="45" t="n">
        <f aca="false">IF(OR($A30="",$W30=0),0,INDEX(无形资产工时分配表!$R$6:$R$125,$W30))</f>
        <v>0</v>
      </c>
      <c r="I30" s="28" t="str">
        <f aca="false">IF(OR($A30="",$G30=0),"",$H30/$G30)</f>
        <v/>
      </c>
      <c r="J30" s="27" t="str">
        <f aca="false">IF(OR($A30="",$G30=0),"",ROUND($F30*INDEX(无形资产工时分配表!$H$6:$H$125,$W30)/$G30,2))</f>
        <v/>
      </c>
      <c r="K30" s="27" t="str">
        <f aca="false">IF(OR($A30="",$G30=0),"",ROUND($F30*INDEX(无形资产工时分配表!$I$6:$I$125,$W30)/$G30,2))</f>
        <v/>
      </c>
      <c r="L30" s="27" t="str">
        <f aca="false">IF(OR($A30="",$G30=0),"",ROUND($F30*INDEX(无形资产工时分配表!$J$6:$J$125,$W30)/$G30,2))</f>
        <v/>
      </c>
      <c r="M30" s="27" t="str">
        <f aca="false">IF(OR($A30="",$G30=0),"",ROUND($F30*INDEX(无形资产工时分配表!$K$6:$K$125,$W30)/$G30,2))</f>
        <v/>
      </c>
      <c r="N30" s="27" t="str">
        <f aca="false">IF(OR($A30="",$G30=0),"",ROUND($F30*INDEX(无形资产工时分配表!$L$6:$L$125,$W30)/$G30,2))</f>
        <v/>
      </c>
      <c r="O30" s="27" t="str">
        <f aca="false">IF(OR($A30="",$G30=0),"",ROUND($F30*INDEX(无形资产工时分配表!$M$6:$M$125,$W30)/$G30,2))</f>
        <v/>
      </c>
      <c r="P30" s="27" t="str">
        <f aca="false">IF(OR($A30="",$G30=0),"",ROUND($F30*INDEX(无形资产工时分配表!$N$6:$N$125,$W30)/$G30,2))</f>
        <v/>
      </c>
      <c r="Q30" s="27" t="str">
        <f aca="false">IF(OR($A30="",$G30=0),"",ROUND($F30*INDEX(无形资产工时分配表!$O$6:$O$125,$W30)/$G30,2))</f>
        <v/>
      </c>
      <c r="R30" s="27" t="str">
        <f aca="false">IF(OR($A30="",$G30=0),"",ROUND($F30*INDEX(无形资产工时分配表!$P$6:$P$125,$W30)/$G30,2))</f>
        <v/>
      </c>
      <c r="S30" s="27" t="str">
        <f aca="false">IF(OR($A30="",$G30=0),"",ROUND($F30*INDEX(无形资产工时分配表!$Q$6:$Q$125,$W30)/$G30,2))</f>
        <v/>
      </c>
      <c r="T30" s="27" t="str">
        <f aca="false">IF($A30="","",ROUND(SUM(J30:S30),2))</f>
        <v/>
      </c>
      <c r="U30" s="27" t="str">
        <f aca="false">IF($A30="","",ROUND($F30-T30,2))</f>
        <v/>
      </c>
      <c r="V30" s="43" t="str">
        <f aca="false">IF($A30="","",IF($D30="设备","⚠ 设备请在仪器设备工时费用分配表登记",IF($W30=0,"⚠ 工时分配表无此资产当月记录",IF($X30&gt;1,"⚠ 工时分配表存在重复行","√ 正常"))))</f>
        <v/>
      </c>
      <c r="W30" s="47" t="n">
        <f aca="false">IF($A30="",0,IFERROR(MATCH($A30&amp;"|"&amp;$B30,无形资产工时分配表!$V$6:$V$125,0),0))</f>
        <v>0</v>
      </c>
      <c r="X30" s="47" t="n">
        <f aca="false">IF($A30="",0,COUNTIFS(无形资产工时分配表!$A$6:$A$125,$A30,无形资产工时分配表!$B$6:$B$125,$B30))</f>
        <v>0</v>
      </c>
    </row>
    <row r="31" customFormat="false" ht="18" hidden="false" customHeight="true" outlineLevel="0" collapsed="false">
      <c r="A31" s="36"/>
      <c r="B31" s="36"/>
      <c r="C31" s="48" t="str">
        <f aca="false">IF($B31="","",IFERROR(VLOOKUP($B31,资产台账!$B$4:$N$53,2,0)&amp;"","台账中未登记"))</f>
        <v/>
      </c>
      <c r="D31" s="43" t="str">
        <f aca="false">IF($B31="","",IFERROR(VLOOKUP($B31,资产台账!$B$4:$N$53,3,0)&amp;"",""))</f>
        <v/>
      </c>
      <c r="E31" s="43" t="str">
        <f aca="false">IF($B31="","",IFERROR(VLOOKUP($B31,资产台账!$B$4:$N$53,10,0)&amp;"",""))</f>
        <v/>
      </c>
      <c r="F31" s="49" t="str">
        <f aca="false">IF($B31="","",IFERROR(VLOOKUP($B31,资产台账!$B$4:$N$53,9,0),0))</f>
        <v/>
      </c>
      <c r="G31" s="45" t="n">
        <f aca="false">IF(OR($A31="",$W31=0),0,INDEX(无形资产工时分配表!$F$6:$F$125,$W31))</f>
        <v>0</v>
      </c>
      <c r="H31" s="45" t="n">
        <f aca="false">IF(OR($A31="",$W31=0),0,INDEX(无形资产工时分配表!$R$6:$R$125,$W31))</f>
        <v>0</v>
      </c>
      <c r="I31" s="28" t="str">
        <f aca="false">IF(OR($A31="",$G31=0),"",$H31/$G31)</f>
        <v/>
      </c>
      <c r="J31" s="27" t="str">
        <f aca="false">IF(OR($A31="",$G31=0),"",ROUND($F31*INDEX(无形资产工时分配表!$H$6:$H$125,$W31)/$G31,2))</f>
        <v/>
      </c>
      <c r="K31" s="27" t="str">
        <f aca="false">IF(OR($A31="",$G31=0),"",ROUND($F31*INDEX(无形资产工时分配表!$I$6:$I$125,$W31)/$G31,2))</f>
        <v/>
      </c>
      <c r="L31" s="27" t="str">
        <f aca="false">IF(OR($A31="",$G31=0),"",ROUND($F31*INDEX(无形资产工时分配表!$J$6:$J$125,$W31)/$G31,2))</f>
        <v/>
      </c>
      <c r="M31" s="27" t="str">
        <f aca="false">IF(OR($A31="",$G31=0),"",ROUND($F31*INDEX(无形资产工时分配表!$K$6:$K$125,$W31)/$G31,2))</f>
        <v/>
      </c>
      <c r="N31" s="27" t="str">
        <f aca="false">IF(OR($A31="",$G31=0),"",ROUND($F31*INDEX(无形资产工时分配表!$L$6:$L$125,$W31)/$G31,2))</f>
        <v/>
      </c>
      <c r="O31" s="27" t="str">
        <f aca="false">IF(OR($A31="",$G31=0),"",ROUND($F31*INDEX(无形资产工时分配表!$M$6:$M$125,$W31)/$G31,2))</f>
        <v/>
      </c>
      <c r="P31" s="27" t="str">
        <f aca="false">IF(OR($A31="",$G31=0),"",ROUND($F31*INDEX(无形资产工时分配表!$N$6:$N$125,$W31)/$G31,2))</f>
        <v/>
      </c>
      <c r="Q31" s="27" t="str">
        <f aca="false">IF(OR($A31="",$G31=0),"",ROUND($F31*INDEX(无形资产工时分配表!$O$6:$O$125,$W31)/$G31,2))</f>
        <v/>
      </c>
      <c r="R31" s="27" t="str">
        <f aca="false">IF(OR($A31="",$G31=0),"",ROUND($F31*INDEX(无形资产工时分配表!$P$6:$P$125,$W31)/$G31,2))</f>
        <v/>
      </c>
      <c r="S31" s="27" t="str">
        <f aca="false">IF(OR($A31="",$G31=0),"",ROUND($F31*INDEX(无形资产工时分配表!$Q$6:$Q$125,$W31)/$G31,2))</f>
        <v/>
      </c>
      <c r="T31" s="27" t="str">
        <f aca="false">IF($A31="","",ROUND(SUM(J31:S31),2))</f>
        <v/>
      </c>
      <c r="U31" s="27" t="str">
        <f aca="false">IF($A31="","",ROUND($F31-T31,2))</f>
        <v/>
      </c>
      <c r="V31" s="43" t="str">
        <f aca="false">IF($A31="","",IF($D31="设备","⚠ 设备请在仪器设备工时费用分配表登记",IF($W31=0,"⚠ 工时分配表无此资产当月记录",IF($X31&gt;1,"⚠ 工时分配表存在重复行","√ 正常"))))</f>
        <v/>
      </c>
      <c r="W31" s="47" t="n">
        <f aca="false">IF($A31="",0,IFERROR(MATCH($A31&amp;"|"&amp;$B31,无形资产工时分配表!$V$6:$V$125,0),0))</f>
        <v>0</v>
      </c>
      <c r="X31" s="47" t="n">
        <f aca="false">IF($A31="",0,COUNTIFS(无形资产工时分配表!$A$6:$A$125,$A31,无形资产工时分配表!$B$6:$B$125,$B31))</f>
        <v>0</v>
      </c>
    </row>
    <row r="32" customFormat="false" ht="18" hidden="false" customHeight="true" outlineLevel="0" collapsed="false">
      <c r="A32" s="36"/>
      <c r="B32" s="36"/>
      <c r="C32" s="48" t="str">
        <f aca="false">IF($B32="","",IFERROR(VLOOKUP($B32,资产台账!$B$4:$N$53,2,0)&amp;"","台账中未登记"))</f>
        <v/>
      </c>
      <c r="D32" s="43" t="str">
        <f aca="false">IF($B32="","",IFERROR(VLOOKUP($B32,资产台账!$B$4:$N$53,3,0)&amp;"",""))</f>
        <v/>
      </c>
      <c r="E32" s="43" t="str">
        <f aca="false">IF($B32="","",IFERROR(VLOOKUP($B32,资产台账!$B$4:$N$53,10,0)&amp;"",""))</f>
        <v/>
      </c>
      <c r="F32" s="49" t="str">
        <f aca="false">IF($B32="","",IFERROR(VLOOKUP($B32,资产台账!$B$4:$N$53,9,0),0))</f>
        <v/>
      </c>
      <c r="G32" s="45" t="n">
        <f aca="false">IF(OR($A32="",$W32=0),0,INDEX(无形资产工时分配表!$F$6:$F$125,$W32))</f>
        <v>0</v>
      </c>
      <c r="H32" s="45" t="n">
        <f aca="false">IF(OR($A32="",$W32=0),0,INDEX(无形资产工时分配表!$R$6:$R$125,$W32))</f>
        <v>0</v>
      </c>
      <c r="I32" s="28" t="str">
        <f aca="false">IF(OR($A32="",$G32=0),"",$H32/$G32)</f>
        <v/>
      </c>
      <c r="J32" s="27" t="str">
        <f aca="false">IF(OR($A32="",$G32=0),"",ROUND($F32*INDEX(无形资产工时分配表!$H$6:$H$125,$W32)/$G32,2))</f>
        <v/>
      </c>
      <c r="K32" s="27" t="str">
        <f aca="false">IF(OR($A32="",$G32=0),"",ROUND($F32*INDEX(无形资产工时分配表!$I$6:$I$125,$W32)/$G32,2))</f>
        <v/>
      </c>
      <c r="L32" s="27" t="str">
        <f aca="false">IF(OR($A32="",$G32=0),"",ROUND($F32*INDEX(无形资产工时分配表!$J$6:$J$125,$W32)/$G32,2))</f>
        <v/>
      </c>
      <c r="M32" s="27" t="str">
        <f aca="false">IF(OR($A32="",$G32=0),"",ROUND($F32*INDEX(无形资产工时分配表!$K$6:$K$125,$W32)/$G32,2))</f>
        <v/>
      </c>
      <c r="N32" s="27" t="str">
        <f aca="false">IF(OR($A32="",$G32=0),"",ROUND($F32*INDEX(无形资产工时分配表!$L$6:$L$125,$W32)/$G32,2))</f>
        <v/>
      </c>
      <c r="O32" s="27" t="str">
        <f aca="false">IF(OR($A32="",$G32=0),"",ROUND($F32*INDEX(无形资产工时分配表!$M$6:$M$125,$W32)/$G32,2))</f>
        <v/>
      </c>
      <c r="P32" s="27" t="str">
        <f aca="false">IF(OR($A32="",$G32=0),"",ROUND($F32*INDEX(无形资产工时分配表!$N$6:$N$125,$W32)/$G32,2))</f>
        <v/>
      </c>
      <c r="Q32" s="27" t="str">
        <f aca="false">IF(OR($A32="",$G32=0),"",ROUND($F32*INDEX(无形资产工时分配表!$O$6:$O$125,$W32)/$G32,2))</f>
        <v/>
      </c>
      <c r="R32" s="27" t="str">
        <f aca="false">IF(OR($A32="",$G32=0),"",ROUND($F32*INDEX(无形资产工时分配表!$P$6:$P$125,$W32)/$G32,2))</f>
        <v/>
      </c>
      <c r="S32" s="27" t="str">
        <f aca="false">IF(OR($A32="",$G32=0),"",ROUND($F32*INDEX(无形资产工时分配表!$Q$6:$Q$125,$W32)/$G32,2))</f>
        <v/>
      </c>
      <c r="T32" s="27" t="str">
        <f aca="false">IF($A32="","",ROUND(SUM(J32:S32),2))</f>
        <v/>
      </c>
      <c r="U32" s="27" t="str">
        <f aca="false">IF($A32="","",ROUND($F32-T32,2))</f>
        <v/>
      </c>
      <c r="V32" s="43" t="str">
        <f aca="false">IF($A32="","",IF($D32="设备","⚠ 设备请在仪器设备工时费用分配表登记",IF($W32=0,"⚠ 工时分配表无此资产当月记录",IF($X32&gt;1,"⚠ 工时分配表存在重复行","√ 正常"))))</f>
        <v/>
      </c>
      <c r="W32" s="47" t="n">
        <f aca="false">IF($A32="",0,IFERROR(MATCH($A32&amp;"|"&amp;$B32,无形资产工时分配表!$V$6:$V$125,0),0))</f>
        <v>0</v>
      </c>
      <c r="X32" s="47" t="n">
        <f aca="false">IF($A32="",0,COUNTIFS(无形资产工时分配表!$A$6:$A$125,$A32,无形资产工时分配表!$B$6:$B$125,$B32))</f>
        <v>0</v>
      </c>
    </row>
    <row r="33" customFormat="false" ht="18" hidden="false" customHeight="true" outlineLevel="0" collapsed="false">
      <c r="A33" s="36"/>
      <c r="B33" s="36"/>
      <c r="C33" s="48" t="str">
        <f aca="false">IF($B33="","",IFERROR(VLOOKUP($B33,资产台账!$B$4:$N$53,2,0)&amp;"","台账中未登记"))</f>
        <v/>
      </c>
      <c r="D33" s="43" t="str">
        <f aca="false">IF($B33="","",IFERROR(VLOOKUP($B33,资产台账!$B$4:$N$53,3,0)&amp;"",""))</f>
        <v/>
      </c>
      <c r="E33" s="43" t="str">
        <f aca="false">IF($B33="","",IFERROR(VLOOKUP($B33,资产台账!$B$4:$N$53,10,0)&amp;"",""))</f>
        <v/>
      </c>
      <c r="F33" s="49" t="str">
        <f aca="false">IF($B33="","",IFERROR(VLOOKUP($B33,资产台账!$B$4:$N$53,9,0),0))</f>
        <v/>
      </c>
      <c r="G33" s="45" t="n">
        <f aca="false">IF(OR($A33="",$W33=0),0,INDEX(无形资产工时分配表!$F$6:$F$125,$W33))</f>
        <v>0</v>
      </c>
      <c r="H33" s="45" t="n">
        <f aca="false">IF(OR($A33="",$W33=0),0,INDEX(无形资产工时分配表!$R$6:$R$125,$W33))</f>
        <v>0</v>
      </c>
      <c r="I33" s="28" t="str">
        <f aca="false">IF(OR($A33="",$G33=0),"",$H33/$G33)</f>
        <v/>
      </c>
      <c r="J33" s="27" t="str">
        <f aca="false">IF(OR($A33="",$G33=0),"",ROUND($F33*INDEX(无形资产工时分配表!$H$6:$H$125,$W33)/$G33,2))</f>
        <v/>
      </c>
      <c r="K33" s="27" t="str">
        <f aca="false">IF(OR($A33="",$G33=0),"",ROUND($F33*INDEX(无形资产工时分配表!$I$6:$I$125,$W33)/$G33,2))</f>
        <v/>
      </c>
      <c r="L33" s="27" t="str">
        <f aca="false">IF(OR($A33="",$G33=0),"",ROUND($F33*INDEX(无形资产工时分配表!$J$6:$J$125,$W33)/$G33,2))</f>
        <v/>
      </c>
      <c r="M33" s="27" t="str">
        <f aca="false">IF(OR($A33="",$G33=0),"",ROUND($F33*INDEX(无形资产工时分配表!$K$6:$K$125,$W33)/$G33,2))</f>
        <v/>
      </c>
      <c r="N33" s="27" t="str">
        <f aca="false">IF(OR($A33="",$G33=0),"",ROUND($F33*INDEX(无形资产工时分配表!$L$6:$L$125,$W33)/$G33,2))</f>
        <v/>
      </c>
      <c r="O33" s="27" t="str">
        <f aca="false">IF(OR($A33="",$G33=0),"",ROUND($F33*INDEX(无形资产工时分配表!$M$6:$M$125,$W33)/$G33,2))</f>
        <v/>
      </c>
      <c r="P33" s="27" t="str">
        <f aca="false">IF(OR($A33="",$G33=0),"",ROUND($F33*INDEX(无形资产工时分配表!$N$6:$N$125,$W33)/$G33,2))</f>
        <v/>
      </c>
      <c r="Q33" s="27" t="str">
        <f aca="false">IF(OR($A33="",$G33=0),"",ROUND($F33*INDEX(无形资产工时分配表!$O$6:$O$125,$W33)/$G33,2))</f>
        <v/>
      </c>
      <c r="R33" s="27" t="str">
        <f aca="false">IF(OR($A33="",$G33=0),"",ROUND($F33*INDEX(无形资产工时分配表!$P$6:$P$125,$W33)/$G33,2))</f>
        <v/>
      </c>
      <c r="S33" s="27" t="str">
        <f aca="false">IF(OR($A33="",$G33=0),"",ROUND($F33*INDEX(无形资产工时分配表!$Q$6:$Q$125,$W33)/$G33,2))</f>
        <v/>
      </c>
      <c r="T33" s="27" t="str">
        <f aca="false">IF($A33="","",ROUND(SUM(J33:S33),2))</f>
        <v/>
      </c>
      <c r="U33" s="27" t="str">
        <f aca="false">IF($A33="","",ROUND($F33-T33,2))</f>
        <v/>
      </c>
      <c r="V33" s="43" t="str">
        <f aca="false">IF($A33="","",IF($D33="设备","⚠ 设备请在仪器设备工时费用分配表登记",IF($W33=0,"⚠ 工时分配表无此资产当月记录",IF($X33&gt;1,"⚠ 工时分配表存在重复行","√ 正常"))))</f>
        <v/>
      </c>
      <c r="W33" s="47" t="n">
        <f aca="false">IF($A33="",0,IFERROR(MATCH($A33&amp;"|"&amp;$B33,无形资产工时分配表!$V$6:$V$125,0),0))</f>
        <v>0</v>
      </c>
      <c r="X33" s="47" t="n">
        <f aca="false">IF($A33="",0,COUNTIFS(无形资产工时分配表!$A$6:$A$125,$A33,无形资产工时分配表!$B$6:$B$125,$B33))</f>
        <v>0</v>
      </c>
    </row>
    <row r="34" customFormat="false" ht="18" hidden="false" customHeight="true" outlineLevel="0" collapsed="false">
      <c r="A34" s="36"/>
      <c r="B34" s="36"/>
      <c r="C34" s="48" t="str">
        <f aca="false">IF($B34="","",IFERROR(VLOOKUP($B34,资产台账!$B$4:$N$53,2,0)&amp;"","台账中未登记"))</f>
        <v/>
      </c>
      <c r="D34" s="43" t="str">
        <f aca="false">IF($B34="","",IFERROR(VLOOKUP($B34,资产台账!$B$4:$N$53,3,0)&amp;"",""))</f>
        <v/>
      </c>
      <c r="E34" s="43" t="str">
        <f aca="false">IF($B34="","",IFERROR(VLOOKUP($B34,资产台账!$B$4:$N$53,10,0)&amp;"",""))</f>
        <v/>
      </c>
      <c r="F34" s="49" t="str">
        <f aca="false">IF($B34="","",IFERROR(VLOOKUP($B34,资产台账!$B$4:$N$53,9,0),0))</f>
        <v/>
      </c>
      <c r="G34" s="45" t="n">
        <f aca="false">IF(OR($A34="",$W34=0),0,INDEX(无形资产工时分配表!$F$6:$F$125,$W34))</f>
        <v>0</v>
      </c>
      <c r="H34" s="45" t="n">
        <f aca="false">IF(OR($A34="",$W34=0),0,INDEX(无形资产工时分配表!$R$6:$R$125,$W34))</f>
        <v>0</v>
      </c>
      <c r="I34" s="28" t="str">
        <f aca="false">IF(OR($A34="",$G34=0),"",$H34/$G34)</f>
        <v/>
      </c>
      <c r="J34" s="27" t="str">
        <f aca="false">IF(OR($A34="",$G34=0),"",ROUND($F34*INDEX(无形资产工时分配表!$H$6:$H$125,$W34)/$G34,2))</f>
        <v/>
      </c>
      <c r="K34" s="27" t="str">
        <f aca="false">IF(OR($A34="",$G34=0),"",ROUND($F34*INDEX(无形资产工时分配表!$I$6:$I$125,$W34)/$G34,2))</f>
        <v/>
      </c>
      <c r="L34" s="27" t="str">
        <f aca="false">IF(OR($A34="",$G34=0),"",ROUND($F34*INDEX(无形资产工时分配表!$J$6:$J$125,$W34)/$G34,2))</f>
        <v/>
      </c>
      <c r="M34" s="27" t="str">
        <f aca="false">IF(OR($A34="",$G34=0),"",ROUND($F34*INDEX(无形资产工时分配表!$K$6:$K$125,$W34)/$G34,2))</f>
        <v/>
      </c>
      <c r="N34" s="27" t="str">
        <f aca="false">IF(OR($A34="",$G34=0),"",ROUND($F34*INDEX(无形资产工时分配表!$L$6:$L$125,$W34)/$G34,2))</f>
        <v/>
      </c>
      <c r="O34" s="27" t="str">
        <f aca="false">IF(OR($A34="",$G34=0),"",ROUND($F34*INDEX(无形资产工时分配表!$M$6:$M$125,$W34)/$G34,2))</f>
        <v/>
      </c>
      <c r="P34" s="27" t="str">
        <f aca="false">IF(OR($A34="",$G34=0),"",ROUND($F34*INDEX(无形资产工时分配表!$N$6:$N$125,$W34)/$G34,2))</f>
        <v/>
      </c>
      <c r="Q34" s="27" t="str">
        <f aca="false">IF(OR($A34="",$G34=0),"",ROUND($F34*INDEX(无形资产工时分配表!$O$6:$O$125,$W34)/$G34,2))</f>
        <v/>
      </c>
      <c r="R34" s="27" t="str">
        <f aca="false">IF(OR($A34="",$G34=0),"",ROUND($F34*INDEX(无形资产工时分配表!$P$6:$P$125,$W34)/$G34,2))</f>
        <v/>
      </c>
      <c r="S34" s="27" t="str">
        <f aca="false">IF(OR($A34="",$G34=0),"",ROUND($F34*INDEX(无形资产工时分配表!$Q$6:$Q$125,$W34)/$G34,2))</f>
        <v/>
      </c>
      <c r="T34" s="27" t="str">
        <f aca="false">IF($A34="","",ROUND(SUM(J34:S34),2))</f>
        <v/>
      </c>
      <c r="U34" s="27" t="str">
        <f aca="false">IF($A34="","",ROUND($F34-T34,2))</f>
        <v/>
      </c>
      <c r="V34" s="43" t="str">
        <f aca="false">IF($A34="","",IF($D34="设备","⚠ 设备请在仪器设备工时费用分配表登记",IF($W34=0,"⚠ 工时分配表无此资产当月记录",IF($X34&gt;1,"⚠ 工时分配表存在重复行","√ 正常"))))</f>
        <v/>
      </c>
      <c r="W34" s="47" t="n">
        <f aca="false">IF($A34="",0,IFERROR(MATCH($A34&amp;"|"&amp;$B34,无形资产工时分配表!$V$6:$V$125,0),0))</f>
        <v>0</v>
      </c>
      <c r="X34" s="47" t="n">
        <f aca="false">IF($A34="",0,COUNTIFS(无形资产工时分配表!$A$6:$A$125,$A34,无形资产工时分配表!$B$6:$B$125,$B34))</f>
        <v>0</v>
      </c>
    </row>
    <row r="35" customFormat="false" ht="18" hidden="false" customHeight="true" outlineLevel="0" collapsed="false">
      <c r="A35" s="36"/>
      <c r="B35" s="36"/>
      <c r="C35" s="48" t="str">
        <f aca="false">IF($B35="","",IFERROR(VLOOKUP($B35,资产台账!$B$4:$N$53,2,0)&amp;"","台账中未登记"))</f>
        <v/>
      </c>
      <c r="D35" s="43" t="str">
        <f aca="false">IF($B35="","",IFERROR(VLOOKUP($B35,资产台账!$B$4:$N$53,3,0)&amp;"",""))</f>
        <v/>
      </c>
      <c r="E35" s="43" t="str">
        <f aca="false">IF($B35="","",IFERROR(VLOOKUP($B35,资产台账!$B$4:$N$53,10,0)&amp;"",""))</f>
        <v/>
      </c>
      <c r="F35" s="49" t="str">
        <f aca="false">IF($B35="","",IFERROR(VLOOKUP($B35,资产台账!$B$4:$N$53,9,0),0))</f>
        <v/>
      </c>
      <c r="G35" s="45" t="n">
        <f aca="false">IF(OR($A35="",$W35=0),0,INDEX(无形资产工时分配表!$F$6:$F$125,$W35))</f>
        <v>0</v>
      </c>
      <c r="H35" s="45" t="n">
        <f aca="false">IF(OR($A35="",$W35=0),0,INDEX(无形资产工时分配表!$R$6:$R$125,$W35))</f>
        <v>0</v>
      </c>
      <c r="I35" s="28" t="str">
        <f aca="false">IF(OR($A35="",$G35=0),"",$H35/$G35)</f>
        <v/>
      </c>
      <c r="J35" s="27" t="str">
        <f aca="false">IF(OR($A35="",$G35=0),"",ROUND($F35*INDEX(无形资产工时分配表!$H$6:$H$125,$W35)/$G35,2))</f>
        <v/>
      </c>
      <c r="K35" s="27" t="str">
        <f aca="false">IF(OR($A35="",$G35=0),"",ROUND($F35*INDEX(无形资产工时分配表!$I$6:$I$125,$W35)/$G35,2))</f>
        <v/>
      </c>
      <c r="L35" s="27" t="str">
        <f aca="false">IF(OR($A35="",$G35=0),"",ROUND($F35*INDEX(无形资产工时分配表!$J$6:$J$125,$W35)/$G35,2))</f>
        <v/>
      </c>
      <c r="M35" s="27" t="str">
        <f aca="false">IF(OR($A35="",$G35=0),"",ROUND($F35*INDEX(无形资产工时分配表!$K$6:$K$125,$W35)/$G35,2))</f>
        <v/>
      </c>
      <c r="N35" s="27" t="str">
        <f aca="false">IF(OR($A35="",$G35=0),"",ROUND($F35*INDEX(无形资产工时分配表!$L$6:$L$125,$W35)/$G35,2))</f>
        <v/>
      </c>
      <c r="O35" s="27" t="str">
        <f aca="false">IF(OR($A35="",$G35=0),"",ROUND($F35*INDEX(无形资产工时分配表!$M$6:$M$125,$W35)/$G35,2))</f>
        <v/>
      </c>
      <c r="P35" s="27" t="str">
        <f aca="false">IF(OR($A35="",$G35=0),"",ROUND($F35*INDEX(无形资产工时分配表!$N$6:$N$125,$W35)/$G35,2))</f>
        <v/>
      </c>
      <c r="Q35" s="27" t="str">
        <f aca="false">IF(OR($A35="",$G35=0),"",ROUND($F35*INDEX(无形资产工时分配表!$O$6:$O$125,$W35)/$G35,2))</f>
        <v/>
      </c>
      <c r="R35" s="27" t="str">
        <f aca="false">IF(OR($A35="",$G35=0),"",ROUND($F35*INDEX(无形资产工时分配表!$P$6:$P$125,$W35)/$G35,2))</f>
        <v/>
      </c>
      <c r="S35" s="27" t="str">
        <f aca="false">IF(OR($A35="",$G35=0),"",ROUND($F35*INDEX(无形资产工时分配表!$Q$6:$Q$125,$W35)/$G35,2))</f>
        <v/>
      </c>
      <c r="T35" s="27" t="str">
        <f aca="false">IF($A35="","",ROUND(SUM(J35:S35),2))</f>
        <v/>
      </c>
      <c r="U35" s="27" t="str">
        <f aca="false">IF($A35="","",ROUND($F35-T35,2))</f>
        <v/>
      </c>
      <c r="V35" s="43" t="str">
        <f aca="false">IF($A35="","",IF($D35="设备","⚠ 设备请在仪器设备工时费用分配表登记",IF($W35=0,"⚠ 工时分配表无此资产当月记录",IF($X35&gt;1,"⚠ 工时分配表存在重复行","√ 正常"))))</f>
        <v/>
      </c>
      <c r="W35" s="47" t="n">
        <f aca="false">IF($A35="",0,IFERROR(MATCH($A35&amp;"|"&amp;$B35,无形资产工时分配表!$V$6:$V$125,0),0))</f>
        <v>0</v>
      </c>
      <c r="X35" s="47" t="n">
        <f aca="false">IF($A35="",0,COUNTIFS(无形资产工时分配表!$A$6:$A$125,$A35,无形资产工时分配表!$B$6:$B$125,$B35))</f>
        <v>0</v>
      </c>
    </row>
    <row r="36" customFormat="false" ht="18" hidden="false" customHeight="true" outlineLevel="0" collapsed="false">
      <c r="A36" s="36"/>
      <c r="B36" s="36"/>
      <c r="C36" s="48" t="str">
        <f aca="false">IF($B36="","",IFERROR(VLOOKUP($B36,资产台账!$B$4:$N$53,2,0)&amp;"","台账中未登记"))</f>
        <v/>
      </c>
      <c r="D36" s="43" t="str">
        <f aca="false">IF($B36="","",IFERROR(VLOOKUP($B36,资产台账!$B$4:$N$53,3,0)&amp;"",""))</f>
        <v/>
      </c>
      <c r="E36" s="43" t="str">
        <f aca="false">IF($B36="","",IFERROR(VLOOKUP($B36,资产台账!$B$4:$N$53,10,0)&amp;"",""))</f>
        <v/>
      </c>
      <c r="F36" s="49" t="str">
        <f aca="false">IF($B36="","",IFERROR(VLOOKUP($B36,资产台账!$B$4:$N$53,9,0),0))</f>
        <v/>
      </c>
      <c r="G36" s="45" t="n">
        <f aca="false">IF(OR($A36="",$W36=0),0,INDEX(无形资产工时分配表!$F$6:$F$125,$W36))</f>
        <v>0</v>
      </c>
      <c r="H36" s="45" t="n">
        <f aca="false">IF(OR($A36="",$W36=0),0,INDEX(无形资产工时分配表!$R$6:$R$125,$W36))</f>
        <v>0</v>
      </c>
      <c r="I36" s="28" t="str">
        <f aca="false">IF(OR($A36="",$G36=0),"",$H36/$G36)</f>
        <v/>
      </c>
      <c r="J36" s="27" t="str">
        <f aca="false">IF(OR($A36="",$G36=0),"",ROUND($F36*INDEX(无形资产工时分配表!$H$6:$H$125,$W36)/$G36,2))</f>
        <v/>
      </c>
      <c r="K36" s="27" t="str">
        <f aca="false">IF(OR($A36="",$G36=0),"",ROUND($F36*INDEX(无形资产工时分配表!$I$6:$I$125,$W36)/$G36,2))</f>
        <v/>
      </c>
      <c r="L36" s="27" t="str">
        <f aca="false">IF(OR($A36="",$G36=0),"",ROUND($F36*INDEX(无形资产工时分配表!$J$6:$J$125,$W36)/$G36,2))</f>
        <v/>
      </c>
      <c r="M36" s="27" t="str">
        <f aca="false">IF(OR($A36="",$G36=0),"",ROUND($F36*INDEX(无形资产工时分配表!$K$6:$K$125,$W36)/$G36,2))</f>
        <v/>
      </c>
      <c r="N36" s="27" t="str">
        <f aca="false">IF(OR($A36="",$G36=0),"",ROUND($F36*INDEX(无形资产工时分配表!$L$6:$L$125,$W36)/$G36,2))</f>
        <v/>
      </c>
      <c r="O36" s="27" t="str">
        <f aca="false">IF(OR($A36="",$G36=0),"",ROUND($F36*INDEX(无形资产工时分配表!$M$6:$M$125,$W36)/$G36,2))</f>
        <v/>
      </c>
      <c r="P36" s="27" t="str">
        <f aca="false">IF(OR($A36="",$G36=0),"",ROUND($F36*INDEX(无形资产工时分配表!$N$6:$N$125,$W36)/$G36,2))</f>
        <v/>
      </c>
      <c r="Q36" s="27" t="str">
        <f aca="false">IF(OR($A36="",$G36=0),"",ROUND($F36*INDEX(无形资产工时分配表!$O$6:$O$125,$W36)/$G36,2))</f>
        <v/>
      </c>
      <c r="R36" s="27" t="str">
        <f aca="false">IF(OR($A36="",$G36=0),"",ROUND($F36*INDEX(无形资产工时分配表!$P$6:$P$125,$W36)/$G36,2))</f>
        <v/>
      </c>
      <c r="S36" s="27" t="str">
        <f aca="false">IF(OR($A36="",$G36=0),"",ROUND($F36*INDEX(无形资产工时分配表!$Q$6:$Q$125,$W36)/$G36,2))</f>
        <v/>
      </c>
      <c r="T36" s="27" t="str">
        <f aca="false">IF($A36="","",ROUND(SUM(J36:S36),2))</f>
        <v/>
      </c>
      <c r="U36" s="27" t="str">
        <f aca="false">IF($A36="","",ROUND($F36-T36,2))</f>
        <v/>
      </c>
      <c r="V36" s="43" t="str">
        <f aca="false">IF($A36="","",IF($D36="设备","⚠ 设备请在仪器设备工时费用分配表登记",IF($W36=0,"⚠ 工时分配表无此资产当月记录",IF($X36&gt;1,"⚠ 工时分配表存在重复行","√ 正常"))))</f>
        <v/>
      </c>
      <c r="W36" s="47" t="n">
        <f aca="false">IF($A36="",0,IFERROR(MATCH($A36&amp;"|"&amp;$B36,无形资产工时分配表!$V$6:$V$125,0),0))</f>
        <v>0</v>
      </c>
      <c r="X36" s="47" t="n">
        <f aca="false">IF($A36="",0,COUNTIFS(无形资产工时分配表!$A$6:$A$125,$A36,无形资产工时分配表!$B$6:$B$125,$B36))</f>
        <v>0</v>
      </c>
    </row>
    <row r="37" customFormat="false" ht="18" hidden="false" customHeight="true" outlineLevel="0" collapsed="false">
      <c r="A37" s="36"/>
      <c r="B37" s="36"/>
      <c r="C37" s="48" t="str">
        <f aca="false">IF($B37="","",IFERROR(VLOOKUP($B37,资产台账!$B$4:$N$53,2,0)&amp;"","台账中未登记"))</f>
        <v/>
      </c>
      <c r="D37" s="43" t="str">
        <f aca="false">IF($B37="","",IFERROR(VLOOKUP($B37,资产台账!$B$4:$N$53,3,0)&amp;"",""))</f>
        <v/>
      </c>
      <c r="E37" s="43" t="str">
        <f aca="false">IF($B37="","",IFERROR(VLOOKUP($B37,资产台账!$B$4:$N$53,10,0)&amp;"",""))</f>
        <v/>
      </c>
      <c r="F37" s="49" t="str">
        <f aca="false">IF($B37="","",IFERROR(VLOOKUP($B37,资产台账!$B$4:$N$53,9,0),0))</f>
        <v/>
      </c>
      <c r="G37" s="45" t="n">
        <f aca="false">IF(OR($A37="",$W37=0),0,INDEX(无形资产工时分配表!$F$6:$F$125,$W37))</f>
        <v>0</v>
      </c>
      <c r="H37" s="45" t="n">
        <f aca="false">IF(OR($A37="",$W37=0),0,INDEX(无形资产工时分配表!$R$6:$R$125,$W37))</f>
        <v>0</v>
      </c>
      <c r="I37" s="28" t="str">
        <f aca="false">IF(OR($A37="",$G37=0),"",$H37/$G37)</f>
        <v/>
      </c>
      <c r="J37" s="27" t="str">
        <f aca="false">IF(OR($A37="",$G37=0),"",ROUND($F37*INDEX(无形资产工时分配表!$H$6:$H$125,$W37)/$G37,2))</f>
        <v/>
      </c>
      <c r="K37" s="27" t="str">
        <f aca="false">IF(OR($A37="",$G37=0),"",ROUND($F37*INDEX(无形资产工时分配表!$I$6:$I$125,$W37)/$G37,2))</f>
        <v/>
      </c>
      <c r="L37" s="27" t="str">
        <f aca="false">IF(OR($A37="",$G37=0),"",ROUND($F37*INDEX(无形资产工时分配表!$J$6:$J$125,$W37)/$G37,2))</f>
        <v/>
      </c>
      <c r="M37" s="27" t="str">
        <f aca="false">IF(OR($A37="",$G37=0),"",ROUND($F37*INDEX(无形资产工时分配表!$K$6:$K$125,$W37)/$G37,2))</f>
        <v/>
      </c>
      <c r="N37" s="27" t="str">
        <f aca="false">IF(OR($A37="",$G37=0),"",ROUND($F37*INDEX(无形资产工时分配表!$L$6:$L$125,$W37)/$G37,2))</f>
        <v/>
      </c>
      <c r="O37" s="27" t="str">
        <f aca="false">IF(OR($A37="",$G37=0),"",ROUND($F37*INDEX(无形资产工时分配表!$M$6:$M$125,$W37)/$G37,2))</f>
        <v/>
      </c>
      <c r="P37" s="27" t="str">
        <f aca="false">IF(OR($A37="",$G37=0),"",ROUND($F37*INDEX(无形资产工时分配表!$N$6:$N$125,$W37)/$G37,2))</f>
        <v/>
      </c>
      <c r="Q37" s="27" t="str">
        <f aca="false">IF(OR($A37="",$G37=0),"",ROUND($F37*INDEX(无形资产工时分配表!$O$6:$O$125,$W37)/$G37,2))</f>
        <v/>
      </c>
      <c r="R37" s="27" t="str">
        <f aca="false">IF(OR($A37="",$G37=0),"",ROUND($F37*INDEX(无形资产工时分配表!$P$6:$P$125,$W37)/$G37,2))</f>
        <v/>
      </c>
      <c r="S37" s="27" t="str">
        <f aca="false">IF(OR($A37="",$G37=0),"",ROUND($F37*INDEX(无形资产工时分配表!$Q$6:$Q$125,$W37)/$G37,2))</f>
        <v/>
      </c>
      <c r="T37" s="27" t="str">
        <f aca="false">IF($A37="","",ROUND(SUM(J37:S37),2))</f>
        <v/>
      </c>
      <c r="U37" s="27" t="str">
        <f aca="false">IF($A37="","",ROUND($F37-T37,2))</f>
        <v/>
      </c>
      <c r="V37" s="43" t="str">
        <f aca="false">IF($A37="","",IF($D37="设备","⚠ 设备请在仪器设备工时费用分配表登记",IF($W37=0,"⚠ 工时分配表无此资产当月记录",IF($X37&gt;1,"⚠ 工时分配表存在重复行","√ 正常"))))</f>
        <v/>
      </c>
      <c r="W37" s="47" t="n">
        <f aca="false">IF($A37="",0,IFERROR(MATCH($A37&amp;"|"&amp;$B37,无形资产工时分配表!$V$6:$V$125,0),0))</f>
        <v>0</v>
      </c>
      <c r="X37" s="47" t="n">
        <f aca="false">IF($A37="",0,COUNTIFS(无形资产工时分配表!$A$6:$A$125,$A37,无形资产工时分配表!$B$6:$B$125,$B37))</f>
        <v>0</v>
      </c>
    </row>
    <row r="38" customFormat="false" ht="18" hidden="false" customHeight="true" outlineLevel="0" collapsed="false">
      <c r="A38" s="36"/>
      <c r="B38" s="36"/>
      <c r="C38" s="48" t="str">
        <f aca="false">IF($B38="","",IFERROR(VLOOKUP($B38,资产台账!$B$4:$N$53,2,0)&amp;"","台账中未登记"))</f>
        <v/>
      </c>
      <c r="D38" s="43" t="str">
        <f aca="false">IF($B38="","",IFERROR(VLOOKUP($B38,资产台账!$B$4:$N$53,3,0)&amp;"",""))</f>
        <v/>
      </c>
      <c r="E38" s="43" t="str">
        <f aca="false">IF($B38="","",IFERROR(VLOOKUP($B38,资产台账!$B$4:$N$53,10,0)&amp;"",""))</f>
        <v/>
      </c>
      <c r="F38" s="49" t="str">
        <f aca="false">IF($B38="","",IFERROR(VLOOKUP($B38,资产台账!$B$4:$N$53,9,0),0))</f>
        <v/>
      </c>
      <c r="G38" s="45" t="n">
        <f aca="false">IF(OR($A38="",$W38=0),0,INDEX(无形资产工时分配表!$F$6:$F$125,$W38))</f>
        <v>0</v>
      </c>
      <c r="H38" s="45" t="n">
        <f aca="false">IF(OR($A38="",$W38=0),0,INDEX(无形资产工时分配表!$R$6:$R$125,$W38))</f>
        <v>0</v>
      </c>
      <c r="I38" s="28" t="str">
        <f aca="false">IF(OR($A38="",$G38=0),"",$H38/$G38)</f>
        <v/>
      </c>
      <c r="J38" s="27" t="str">
        <f aca="false">IF(OR($A38="",$G38=0),"",ROUND($F38*INDEX(无形资产工时分配表!$H$6:$H$125,$W38)/$G38,2))</f>
        <v/>
      </c>
      <c r="K38" s="27" t="str">
        <f aca="false">IF(OR($A38="",$G38=0),"",ROUND($F38*INDEX(无形资产工时分配表!$I$6:$I$125,$W38)/$G38,2))</f>
        <v/>
      </c>
      <c r="L38" s="27" t="str">
        <f aca="false">IF(OR($A38="",$G38=0),"",ROUND($F38*INDEX(无形资产工时分配表!$J$6:$J$125,$W38)/$G38,2))</f>
        <v/>
      </c>
      <c r="M38" s="27" t="str">
        <f aca="false">IF(OR($A38="",$G38=0),"",ROUND($F38*INDEX(无形资产工时分配表!$K$6:$K$125,$W38)/$G38,2))</f>
        <v/>
      </c>
      <c r="N38" s="27" t="str">
        <f aca="false">IF(OR($A38="",$G38=0),"",ROUND($F38*INDEX(无形资产工时分配表!$L$6:$L$125,$W38)/$G38,2))</f>
        <v/>
      </c>
      <c r="O38" s="27" t="str">
        <f aca="false">IF(OR($A38="",$G38=0),"",ROUND($F38*INDEX(无形资产工时分配表!$M$6:$M$125,$W38)/$G38,2))</f>
        <v/>
      </c>
      <c r="P38" s="27" t="str">
        <f aca="false">IF(OR($A38="",$G38=0),"",ROUND($F38*INDEX(无形资产工时分配表!$N$6:$N$125,$W38)/$G38,2))</f>
        <v/>
      </c>
      <c r="Q38" s="27" t="str">
        <f aca="false">IF(OR($A38="",$G38=0),"",ROUND($F38*INDEX(无形资产工时分配表!$O$6:$O$125,$W38)/$G38,2))</f>
        <v/>
      </c>
      <c r="R38" s="27" t="str">
        <f aca="false">IF(OR($A38="",$G38=0),"",ROUND($F38*INDEX(无形资产工时分配表!$P$6:$P$125,$W38)/$G38,2))</f>
        <v/>
      </c>
      <c r="S38" s="27" t="str">
        <f aca="false">IF(OR($A38="",$G38=0),"",ROUND($F38*INDEX(无形资产工时分配表!$Q$6:$Q$125,$W38)/$G38,2))</f>
        <v/>
      </c>
      <c r="T38" s="27" t="str">
        <f aca="false">IF($A38="","",ROUND(SUM(J38:S38),2))</f>
        <v/>
      </c>
      <c r="U38" s="27" t="str">
        <f aca="false">IF($A38="","",ROUND($F38-T38,2))</f>
        <v/>
      </c>
      <c r="V38" s="43" t="str">
        <f aca="false">IF($A38="","",IF($D38="设备","⚠ 设备请在仪器设备工时费用分配表登记",IF($W38=0,"⚠ 工时分配表无此资产当月记录",IF($X38&gt;1,"⚠ 工时分配表存在重复行","√ 正常"))))</f>
        <v/>
      </c>
      <c r="W38" s="47" t="n">
        <f aca="false">IF($A38="",0,IFERROR(MATCH($A38&amp;"|"&amp;$B38,无形资产工时分配表!$V$6:$V$125,0),0))</f>
        <v>0</v>
      </c>
      <c r="X38" s="47" t="n">
        <f aca="false">IF($A38="",0,COUNTIFS(无形资产工时分配表!$A$6:$A$125,$A38,无形资产工时分配表!$B$6:$B$125,$B38))</f>
        <v>0</v>
      </c>
    </row>
    <row r="39" customFormat="false" ht="18" hidden="false" customHeight="true" outlineLevel="0" collapsed="false">
      <c r="A39" s="36"/>
      <c r="B39" s="36"/>
      <c r="C39" s="48" t="str">
        <f aca="false">IF($B39="","",IFERROR(VLOOKUP($B39,资产台账!$B$4:$N$53,2,0)&amp;"","台账中未登记"))</f>
        <v/>
      </c>
      <c r="D39" s="43" t="str">
        <f aca="false">IF($B39="","",IFERROR(VLOOKUP($B39,资产台账!$B$4:$N$53,3,0)&amp;"",""))</f>
        <v/>
      </c>
      <c r="E39" s="43" t="str">
        <f aca="false">IF($B39="","",IFERROR(VLOOKUP($B39,资产台账!$B$4:$N$53,10,0)&amp;"",""))</f>
        <v/>
      </c>
      <c r="F39" s="49" t="str">
        <f aca="false">IF($B39="","",IFERROR(VLOOKUP($B39,资产台账!$B$4:$N$53,9,0),0))</f>
        <v/>
      </c>
      <c r="G39" s="45" t="n">
        <f aca="false">IF(OR($A39="",$W39=0),0,INDEX(无形资产工时分配表!$F$6:$F$125,$W39))</f>
        <v>0</v>
      </c>
      <c r="H39" s="45" t="n">
        <f aca="false">IF(OR($A39="",$W39=0),0,INDEX(无形资产工时分配表!$R$6:$R$125,$W39))</f>
        <v>0</v>
      </c>
      <c r="I39" s="28" t="str">
        <f aca="false">IF(OR($A39="",$G39=0),"",$H39/$G39)</f>
        <v/>
      </c>
      <c r="J39" s="27" t="str">
        <f aca="false">IF(OR($A39="",$G39=0),"",ROUND($F39*INDEX(无形资产工时分配表!$H$6:$H$125,$W39)/$G39,2))</f>
        <v/>
      </c>
      <c r="K39" s="27" t="str">
        <f aca="false">IF(OR($A39="",$G39=0),"",ROUND($F39*INDEX(无形资产工时分配表!$I$6:$I$125,$W39)/$G39,2))</f>
        <v/>
      </c>
      <c r="L39" s="27" t="str">
        <f aca="false">IF(OR($A39="",$G39=0),"",ROUND($F39*INDEX(无形资产工时分配表!$J$6:$J$125,$W39)/$G39,2))</f>
        <v/>
      </c>
      <c r="M39" s="27" t="str">
        <f aca="false">IF(OR($A39="",$G39=0),"",ROUND($F39*INDEX(无形资产工时分配表!$K$6:$K$125,$W39)/$G39,2))</f>
        <v/>
      </c>
      <c r="N39" s="27" t="str">
        <f aca="false">IF(OR($A39="",$G39=0),"",ROUND($F39*INDEX(无形资产工时分配表!$L$6:$L$125,$W39)/$G39,2))</f>
        <v/>
      </c>
      <c r="O39" s="27" t="str">
        <f aca="false">IF(OR($A39="",$G39=0),"",ROUND($F39*INDEX(无形资产工时分配表!$M$6:$M$125,$W39)/$G39,2))</f>
        <v/>
      </c>
      <c r="P39" s="27" t="str">
        <f aca="false">IF(OR($A39="",$G39=0),"",ROUND($F39*INDEX(无形资产工时分配表!$N$6:$N$125,$W39)/$G39,2))</f>
        <v/>
      </c>
      <c r="Q39" s="27" t="str">
        <f aca="false">IF(OR($A39="",$G39=0),"",ROUND($F39*INDEX(无形资产工时分配表!$O$6:$O$125,$W39)/$G39,2))</f>
        <v/>
      </c>
      <c r="R39" s="27" t="str">
        <f aca="false">IF(OR($A39="",$G39=0),"",ROUND($F39*INDEX(无形资产工时分配表!$P$6:$P$125,$W39)/$G39,2))</f>
        <v/>
      </c>
      <c r="S39" s="27" t="str">
        <f aca="false">IF(OR($A39="",$G39=0),"",ROUND($F39*INDEX(无形资产工时分配表!$Q$6:$Q$125,$W39)/$G39,2))</f>
        <v/>
      </c>
      <c r="T39" s="27" t="str">
        <f aca="false">IF($A39="","",ROUND(SUM(J39:S39),2))</f>
        <v/>
      </c>
      <c r="U39" s="27" t="str">
        <f aca="false">IF($A39="","",ROUND($F39-T39,2))</f>
        <v/>
      </c>
      <c r="V39" s="43" t="str">
        <f aca="false">IF($A39="","",IF($D39="设备","⚠ 设备请在仪器设备工时费用分配表登记",IF($W39=0,"⚠ 工时分配表无此资产当月记录",IF($X39&gt;1,"⚠ 工时分配表存在重复行","√ 正常"))))</f>
        <v/>
      </c>
      <c r="W39" s="47" t="n">
        <f aca="false">IF($A39="",0,IFERROR(MATCH($A39&amp;"|"&amp;$B39,无形资产工时分配表!$V$6:$V$125,0),0))</f>
        <v>0</v>
      </c>
      <c r="X39" s="47" t="n">
        <f aca="false">IF($A39="",0,COUNTIFS(无形资产工时分配表!$A$6:$A$125,$A39,无形资产工时分配表!$B$6:$B$125,$B39))</f>
        <v>0</v>
      </c>
    </row>
    <row r="40" customFormat="false" ht="18" hidden="false" customHeight="true" outlineLevel="0" collapsed="false">
      <c r="A40" s="36"/>
      <c r="B40" s="36"/>
      <c r="C40" s="48" t="str">
        <f aca="false">IF($B40="","",IFERROR(VLOOKUP($B40,资产台账!$B$4:$N$53,2,0)&amp;"","台账中未登记"))</f>
        <v/>
      </c>
      <c r="D40" s="43" t="str">
        <f aca="false">IF($B40="","",IFERROR(VLOOKUP($B40,资产台账!$B$4:$N$53,3,0)&amp;"",""))</f>
        <v/>
      </c>
      <c r="E40" s="43" t="str">
        <f aca="false">IF($B40="","",IFERROR(VLOOKUP($B40,资产台账!$B$4:$N$53,10,0)&amp;"",""))</f>
        <v/>
      </c>
      <c r="F40" s="49" t="str">
        <f aca="false">IF($B40="","",IFERROR(VLOOKUP($B40,资产台账!$B$4:$N$53,9,0),0))</f>
        <v/>
      </c>
      <c r="G40" s="45" t="n">
        <f aca="false">IF(OR($A40="",$W40=0),0,INDEX(无形资产工时分配表!$F$6:$F$125,$W40))</f>
        <v>0</v>
      </c>
      <c r="H40" s="45" t="n">
        <f aca="false">IF(OR($A40="",$W40=0),0,INDEX(无形资产工时分配表!$R$6:$R$125,$W40))</f>
        <v>0</v>
      </c>
      <c r="I40" s="28" t="str">
        <f aca="false">IF(OR($A40="",$G40=0),"",$H40/$G40)</f>
        <v/>
      </c>
      <c r="J40" s="27" t="str">
        <f aca="false">IF(OR($A40="",$G40=0),"",ROUND($F40*INDEX(无形资产工时分配表!$H$6:$H$125,$W40)/$G40,2))</f>
        <v/>
      </c>
      <c r="K40" s="27" t="str">
        <f aca="false">IF(OR($A40="",$G40=0),"",ROUND($F40*INDEX(无形资产工时分配表!$I$6:$I$125,$W40)/$G40,2))</f>
        <v/>
      </c>
      <c r="L40" s="27" t="str">
        <f aca="false">IF(OR($A40="",$G40=0),"",ROUND($F40*INDEX(无形资产工时分配表!$J$6:$J$125,$W40)/$G40,2))</f>
        <v/>
      </c>
      <c r="M40" s="27" t="str">
        <f aca="false">IF(OR($A40="",$G40=0),"",ROUND($F40*INDEX(无形资产工时分配表!$K$6:$K$125,$W40)/$G40,2))</f>
        <v/>
      </c>
      <c r="N40" s="27" t="str">
        <f aca="false">IF(OR($A40="",$G40=0),"",ROUND($F40*INDEX(无形资产工时分配表!$L$6:$L$125,$W40)/$G40,2))</f>
        <v/>
      </c>
      <c r="O40" s="27" t="str">
        <f aca="false">IF(OR($A40="",$G40=0),"",ROUND($F40*INDEX(无形资产工时分配表!$M$6:$M$125,$W40)/$G40,2))</f>
        <v/>
      </c>
      <c r="P40" s="27" t="str">
        <f aca="false">IF(OR($A40="",$G40=0),"",ROUND($F40*INDEX(无形资产工时分配表!$N$6:$N$125,$W40)/$G40,2))</f>
        <v/>
      </c>
      <c r="Q40" s="27" t="str">
        <f aca="false">IF(OR($A40="",$G40=0),"",ROUND($F40*INDEX(无形资产工时分配表!$O$6:$O$125,$W40)/$G40,2))</f>
        <v/>
      </c>
      <c r="R40" s="27" t="str">
        <f aca="false">IF(OR($A40="",$G40=0),"",ROUND($F40*INDEX(无形资产工时分配表!$P$6:$P$125,$W40)/$G40,2))</f>
        <v/>
      </c>
      <c r="S40" s="27" t="str">
        <f aca="false">IF(OR($A40="",$G40=0),"",ROUND($F40*INDEX(无形资产工时分配表!$Q$6:$Q$125,$W40)/$G40,2))</f>
        <v/>
      </c>
      <c r="T40" s="27" t="str">
        <f aca="false">IF($A40="","",ROUND(SUM(J40:S40),2))</f>
        <v/>
      </c>
      <c r="U40" s="27" t="str">
        <f aca="false">IF($A40="","",ROUND($F40-T40,2))</f>
        <v/>
      </c>
      <c r="V40" s="43" t="str">
        <f aca="false">IF($A40="","",IF($D40="设备","⚠ 设备请在仪器设备工时费用分配表登记",IF($W40=0,"⚠ 工时分配表无此资产当月记录",IF($X40&gt;1,"⚠ 工时分配表存在重复行","√ 正常"))))</f>
        <v/>
      </c>
      <c r="W40" s="47" t="n">
        <f aca="false">IF($A40="",0,IFERROR(MATCH($A40&amp;"|"&amp;$B40,无形资产工时分配表!$V$6:$V$125,0),0))</f>
        <v>0</v>
      </c>
      <c r="X40" s="47" t="n">
        <f aca="false">IF($A40="",0,COUNTIFS(无形资产工时分配表!$A$6:$A$125,$A40,无形资产工时分配表!$B$6:$B$125,$B40))</f>
        <v>0</v>
      </c>
    </row>
    <row r="41" customFormat="false" ht="18" hidden="false" customHeight="true" outlineLevel="0" collapsed="false">
      <c r="A41" s="36"/>
      <c r="B41" s="36"/>
      <c r="C41" s="48" t="str">
        <f aca="false">IF($B41="","",IFERROR(VLOOKUP($B41,资产台账!$B$4:$N$53,2,0)&amp;"","台账中未登记"))</f>
        <v/>
      </c>
      <c r="D41" s="43" t="str">
        <f aca="false">IF($B41="","",IFERROR(VLOOKUP($B41,资产台账!$B$4:$N$53,3,0)&amp;"",""))</f>
        <v/>
      </c>
      <c r="E41" s="43" t="str">
        <f aca="false">IF($B41="","",IFERROR(VLOOKUP($B41,资产台账!$B$4:$N$53,10,0)&amp;"",""))</f>
        <v/>
      </c>
      <c r="F41" s="49" t="str">
        <f aca="false">IF($B41="","",IFERROR(VLOOKUP($B41,资产台账!$B$4:$N$53,9,0),0))</f>
        <v/>
      </c>
      <c r="G41" s="45" t="n">
        <f aca="false">IF(OR($A41="",$W41=0),0,INDEX(无形资产工时分配表!$F$6:$F$125,$W41))</f>
        <v>0</v>
      </c>
      <c r="H41" s="45" t="n">
        <f aca="false">IF(OR($A41="",$W41=0),0,INDEX(无形资产工时分配表!$R$6:$R$125,$W41))</f>
        <v>0</v>
      </c>
      <c r="I41" s="28" t="str">
        <f aca="false">IF(OR($A41="",$G41=0),"",$H41/$G41)</f>
        <v/>
      </c>
      <c r="J41" s="27" t="str">
        <f aca="false">IF(OR($A41="",$G41=0),"",ROUND($F41*INDEX(无形资产工时分配表!$H$6:$H$125,$W41)/$G41,2))</f>
        <v/>
      </c>
      <c r="K41" s="27" t="str">
        <f aca="false">IF(OR($A41="",$G41=0),"",ROUND($F41*INDEX(无形资产工时分配表!$I$6:$I$125,$W41)/$G41,2))</f>
        <v/>
      </c>
      <c r="L41" s="27" t="str">
        <f aca="false">IF(OR($A41="",$G41=0),"",ROUND($F41*INDEX(无形资产工时分配表!$J$6:$J$125,$W41)/$G41,2))</f>
        <v/>
      </c>
      <c r="M41" s="27" t="str">
        <f aca="false">IF(OR($A41="",$G41=0),"",ROUND($F41*INDEX(无形资产工时分配表!$K$6:$K$125,$W41)/$G41,2))</f>
        <v/>
      </c>
      <c r="N41" s="27" t="str">
        <f aca="false">IF(OR($A41="",$G41=0),"",ROUND($F41*INDEX(无形资产工时分配表!$L$6:$L$125,$W41)/$G41,2))</f>
        <v/>
      </c>
      <c r="O41" s="27" t="str">
        <f aca="false">IF(OR($A41="",$G41=0),"",ROUND($F41*INDEX(无形资产工时分配表!$M$6:$M$125,$W41)/$G41,2))</f>
        <v/>
      </c>
      <c r="P41" s="27" t="str">
        <f aca="false">IF(OR($A41="",$G41=0),"",ROUND($F41*INDEX(无形资产工时分配表!$N$6:$N$125,$W41)/$G41,2))</f>
        <v/>
      </c>
      <c r="Q41" s="27" t="str">
        <f aca="false">IF(OR($A41="",$G41=0),"",ROUND($F41*INDEX(无形资产工时分配表!$O$6:$O$125,$W41)/$G41,2))</f>
        <v/>
      </c>
      <c r="R41" s="27" t="str">
        <f aca="false">IF(OR($A41="",$G41=0),"",ROUND($F41*INDEX(无形资产工时分配表!$P$6:$P$125,$W41)/$G41,2))</f>
        <v/>
      </c>
      <c r="S41" s="27" t="str">
        <f aca="false">IF(OR($A41="",$G41=0),"",ROUND($F41*INDEX(无形资产工时分配表!$Q$6:$Q$125,$W41)/$G41,2))</f>
        <v/>
      </c>
      <c r="T41" s="27" t="str">
        <f aca="false">IF($A41="","",ROUND(SUM(J41:S41),2))</f>
        <v/>
      </c>
      <c r="U41" s="27" t="str">
        <f aca="false">IF($A41="","",ROUND($F41-T41,2))</f>
        <v/>
      </c>
      <c r="V41" s="43" t="str">
        <f aca="false">IF($A41="","",IF($D41="设备","⚠ 设备请在仪器设备工时费用分配表登记",IF($W41=0,"⚠ 工时分配表无此资产当月记录",IF($X41&gt;1,"⚠ 工时分配表存在重复行","√ 正常"))))</f>
        <v/>
      </c>
      <c r="W41" s="47" t="n">
        <f aca="false">IF($A41="",0,IFERROR(MATCH($A41&amp;"|"&amp;$B41,无形资产工时分配表!$V$6:$V$125,0),0))</f>
        <v>0</v>
      </c>
      <c r="X41" s="47" t="n">
        <f aca="false">IF($A41="",0,COUNTIFS(无形资产工时分配表!$A$6:$A$125,$A41,无形资产工时分配表!$B$6:$B$125,$B41))</f>
        <v>0</v>
      </c>
    </row>
    <row r="42" customFormat="false" ht="18" hidden="false" customHeight="true" outlineLevel="0" collapsed="false">
      <c r="A42" s="36"/>
      <c r="B42" s="36"/>
      <c r="C42" s="48" t="str">
        <f aca="false">IF($B42="","",IFERROR(VLOOKUP($B42,资产台账!$B$4:$N$53,2,0)&amp;"","台账中未登记"))</f>
        <v/>
      </c>
      <c r="D42" s="43" t="str">
        <f aca="false">IF($B42="","",IFERROR(VLOOKUP($B42,资产台账!$B$4:$N$53,3,0)&amp;"",""))</f>
        <v/>
      </c>
      <c r="E42" s="43" t="str">
        <f aca="false">IF($B42="","",IFERROR(VLOOKUP($B42,资产台账!$B$4:$N$53,10,0)&amp;"",""))</f>
        <v/>
      </c>
      <c r="F42" s="49" t="str">
        <f aca="false">IF($B42="","",IFERROR(VLOOKUP($B42,资产台账!$B$4:$N$53,9,0),0))</f>
        <v/>
      </c>
      <c r="G42" s="45" t="n">
        <f aca="false">IF(OR($A42="",$W42=0),0,INDEX(无形资产工时分配表!$F$6:$F$125,$W42))</f>
        <v>0</v>
      </c>
      <c r="H42" s="45" t="n">
        <f aca="false">IF(OR($A42="",$W42=0),0,INDEX(无形资产工时分配表!$R$6:$R$125,$W42))</f>
        <v>0</v>
      </c>
      <c r="I42" s="28" t="str">
        <f aca="false">IF(OR($A42="",$G42=0),"",$H42/$G42)</f>
        <v/>
      </c>
      <c r="J42" s="27" t="str">
        <f aca="false">IF(OR($A42="",$G42=0),"",ROUND($F42*INDEX(无形资产工时分配表!$H$6:$H$125,$W42)/$G42,2))</f>
        <v/>
      </c>
      <c r="K42" s="27" t="str">
        <f aca="false">IF(OR($A42="",$G42=0),"",ROUND($F42*INDEX(无形资产工时分配表!$I$6:$I$125,$W42)/$G42,2))</f>
        <v/>
      </c>
      <c r="L42" s="27" t="str">
        <f aca="false">IF(OR($A42="",$G42=0),"",ROUND($F42*INDEX(无形资产工时分配表!$J$6:$J$125,$W42)/$G42,2))</f>
        <v/>
      </c>
      <c r="M42" s="27" t="str">
        <f aca="false">IF(OR($A42="",$G42=0),"",ROUND($F42*INDEX(无形资产工时分配表!$K$6:$K$125,$W42)/$G42,2))</f>
        <v/>
      </c>
      <c r="N42" s="27" t="str">
        <f aca="false">IF(OR($A42="",$G42=0),"",ROUND($F42*INDEX(无形资产工时分配表!$L$6:$L$125,$W42)/$G42,2))</f>
        <v/>
      </c>
      <c r="O42" s="27" t="str">
        <f aca="false">IF(OR($A42="",$G42=0),"",ROUND($F42*INDEX(无形资产工时分配表!$M$6:$M$125,$W42)/$G42,2))</f>
        <v/>
      </c>
      <c r="P42" s="27" t="str">
        <f aca="false">IF(OR($A42="",$G42=0),"",ROUND($F42*INDEX(无形资产工时分配表!$N$6:$N$125,$W42)/$G42,2))</f>
        <v/>
      </c>
      <c r="Q42" s="27" t="str">
        <f aca="false">IF(OR($A42="",$G42=0),"",ROUND($F42*INDEX(无形资产工时分配表!$O$6:$O$125,$W42)/$G42,2))</f>
        <v/>
      </c>
      <c r="R42" s="27" t="str">
        <f aca="false">IF(OR($A42="",$G42=0),"",ROUND($F42*INDEX(无形资产工时分配表!$P$6:$P$125,$W42)/$G42,2))</f>
        <v/>
      </c>
      <c r="S42" s="27" t="str">
        <f aca="false">IF(OR($A42="",$G42=0),"",ROUND($F42*INDEX(无形资产工时分配表!$Q$6:$Q$125,$W42)/$G42,2))</f>
        <v/>
      </c>
      <c r="T42" s="27" t="str">
        <f aca="false">IF($A42="","",ROUND(SUM(J42:S42),2))</f>
        <v/>
      </c>
      <c r="U42" s="27" t="str">
        <f aca="false">IF($A42="","",ROUND($F42-T42,2))</f>
        <v/>
      </c>
      <c r="V42" s="43" t="str">
        <f aca="false">IF($A42="","",IF($D42="设备","⚠ 设备请在仪器设备工时费用分配表登记",IF($W42=0,"⚠ 工时分配表无此资产当月记录",IF($X42&gt;1,"⚠ 工时分配表存在重复行","√ 正常"))))</f>
        <v/>
      </c>
      <c r="W42" s="47" t="n">
        <f aca="false">IF($A42="",0,IFERROR(MATCH($A42&amp;"|"&amp;$B42,无形资产工时分配表!$V$6:$V$125,0),0))</f>
        <v>0</v>
      </c>
      <c r="X42" s="47" t="n">
        <f aca="false">IF($A42="",0,COUNTIFS(无形资产工时分配表!$A$6:$A$125,$A42,无形资产工时分配表!$B$6:$B$125,$B42))</f>
        <v>0</v>
      </c>
    </row>
    <row r="43" customFormat="false" ht="18" hidden="false" customHeight="true" outlineLevel="0" collapsed="false">
      <c r="A43" s="36"/>
      <c r="B43" s="36"/>
      <c r="C43" s="48" t="str">
        <f aca="false">IF($B43="","",IFERROR(VLOOKUP($B43,资产台账!$B$4:$N$53,2,0)&amp;"","台账中未登记"))</f>
        <v/>
      </c>
      <c r="D43" s="43" t="str">
        <f aca="false">IF($B43="","",IFERROR(VLOOKUP($B43,资产台账!$B$4:$N$53,3,0)&amp;"",""))</f>
        <v/>
      </c>
      <c r="E43" s="43" t="str">
        <f aca="false">IF($B43="","",IFERROR(VLOOKUP($B43,资产台账!$B$4:$N$53,10,0)&amp;"",""))</f>
        <v/>
      </c>
      <c r="F43" s="49" t="str">
        <f aca="false">IF($B43="","",IFERROR(VLOOKUP($B43,资产台账!$B$4:$N$53,9,0),0))</f>
        <v/>
      </c>
      <c r="G43" s="45" t="n">
        <f aca="false">IF(OR($A43="",$W43=0),0,INDEX(无形资产工时分配表!$F$6:$F$125,$W43))</f>
        <v>0</v>
      </c>
      <c r="H43" s="45" t="n">
        <f aca="false">IF(OR($A43="",$W43=0),0,INDEX(无形资产工时分配表!$R$6:$R$125,$W43))</f>
        <v>0</v>
      </c>
      <c r="I43" s="28" t="str">
        <f aca="false">IF(OR($A43="",$G43=0),"",$H43/$G43)</f>
        <v/>
      </c>
      <c r="J43" s="27" t="str">
        <f aca="false">IF(OR($A43="",$G43=0),"",ROUND($F43*INDEX(无形资产工时分配表!$H$6:$H$125,$W43)/$G43,2))</f>
        <v/>
      </c>
      <c r="K43" s="27" t="str">
        <f aca="false">IF(OR($A43="",$G43=0),"",ROUND($F43*INDEX(无形资产工时分配表!$I$6:$I$125,$W43)/$G43,2))</f>
        <v/>
      </c>
      <c r="L43" s="27" t="str">
        <f aca="false">IF(OR($A43="",$G43=0),"",ROUND($F43*INDEX(无形资产工时分配表!$J$6:$J$125,$W43)/$G43,2))</f>
        <v/>
      </c>
      <c r="M43" s="27" t="str">
        <f aca="false">IF(OR($A43="",$G43=0),"",ROUND($F43*INDEX(无形资产工时分配表!$K$6:$K$125,$W43)/$G43,2))</f>
        <v/>
      </c>
      <c r="N43" s="27" t="str">
        <f aca="false">IF(OR($A43="",$G43=0),"",ROUND($F43*INDEX(无形资产工时分配表!$L$6:$L$125,$W43)/$G43,2))</f>
        <v/>
      </c>
      <c r="O43" s="27" t="str">
        <f aca="false">IF(OR($A43="",$G43=0),"",ROUND($F43*INDEX(无形资产工时分配表!$M$6:$M$125,$W43)/$G43,2))</f>
        <v/>
      </c>
      <c r="P43" s="27" t="str">
        <f aca="false">IF(OR($A43="",$G43=0),"",ROUND($F43*INDEX(无形资产工时分配表!$N$6:$N$125,$W43)/$G43,2))</f>
        <v/>
      </c>
      <c r="Q43" s="27" t="str">
        <f aca="false">IF(OR($A43="",$G43=0),"",ROUND($F43*INDEX(无形资产工时分配表!$O$6:$O$125,$W43)/$G43,2))</f>
        <v/>
      </c>
      <c r="R43" s="27" t="str">
        <f aca="false">IF(OR($A43="",$G43=0),"",ROUND($F43*INDEX(无形资产工时分配表!$P$6:$P$125,$W43)/$G43,2))</f>
        <v/>
      </c>
      <c r="S43" s="27" t="str">
        <f aca="false">IF(OR($A43="",$G43=0),"",ROUND($F43*INDEX(无形资产工时分配表!$Q$6:$Q$125,$W43)/$G43,2))</f>
        <v/>
      </c>
      <c r="T43" s="27" t="str">
        <f aca="false">IF($A43="","",ROUND(SUM(J43:S43),2))</f>
        <v/>
      </c>
      <c r="U43" s="27" t="str">
        <f aca="false">IF($A43="","",ROUND($F43-T43,2))</f>
        <v/>
      </c>
      <c r="V43" s="43" t="str">
        <f aca="false">IF($A43="","",IF($D43="设备","⚠ 设备请在仪器设备工时费用分配表登记",IF($W43=0,"⚠ 工时分配表无此资产当月记录",IF($X43&gt;1,"⚠ 工时分配表存在重复行","√ 正常"))))</f>
        <v/>
      </c>
      <c r="W43" s="47" t="n">
        <f aca="false">IF($A43="",0,IFERROR(MATCH($A43&amp;"|"&amp;$B43,无形资产工时分配表!$V$6:$V$125,0),0))</f>
        <v>0</v>
      </c>
      <c r="X43" s="47" t="n">
        <f aca="false">IF($A43="",0,COUNTIFS(无形资产工时分配表!$A$6:$A$125,$A43,无形资产工时分配表!$B$6:$B$125,$B43))</f>
        <v>0</v>
      </c>
    </row>
    <row r="44" customFormat="false" ht="18" hidden="false" customHeight="true" outlineLevel="0" collapsed="false">
      <c r="A44" s="36"/>
      <c r="B44" s="36"/>
      <c r="C44" s="48" t="str">
        <f aca="false">IF($B44="","",IFERROR(VLOOKUP($B44,资产台账!$B$4:$N$53,2,0)&amp;"","台账中未登记"))</f>
        <v/>
      </c>
      <c r="D44" s="43" t="str">
        <f aca="false">IF($B44="","",IFERROR(VLOOKUP($B44,资产台账!$B$4:$N$53,3,0)&amp;"",""))</f>
        <v/>
      </c>
      <c r="E44" s="43" t="str">
        <f aca="false">IF($B44="","",IFERROR(VLOOKUP($B44,资产台账!$B$4:$N$53,10,0)&amp;"",""))</f>
        <v/>
      </c>
      <c r="F44" s="49" t="str">
        <f aca="false">IF($B44="","",IFERROR(VLOOKUP($B44,资产台账!$B$4:$N$53,9,0),0))</f>
        <v/>
      </c>
      <c r="G44" s="45" t="n">
        <f aca="false">IF(OR($A44="",$W44=0),0,INDEX(无形资产工时分配表!$F$6:$F$125,$W44))</f>
        <v>0</v>
      </c>
      <c r="H44" s="45" t="n">
        <f aca="false">IF(OR($A44="",$W44=0),0,INDEX(无形资产工时分配表!$R$6:$R$125,$W44))</f>
        <v>0</v>
      </c>
      <c r="I44" s="28" t="str">
        <f aca="false">IF(OR($A44="",$G44=0),"",$H44/$G44)</f>
        <v/>
      </c>
      <c r="J44" s="27" t="str">
        <f aca="false">IF(OR($A44="",$G44=0),"",ROUND($F44*INDEX(无形资产工时分配表!$H$6:$H$125,$W44)/$G44,2))</f>
        <v/>
      </c>
      <c r="K44" s="27" t="str">
        <f aca="false">IF(OR($A44="",$G44=0),"",ROUND($F44*INDEX(无形资产工时分配表!$I$6:$I$125,$W44)/$G44,2))</f>
        <v/>
      </c>
      <c r="L44" s="27" t="str">
        <f aca="false">IF(OR($A44="",$G44=0),"",ROUND($F44*INDEX(无形资产工时分配表!$J$6:$J$125,$W44)/$G44,2))</f>
        <v/>
      </c>
      <c r="M44" s="27" t="str">
        <f aca="false">IF(OR($A44="",$G44=0),"",ROUND($F44*INDEX(无形资产工时分配表!$K$6:$K$125,$W44)/$G44,2))</f>
        <v/>
      </c>
      <c r="N44" s="27" t="str">
        <f aca="false">IF(OR($A44="",$G44=0),"",ROUND($F44*INDEX(无形资产工时分配表!$L$6:$L$125,$W44)/$G44,2))</f>
        <v/>
      </c>
      <c r="O44" s="27" t="str">
        <f aca="false">IF(OR($A44="",$G44=0),"",ROUND($F44*INDEX(无形资产工时分配表!$M$6:$M$125,$W44)/$G44,2))</f>
        <v/>
      </c>
      <c r="P44" s="27" t="str">
        <f aca="false">IF(OR($A44="",$G44=0),"",ROUND($F44*INDEX(无形资产工时分配表!$N$6:$N$125,$W44)/$G44,2))</f>
        <v/>
      </c>
      <c r="Q44" s="27" t="str">
        <f aca="false">IF(OR($A44="",$G44=0),"",ROUND($F44*INDEX(无形资产工时分配表!$O$6:$O$125,$W44)/$G44,2))</f>
        <v/>
      </c>
      <c r="R44" s="27" t="str">
        <f aca="false">IF(OR($A44="",$G44=0),"",ROUND($F44*INDEX(无形资产工时分配表!$P$6:$P$125,$W44)/$G44,2))</f>
        <v/>
      </c>
      <c r="S44" s="27" t="str">
        <f aca="false">IF(OR($A44="",$G44=0),"",ROUND($F44*INDEX(无形资产工时分配表!$Q$6:$Q$125,$W44)/$G44,2))</f>
        <v/>
      </c>
      <c r="T44" s="27" t="str">
        <f aca="false">IF($A44="","",ROUND(SUM(J44:S44),2))</f>
        <v/>
      </c>
      <c r="U44" s="27" t="str">
        <f aca="false">IF($A44="","",ROUND($F44-T44,2))</f>
        <v/>
      </c>
      <c r="V44" s="43" t="str">
        <f aca="false">IF($A44="","",IF($D44="设备","⚠ 设备请在仪器设备工时费用分配表登记",IF($W44=0,"⚠ 工时分配表无此资产当月记录",IF($X44&gt;1,"⚠ 工时分配表存在重复行","√ 正常"))))</f>
        <v/>
      </c>
      <c r="W44" s="47" t="n">
        <f aca="false">IF($A44="",0,IFERROR(MATCH($A44&amp;"|"&amp;$B44,无形资产工时分配表!$V$6:$V$125,0),0))</f>
        <v>0</v>
      </c>
      <c r="X44" s="47" t="n">
        <f aca="false">IF($A44="",0,COUNTIFS(无形资产工时分配表!$A$6:$A$125,$A44,无形资产工时分配表!$B$6:$B$125,$B44))</f>
        <v>0</v>
      </c>
    </row>
    <row r="45" customFormat="false" ht="18" hidden="false" customHeight="true" outlineLevel="0" collapsed="false">
      <c r="A45" s="36"/>
      <c r="B45" s="36"/>
      <c r="C45" s="48" t="str">
        <f aca="false">IF($B45="","",IFERROR(VLOOKUP($B45,资产台账!$B$4:$N$53,2,0)&amp;"","台账中未登记"))</f>
        <v/>
      </c>
      <c r="D45" s="43" t="str">
        <f aca="false">IF($B45="","",IFERROR(VLOOKUP($B45,资产台账!$B$4:$N$53,3,0)&amp;"",""))</f>
        <v/>
      </c>
      <c r="E45" s="43" t="str">
        <f aca="false">IF($B45="","",IFERROR(VLOOKUP($B45,资产台账!$B$4:$N$53,10,0)&amp;"",""))</f>
        <v/>
      </c>
      <c r="F45" s="49" t="str">
        <f aca="false">IF($B45="","",IFERROR(VLOOKUP($B45,资产台账!$B$4:$N$53,9,0),0))</f>
        <v/>
      </c>
      <c r="G45" s="45" t="n">
        <f aca="false">IF(OR($A45="",$W45=0),0,INDEX(无形资产工时分配表!$F$6:$F$125,$W45))</f>
        <v>0</v>
      </c>
      <c r="H45" s="45" t="n">
        <f aca="false">IF(OR($A45="",$W45=0),0,INDEX(无形资产工时分配表!$R$6:$R$125,$W45))</f>
        <v>0</v>
      </c>
      <c r="I45" s="28" t="str">
        <f aca="false">IF(OR($A45="",$G45=0),"",$H45/$G45)</f>
        <v/>
      </c>
      <c r="J45" s="27" t="str">
        <f aca="false">IF(OR($A45="",$G45=0),"",ROUND($F45*INDEX(无形资产工时分配表!$H$6:$H$125,$W45)/$G45,2))</f>
        <v/>
      </c>
      <c r="K45" s="27" t="str">
        <f aca="false">IF(OR($A45="",$G45=0),"",ROUND($F45*INDEX(无形资产工时分配表!$I$6:$I$125,$W45)/$G45,2))</f>
        <v/>
      </c>
      <c r="L45" s="27" t="str">
        <f aca="false">IF(OR($A45="",$G45=0),"",ROUND($F45*INDEX(无形资产工时分配表!$J$6:$J$125,$W45)/$G45,2))</f>
        <v/>
      </c>
      <c r="M45" s="27" t="str">
        <f aca="false">IF(OR($A45="",$G45=0),"",ROUND($F45*INDEX(无形资产工时分配表!$K$6:$K$125,$W45)/$G45,2))</f>
        <v/>
      </c>
      <c r="N45" s="27" t="str">
        <f aca="false">IF(OR($A45="",$G45=0),"",ROUND($F45*INDEX(无形资产工时分配表!$L$6:$L$125,$W45)/$G45,2))</f>
        <v/>
      </c>
      <c r="O45" s="27" t="str">
        <f aca="false">IF(OR($A45="",$G45=0),"",ROUND($F45*INDEX(无形资产工时分配表!$M$6:$M$125,$W45)/$G45,2))</f>
        <v/>
      </c>
      <c r="P45" s="27" t="str">
        <f aca="false">IF(OR($A45="",$G45=0),"",ROUND($F45*INDEX(无形资产工时分配表!$N$6:$N$125,$W45)/$G45,2))</f>
        <v/>
      </c>
      <c r="Q45" s="27" t="str">
        <f aca="false">IF(OR($A45="",$G45=0),"",ROUND($F45*INDEX(无形资产工时分配表!$O$6:$O$125,$W45)/$G45,2))</f>
        <v/>
      </c>
      <c r="R45" s="27" t="str">
        <f aca="false">IF(OR($A45="",$G45=0),"",ROUND($F45*INDEX(无形资产工时分配表!$P$6:$P$125,$W45)/$G45,2))</f>
        <v/>
      </c>
      <c r="S45" s="27" t="str">
        <f aca="false">IF(OR($A45="",$G45=0),"",ROUND($F45*INDEX(无形资产工时分配表!$Q$6:$Q$125,$W45)/$G45,2))</f>
        <v/>
      </c>
      <c r="T45" s="27" t="str">
        <f aca="false">IF($A45="","",ROUND(SUM(J45:S45),2))</f>
        <v/>
      </c>
      <c r="U45" s="27" t="str">
        <f aca="false">IF($A45="","",ROUND($F45-T45,2))</f>
        <v/>
      </c>
      <c r="V45" s="43" t="str">
        <f aca="false">IF($A45="","",IF($D45="设备","⚠ 设备请在仪器设备工时费用分配表登记",IF($W45=0,"⚠ 工时分配表无此资产当月记录",IF($X45&gt;1,"⚠ 工时分配表存在重复行","√ 正常"))))</f>
        <v/>
      </c>
      <c r="W45" s="47" t="n">
        <f aca="false">IF($A45="",0,IFERROR(MATCH($A45&amp;"|"&amp;$B45,无形资产工时分配表!$V$6:$V$125,0),0))</f>
        <v>0</v>
      </c>
      <c r="X45" s="47" t="n">
        <f aca="false">IF($A45="",0,COUNTIFS(无形资产工时分配表!$A$6:$A$125,$A45,无形资产工时分配表!$B$6:$B$125,$B45))</f>
        <v>0</v>
      </c>
    </row>
    <row r="46" customFormat="false" ht="18" hidden="false" customHeight="true" outlineLevel="0" collapsed="false">
      <c r="A46" s="36"/>
      <c r="B46" s="36"/>
      <c r="C46" s="48" t="str">
        <f aca="false">IF($B46="","",IFERROR(VLOOKUP($B46,资产台账!$B$4:$N$53,2,0)&amp;"","台账中未登记"))</f>
        <v/>
      </c>
      <c r="D46" s="43" t="str">
        <f aca="false">IF($B46="","",IFERROR(VLOOKUP($B46,资产台账!$B$4:$N$53,3,0)&amp;"",""))</f>
        <v/>
      </c>
      <c r="E46" s="43" t="str">
        <f aca="false">IF($B46="","",IFERROR(VLOOKUP($B46,资产台账!$B$4:$N$53,10,0)&amp;"",""))</f>
        <v/>
      </c>
      <c r="F46" s="49" t="str">
        <f aca="false">IF($B46="","",IFERROR(VLOOKUP($B46,资产台账!$B$4:$N$53,9,0),0))</f>
        <v/>
      </c>
      <c r="G46" s="45" t="n">
        <f aca="false">IF(OR($A46="",$W46=0),0,INDEX(无形资产工时分配表!$F$6:$F$125,$W46))</f>
        <v>0</v>
      </c>
      <c r="H46" s="45" t="n">
        <f aca="false">IF(OR($A46="",$W46=0),0,INDEX(无形资产工时分配表!$R$6:$R$125,$W46))</f>
        <v>0</v>
      </c>
      <c r="I46" s="28" t="str">
        <f aca="false">IF(OR($A46="",$G46=0),"",$H46/$G46)</f>
        <v/>
      </c>
      <c r="J46" s="27" t="str">
        <f aca="false">IF(OR($A46="",$G46=0),"",ROUND($F46*INDEX(无形资产工时分配表!$H$6:$H$125,$W46)/$G46,2))</f>
        <v/>
      </c>
      <c r="K46" s="27" t="str">
        <f aca="false">IF(OR($A46="",$G46=0),"",ROUND($F46*INDEX(无形资产工时分配表!$I$6:$I$125,$W46)/$G46,2))</f>
        <v/>
      </c>
      <c r="L46" s="27" t="str">
        <f aca="false">IF(OR($A46="",$G46=0),"",ROUND($F46*INDEX(无形资产工时分配表!$J$6:$J$125,$W46)/$G46,2))</f>
        <v/>
      </c>
      <c r="M46" s="27" t="str">
        <f aca="false">IF(OR($A46="",$G46=0),"",ROUND($F46*INDEX(无形资产工时分配表!$K$6:$K$125,$W46)/$G46,2))</f>
        <v/>
      </c>
      <c r="N46" s="27" t="str">
        <f aca="false">IF(OR($A46="",$G46=0),"",ROUND($F46*INDEX(无形资产工时分配表!$L$6:$L$125,$W46)/$G46,2))</f>
        <v/>
      </c>
      <c r="O46" s="27" t="str">
        <f aca="false">IF(OR($A46="",$G46=0),"",ROUND($F46*INDEX(无形资产工时分配表!$M$6:$M$125,$W46)/$G46,2))</f>
        <v/>
      </c>
      <c r="P46" s="27" t="str">
        <f aca="false">IF(OR($A46="",$G46=0),"",ROUND($F46*INDEX(无形资产工时分配表!$N$6:$N$125,$W46)/$G46,2))</f>
        <v/>
      </c>
      <c r="Q46" s="27" t="str">
        <f aca="false">IF(OR($A46="",$G46=0),"",ROUND($F46*INDEX(无形资产工时分配表!$O$6:$O$125,$W46)/$G46,2))</f>
        <v/>
      </c>
      <c r="R46" s="27" t="str">
        <f aca="false">IF(OR($A46="",$G46=0),"",ROUND($F46*INDEX(无形资产工时分配表!$P$6:$P$125,$W46)/$G46,2))</f>
        <v/>
      </c>
      <c r="S46" s="27" t="str">
        <f aca="false">IF(OR($A46="",$G46=0),"",ROUND($F46*INDEX(无形资产工时分配表!$Q$6:$Q$125,$W46)/$G46,2))</f>
        <v/>
      </c>
      <c r="T46" s="27" t="str">
        <f aca="false">IF($A46="","",ROUND(SUM(J46:S46),2))</f>
        <v/>
      </c>
      <c r="U46" s="27" t="str">
        <f aca="false">IF($A46="","",ROUND($F46-T46,2))</f>
        <v/>
      </c>
      <c r="V46" s="43" t="str">
        <f aca="false">IF($A46="","",IF($D46="设备","⚠ 设备请在仪器设备工时费用分配表登记",IF($W46=0,"⚠ 工时分配表无此资产当月记录",IF($X46&gt;1,"⚠ 工时分配表存在重复行","√ 正常"))))</f>
        <v/>
      </c>
      <c r="W46" s="47" t="n">
        <f aca="false">IF($A46="",0,IFERROR(MATCH($A46&amp;"|"&amp;$B46,无形资产工时分配表!$V$6:$V$125,0),0))</f>
        <v>0</v>
      </c>
      <c r="X46" s="47" t="n">
        <f aca="false">IF($A46="",0,COUNTIFS(无形资产工时分配表!$A$6:$A$125,$A46,无形资产工时分配表!$B$6:$B$125,$B46))</f>
        <v>0</v>
      </c>
    </row>
    <row r="47" customFormat="false" ht="18" hidden="false" customHeight="true" outlineLevel="0" collapsed="false">
      <c r="A47" s="36"/>
      <c r="B47" s="36"/>
      <c r="C47" s="48" t="str">
        <f aca="false">IF($B47="","",IFERROR(VLOOKUP($B47,资产台账!$B$4:$N$53,2,0)&amp;"","台账中未登记"))</f>
        <v/>
      </c>
      <c r="D47" s="43" t="str">
        <f aca="false">IF($B47="","",IFERROR(VLOOKUP($B47,资产台账!$B$4:$N$53,3,0)&amp;"",""))</f>
        <v/>
      </c>
      <c r="E47" s="43" t="str">
        <f aca="false">IF($B47="","",IFERROR(VLOOKUP($B47,资产台账!$B$4:$N$53,10,0)&amp;"",""))</f>
        <v/>
      </c>
      <c r="F47" s="49" t="str">
        <f aca="false">IF($B47="","",IFERROR(VLOOKUP($B47,资产台账!$B$4:$N$53,9,0),0))</f>
        <v/>
      </c>
      <c r="G47" s="45" t="n">
        <f aca="false">IF(OR($A47="",$W47=0),0,INDEX(无形资产工时分配表!$F$6:$F$125,$W47))</f>
        <v>0</v>
      </c>
      <c r="H47" s="45" t="n">
        <f aca="false">IF(OR($A47="",$W47=0),0,INDEX(无形资产工时分配表!$R$6:$R$125,$W47))</f>
        <v>0</v>
      </c>
      <c r="I47" s="28" t="str">
        <f aca="false">IF(OR($A47="",$G47=0),"",$H47/$G47)</f>
        <v/>
      </c>
      <c r="J47" s="27" t="str">
        <f aca="false">IF(OR($A47="",$G47=0),"",ROUND($F47*INDEX(无形资产工时分配表!$H$6:$H$125,$W47)/$G47,2))</f>
        <v/>
      </c>
      <c r="K47" s="27" t="str">
        <f aca="false">IF(OR($A47="",$G47=0),"",ROUND($F47*INDEX(无形资产工时分配表!$I$6:$I$125,$W47)/$G47,2))</f>
        <v/>
      </c>
      <c r="L47" s="27" t="str">
        <f aca="false">IF(OR($A47="",$G47=0),"",ROUND($F47*INDEX(无形资产工时分配表!$J$6:$J$125,$W47)/$G47,2))</f>
        <v/>
      </c>
      <c r="M47" s="27" t="str">
        <f aca="false">IF(OR($A47="",$G47=0),"",ROUND($F47*INDEX(无形资产工时分配表!$K$6:$K$125,$W47)/$G47,2))</f>
        <v/>
      </c>
      <c r="N47" s="27" t="str">
        <f aca="false">IF(OR($A47="",$G47=0),"",ROUND($F47*INDEX(无形资产工时分配表!$L$6:$L$125,$W47)/$G47,2))</f>
        <v/>
      </c>
      <c r="O47" s="27" t="str">
        <f aca="false">IF(OR($A47="",$G47=0),"",ROUND($F47*INDEX(无形资产工时分配表!$M$6:$M$125,$W47)/$G47,2))</f>
        <v/>
      </c>
      <c r="P47" s="27" t="str">
        <f aca="false">IF(OR($A47="",$G47=0),"",ROUND($F47*INDEX(无形资产工时分配表!$N$6:$N$125,$W47)/$G47,2))</f>
        <v/>
      </c>
      <c r="Q47" s="27" t="str">
        <f aca="false">IF(OR($A47="",$G47=0),"",ROUND($F47*INDEX(无形资产工时分配表!$O$6:$O$125,$W47)/$G47,2))</f>
        <v/>
      </c>
      <c r="R47" s="27" t="str">
        <f aca="false">IF(OR($A47="",$G47=0),"",ROUND($F47*INDEX(无形资产工时分配表!$P$6:$P$125,$W47)/$G47,2))</f>
        <v/>
      </c>
      <c r="S47" s="27" t="str">
        <f aca="false">IF(OR($A47="",$G47=0),"",ROUND($F47*INDEX(无形资产工时分配表!$Q$6:$Q$125,$W47)/$G47,2))</f>
        <v/>
      </c>
      <c r="T47" s="27" t="str">
        <f aca="false">IF($A47="","",ROUND(SUM(J47:S47),2))</f>
        <v/>
      </c>
      <c r="U47" s="27" t="str">
        <f aca="false">IF($A47="","",ROUND($F47-T47,2))</f>
        <v/>
      </c>
      <c r="V47" s="43" t="str">
        <f aca="false">IF($A47="","",IF($D47="设备","⚠ 设备请在仪器设备工时费用分配表登记",IF($W47=0,"⚠ 工时分配表无此资产当月记录",IF($X47&gt;1,"⚠ 工时分配表存在重复行","√ 正常"))))</f>
        <v/>
      </c>
      <c r="W47" s="47" t="n">
        <f aca="false">IF($A47="",0,IFERROR(MATCH($A47&amp;"|"&amp;$B47,无形资产工时分配表!$V$6:$V$125,0),0))</f>
        <v>0</v>
      </c>
      <c r="X47" s="47" t="n">
        <f aca="false">IF($A47="",0,COUNTIFS(无形资产工时分配表!$A$6:$A$125,$A47,无形资产工时分配表!$B$6:$B$125,$B47))</f>
        <v>0</v>
      </c>
    </row>
    <row r="48" customFormat="false" ht="18" hidden="false" customHeight="true" outlineLevel="0" collapsed="false">
      <c r="A48" s="36"/>
      <c r="B48" s="36"/>
      <c r="C48" s="48" t="str">
        <f aca="false">IF($B48="","",IFERROR(VLOOKUP($B48,资产台账!$B$4:$N$53,2,0)&amp;"","台账中未登记"))</f>
        <v/>
      </c>
      <c r="D48" s="43" t="str">
        <f aca="false">IF($B48="","",IFERROR(VLOOKUP($B48,资产台账!$B$4:$N$53,3,0)&amp;"",""))</f>
        <v/>
      </c>
      <c r="E48" s="43" t="str">
        <f aca="false">IF($B48="","",IFERROR(VLOOKUP($B48,资产台账!$B$4:$N$53,10,0)&amp;"",""))</f>
        <v/>
      </c>
      <c r="F48" s="49" t="str">
        <f aca="false">IF($B48="","",IFERROR(VLOOKUP($B48,资产台账!$B$4:$N$53,9,0),0))</f>
        <v/>
      </c>
      <c r="G48" s="45" t="n">
        <f aca="false">IF(OR($A48="",$W48=0),0,INDEX(无形资产工时分配表!$F$6:$F$125,$W48))</f>
        <v>0</v>
      </c>
      <c r="H48" s="45" t="n">
        <f aca="false">IF(OR($A48="",$W48=0),0,INDEX(无形资产工时分配表!$R$6:$R$125,$W48))</f>
        <v>0</v>
      </c>
      <c r="I48" s="28" t="str">
        <f aca="false">IF(OR($A48="",$G48=0),"",$H48/$G48)</f>
        <v/>
      </c>
      <c r="J48" s="27" t="str">
        <f aca="false">IF(OR($A48="",$G48=0),"",ROUND($F48*INDEX(无形资产工时分配表!$H$6:$H$125,$W48)/$G48,2))</f>
        <v/>
      </c>
      <c r="K48" s="27" t="str">
        <f aca="false">IF(OR($A48="",$G48=0),"",ROUND($F48*INDEX(无形资产工时分配表!$I$6:$I$125,$W48)/$G48,2))</f>
        <v/>
      </c>
      <c r="L48" s="27" t="str">
        <f aca="false">IF(OR($A48="",$G48=0),"",ROUND($F48*INDEX(无形资产工时分配表!$J$6:$J$125,$W48)/$G48,2))</f>
        <v/>
      </c>
      <c r="M48" s="27" t="str">
        <f aca="false">IF(OR($A48="",$G48=0),"",ROUND($F48*INDEX(无形资产工时分配表!$K$6:$K$125,$W48)/$G48,2))</f>
        <v/>
      </c>
      <c r="N48" s="27" t="str">
        <f aca="false">IF(OR($A48="",$G48=0),"",ROUND($F48*INDEX(无形资产工时分配表!$L$6:$L$125,$W48)/$G48,2))</f>
        <v/>
      </c>
      <c r="O48" s="27" t="str">
        <f aca="false">IF(OR($A48="",$G48=0),"",ROUND($F48*INDEX(无形资产工时分配表!$M$6:$M$125,$W48)/$G48,2))</f>
        <v/>
      </c>
      <c r="P48" s="27" t="str">
        <f aca="false">IF(OR($A48="",$G48=0),"",ROUND($F48*INDEX(无形资产工时分配表!$N$6:$N$125,$W48)/$G48,2))</f>
        <v/>
      </c>
      <c r="Q48" s="27" t="str">
        <f aca="false">IF(OR($A48="",$G48=0),"",ROUND($F48*INDEX(无形资产工时分配表!$O$6:$O$125,$W48)/$G48,2))</f>
        <v/>
      </c>
      <c r="R48" s="27" t="str">
        <f aca="false">IF(OR($A48="",$G48=0),"",ROUND($F48*INDEX(无形资产工时分配表!$P$6:$P$125,$W48)/$G48,2))</f>
        <v/>
      </c>
      <c r="S48" s="27" t="str">
        <f aca="false">IF(OR($A48="",$G48=0),"",ROUND($F48*INDEX(无形资产工时分配表!$Q$6:$Q$125,$W48)/$G48,2))</f>
        <v/>
      </c>
      <c r="T48" s="27" t="str">
        <f aca="false">IF($A48="","",ROUND(SUM(J48:S48),2))</f>
        <v/>
      </c>
      <c r="U48" s="27" t="str">
        <f aca="false">IF($A48="","",ROUND($F48-T48,2))</f>
        <v/>
      </c>
      <c r="V48" s="43" t="str">
        <f aca="false">IF($A48="","",IF($D48="设备","⚠ 设备请在仪器设备工时费用分配表登记",IF($W48=0,"⚠ 工时分配表无此资产当月记录",IF($X48&gt;1,"⚠ 工时分配表存在重复行","√ 正常"))))</f>
        <v/>
      </c>
      <c r="W48" s="47" t="n">
        <f aca="false">IF($A48="",0,IFERROR(MATCH($A48&amp;"|"&amp;$B48,无形资产工时分配表!$V$6:$V$125,0),0))</f>
        <v>0</v>
      </c>
      <c r="X48" s="47" t="n">
        <f aca="false">IF($A48="",0,COUNTIFS(无形资产工时分配表!$A$6:$A$125,$A48,无形资产工时分配表!$B$6:$B$125,$B48))</f>
        <v>0</v>
      </c>
    </row>
    <row r="49" customFormat="false" ht="18" hidden="false" customHeight="true" outlineLevel="0" collapsed="false">
      <c r="A49" s="36"/>
      <c r="B49" s="36"/>
      <c r="C49" s="48" t="str">
        <f aca="false">IF($B49="","",IFERROR(VLOOKUP($B49,资产台账!$B$4:$N$53,2,0)&amp;"","台账中未登记"))</f>
        <v/>
      </c>
      <c r="D49" s="43" t="str">
        <f aca="false">IF($B49="","",IFERROR(VLOOKUP($B49,资产台账!$B$4:$N$53,3,0)&amp;"",""))</f>
        <v/>
      </c>
      <c r="E49" s="43" t="str">
        <f aca="false">IF($B49="","",IFERROR(VLOOKUP($B49,资产台账!$B$4:$N$53,10,0)&amp;"",""))</f>
        <v/>
      </c>
      <c r="F49" s="49" t="str">
        <f aca="false">IF($B49="","",IFERROR(VLOOKUP($B49,资产台账!$B$4:$N$53,9,0),0))</f>
        <v/>
      </c>
      <c r="G49" s="45" t="n">
        <f aca="false">IF(OR($A49="",$W49=0),0,INDEX(无形资产工时分配表!$F$6:$F$125,$W49))</f>
        <v>0</v>
      </c>
      <c r="H49" s="45" t="n">
        <f aca="false">IF(OR($A49="",$W49=0),0,INDEX(无形资产工时分配表!$R$6:$R$125,$W49))</f>
        <v>0</v>
      </c>
      <c r="I49" s="28" t="str">
        <f aca="false">IF(OR($A49="",$G49=0),"",$H49/$G49)</f>
        <v/>
      </c>
      <c r="J49" s="27" t="str">
        <f aca="false">IF(OR($A49="",$G49=0),"",ROUND($F49*INDEX(无形资产工时分配表!$H$6:$H$125,$W49)/$G49,2))</f>
        <v/>
      </c>
      <c r="K49" s="27" t="str">
        <f aca="false">IF(OR($A49="",$G49=0),"",ROUND($F49*INDEX(无形资产工时分配表!$I$6:$I$125,$W49)/$G49,2))</f>
        <v/>
      </c>
      <c r="L49" s="27" t="str">
        <f aca="false">IF(OR($A49="",$G49=0),"",ROUND($F49*INDEX(无形资产工时分配表!$J$6:$J$125,$W49)/$G49,2))</f>
        <v/>
      </c>
      <c r="M49" s="27" t="str">
        <f aca="false">IF(OR($A49="",$G49=0),"",ROUND($F49*INDEX(无形资产工时分配表!$K$6:$K$125,$W49)/$G49,2))</f>
        <v/>
      </c>
      <c r="N49" s="27" t="str">
        <f aca="false">IF(OR($A49="",$G49=0),"",ROUND($F49*INDEX(无形资产工时分配表!$L$6:$L$125,$W49)/$G49,2))</f>
        <v/>
      </c>
      <c r="O49" s="27" t="str">
        <f aca="false">IF(OR($A49="",$G49=0),"",ROUND($F49*INDEX(无形资产工时分配表!$M$6:$M$125,$W49)/$G49,2))</f>
        <v/>
      </c>
      <c r="P49" s="27" t="str">
        <f aca="false">IF(OR($A49="",$G49=0),"",ROUND($F49*INDEX(无形资产工时分配表!$N$6:$N$125,$W49)/$G49,2))</f>
        <v/>
      </c>
      <c r="Q49" s="27" t="str">
        <f aca="false">IF(OR($A49="",$G49=0),"",ROUND($F49*INDEX(无形资产工时分配表!$O$6:$O$125,$W49)/$G49,2))</f>
        <v/>
      </c>
      <c r="R49" s="27" t="str">
        <f aca="false">IF(OR($A49="",$G49=0),"",ROUND($F49*INDEX(无形资产工时分配表!$P$6:$P$125,$W49)/$G49,2))</f>
        <v/>
      </c>
      <c r="S49" s="27" t="str">
        <f aca="false">IF(OR($A49="",$G49=0),"",ROUND($F49*INDEX(无形资产工时分配表!$Q$6:$Q$125,$W49)/$G49,2))</f>
        <v/>
      </c>
      <c r="T49" s="27" t="str">
        <f aca="false">IF($A49="","",ROUND(SUM(J49:S49),2))</f>
        <v/>
      </c>
      <c r="U49" s="27" t="str">
        <f aca="false">IF($A49="","",ROUND($F49-T49,2))</f>
        <v/>
      </c>
      <c r="V49" s="43" t="str">
        <f aca="false">IF($A49="","",IF($D49="设备","⚠ 设备请在仪器设备工时费用分配表登记",IF($W49=0,"⚠ 工时分配表无此资产当月记录",IF($X49&gt;1,"⚠ 工时分配表存在重复行","√ 正常"))))</f>
        <v/>
      </c>
      <c r="W49" s="47" t="n">
        <f aca="false">IF($A49="",0,IFERROR(MATCH($A49&amp;"|"&amp;$B49,无形资产工时分配表!$V$6:$V$125,0),0))</f>
        <v>0</v>
      </c>
      <c r="X49" s="47" t="n">
        <f aca="false">IF($A49="",0,COUNTIFS(无形资产工时分配表!$A$6:$A$125,$A49,无形资产工时分配表!$B$6:$B$125,$B49))</f>
        <v>0</v>
      </c>
    </row>
    <row r="50" customFormat="false" ht="18" hidden="false" customHeight="true" outlineLevel="0" collapsed="false">
      <c r="A50" s="36"/>
      <c r="B50" s="36"/>
      <c r="C50" s="48" t="str">
        <f aca="false">IF($B50="","",IFERROR(VLOOKUP($B50,资产台账!$B$4:$N$53,2,0)&amp;"","台账中未登记"))</f>
        <v/>
      </c>
      <c r="D50" s="43" t="str">
        <f aca="false">IF($B50="","",IFERROR(VLOOKUP($B50,资产台账!$B$4:$N$53,3,0)&amp;"",""))</f>
        <v/>
      </c>
      <c r="E50" s="43" t="str">
        <f aca="false">IF($B50="","",IFERROR(VLOOKUP($B50,资产台账!$B$4:$N$53,10,0)&amp;"",""))</f>
        <v/>
      </c>
      <c r="F50" s="49" t="str">
        <f aca="false">IF($B50="","",IFERROR(VLOOKUP($B50,资产台账!$B$4:$N$53,9,0),0))</f>
        <v/>
      </c>
      <c r="G50" s="45" t="n">
        <f aca="false">IF(OR($A50="",$W50=0),0,INDEX(无形资产工时分配表!$F$6:$F$125,$W50))</f>
        <v>0</v>
      </c>
      <c r="H50" s="45" t="n">
        <f aca="false">IF(OR($A50="",$W50=0),0,INDEX(无形资产工时分配表!$R$6:$R$125,$W50))</f>
        <v>0</v>
      </c>
      <c r="I50" s="28" t="str">
        <f aca="false">IF(OR($A50="",$G50=0),"",$H50/$G50)</f>
        <v/>
      </c>
      <c r="J50" s="27" t="str">
        <f aca="false">IF(OR($A50="",$G50=0),"",ROUND($F50*INDEX(无形资产工时分配表!$H$6:$H$125,$W50)/$G50,2))</f>
        <v/>
      </c>
      <c r="K50" s="27" t="str">
        <f aca="false">IF(OR($A50="",$G50=0),"",ROUND($F50*INDEX(无形资产工时分配表!$I$6:$I$125,$W50)/$G50,2))</f>
        <v/>
      </c>
      <c r="L50" s="27" t="str">
        <f aca="false">IF(OR($A50="",$G50=0),"",ROUND($F50*INDEX(无形资产工时分配表!$J$6:$J$125,$W50)/$G50,2))</f>
        <v/>
      </c>
      <c r="M50" s="27" t="str">
        <f aca="false">IF(OR($A50="",$G50=0),"",ROUND($F50*INDEX(无形资产工时分配表!$K$6:$K$125,$W50)/$G50,2))</f>
        <v/>
      </c>
      <c r="N50" s="27" t="str">
        <f aca="false">IF(OR($A50="",$G50=0),"",ROUND($F50*INDEX(无形资产工时分配表!$L$6:$L$125,$W50)/$G50,2))</f>
        <v/>
      </c>
      <c r="O50" s="27" t="str">
        <f aca="false">IF(OR($A50="",$G50=0),"",ROUND($F50*INDEX(无形资产工时分配表!$M$6:$M$125,$W50)/$G50,2))</f>
        <v/>
      </c>
      <c r="P50" s="27" t="str">
        <f aca="false">IF(OR($A50="",$G50=0),"",ROUND($F50*INDEX(无形资产工时分配表!$N$6:$N$125,$W50)/$G50,2))</f>
        <v/>
      </c>
      <c r="Q50" s="27" t="str">
        <f aca="false">IF(OR($A50="",$G50=0),"",ROUND($F50*INDEX(无形资产工时分配表!$O$6:$O$125,$W50)/$G50,2))</f>
        <v/>
      </c>
      <c r="R50" s="27" t="str">
        <f aca="false">IF(OR($A50="",$G50=0),"",ROUND($F50*INDEX(无形资产工时分配表!$P$6:$P$125,$W50)/$G50,2))</f>
        <v/>
      </c>
      <c r="S50" s="27" t="str">
        <f aca="false">IF(OR($A50="",$G50=0),"",ROUND($F50*INDEX(无形资产工时分配表!$Q$6:$Q$125,$W50)/$G50,2))</f>
        <v/>
      </c>
      <c r="T50" s="27" t="str">
        <f aca="false">IF($A50="","",ROUND(SUM(J50:S50),2))</f>
        <v/>
      </c>
      <c r="U50" s="27" t="str">
        <f aca="false">IF($A50="","",ROUND($F50-T50,2))</f>
        <v/>
      </c>
      <c r="V50" s="43" t="str">
        <f aca="false">IF($A50="","",IF($D50="设备","⚠ 设备请在仪器设备工时费用分配表登记",IF($W50=0,"⚠ 工时分配表无此资产当月记录",IF($X50&gt;1,"⚠ 工时分配表存在重复行","√ 正常"))))</f>
        <v/>
      </c>
      <c r="W50" s="47" t="n">
        <f aca="false">IF($A50="",0,IFERROR(MATCH($A50&amp;"|"&amp;$B50,无形资产工时分配表!$V$6:$V$125,0),0))</f>
        <v>0</v>
      </c>
      <c r="X50" s="47" t="n">
        <f aca="false">IF($A50="",0,COUNTIFS(无形资产工时分配表!$A$6:$A$125,$A50,无形资产工时分配表!$B$6:$B$125,$B50))</f>
        <v>0</v>
      </c>
    </row>
    <row r="51" customFormat="false" ht="18" hidden="false" customHeight="true" outlineLevel="0" collapsed="false">
      <c r="A51" s="36"/>
      <c r="B51" s="36"/>
      <c r="C51" s="48" t="str">
        <f aca="false">IF($B51="","",IFERROR(VLOOKUP($B51,资产台账!$B$4:$N$53,2,0)&amp;"","台账中未登记"))</f>
        <v/>
      </c>
      <c r="D51" s="43" t="str">
        <f aca="false">IF($B51="","",IFERROR(VLOOKUP($B51,资产台账!$B$4:$N$53,3,0)&amp;"",""))</f>
        <v/>
      </c>
      <c r="E51" s="43" t="str">
        <f aca="false">IF($B51="","",IFERROR(VLOOKUP($B51,资产台账!$B$4:$N$53,10,0)&amp;"",""))</f>
        <v/>
      </c>
      <c r="F51" s="49" t="str">
        <f aca="false">IF($B51="","",IFERROR(VLOOKUP($B51,资产台账!$B$4:$N$53,9,0),0))</f>
        <v/>
      </c>
      <c r="G51" s="45" t="n">
        <f aca="false">IF(OR($A51="",$W51=0),0,INDEX(无形资产工时分配表!$F$6:$F$125,$W51))</f>
        <v>0</v>
      </c>
      <c r="H51" s="45" t="n">
        <f aca="false">IF(OR($A51="",$W51=0),0,INDEX(无形资产工时分配表!$R$6:$R$125,$W51))</f>
        <v>0</v>
      </c>
      <c r="I51" s="28" t="str">
        <f aca="false">IF(OR($A51="",$G51=0),"",$H51/$G51)</f>
        <v/>
      </c>
      <c r="J51" s="27" t="str">
        <f aca="false">IF(OR($A51="",$G51=0),"",ROUND($F51*INDEX(无形资产工时分配表!$H$6:$H$125,$W51)/$G51,2))</f>
        <v/>
      </c>
      <c r="K51" s="27" t="str">
        <f aca="false">IF(OR($A51="",$G51=0),"",ROUND($F51*INDEX(无形资产工时分配表!$I$6:$I$125,$W51)/$G51,2))</f>
        <v/>
      </c>
      <c r="L51" s="27" t="str">
        <f aca="false">IF(OR($A51="",$G51=0),"",ROUND($F51*INDEX(无形资产工时分配表!$J$6:$J$125,$W51)/$G51,2))</f>
        <v/>
      </c>
      <c r="M51" s="27" t="str">
        <f aca="false">IF(OR($A51="",$G51=0),"",ROUND($F51*INDEX(无形资产工时分配表!$K$6:$K$125,$W51)/$G51,2))</f>
        <v/>
      </c>
      <c r="N51" s="27" t="str">
        <f aca="false">IF(OR($A51="",$G51=0),"",ROUND($F51*INDEX(无形资产工时分配表!$L$6:$L$125,$W51)/$G51,2))</f>
        <v/>
      </c>
      <c r="O51" s="27" t="str">
        <f aca="false">IF(OR($A51="",$G51=0),"",ROUND($F51*INDEX(无形资产工时分配表!$M$6:$M$125,$W51)/$G51,2))</f>
        <v/>
      </c>
      <c r="P51" s="27" t="str">
        <f aca="false">IF(OR($A51="",$G51=0),"",ROUND($F51*INDEX(无形资产工时分配表!$N$6:$N$125,$W51)/$G51,2))</f>
        <v/>
      </c>
      <c r="Q51" s="27" t="str">
        <f aca="false">IF(OR($A51="",$G51=0),"",ROUND($F51*INDEX(无形资产工时分配表!$O$6:$O$125,$W51)/$G51,2))</f>
        <v/>
      </c>
      <c r="R51" s="27" t="str">
        <f aca="false">IF(OR($A51="",$G51=0),"",ROUND($F51*INDEX(无形资产工时分配表!$P$6:$P$125,$W51)/$G51,2))</f>
        <v/>
      </c>
      <c r="S51" s="27" t="str">
        <f aca="false">IF(OR($A51="",$G51=0),"",ROUND($F51*INDEX(无形资产工时分配表!$Q$6:$Q$125,$W51)/$G51,2))</f>
        <v/>
      </c>
      <c r="T51" s="27" t="str">
        <f aca="false">IF($A51="","",ROUND(SUM(J51:S51),2))</f>
        <v/>
      </c>
      <c r="U51" s="27" t="str">
        <f aca="false">IF($A51="","",ROUND($F51-T51,2))</f>
        <v/>
      </c>
      <c r="V51" s="43" t="str">
        <f aca="false">IF($A51="","",IF($D51="设备","⚠ 设备请在仪器设备工时费用分配表登记",IF($W51=0,"⚠ 工时分配表无此资产当月记录",IF($X51&gt;1,"⚠ 工时分配表存在重复行","√ 正常"))))</f>
        <v/>
      </c>
      <c r="W51" s="47" t="n">
        <f aca="false">IF($A51="",0,IFERROR(MATCH($A51&amp;"|"&amp;$B51,无形资产工时分配表!$V$6:$V$125,0),0))</f>
        <v>0</v>
      </c>
      <c r="X51" s="47" t="n">
        <f aca="false">IF($A51="",0,COUNTIFS(无形资产工时分配表!$A$6:$A$125,$A51,无形资产工时分配表!$B$6:$B$125,$B51))</f>
        <v>0</v>
      </c>
    </row>
    <row r="52" customFormat="false" ht="18" hidden="false" customHeight="true" outlineLevel="0" collapsed="false">
      <c r="A52" s="36"/>
      <c r="B52" s="36"/>
      <c r="C52" s="48" t="str">
        <f aca="false">IF($B52="","",IFERROR(VLOOKUP($B52,资产台账!$B$4:$N$53,2,0)&amp;"","台账中未登记"))</f>
        <v/>
      </c>
      <c r="D52" s="43" t="str">
        <f aca="false">IF($B52="","",IFERROR(VLOOKUP($B52,资产台账!$B$4:$N$53,3,0)&amp;"",""))</f>
        <v/>
      </c>
      <c r="E52" s="43" t="str">
        <f aca="false">IF($B52="","",IFERROR(VLOOKUP($B52,资产台账!$B$4:$N$53,10,0)&amp;"",""))</f>
        <v/>
      </c>
      <c r="F52" s="49" t="str">
        <f aca="false">IF($B52="","",IFERROR(VLOOKUP($B52,资产台账!$B$4:$N$53,9,0),0))</f>
        <v/>
      </c>
      <c r="G52" s="45" t="n">
        <f aca="false">IF(OR($A52="",$W52=0),0,INDEX(无形资产工时分配表!$F$6:$F$125,$W52))</f>
        <v>0</v>
      </c>
      <c r="H52" s="45" t="n">
        <f aca="false">IF(OR($A52="",$W52=0),0,INDEX(无形资产工时分配表!$R$6:$R$125,$W52))</f>
        <v>0</v>
      </c>
      <c r="I52" s="28" t="str">
        <f aca="false">IF(OR($A52="",$G52=0),"",$H52/$G52)</f>
        <v/>
      </c>
      <c r="J52" s="27" t="str">
        <f aca="false">IF(OR($A52="",$G52=0),"",ROUND($F52*INDEX(无形资产工时分配表!$H$6:$H$125,$W52)/$G52,2))</f>
        <v/>
      </c>
      <c r="K52" s="27" t="str">
        <f aca="false">IF(OR($A52="",$G52=0),"",ROUND($F52*INDEX(无形资产工时分配表!$I$6:$I$125,$W52)/$G52,2))</f>
        <v/>
      </c>
      <c r="L52" s="27" t="str">
        <f aca="false">IF(OR($A52="",$G52=0),"",ROUND($F52*INDEX(无形资产工时分配表!$J$6:$J$125,$W52)/$G52,2))</f>
        <v/>
      </c>
      <c r="M52" s="27" t="str">
        <f aca="false">IF(OR($A52="",$G52=0),"",ROUND($F52*INDEX(无形资产工时分配表!$K$6:$K$125,$W52)/$G52,2))</f>
        <v/>
      </c>
      <c r="N52" s="27" t="str">
        <f aca="false">IF(OR($A52="",$G52=0),"",ROUND($F52*INDEX(无形资产工时分配表!$L$6:$L$125,$W52)/$G52,2))</f>
        <v/>
      </c>
      <c r="O52" s="27" t="str">
        <f aca="false">IF(OR($A52="",$G52=0),"",ROUND($F52*INDEX(无形资产工时分配表!$M$6:$M$125,$W52)/$G52,2))</f>
        <v/>
      </c>
      <c r="P52" s="27" t="str">
        <f aca="false">IF(OR($A52="",$G52=0),"",ROUND($F52*INDEX(无形资产工时分配表!$N$6:$N$125,$W52)/$G52,2))</f>
        <v/>
      </c>
      <c r="Q52" s="27" t="str">
        <f aca="false">IF(OR($A52="",$G52=0),"",ROUND($F52*INDEX(无形资产工时分配表!$O$6:$O$125,$W52)/$G52,2))</f>
        <v/>
      </c>
      <c r="R52" s="27" t="str">
        <f aca="false">IF(OR($A52="",$G52=0),"",ROUND($F52*INDEX(无形资产工时分配表!$P$6:$P$125,$W52)/$G52,2))</f>
        <v/>
      </c>
      <c r="S52" s="27" t="str">
        <f aca="false">IF(OR($A52="",$G52=0),"",ROUND($F52*INDEX(无形资产工时分配表!$Q$6:$Q$125,$W52)/$G52,2))</f>
        <v/>
      </c>
      <c r="T52" s="27" t="str">
        <f aca="false">IF($A52="","",ROUND(SUM(J52:S52),2))</f>
        <v/>
      </c>
      <c r="U52" s="27" t="str">
        <f aca="false">IF($A52="","",ROUND($F52-T52,2))</f>
        <v/>
      </c>
      <c r="V52" s="43" t="str">
        <f aca="false">IF($A52="","",IF($D52="设备","⚠ 设备请在仪器设备工时费用分配表登记",IF($W52=0,"⚠ 工时分配表无此资产当月记录",IF($X52&gt;1,"⚠ 工时分配表存在重复行","√ 正常"))))</f>
        <v/>
      </c>
      <c r="W52" s="47" t="n">
        <f aca="false">IF($A52="",0,IFERROR(MATCH($A52&amp;"|"&amp;$B52,无形资产工时分配表!$V$6:$V$125,0),0))</f>
        <v>0</v>
      </c>
      <c r="X52" s="47" t="n">
        <f aca="false">IF($A52="",0,COUNTIFS(无形资产工时分配表!$A$6:$A$125,$A52,无形资产工时分配表!$B$6:$B$125,$B52))</f>
        <v>0</v>
      </c>
    </row>
    <row r="53" customFormat="false" ht="18" hidden="false" customHeight="true" outlineLevel="0" collapsed="false">
      <c r="A53" s="36"/>
      <c r="B53" s="36"/>
      <c r="C53" s="48" t="str">
        <f aca="false">IF($B53="","",IFERROR(VLOOKUP($B53,资产台账!$B$4:$N$53,2,0)&amp;"","台账中未登记"))</f>
        <v/>
      </c>
      <c r="D53" s="43" t="str">
        <f aca="false">IF($B53="","",IFERROR(VLOOKUP($B53,资产台账!$B$4:$N$53,3,0)&amp;"",""))</f>
        <v/>
      </c>
      <c r="E53" s="43" t="str">
        <f aca="false">IF($B53="","",IFERROR(VLOOKUP($B53,资产台账!$B$4:$N$53,10,0)&amp;"",""))</f>
        <v/>
      </c>
      <c r="F53" s="49" t="str">
        <f aca="false">IF($B53="","",IFERROR(VLOOKUP($B53,资产台账!$B$4:$N$53,9,0),0))</f>
        <v/>
      </c>
      <c r="G53" s="45" t="n">
        <f aca="false">IF(OR($A53="",$W53=0),0,INDEX(无形资产工时分配表!$F$6:$F$125,$W53))</f>
        <v>0</v>
      </c>
      <c r="H53" s="45" t="n">
        <f aca="false">IF(OR($A53="",$W53=0),0,INDEX(无形资产工时分配表!$R$6:$R$125,$W53))</f>
        <v>0</v>
      </c>
      <c r="I53" s="28" t="str">
        <f aca="false">IF(OR($A53="",$G53=0),"",$H53/$G53)</f>
        <v/>
      </c>
      <c r="J53" s="27" t="str">
        <f aca="false">IF(OR($A53="",$G53=0),"",ROUND($F53*INDEX(无形资产工时分配表!$H$6:$H$125,$W53)/$G53,2))</f>
        <v/>
      </c>
      <c r="K53" s="27" t="str">
        <f aca="false">IF(OR($A53="",$G53=0),"",ROUND($F53*INDEX(无形资产工时分配表!$I$6:$I$125,$W53)/$G53,2))</f>
        <v/>
      </c>
      <c r="L53" s="27" t="str">
        <f aca="false">IF(OR($A53="",$G53=0),"",ROUND($F53*INDEX(无形资产工时分配表!$J$6:$J$125,$W53)/$G53,2))</f>
        <v/>
      </c>
      <c r="M53" s="27" t="str">
        <f aca="false">IF(OR($A53="",$G53=0),"",ROUND($F53*INDEX(无形资产工时分配表!$K$6:$K$125,$W53)/$G53,2))</f>
        <v/>
      </c>
      <c r="N53" s="27" t="str">
        <f aca="false">IF(OR($A53="",$G53=0),"",ROUND($F53*INDEX(无形资产工时分配表!$L$6:$L$125,$W53)/$G53,2))</f>
        <v/>
      </c>
      <c r="O53" s="27" t="str">
        <f aca="false">IF(OR($A53="",$G53=0),"",ROUND($F53*INDEX(无形资产工时分配表!$M$6:$M$125,$W53)/$G53,2))</f>
        <v/>
      </c>
      <c r="P53" s="27" t="str">
        <f aca="false">IF(OR($A53="",$G53=0),"",ROUND($F53*INDEX(无形资产工时分配表!$N$6:$N$125,$W53)/$G53,2))</f>
        <v/>
      </c>
      <c r="Q53" s="27" t="str">
        <f aca="false">IF(OR($A53="",$G53=0),"",ROUND($F53*INDEX(无形资产工时分配表!$O$6:$O$125,$W53)/$G53,2))</f>
        <v/>
      </c>
      <c r="R53" s="27" t="str">
        <f aca="false">IF(OR($A53="",$G53=0),"",ROUND($F53*INDEX(无形资产工时分配表!$P$6:$P$125,$W53)/$G53,2))</f>
        <v/>
      </c>
      <c r="S53" s="27" t="str">
        <f aca="false">IF(OR($A53="",$G53=0),"",ROUND($F53*INDEX(无形资产工时分配表!$Q$6:$Q$125,$W53)/$G53,2))</f>
        <v/>
      </c>
      <c r="T53" s="27" t="str">
        <f aca="false">IF($A53="","",ROUND(SUM(J53:S53),2))</f>
        <v/>
      </c>
      <c r="U53" s="27" t="str">
        <f aca="false">IF($A53="","",ROUND($F53-T53,2))</f>
        <v/>
      </c>
      <c r="V53" s="43" t="str">
        <f aca="false">IF($A53="","",IF($D53="设备","⚠ 设备请在仪器设备工时费用分配表登记",IF($W53=0,"⚠ 工时分配表无此资产当月记录",IF($X53&gt;1,"⚠ 工时分配表存在重复行","√ 正常"))))</f>
        <v/>
      </c>
      <c r="W53" s="47" t="n">
        <f aca="false">IF($A53="",0,IFERROR(MATCH($A53&amp;"|"&amp;$B53,无形资产工时分配表!$V$6:$V$125,0),0))</f>
        <v>0</v>
      </c>
      <c r="X53" s="47" t="n">
        <f aca="false">IF($A53="",0,COUNTIFS(无形资产工时分配表!$A$6:$A$125,$A53,无形资产工时分配表!$B$6:$B$125,$B53))</f>
        <v>0</v>
      </c>
    </row>
    <row r="54" customFormat="false" ht="18" hidden="false" customHeight="true" outlineLevel="0" collapsed="false">
      <c r="A54" s="36"/>
      <c r="B54" s="36"/>
      <c r="C54" s="48" t="str">
        <f aca="false">IF($B54="","",IFERROR(VLOOKUP($B54,资产台账!$B$4:$N$53,2,0)&amp;"","台账中未登记"))</f>
        <v/>
      </c>
      <c r="D54" s="43" t="str">
        <f aca="false">IF($B54="","",IFERROR(VLOOKUP($B54,资产台账!$B$4:$N$53,3,0)&amp;"",""))</f>
        <v/>
      </c>
      <c r="E54" s="43" t="str">
        <f aca="false">IF($B54="","",IFERROR(VLOOKUP($B54,资产台账!$B$4:$N$53,10,0)&amp;"",""))</f>
        <v/>
      </c>
      <c r="F54" s="49" t="str">
        <f aca="false">IF($B54="","",IFERROR(VLOOKUP($B54,资产台账!$B$4:$N$53,9,0),0))</f>
        <v/>
      </c>
      <c r="G54" s="45" t="n">
        <f aca="false">IF(OR($A54="",$W54=0),0,INDEX(无形资产工时分配表!$F$6:$F$125,$W54))</f>
        <v>0</v>
      </c>
      <c r="H54" s="45" t="n">
        <f aca="false">IF(OR($A54="",$W54=0),0,INDEX(无形资产工时分配表!$R$6:$R$125,$W54))</f>
        <v>0</v>
      </c>
      <c r="I54" s="28" t="str">
        <f aca="false">IF(OR($A54="",$G54=0),"",$H54/$G54)</f>
        <v/>
      </c>
      <c r="J54" s="27" t="str">
        <f aca="false">IF(OR($A54="",$G54=0),"",ROUND($F54*INDEX(无形资产工时分配表!$H$6:$H$125,$W54)/$G54,2))</f>
        <v/>
      </c>
      <c r="K54" s="27" t="str">
        <f aca="false">IF(OR($A54="",$G54=0),"",ROUND($F54*INDEX(无形资产工时分配表!$I$6:$I$125,$W54)/$G54,2))</f>
        <v/>
      </c>
      <c r="L54" s="27" t="str">
        <f aca="false">IF(OR($A54="",$G54=0),"",ROUND($F54*INDEX(无形资产工时分配表!$J$6:$J$125,$W54)/$G54,2))</f>
        <v/>
      </c>
      <c r="M54" s="27" t="str">
        <f aca="false">IF(OR($A54="",$G54=0),"",ROUND($F54*INDEX(无形资产工时分配表!$K$6:$K$125,$W54)/$G54,2))</f>
        <v/>
      </c>
      <c r="N54" s="27" t="str">
        <f aca="false">IF(OR($A54="",$G54=0),"",ROUND($F54*INDEX(无形资产工时分配表!$L$6:$L$125,$W54)/$G54,2))</f>
        <v/>
      </c>
      <c r="O54" s="27" t="str">
        <f aca="false">IF(OR($A54="",$G54=0),"",ROUND($F54*INDEX(无形资产工时分配表!$M$6:$M$125,$W54)/$G54,2))</f>
        <v/>
      </c>
      <c r="P54" s="27" t="str">
        <f aca="false">IF(OR($A54="",$G54=0),"",ROUND($F54*INDEX(无形资产工时分配表!$N$6:$N$125,$W54)/$G54,2))</f>
        <v/>
      </c>
      <c r="Q54" s="27" t="str">
        <f aca="false">IF(OR($A54="",$G54=0),"",ROUND($F54*INDEX(无形资产工时分配表!$O$6:$O$125,$W54)/$G54,2))</f>
        <v/>
      </c>
      <c r="R54" s="27" t="str">
        <f aca="false">IF(OR($A54="",$G54=0),"",ROUND($F54*INDEX(无形资产工时分配表!$P$6:$P$125,$W54)/$G54,2))</f>
        <v/>
      </c>
      <c r="S54" s="27" t="str">
        <f aca="false">IF(OR($A54="",$G54=0),"",ROUND($F54*INDEX(无形资产工时分配表!$Q$6:$Q$125,$W54)/$G54,2))</f>
        <v/>
      </c>
      <c r="T54" s="27" t="str">
        <f aca="false">IF($A54="","",ROUND(SUM(J54:S54),2))</f>
        <v/>
      </c>
      <c r="U54" s="27" t="str">
        <f aca="false">IF($A54="","",ROUND($F54-T54,2))</f>
        <v/>
      </c>
      <c r="V54" s="43" t="str">
        <f aca="false">IF($A54="","",IF($D54="设备","⚠ 设备请在仪器设备工时费用分配表登记",IF($W54=0,"⚠ 工时分配表无此资产当月记录",IF($X54&gt;1,"⚠ 工时分配表存在重复行","√ 正常"))))</f>
        <v/>
      </c>
      <c r="W54" s="47" t="n">
        <f aca="false">IF($A54="",0,IFERROR(MATCH($A54&amp;"|"&amp;$B54,无形资产工时分配表!$V$6:$V$125,0),0))</f>
        <v>0</v>
      </c>
      <c r="X54" s="47" t="n">
        <f aca="false">IF($A54="",0,COUNTIFS(无形资产工时分配表!$A$6:$A$125,$A54,无形资产工时分配表!$B$6:$B$125,$B54))</f>
        <v>0</v>
      </c>
    </row>
    <row r="55" customFormat="false" ht="18" hidden="false" customHeight="true" outlineLevel="0" collapsed="false">
      <c r="A55" s="36"/>
      <c r="B55" s="36"/>
      <c r="C55" s="48" t="str">
        <f aca="false">IF($B55="","",IFERROR(VLOOKUP($B55,资产台账!$B$4:$N$53,2,0)&amp;"","台账中未登记"))</f>
        <v/>
      </c>
      <c r="D55" s="43" t="str">
        <f aca="false">IF($B55="","",IFERROR(VLOOKUP($B55,资产台账!$B$4:$N$53,3,0)&amp;"",""))</f>
        <v/>
      </c>
      <c r="E55" s="43" t="str">
        <f aca="false">IF($B55="","",IFERROR(VLOOKUP($B55,资产台账!$B$4:$N$53,10,0)&amp;"",""))</f>
        <v/>
      </c>
      <c r="F55" s="49" t="str">
        <f aca="false">IF($B55="","",IFERROR(VLOOKUP($B55,资产台账!$B$4:$N$53,9,0),0))</f>
        <v/>
      </c>
      <c r="G55" s="45" t="n">
        <f aca="false">IF(OR($A55="",$W55=0),0,INDEX(无形资产工时分配表!$F$6:$F$125,$W55))</f>
        <v>0</v>
      </c>
      <c r="H55" s="45" t="n">
        <f aca="false">IF(OR($A55="",$W55=0),0,INDEX(无形资产工时分配表!$R$6:$R$125,$W55))</f>
        <v>0</v>
      </c>
      <c r="I55" s="28" t="str">
        <f aca="false">IF(OR($A55="",$G55=0),"",$H55/$G55)</f>
        <v/>
      </c>
      <c r="J55" s="27" t="str">
        <f aca="false">IF(OR($A55="",$G55=0),"",ROUND($F55*INDEX(无形资产工时分配表!$H$6:$H$125,$W55)/$G55,2))</f>
        <v/>
      </c>
      <c r="K55" s="27" t="str">
        <f aca="false">IF(OR($A55="",$G55=0),"",ROUND($F55*INDEX(无形资产工时分配表!$I$6:$I$125,$W55)/$G55,2))</f>
        <v/>
      </c>
      <c r="L55" s="27" t="str">
        <f aca="false">IF(OR($A55="",$G55=0),"",ROUND($F55*INDEX(无形资产工时分配表!$J$6:$J$125,$W55)/$G55,2))</f>
        <v/>
      </c>
      <c r="M55" s="27" t="str">
        <f aca="false">IF(OR($A55="",$G55=0),"",ROUND($F55*INDEX(无形资产工时分配表!$K$6:$K$125,$W55)/$G55,2))</f>
        <v/>
      </c>
      <c r="N55" s="27" t="str">
        <f aca="false">IF(OR($A55="",$G55=0),"",ROUND($F55*INDEX(无形资产工时分配表!$L$6:$L$125,$W55)/$G55,2))</f>
        <v/>
      </c>
      <c r="O55" s="27" t="str">
        <f aca="false">IF(OR($A55="",$G55=0),"",ROUND($F55*INDEX(无形资产工时分配表!$M$6:$M$125,$W55)/$G55,2))</f>
        <v/>
      </c>
      <c r="P55" s="27" t="str">
        <f aca="false">IF(OR($A55="",$G55=0),"",ROUND($F55*INDEX(无形资产工时分配表!$N$6:$N$125,$W55)/$G55,2))</f>
        <v/>
      </c>
      <c r="Q55" s="27" t="str">
        <f aca="false">IF(OR($A55="",$G55=0),"",ROUND($F55*INDEX(无形资产工时分配表!$O$6:$O$125,$W55)/$G55,2))</f>
        <v/>
      </c>
      <c r="R55" s="27" t="str">
        <f aca="false">IF(OR($A55="",$G55=0),"",ROUND($F55*INDEX(无形资产工时分配表!$P$6:$P$125,$W55)/$G55,2))</f>
        <v/>
      </c>
      <c r="S55" s="27" t="str">
        <f aca="false">IF(OR($A55="",$G55=0),"",ROUND($F55*INDEX(无形资产工时分配表!$Q$6:$Q$125,$W55)/$G55,2))</f>
        <v/>
      </c>
      <c r="T55" s="27" t="str">
        <f aca="false">IF($A55="","",ROUND(SUM(J55:S55),2))</f>
        <v/>
      </c>
      <c r="U55" s="27" t="str">
        <f aca="false">IF($A55="","",ROUND($F55-T55,2))</f>
        <v/>
      </c>
      <c r="V55" s="43" t="str">
        <f aca="false">IF($A55="","",IF($D55="设备","⚠ 设备请在仪器设备工时费用分配表登记",IF($W55=0,"⚠ 工时分配表无此资产当月记录",IF($X55&gt;1,"⚠ 工时分配表存在重复行","√ 正常"))))</f>
        <v/>
      </c>
      <c r="W55" s="47" t="n">
        <f aca="false">IF($A55="",0,IFERROR(MATCH($A55&amp;"|"&amp;$B55,无形资产工时分配表!$V$6:$V$125,0),0))</f>
        <v>0</v>
      </c>
      <c r="X55" s="47" t="n">
        <f aca="false">IF($A55="",0,COUNTIFS(无形资产工时分配表!$A$6:$A$125,$A55,无形资产工时分配表!$B$6:$B$125,$B55))</f>
        <v>0</v>
      </c>
    </row>
    <row r="56" customFormat="false" ht="18" hidden="false" customHeight="true" outlineLevel="0" collapsed="false">
      <c r="A56" s="36"/>
      <c r="B56" s="36"/>
      <c r="C56" s="48" t="str">
        <f aca="false">IF($B56="","",IFERROR(VLOOKUP($B56,资产台账!$B$4:$N$53,2,0)&amp;"","台账中未登记"))</f>
        <v/>
      </c>
      <c r="D56" s="43" t="str">
        <f aca="false">IF($B56="","",IFERROR(VLOOKUP($B56,资产台账!$B$4:$N$53,3,0)&amp;"",""))</f>
        <v/>
      </c>
      <c r="E56" s="43" t="str">
        <f aca="false">IF($B56="","",IFERROR(VLOOKUP($B56,资产台账!$B$4:$N$53,10,0)&amp;"",""))</f>
        <v/>
      </c>
      <c r="F56" s="49" t="str">
        <f aca="false">IF($B56="","",IFERROR(VLOOKUP($B56,资产台账!$B$4:$N$53,9,0),0))</f>
        <v/>
      </c>
      <c r="G56" s="45" t="n">
        <f aca="false">IF(OR($A56="",$W56=0),0,INDEX(无形资产工时分配表!$F$6:$F$125,$W56))</f>
        <v>0</v>
      </c>
      <c r="H56" s="45" t="n">
        <f aca="false">IF(OR($A56="",$W56=0),0,INDEX(无形资产工时分配表!$R$6:$R$125,$W56))</f>
        <v>0</v>
      </c>
      <c r="I56" s="28" t="str">
        <f aca="false">IF(OR($A56="",$G56=0),"",$H56/$G56)</f>
        <v/>
      </c>
      <c r="J56" s="27" t="str">
        <f aca="false">IF(OR($A56="",$G56=0),"",ROUND($F56*INDEX(无形资产工时分配表!$H$6:$H$125,$W56)/$G56,2))</f>
        <v/>
      </c>
      <c r="K56" s="27" t="str">
        <f aca="false">IF(OR($A56="",$G56=0),"",ROUND($F56*INDEX(无形资产工时分配表!$I$6:$I$125,$W56)/$G56,2))</f>
        <v/>
      </c>
      <c r="L56" s="27" t="str">
        <f aca="false">IF(OR($A56="",$G56=0),"",ROUND($F56*INDEX(无形资产工时分配表!$J$6:$J$125,$W56)/$G56,2))</f>
        <v/>
      </c>
      <c r="M56" s="27" t="str">
        <f aca="false">IF(OR($A56="",$G56=0),"",ROUND($F56*INDEX(无形资产工时分配表!$K$6:$K$125,$W56)/$G56,2))</f>
        <v/>
      </c>
      <c r="N56" s="27" t="str">
        <f aca="false">IF(OR($A56="",$G56=0),"",ROUND($F56*INDEX(无形资产工时分配表!$L$6:$L$125,$W56)/$G56,2))</f>
        <v/>
      </c>
      <c r="O56" s="27" t="str">
        <f aca="false">IF(OR($A56="",$G56=0),"",ROUND($F56*INDEX(无形资产工时分配表!$M$6:$M$125,$W56)/$G56,2))</f>
        <v/>
      </c>
      <c r="P56" s="27" t="str">
        <f aca="false">IF(OR($A56="",$G56=0),"",ROUND($F56*INDEX(无形资产工时分配表!$N$6:$N$125,$W56)/$G56,2))</f>
        <v/>
      </c>
      <c r="Q56" s="27" t="str">
        <f aca="false">IF(OR($A56="",$G56=0),"",ROUND($F56*INDEX(无形资产工时分配表!$O$6:$O$125,$W56)/$G56,2))</f>
        <v/>
      </c>
      <c r="R56" s="27" t="str">
        <f aca="false">IF(OR($A56="",$G56=0),"",ROUND($F56*INDEX(无形资产工时分配表!$P$6:$P$125,$W56)/$G56,2))</f>
        <v/>
      </c>
      <c r="S56" s="27" t="str">
        <f aca="false">IF(OR($A56="",$G56=0),"",ROUND($F56*INDEX(无形资产工时分配表!$Q$6:$Q$125,$W56)/$G56,2))</f>
        <v/>
      </c>
      <c r="T56" s="27" t="str">
        <f aca="false">IF($A56="","",ROUND(SUM(J56:S56),2))</f>
        <v/>
      </c>
      <c r="U56" s="27" t="str">
        <f aca="false">IF($A56="","",ROUND($F56-T56,2))</f>
        <v/>
      </c>
      <c r="V56" s="43" t="str">
        <f aca="false">IF($A56="","",IF($D56="设备","⚠ 设备请在仪器设备工时费用分配表登记",IF($W56=0,"⚠ 工时分配表无此资产当月记录",IF($X56&gt;1,"⚠ 工时分配表存在重复行","√ 正常"))))</f>
        <v/>
      </c>
      <c r="W56" s="47" t="n">
        <f aca="false">IF($A56="",0,IFERROR(MATCH($A56&amp;"|"&amp;$B56,无形资产工时分配表!$V$6:$V$125,0),0))</f>
        <v>0</v>
      </c>
      <c r="X56" s="47" t="n">
        <f aca="false">IF($A56="",0,COUNTIFS(无形资产工时分配表!$A$6:$A$125,$A56,无形资产工时分配表!$B$6:$B$125,$B56))</f>
        <v>0</v>
      </c>
    </row>
    <row r="57" customFormat="false" ht="18" hidden="false" customHeight="true" outlineLevel="0" collapsed="false">
      <c r="A57" s="36"/>
      <c r="B57" s="36"/>
      <c r="C57" s="48" t="str">
        <f aca="false">IF($B57="","",IFERROR(VLOOKUP($B57,资产台账!$B$4:$N$53,2,0)&amp;"","台账中未登记"))</f>
        <v/>
      </c>
      <c r="D57" s="43" t="str">
        <f aca="false">IF($B57="","",IFERROR(VLOOKUP($B57,资产台账!$B$4:$N$53,3,0)&amp;"",""))</f>
        <v/>
      </c>
      <c r="E57" s="43" t="str">
        <f aca="false">IF($B57="","",IFERROR(VLOOKUP($B57,资产台账!$B$4:$N$53,10,0)&amp;"",""))</f>
        <v/>
      </c>
      <c r="F57" s="49" t="str">
        <f aca="false">IF($B57="","",IFERROR(VLOOKUP($B57,资产台账!$B$4:$N$53,9,0),0))</f>
        <v/>
      </c>
      <c r="G57" s="45" t="n">
        <f aca="false">IF(OR($A57="",$W57=0),0,INDEX(无形资产工时分配表!$F$6:$F$125,$W57))</f>
        <v>0</v>
      </c>
      <c r="H57" s="45" t="n">
        <f aca="false">IF(OR($A57="",$W57=0),0,INDEX(无形资产工时分配表!$R$6:$R$125,$W57))</f>
        <v>0</v>
      </c>
      <c r="I57" s="28" t="str">
        <f aca="false">IF(OR($A57="",$G57=0),"",$H57/$G57)</f>
        <v/>
      </c>
      <c r="J57" s="27" t="str">
        <f aca="false">IF(OR($A57="",$G57=0),"",ROUND($F57*INDEX(无形资产工时分配表!$H$6:$H$125,$W57)/$G57,2))</f>
        <v/>
      </c>
      <c r="K57" s="27" t="str">
        <f aca="false">IF(OR($A57="",$G57=0),"",ROUND($F57*INDEX(无形资产工时分配表!$I$6:$I$125,$W57)/$G57,2))</f>
        <v/>
      </c>
      <c r="L57" s="27" t="str">
        <f aca="false">IF(OR($A57="",$G57=0),"",ROUND($F57*INDEX(无形资产工时分配表!$J$6:$J$125,$W57)/$G57,2))</f>
        <v/>
      </c>
      <c r="M57" s="27" t="str">
        <f aca="false">IF(OR($A57="",$G57=0),"",ROUND($F57*INDEX(无形资产工时分配表!$K$6:$K$125,$W57)/$G57,2))</f>
        <v/>
      </c>
      <c r="N57" s="27" t="str">
        <f aca="false">IF(OR($A57="",$G57=0),"",ROUND($F57*INDEX(无形资产工时分配表!$L$6:$L$125,$W57)/$G57,2))</f>
        <v/>
      </c>
      <c r="O57" s="27" t="str">
        <f aca="false">IF(OR($A57="",$G57=0),"",ROUND($F57*INDEX(无形资产工时分配表!$M$6:$M$125,$W57)/$G57,2))</f>
        <v/>
      </c>
      <c r="P57" s="27" t="str">
        <f aca="false">IF(OR($A57="",$G57=0),"",ROUND($F57*INDEX(无形资产工时分配表!$N$6:$N$125,$W57)/$G57,2))</f>
        <v/>
      </c>
      <c r="Q57" s="27" t="str">
        <f aca="false">IF(OR($A57="",$G57=0),"",ROUND($F57*INDEX(无形资产工时分配表!$O$6:$O$125,$W57)/$G57,2))</f>
        <v/>
      </c>
      <c r="R57" s="27" t="str">
        <f aca="false">IF(OR($A57="",$G57=0),"",ROUND($F57*INDEX(无形资产工时分配表!$P$6:$P$125,$W57)/$G57,2))</f>
        <v/>
      </c>
      <c r="S57" s="27" t="str">
        <f aca="false">IF(OR($A57="",$G57=0),"",ROUND($F57*INDEX(无形资产工时分配表!$Q$6:$Q$125,$W57)/$G57,2))</f>
        <v/>
      </c>
      <c r="T57" s="27" t="str">
        <f aca="false">IF($A57="","",ROUND(SUM(J57:S57),2))</f>
        <v/>
      </c>
      <c r="U57" s="27" t="str">
        <f aca="false">IF($A57="","",ROUND($F57-T57,2))</f>
        <v/>
      </c>
      <c r="V57" s="43" t="str">
        <f aca="false">IF($A57="","",IF($D57="设备","⚠ 设备请在仪器设备工时费用分配表登记",IF($W57=0,"⚠ 工时分配表无此资产当月记录",IF($X57&gt;1,"⚠ 工时分配表存在重复行","√ 正常"))))</f>
        <v/>
      </c>
      <c r="W57" s="47" t="n">
        <f aca="false">IF($A57="",0,IFERROR(MATCH($A57&amp;"|"&amp;$B57,无形资产工时分配表!$V$6:$V$125,0),0))</f>
        <v>0</v>
      </c>
      <c r="X57" s="47" t="n">
        <f aca="false">IF($A57="",0,COUNTIFS(无形资产工时分配表!$A$6:$A$125,$A57,无形资产工时分配表!$B$6:$B$125,$B57))</f>
        <v>0</v>
      </c>
    </row>
    <row r="58" customFormat="false" ht="18" hidden="false" customHeight="true" outlineLevel="0" collapsed="false">
      <c r="A58" s="36"/>
      <c r="B58" s="36"/>
      <c r="C58" s="48" t="str">
        <f aca="false">IF($B58="","",IFERROR(VLOOKUP($B58,资产台账!$B$4:$N$53,2,0)&amp;"","台账中未登记"))</f>
        <v/>
      </c>
      <c r="D58" s="43" t="str">
        <f aca="false">IF($B58="","",IFERROR(VLOOKUP($B58,资产台账!$B$4:$N$53,3,0)&amp;"",""))</f>
        <v/>
      </c>
      <c r="E58" s="43" t="str">
        <f aca="false">IF($B58="","",IFERROR(VLOOKUP($B58,资产台账!$B$4:$N$53,10,0)&amp;"",""))</f>
        <v/>
      </c>
      <c r="F58" s="49" t="str">
        <f aca="false">IF($B58="","",IFERROR(VLOOKUP($B58,资产台账!$B$4:$N$53,9,0),0))</f>
        <v/>
      </c>
      <c r="G58" s="45" t="n">
        <f aca="false">IF(OR($A58="",$W58=0),0,INDEX(无形资产工时分配表!$F$6:$F$125,$W58))</f>
        <v>0</v>
      </c>
      <c r="H58" s="45" t="n">
        <f aca="false">IF(OR($A58="",$W58=0),0,INDEX(无形资产工时分配表!$R$6:$R$125,$W58))</f>
        <v>0</v>
      </c>
      <c r="I58" s="28" t="str">
        <f aca="false">IF(OR($A58="",$G58=0),"",$H58/$G58)</f>
        <v/>
      </c>
      <c r="J58" s="27" t="str">
        <f aca="false">IF(OR($A58="",$G58=0),"",ROUND($F58*INDEX(无形资产工时分配表!$H$6:$H$125,$W58)/$G58,2))</f>
        <v/>
      </c>
      <c r="K58" s="27" t="str">
        <f aca="false">IF(OR($A58="",$G58=0),"",ROUND($F58*INDEX(无形资产工时分配表!$I$6:$I$125,$W58)/$G58,2))</f>
        <v/>
      </c>
      <c r="L58" s="27" t="str">
        <f aca="false">IF(OR($A58="",$G58=0),"",ROUND($F58*INDEX(无形资产工时分配表!$J$6:$J$125,$W58)/$G58,2))</f>
        <v/>
      </c>
      <c r="M58" s="27" t="str">
        <f aca="false">IF(OR($A58="",$G58=0),"",ROUND($F58*INDEX(无形资产工时分配表!$K$6:$K$125,$W58)/$G58,2))</f>
        <v/>
      </c>
      <c r="N58" s="27" t="str">
        <f aca="false">IF(OR($A58="",$G58=0),"",ROUND($F58*INDEX(无形资产工时分配表!$L$6:$L$125,$W58)/$G58,2))</f>
        <v/>
      </c>
      <c r="O58" s="27" t="str">
        <f aca="false">IF(OR($A58="",$G58=0),"",ROUND($F58*INDEX(无形资产工时分配表!$M$6:$M$125,$W58)/$G58,2))</f>
        <v/>
      </c>
      <c r="P58" s="27" t="str">
        <f aca="false">IF(OR($A58="",$G58=0),"",ROUND($F58*INDEX(无形资产工时分配表!$N$6:$N$125,$W58)/$G58,2))</f>
        <v/>
      </c>
      <c r="Q58" s="27" t="str">
        <f aca="false">IF(OR($A58="",$G58=0),"",ROUND($F58*INDEX(无形资产工时分配表!$O$6:$O$125,$W58)/$G58,2))</f>
        <v/>
      </c>
      <c r="R58" s="27" t="str">
        <f aca="false">IF(OR($A58="",$G58=0),"",ROUND($F58*INDEX(无形资产工时分配表!$P$6:$P$125,$W58)/$G58,2))</f>
        <v/>
      </c>
      <c r="S58" s="27" t="str">
        <f aca="false">IF(OR($A58="",$G58=0),"",ROUND($F58*INDEX(无形资产工时分配表!$Q$6:$Q$125,$W58)/$G58,2))</f>
        <v/>
      </c>
      <c r="T58" s="27" t="str">
        <f aca="false">IF($A58="","",ROUND(SUM(J58:S58),2))</f>
        <v/>
      </c>
      <c r="U58" s="27" t="str">
        <f aca="false">IF($A58="","",ROUND($F58-T58,2))</f>
        <v/>
      </c>
      <c r="V58" s="43" t="str">
        <f aca="false">IF($A58="","",IF($D58="设备","⚠ 设备请在仪器设备工时费用分配表登记",IF($W58=0,"⚠ 工时分配表无此资产当月记录",IF($X58&gt;1,"⚠ 工时分配表存在重复行","√ 正常"))))</f>
        <v/>
      </c>
      <c r="W58" s="47" t="n">
        <f aca="false">IF($A58="",0,IFERROR(MATCH($A58&amp;"|"&amp;$B58,无形资产工时分配表!$V$6:$V$125,0),0))</f>
        <v>0</v>
      </c>
      <c r="X58" s="47" t="n">
        <f aca="false">IF($A58="",0,COUNTIFS(无形资产工时分配表!$A$6:$A$125,$A58,无形资产工时分配表!$B$6:$B$125,$B58))</f>
        <v>0</v>
      </c>
    </row>
    <row r="59" customFormat="false" ht="18" hidden="false" customHeight="true" outlineLevel="0" collapsed="false">
      <c r="A59" s="36"/>
      <c r="B59" s="36"/>
      <c r="C59" s="48" t="str">
        <f aca="false">IF($B59="","",IFERROR(VLOOKUP($B59,资产台账!$B$4:$N$53,2,0)&amp;"","台账中未登记"))</f>
        <v/>
      </c>
      <c r="D59" s="43" t="str">
        <f aca="false">IF($B59="","",IFERROR(VLOOKUP($B59,资产台账!$B$4:$N$53,3,0)&amp;"",""))</f>
        <v/>
      </c>
      <c r="E59" s="43" t="str">
        <f aca="false">IF($B59="","",IFERROR(VLOOKUP($B59,资产台账!$B$4:$N$53,10,0)&amp;"",""))</f>
        <v/>
      </c>
      <c r="F59" s="49" t="str">
        <f aca="false">IF($B59="","",IFERROR(VLOOKUP($B59,资产台账!$B$4:$N$53,9,0),0))</f>
        <v/>
      </c>
      <c r="G59" s="45" t="n">
        <f aca="false">IF(OR($A59="",$W59=0),0,INDEX(无形资产工时分配表!$F$6:$F$125,$W59))</f>
        <v>0</v>
      </c>
      <c r="H59" s="45" t="n">
        <f aca="false">IF(OR($A59="",$W59=0),0,INDEX(无形资产工时分配表!$R$6:$R$125,$W59))</f>
        <v>0</v>
      </c>
      <c r="I59" s="28" t="str">
        <f aca="false">IF(OR($A59="",$G59=0),"",$H59/$G59)</f>
        <v/>
      </c>
      <c r="J59" s="27" t="str">
        <f aca="false">IF(OR($A59="",$G59=0),"",ROUND($F59*INDEX(无形资产工时分配表!$H$6:$H$125,$W59)/$G59,2))</f>
        <v/>
      </c>
      <c r="K59" s="27" t="str">
        <f aca="false">IF(OR($A59="",$G59=0),"",ROUND($F59*INDEX(无形资产工时分配表!$I$6:$I$125,$W59)/$G59,2))</f>
        <v/>
      </c>
      <c r="L59" s="27" t="str">
        <f aca="false">IF(OR($A59="",$G59=0),"",ROUND($F59*INDEX(无形资产工时分配表!$J$6:$J$125,$W59)/$G59,2))</f>
        <v/>
      </c>
      <c r="M59" s="27" t="str">
        <f aca="false">IF(OR($A59="",$G59=0),"",ROUND($F59*INDEX(无形资产工时分配表!$K$6:$K$125,$W59)/$G59,2))</f>
        <v/>
      </c>
      <c r="N59" s="27" t="str">
        <f aca="false">IF(OR($A59="",$G59=0),"",ROUND($F59*INDEX(无形资产工时分配表!$L$6:$L$125,$W59)/$G59,2))</f>
        <v/>
      </c>
      <c r="O59" s="27" t="str">
        <f aca="false">IF(OR($A59="",$G59=0),"",ROUND($F59*INDEX(无形资产工时分配表!$M$6:$M$125,$W59)/$G59,2))</f>
        <v/>
      </c>
      <c r="P59" s="27" t="str">
        <f aca="false">IF(OR($A59="",$G59=0),"",ROUND($F59*INDEX(无形资产工时分配表!$N$6:$N$125,$W59)/$G59,2))</f>
        <v/>
      </c>
      <c r="Q59" s="27" t="str">
        <f aca="false">IF(OR($A59="",$G59=0),"",ROUND($F59*INDEX(无形资产工时分配表!$O$6:$O$125,$W59)/$G59,2))</f>
        <v/>
      </c>
      <c r="R59" s="27" t="str">
        <f aca="false">IF(OR($A59="",$G59=0),"",ROUND($F59*INDEX(无形资产工时分配表!$P$6:$P$125,$W59)/$G59,2))</f>
        <v/>
      </c>
      <c r="S59" s="27" t="str">
        <f aca="false">IF(OR($A59="",$G59=0),"",ROUND($F59*INDEX(无形资产工时分配表!$Q$6:$Q$125,$W59)/$G59,2))</f>
        <v/>
      </c>
      <c r="T59" s="27" t="str">
        <f aca="false">IF($A59="","",ROUND(SUM(J59:S59),2))</f>
        <v/>
      </c>
      <c r="U59" s="27" t="str">
        <f aca="false">IF($A59="","",ROUND($F59-T59,2))</f>
        <v/>
      </c>
      <c r="V59" s="43" t="str">
        <f aca="false">IF($A59="","",IF($D59="设备","⚠ 设备请在仪器设备工时费用分配表登记",IF($W59=0,"⚠ 工时分配表无此资产当月记录",IF($X59&gt;1,"⚠ 工时分配表存在重复行","√ 正常"))))</f>
        <v/>
      </c>
      <c r="W59" s="47" t="n">
        <f aca="false">IF($A59="",0,IFERROR(MATCH($A59&amp;"|"&amp;$B59,无形资产工时分配表!$V$6:$V$125,0),0))</f>
        <v>0</v>
      </c>
      <c r="X59" s="47" t="n">
        <f aca="false">IF($A59="",0,COUNTIFS(无形资产工时分配表!$A$6:$A$125,$A59,无形资产工时分配表!$B$6:$B$125,$B59))</f>
        <v>0</v>
      </c>
    </row>
    <row r="60" customFormat="false" ht="18" hidden="false" customHeight="true" outlineLevel="0" collapsed="false">
      <c r="A60" s="36"/>
      <c r="B60" s="36"/>
      <c r="C60" s="48" t="str">
        <f aca="false">IF($B60="","",IFERROR(VLOOKUP($B60,资产台账!$B$4:$N$53,2,0)&amp;"","台账中未登记"))</f>
        <v/>
      </c>
      <c r="D60" s="43" t="str">
        <f aca="false">IF($B60="","",IFERROR(VLOOKUP($B60,资产台账!$B$4:$N$53,3,0)&amp;"",""))</f>
        <v/>
      </c>
      <c r="E60" s="43" t="str">
        <f aca="false">IF($B60="","",IFERROR(VLOOKUP($B60,资产台账!$B$4:$N$53,10,0)&amp;"",""))</f>
        <v/>
      </c>
      <c r="F60" s="49" t="str">
        <f aca="false">IF($B60="","",IFERROR(VLOOKUP($B60,资产台账!$B$4:$N$53,9,0),0))</f>
        <v/>
      </c>
      <c r="G60" s="45" t="n">
        <f aca="false">IF(OR($A60="",$W60=0),0,INDEX(无形资产工时分配表!$F$6:$F$125,$W60))</f>
        <v>0</v>
      </c>
      <c r="H60" s="45" t="n">
        <f aca="false">IF(OR($A60="",$W60=0),0,INDEX(无形资产工时分配表!$R$6:$R$125,$W60))</f>
        <v>0</v>
      </c>
      <c r="I60" s="28" t="str">
        <f aca="false">IF(OR($A60="",$G60=0),"",$H60/$G60)</f>
        <v/>
      </c>
      <c r="J60" s="27" t="str">
        <f aca="false">IF(OR($A60="",$G60=0),"",ROUND($F60*INDEX(无形资产工时分配表!$H$6:$H$125,$W60)/$G60,2))</f>
        <v/>
      </c>
      <c r="K60" s="27" t="str">
        <f aca="false">IF(OR($A60="",$G60=0),"",ROUND($F60*INDEX(无形资产工时分配表!$I$6:$I$125,$W60)/$G60,2))</f>
        <v/>
      </c>
      <c r="L60" s="27" t="str">
        <f aca="false">IF(OR($A60="",$G60=0),"",ROUND($F60*INDEX(无形资产工时分配表!$J$6:$J$125,$W60)/$G60,2))</f>
        <v/>
      </c>
      <c r="M60" s="27" t="str">
        <f aca="false">IF(OR($A60="",$G60=0),"",ROUND($F60*INDEX(无形资产工时分配表!$K$6:$K$125,$W60)/$G60,2))</f>
        <v/>
      </c>
      <c r="N60" s="27" t="str">
        <f aca="false">IF(OR($A60="",$G60=0),"",ROUND($F60*INDEX(无形资产工时分配表!$L$6:$L$125,$W60)/$G60,2))</f>
        <v/>
      </c>
      <c r="O60" s="27" t="str">
        <f aca="false">IF(OR($A60="",$G60=0),"",ROUND($F60*INDEX(无形资产工时分配表!$M$6:$M$125,$W60)/$G60,2))</f>
        <v/>
      </c>
      <c r="P60" s="27" t="str">
        <f aca="false">IF(OR($A60="",$G60=0),"",ROUND($F60*INDEX(无形资产工时分配表!$N$6:$N$125,$W60)/$G60,2))</f>
        <v/>
      </c>
      <c r="Q60" s="27" t="str">
        <f aca="false">IF(OR($A60="",$G60=0),"",ROUND($F60*INDEX(无形资产工时分配表!$O$6:$O$125,$W60)/$G60,2))</f>
        <v/>
      </c>
      <c r="R60" s="27" t="str">
        <f aca="false">IF(OR($A60="",$G60=0),"",ROUND($F60*INDEX(无形资产工时分配表!$P$6:$P$125,$W60)/$G60,2))</f>
        <v/>
      </c>
      <c r="S60" s="27" t="str">
        <f aca="false">IF(OR($A60="",$G60=0),"",ROUND($F60*INDEX(无形资产工时分配表!$Q$6:$Q$125,$W60)/$G60,2))</f>
        <v/>
      </c>
      <c r="T60" s="27" t="str">
        <f aca="false">IF($A60="","",ROUND(SUM(J60:S60),2))</f>
        <v/>
      </c>
      <c r="U60" s="27" t="str">
        <f aca="false">IF($A60="","",ROUND($F60-T60,2))</f>
        <v/>
      </c>
      <c r="V60" s="43" t="str">
        <f aca="false">IF($A60="","",IF($D60="设备","⚠ 设备请在仪器设备工时费用分配表登记",IF($W60=0,"⚠ 工时分配表无此资产当月记录",IF($X60&gt;1,"⚠ 工时分配表存在重复行","√ 正常"))))</f>
        <v/>
      </c>
      <c r="W60" s="47" t="n">
        <f aca="false">IF($A60="",0,IFERROR(MATCH($A60&amp;"|"&amp;$B60,无形资产工时分配表!$V$6:$V$125,0),0))</f>
        <v>0</v>
      </c>
      <c r="X60" s="47" t="n">
        <f aca="false">IF($A60="",0,COUNTIFS(无形资产工时分配表!$A$6:$A$125,$A60,无形资产工时分配表!$B$6:$B$125,$B60))</f>
        <v>0</v>
      </c>
    </row>
    <row r="61" customFormat="false" ht="18" hidden="false" customHeight="true" outlineLevel="0" collapsed="false">
      <c r="A61" s="36"/>
      <c r="B61" s="36"/>
      <c r="C61" s="48" t="str">
        <f aca="false">IF($B61="","",IFERROR(VLOOKUP($B61,资产台账!$B$4:$N$53,2,0)&amp;"","台账中未登记"))</f>
        <v/>
      </c>
      <c r="D61" s="43" t="str">
        <f aca="false">IF($B61="","",IFERROR(VLOOKUP($B61,资产台账!$B$4:$N$53,3,0)&amp;"",""))</f>
        <v/>
      </c>
      <c r="E61" s="43" t="str">
        <f aca="false">IF($B61="","",IFERROR(VLOOKUP($B61,资产台账!$B$4:$N$53,10,0)&amp;"",""))</f>
        <v/>
      </c>
      <c r="F61" s="49" t="str">
        <f aca="false">IF($B61="","",IFERROR(VLOOKUP($B61,资产台账!$B$4:$N$53,9,0),0))</f>
        <v/>
      </c>
      <c r="G61" s="45" t="n">
        <f aca="false">IF(OR($A61="",$W61=0),0,INDEX(无形资产工时分配表!$F$6:$F$125,$W61))</f>
        <v>0</v>
      </c>
      <c r="H61" s="45" t="n">
        <f aca="false">IF(OR($A61="",$W61=0),0,INDEX(无形资产工时分配表!$R$6:$R$125,$W61))</f>
        <v>0</v>
      </c>
      <c r="I61" s="28" t="str">
        <f aca="false">IF(OR($A61="",$G61=0),"",$H61/$G61)</f>
        <v/>
      </c>
      <c r="J61" s="27" t="str">
        <f aca="false">IF(OR($A61="",$G61=0),"",ROUND($F61*INDEX(无形资产工时分配表!$H$6:$H$125,$W61)/$G61,2))</f>
        <v/>
      </c>
      <c r="K61" s="27" t="str">
        <f aca="false">IF(OR($A61="",$G61=0),"",ROUND($F61*INDEX(无形资产工时分配表!$I$6:$I$125,$W61)/$G61,2))</f>
        <v/>
      </c>
      <c r="L61" s="27" t="str">
        <f aca="false">IF(OR($A61="",$G61=0),"",ROUND($F61*INDEX(无形资产工时分配表!$J$6:$J$125,$W61)/$G61,2))</f>
        <v/>
      </c>
      <c r="M61" s="27" t="str">
        <f aca="false">IF(OR($A61="",$G61=0),"",ROUND($F61*INDEX(无形资产工时分配表!$K$6:$K$125,$W61)/$G61,2))</f>
        <v/>
      </c>
      <c r="N61" s="27" t="str">
        <f aca="false">IF(OR($A61="",$G61=0),"",ROUND($F61*INDEX(无形资产工时分配表!$L$6:$L$125,$W61)/$G61,2))</f>
        <v/>
      </c>
      <c r="O61" s="27" t="str">
        <f aca="false">IF(OR($A61="",$G61=0),"",ROUND($F61*INDEX(无形资产工时分配表!$M$6:$M$125,$W61)/$G61,2))</f>
        <v/>
      </c>
      <c r="P61" s="27" t="str">
        <f aca="false">IF(OR($A61="",$G61=0),"",ROUND($F61*INDEX(无形资产工时分配表!$N$6:$N$125,$W61)/$G61,2))</f>
        <v/>
      </c>
      <c r="Q61" s="27" t="str">
        <f aca="false">IF(OR($A61="",$G61=0),"",ROUND($F61*INDEX(无形资产工时分配表!$O$6:$O$125,$W61)/$G61,2))</f>
        <v/>
      </c>
      <c r="R61" s="27" t="str">
        <f aca="false">IF(OR($A61="",$G61=0),"",ROUND($F61*INDEX(无形资产工时分配表!$P$6:$P$125,$W61)/$G61,2))</f>
        <v/>
      </c>
      <c r="S61" s="27" t="str">
        <f aca="false">IF(OR($A61="",$G61=0),"",ROUND($F61*INDEX(无形资产工时分配表!$Q$6:$Q$125,$W61)/$G61,2))</f>
        <v/>
      </c>
      <c r="T61" s="27" t="str">
        <f aca="false">IF($A61="","",ROUND(SUM(J61:S61),2))</f>
        <v/>
      </c>
      <c r="U61" s="27" t="str">
        <f aca="false">IF($A61="","",ROUND($F61-T61,2))</f>
        <v/>
      </c>
      <c r="V61" s="43" t="str">
        <f aca="false">IF($A61="","",IF($D61="设备","⚠ 设备请在仪器设备工时费用分配表登记",IF($W61=0,"⚠ 工时分配表无此资产当月记录",IF($X61&gt;1,"⚠ 工时分配表存在重复行","√ 正常"))))</f>
        <v/>
      </c>
      <c r="W61" s="47" t="n">
        <f aca="false">IF($A61="",0,IFERROR(MATCH($A61&amp;"|"&amp;$B61,无形资产工时分配表!$V$6:$V$125,0),0))</f>
        <v>0</v>
      </c>
      <c r="X61" s="47" t="n">
        <f aca="false">IF($A61="",0,COUNTIFS(无形资产工时分配表!$A$6:$A$125,$A61,无形资产工时分配表!$B$6:$B$125,$B61))</f>
        <v>0</v>
      </c>
    </row>
    <row r="62" customFormat="false" ht="18" hidden="false" customHeight="true" outlineLevel="0" collapsed="false">
      <c r="A62" s="36"/>
      <c r="B62" s="36"/>
      <c r="C62" s="48" t="str">
        <f aca="false">IF($B62="","",IFERROR(VLOOKUP($B62,资产台账!$B$4:$N$53,2,0)&amp;"","台账中未登记"))</f>
        <v/>
      </c>
      <c r="D62" s="43" t="str">
        <f aca="false">IF($B62="","",IFERROR(VLOOKUP($B62,资产台账!$B$4:$N$53,3,0)&amp;"",""))</f>
        <v/>
      </c>
      <c r="E62" s="43" t="str">
        <f aca="false">IF($B62="","",IFERROR(VLOOKUP($B62,资产台账!$B$4:$N$53,10,0)&amp;"",""))</f>
        <v/>
      </c>
      <c r="F62" s="49" t="str">
        <f aca="false">IF($B62="","",IFERROR(VLOOKUP($B62,资产台账!$B$4:$N$53,9,0),0))</f>
        <v/>
      </c>
      <c r="G62" s="45" t="n">
        <f aca="false">IF(OR($A62="",$W62=0),0,INDEX(无形资产工时分配表!$F$6:$F$125,$W62))</f>
        <v>0</v>
      </c>
      <c r="H62" s="45" t="n">
        <f aca="false">IF(OR($A62="",$W62=0),0,INDEX(无形资产工时分配表!$R$6:$R$125,$W62))</f>
        <v>0</v>
      </c>
      <c r="I62" s="28" t="str">
        <f aca="false">IF(OR($A62="",$G62=0),"",$H62/$G62)</f>
        <v/>
      </c>
      <c r="J62" s="27" t="str">
        <f aca="false">IF(OR($A62="",$G62=0),"",ROUND($F62*INDEX(无形资产工时分配表!$H$6:$H$125,$W62)/$G62,2))</f>
        <v/>
      </c>
      <c r="K62" s="27" t="str">
        <f aca="false">IF(OR($A62="",$G62=0),"",ROUND($F62*INDEX(无形资产工时分配表!$I$6:$I$125,$W62)/$G62,2))</f>
        <v/>
      </c>
      <c r="L62" s="27" t="str">
        <f aca="false">IF(OR($A62="",$G62=0),"",ROUND($F62*INDEX(无形资产工时分配表!$J$6:$J$125,$W62)/$G62,2))</f>
        <v/>
      </c>
      <c r="M62" s="27" t="str">
        <f aca="false">IF(OR($A62="",$G62=0),"",ROUND($F62*INDEX(无形资产工时分配表!$K$6:$K$125,$W62)/$G62,2))</f>
        <v/>
      </c>
      <c r="N62" s="27" t="str">
        <f aca="false">IF(OR($A62="",$G62=0),"",ROUND($F62*INDEX(无形资产工时分配表!$L$6:$L$125,$W62)/$G62,2))</f>
        <v/>
      </c>
      <c r="O62" s="27" t="str">
        <f aca="false">IF(OR($A62="",$G62=0),"",ROUND($F62*INDEX(无形资产工时分配表!$M$6:$M$125,$W62)/$G62,2))</f>
        <v/>
      </c>
      <c r="P62" s="27" t="str">
        <f aca="false">IF(OR($A62="",$G62=0),"",ROUND($F62*INDEX(无形资产工时分配表!$N$6:$N$125,$W62)/$G62,2))</f>
        <v/>
      </c>
      <c r="Q62" s="27" t="str">
        <f aca="false">IF(OR($A62="",$G62=0),"",ROUND($F62*INDEX(无形资产工时分配表!$O$6:$O$125,$W62)/$G62,2))</f>
        <v/>
      </c>
      <c r="R62" s="27" t="str">
        <f aca="false">IF(OR($A62="",$G62=0),"",ROUND($F62*INDEX(无形资产工时分配表!$P$6:$P$125,$W62)/$G62,2))</f>
        <v/>
      </c>
      <c r="S62" s="27" t="str">
        <f aca="false">IF(OR($A62="",$G62=0),"",ROUND($F62*INDEX(无形资产工时分配表!$Q$6:$Q$125,$W62)/$G62,2))</f>
        <v/>
      </c>
      <c r="T62" s="27" t="str">
        <f aca="false">IF($A62="","",ROUND(SUM(J62:S62),2))</f>
        <v/>
      </c>
      <c r="U62" s="27" t="str">
        <f aca="false">IF($A62="","",ROUND($F62-T62,2))</f>
        <v/>
      </c>
      <c r="V62" s="43" t="str">
        <f aca="false">IF($A62="","",IF($D62="设备","⚠ 设备请在仪器设备工时费用分配表登记",IF($W62=0,"⚠ 工时分配表无此资产当月记录",IF($X62&gt;1,"⚠ 工时分配表存在重复行","√ 正常"))))</f>
        <v/>
      </c>
      <c r="W62" s="47" t="n">
        <f aca="false">IF($A62="",0,IFERROR(MATCH($A62&amp;"|"&amp;$B62,无形资产工时分配表!$V$6:$V$125,0),0))</f>
        <v>0</v>
      </c>
      <c r="X62" s="47" t="n">
        <f aca="false">IF($A62="",0,COUNTIFS(无形资产工时分配表!$A$6:$A$125,$A62,无形资产工时分配表!$B$6:$B$125,$B62))</f>
        <v>0</v>
      </c>
    </row>
    <row r="63" customFormat="false" ht="18" hidden="false" customHeight="true" outlineLevel="0" collapsed="false">
      <c r="A63" s="36"/>
      <c r="B63" s="36"/>
      <c r="C63" s="48" t="str">
        <f aca="false">IF($B63="","",IFERROR(VLOOKUP($B63,资产台账!$B$4:$N$53,2,0)&amp;"","台账中未登记"))</f>
        <v/>
      </c>
      <c r="D63" s="43" t="str">
        <f aca="false">IF($B63="","",IFERROR(VLOOKUP($B63,资产台账!$B$4:$N$53,3,0)&amp;"",""))</f>
        <v/>
      </c>
      <c r="E63" s="43" t="str">
        <f aca="false">IF($B63="","",IFERROR(VLOOKUP($B63,资产台账!$B$4:$N$53,10,0)&amp;"",""))</f>
        <v/>
      </c>
      <c r="F63" s="49" t="str">
        <f aca="false">IF($B63="","",IFERROR(VLOOKUP($B63,资产台账!$B$4:$N$53,9,0),0))</f>
        <v/>
      </c>
      <c r="G63" s="45" t="n">
        <f aca="false">IF(OR($A63="",$W63=0),0,INDEX(无形资产工时分配表!$F$6:$F$125,$W63))</f>
        <v>0</v>
      </c>
      <c r="H63" s="45" t="n">
        <f aca="false">IF(OR($A63="",$W63=0),0,INDEX(无形资产工时分配表!$R$6:$R$125,$W63))</f>
        <v>0</v>
      </c>
      <c r="I63" s="28" t="str">
        <f aca="false">IF(OR($A63="",$G63=0),"",$H63/$G63)</f>
        <v/>
      </c>
      <c r="J63" s="27" t="str">
        <f aca="false">IF(OR($A63="",$G63=0),"",ROUND($F63*INDEX(无形资产工时分配表!$H$6:$H$125,$W63)/$G63,2))</f>
        <v/>
      </c>
      <c r="K63" s="27" t="str">
        <f aca="false">IF(OR($A63="",$G63=0),"",ROUND($F63*INDEX(无形资产工时分配表!$I$6:$I$125,$W63)/$G63,2))</f>
        <v/>
      </c>
      <c r="L63" s="27" t="str">
        <f aca="false">IF(OR($A63="",$G63=0),"",ROUND($F63*INDEX(无形资产工时分配表!$J$6:$J$125,$W63)/$G63,2))</f>
        <v/>
      </c>
      <c r="M63" s="27" t="str">
        <f aca="false">IF(OR($A63="",$G63=0),"",ROUND($F63*INDEX(无形资产工时分配表!$K$6:$K$125,$W63)/$G63,2))</f>
        <v/>
      </c>
      <c r="N63" s="27" t="str">
        <f aca="false">IF(OR($A63="",$G63=0),"",ROUND($F63*INDEX(无形资产工时分配表!$L$6:$L$125,$W63)/$G63,2))</f>
        <v/>
      </c>
      <c r="O63" s="27" t="str">
        <f aca="false">IF(OR($A63="",$G63=0),"",ROUND($F63*INDEX(无形资产工时分配表!$M$6:$M$125,$W63)/$G63,2))</f>
        <v/>
      </c>
      <c r="P63" s="27" t="str">
        <f aca="false">IF(OR($A63="",$G63=0),"",ROUND($F63*INDEX(无形资产工时分配表!$N$6:$N$125,$W63)/$G63,2))</f>
        <v/>
      </c>
      <c r="Q63" s="27" t="str">
        <f aca="false">IF(OR($A63="",$G63=0),"",ROUND($F63*INDEX(无形资产工时分配表!$O$6:$O$125,$W63)/$G63,2))</f>
        <v/>
      </c>
      <c r="R63" s="27" t="str">
        <f aca="false">IF(OR($A63="",$G63=0),"",ROUND($F63*INDEX(无形资产工时分配表!$P$6:$P$125,$W63)/$G63,2))</f>
        <v/>
      </c>
      <c r="S63" s="27" t="str">
        <f aca="false">IF(OR($A63="",$G63=0),"",ROUND($F63*INDEX(无形资产工时分配表!$Q$6:$Q$125,$W63)/$G63,2))</f>
        <v/>
      </c>
      <c r="T63" s="27" t="str">
        <f aca="false">IF($A63="","",ROUND(SUM(J63:S63),2))</f>
        <v/>
      </c>
      <c r="U63" s="27" t="str">
        <f aca="false">IF($A63="","",ROUND($F63-T63,2))</f>
        <v/>
      </c>
      <c r="V63" s="43" t="str">
        <f aca="false">IF($A63="","",IF($D63="设备","⚠ 设备请在仪器设备工时费用分配表登记",IF($W63=0,"⚠ 工时分配表无此资产当月记录",IF($X63&gt;1,"⚠ 工时分配表存在重复行","√ 正常"))))</f>
        <v/>
      </c>
      <c r="W63" s="47" t="n">
        <f aca="false">IF($A63="",0,IFERROR(MATCH($A63&amp;"|"&amp;$B63,无形资产工时分配表!$V$6:$V$125,0),0))</f>
        <v>0</v>
      </c>
      <c r="X63" s="47" t="n">
        <f aca="false">IF($A63="",0,COUNTIFS(无形资产工时分配表!$A$6:$A$125,$A63,无形资产工时分配表!$B$6:$B$125,$B63))</f>
        <v>0</v>
      </c>
    </row>
    <row r="64" customFormat="false" ht="18" hidden="false" customHeight="true" outlineLevel="0" collapsed="false">
      <c r="A64" s="36"/>
      <c r="B64" s="36"/>
      <c r="C64" s="48" t="str">
        <f aca="false">IF($B64="","",IFERROR(VLOOKUP($B64,资产台账!$B$4:$N$53,2,0)&amp;"","台账中未登记"))</f>
        <v/>
      </c>
      <c r="D64" s="43" t="str">
        <f aca="false">IF($B64="","",IFERROR(VLOOKUP($B64,资产台账!$B$4:$N$53,3,0)&amp;"",""))</f>
        <v/>
      </c>
      <c r="E64" s="43" t="str">
        <f aca="false">IF($B64="","",IFERROR(VLOOKUP($B64,资产台账!$B$4:$N$53,10,0)&amp;"",""))</f>
        <v/>
      </c>
      <c r="F64" s="49" t="str">
        <f aca="false">IF($B64="","",IFERROR(VLOOKUP($B64,资产台账!$B$4:$N$53,9,0),0))</f>
        <v/>
      </c>
      <c r="G64" s="45" t="n">
        <f aca="false">IF(OR($A64="",$W64=0),0,INDEX(无形资产工时分配表!$F$6:$F$125,$W64))</f>
        <v>0</v>
      </c>
      <c r="H64" s="45" t="n">
        <f aca="false">IF(OR($A64="",$W64=0),0,INDEX(无形资产工时分配表!$R$6:$R$125,$W64))</f>
        <v>0</v>
      </c>
      <c r="I64" s="28" t="str">
        <f aca="false">IF(OR($A64="",$G64=0),"",$H64/$G64)</f>
        <v/>
      </c>
      <c r="J64" s="27" t="str">
        <f aca="false">IF(OR($A64="",$G64=0),"",ROUND($F64*INDEX(无形资产工时分配表!$H$6:$H$125,$W64)/$G64,2))</f>
        <v/>
      </c>
      <c r="K64" s="27" t="str">
        <f aca="false">IF(OR($A64="",$G64=0),"",ROUND($F64*INDEX(无形资产工时分配表!$I$6:$I$125,$W64)/$G64,2))</f>
        <v/>
      </c>
      <c r="L64" s="27" t="str">
        <f aca="false">IF(OR($A64="",$G64=0),"",ROUND($F64*INDEX(无形资产工时分配表!$J$6:$J$125,$W64)/$G64,2))</f>
        <v/>
      </c>
      <c r="M64" s="27" t="str">
        <f aca="false">IF(OR($A64="",$G64=0),"",ROUND($F64*INDEX(无形资产工时分配表!$K$6:$K$125,$W64)/$G64,2))</f>
        <v/>
      </c>
      <c r="N64" s="27" t="str">
        <f aca="false">IF(OR($A64="",$G64=0),"",ROUND($F64*INDEX(无形资产工时分配表!$L$6:$L$125,$W64)/$G64,2))</f>
        <v/>
      </c>
      <c r="O64" s="27" t="str">
        <f aca="false">IF(OR($A64="",$G64=0),"",ROUND($F64*INDEX(无形资产工时分配表!$M$6:$M$125,$W64)/$G64,2))</f>
        <v/>
      </c>
      <c r="P64" s="27" t="str">
        <f aca="false">IF(OR($A64="",$G64=0),"",ROUND($F64*INDEX(无形资产工时分配表!$N$6:$N$125,$W64)/$G64,2))</f>
        <v/>
      </c>
      <c r="Q64" s="27" t="str">
        <f aca="false">IF(OR($A64="",$G64=0),"",ROUND($F64*INDEX(无形资产工时分配表!$O$6:$O$125,$W64)/$G64,2))</f>
        <v/>
      </c>
      <c r="R64" s="27" t="str">
        <f aca="false">IF(OR($A64="",$G64=0),"",ROUND($F64*INDEX(无形资产工时分配表!$P$6:$P$125,$W64)/$G64,2))</f>
        <v/>
      </c>
      <c r="S64" s="27" t="str">
        <f aca="false">IF(OR($A64="",$G64=0),"",ROUND($F64*INDEX(无形资产工时分配表!$Q$6:$Q$125,$W64)/$G64,2))</f>
        <v/>
      </c>
      <c r="T64" s="27" t="str">
        <f aca="false">IF($A64="","",ROUND(SUM(J64:S64),2))</f>
        <v/>
      </c>
      <c r="U64" s="27" t="str">
        <f aca="false">IF($A64="","",ROUND($F64-T64,2))</f>
        <v/>
      </c>
      <c r="V64" s="43" t="str">
        <f aca="false">IF($A64="","",IF($D64="设备","⚠ 设备请在仪器设备工时费用分配表登记",IF($W64=0,"⚠ 工时分配表无此资产当月记录",IF($X64&gt;1,"⚠ 工时分配表存在重复行","√ 正常"))))</f>
        <v/>
      </c>
      <c r="W64" s="47" t="n">
        <f aca="false">IF($A64="",0,IFERROR(MATCH($A64&amp;"|"&amp;$B64,无形资产工时分配表!$V$6:$V$125,0),0))</f>
        <v>0</v>
      </c>
      <c r="X64" s="47" t="n">
        <f aca="false">IF($A64="",0,COUNTIFS(无形资产工时分配表!$A$6:$A$125,$A64,无形资产工时分配表!$B$6:$B$125,$B64))</f>
        <v>0</v>
      </c>
    </row>
    <row r="65" customFormat="false" ht="18" hidden="false" customHeight="true" outlineLevel="0" collapsed="false">
      <c r="A65" s="36"/>
      <c r="B65" s="36"/>
      <c r="C65" s="48" t="str">
        <f aca="false">IF($B65="","",IFERROR(VLOOKUP($B65,资产台账!$B$4:$N$53,2,0)&amp;"","台账中未登记"))</f>
        <v/>
      </c>
      <c r="D65" s="43" t="str">
        <f aca="false">IF($B65="","",IFERROR(VLOOKUP($B65,资产台账!$B$4:$N$53,3,0)&amp;"",""))</f>
        <v/>
      </c>
      <c r="E65" s="43" t="str">
        <f aca="false">IF($B65="","",IFERROR(VLOOKUP($B65,资产台账!$B$4:$N$53,10,0)&amp;"",""))</f>
        <v/>
      </c>
      <c r="F65" s="49" t="str">
        <f aca="false">IF($B65="","",IFERROR(VLOOKUP($B65,资产台账!$B$4:$N$53,9,0),0))</f>
        <v/>
      </c>
      <c r="G65" s="45" t="n">
        <f aca="false">IF(OR($A65="",$W65=0),0,INDEX(无形资产工时分配表!$F$6:$F$125,$W65))</f>
        <v>0</v>
      </c>
      <c r="H65" s="45" t="n">
        <f aca="false">IF(OR($A65="",$W65=0),0,INDEX(无形资产工时分配表!$R$6:$R$125,$W65))</f>
        <v>0</v>
      </c>
      <c r="I65" s="28" t="str">
        <f aca="false">IF(OR($A65="",$G65=0),"",$H65/$G65)</f>
        <v/>
      </c>
      <c r="J65" s="27" t="str">
        <f aca="false">IF(OR($A65="",$G65=0),"",ROUND($F65*INDEX(无形资产工时分配表!$H$6:$H$125,$W65)/$G65,2))</f>
        <v/>
      </c>
      <c r="K65" s="27" t="str">
        <f aca="false">IF(OR($A65="",$G65=0),"",ROUND($F65*INDEX(无形资产工时分配表!$I$6:$I$125,$W65)/$G65,2))</f>
        <v/>
      </c>
      <c r="L65" s="27" t="str">
        <f aca="false">IF(OR($A65="",$G65=0),"",ROUND($F65*INDEX(无形资产工时分配表!$J$6:$J$125,$W65)/$G65,2))</f>
        <v/>
      </c>
      <c r="M65" s="27" t="str">
        <f aca="false">IF(OR($A65="",$G65=0),"",ROUND($F65*INDEX(无形资产工时分配表!$K$6:$K$125,$W65)/$G65,2))</f>
        <v/>
      </c>
      <c r="N65" s="27" t="str">
        <f aca="false">IF(OR($A65="",$G65=0),"",ROUND($F65*INDEX(无形资产工时分配表!$L$6:$L$125,$W65)/$G65,2))</f>
        <v/>
      </c>
      <c r="O65" s="27" t="str">
        <f aca="false">IF(OR($A65="",$G65=0),"",ROUND($F65*INDEX(无形资产工时分配表!$M$6:$M$125,$W65)/$G65,2))</f>
        <v/>
      </c>
      <c r="P65" s="27" t="str">
        <f aca="false">IF(OR($A65="",$G65=0),"",ROUND($F65*INDEX(无形资产工时分配表!$N$6:$N$125,$W65)/$G65,2))</f>
        <v/>
      </c>
      <c r="Q65" s="27" t="str">
        <f aca="false">IF(OR($A65="",$G65=0),"",ROUND($F65*INDEX(无形资产工时分配表!$O$6:$O$125,$W65)/$G65,2))</f>
        <v/>
      </c>
      <c r="R65" s="27" t="str">
        <f aca="false">IF(OR($A65="",$G65=0),"",ROUND($F65*INDEX(无形资产工时分配表!$P$6:$P$125,$W65)/$G65,2))</f>
        <v/>
      </c>
      <c r="S65" s="27" t="str">
        <f aca="false">IF(OR($A65="",$G65=0),"",ROUND($F65*INDEX(无形资产工时分配表!$Q$6:$Q$125,$W65)/$G65,2))</f>
        <v/>
      </c>
      <c r="T65" s="27" t="str">
        <f aca="false">IF($A65="","",ROUND(SUM(J65:S65),2))</f>
        <v/>
      </c>
      <c r="U65" s="27" t="str">
        <f aca="false">IF($A65="","",ROUND($F65-T65,2))</f>
        <v/>
      </c>
      <c r="V65" s="43" t="str">
        <f aca="false">IF($A65="","",IF($D65="设备","⚠ 设备请在仪器设备工时费用分配表登记",IF($W65=0,"⚠ 工时分配表无此资产当月记录",IF($X65&gt;1,"⚠ 工时分配表存在重复行","√ 正常"))))</f>
        <v/>
      </c>
      <c r="W65" s="47" t="n">
        <f aca="false">IF($A65="",0,IFERROR(MATCH($A65&amp;"|"&amp;$B65,无形资产工时分配表!$V$6:$V$125,0),0))</f>
        <v>0</v>
      </c>
      <c r="X65" s="47" t="n">
        <f aca="false">IF($A65="",0,COUNTIFS(无形资产工时分配表!$A$6:$A$125,$A65,无形资产工时分配表!$B$6:$B$125,$B65))</f>
        <v>0</v>
      </c>
    </row>
    <row r="66" customFormat="false" ht="18" hidden="false" customHeight="true" outlineLevel="0" collapsed="false">
      <c r="A66" s="36"/>
      <c r="B66" s="36"/>
      <c r="C66" s="48" t="str">
        <f aca="false">IF($B66="","",IFERROR(VLOOKUP($B66,资产台账!$B$4:$N$53,2,0)&amp;"","台账中未登记"))</f>
        <v/>
      </c>
      <c r="D66" s="43" t="str">
        <f aca="false">IF($B66="","",IFERROR(VLOOKUP($B66,资产台账!$B$4:$N$53,3,0)&amp;"",""))</f>
        <v/>
      </c>
      <c r="E66" s="43" t="str">
        <f aca="false">IF($B66="","",IFERROR(VLOOKUP($B66,资产台账!$B$4:$N$53,10,0)&amp;"",""))</f>
        <v/>
      </c>
      <c r="F66" s="49" t="str">
        <f aca="false">IF($B66="","",IFERROR(VLOOKUP($B66,资产台账!$B$4:$N$53,9,0),0))</f>
        <v/>
      </c>
      <c r="G66" s="45" t="n">
        <f aca="false">IF(OR($A66="",$W66=0),0,INDEX(无形资产工时分配表!$F$6:$F$125,$W66))</f>
        <v>0</v>
      </c>
      <c r="H66" s="45" t="n">
        <f aca="false">IF(OR($A66="",$W66=0),0,INDEX(无形资产工时分配表!$R$6:$R$125,$W66))</f>
        <v>0</v>
      </c>
      <c r="I66" s="28" t="str">
        <f aca="false">IF(OR($A66="",$G66=0),"",$H66/$G66)</f>
        <v/>
      </c>
      <c r="J66" s="27" t="str">
        <f aca="false">IF(OR($A66="",$G66=0),"",ROUND($F66*INDEX(无形资产工时分配表!$H$6:$H$125,$W66)/$G66,2))</f>
        <v/>
      </c>
      <c r="K66" s="27" t="str">
        <f aca="false">IF(OR($A66="",$G66=0),"",ROUND($F66*INDEX(无形资产工时分配表!$I$6:$I$125,$W66)/$G66,2))</f>
        <v/>
      </c>
      <c r="L66" s="27" t="str">
        <f aca="false">IF(OR($A66="",$G66=0),"",ROUND($F66*INDEX(无形资产工时分配表!$J$6:$J$125,$W66)/$G66,2))</f>
        <v/>
      </c>
      <c r="M66" s="27" t="str">
        <f aca="false">IF(OR($A66="",$G66=0),"",ROUND($F66*INDEX(无形资产工时分配表!$K$6:$K$125,$W66)/$G66,2))</f>
        <v/>
      </c>
      <c r="N66" s="27" t="str">
        <f aca="false">IF(OR($A66="",$G66=0),"",ROUND($F66*INDEX(无形资产工时分配表!$L$6:$L$125,$W66)/$G66,2))</f>
        <v/>
      </c>
      <c r="O66" s="27" t="str">
        <f aca="false">IF(OR($A66="",$G66=0),"",ROUND($F66*INDEX(无形资产工时分配表!$M$6:$M$125,$W66)/$G66,2))</f>
        <v/>
      </c>
      <c r="P66" s="27" t="str">
        <f aca="false">IF(OR($A66="",$G66=0),"",ROUND($F66*INDEX(无形资产工时分配表!$N$6:$N$125,$W66)/$G66,2))</f>
        <v/>
      </c>
      <c r="Q66" s="27" t="str">
        <f aca="false">IF(OR($A66="",$G66=0),"",ROUND($F66*INDEX(无形资产工时分配表!$O$6:$O$125,$W66)/$G66,2))</f>
        <v/>
      </c>
      <c r="R66" s="27" t="str">
        <f aca="false">IF(OR($A66="",$G66=0),"",ROUND($F66*INDEX(无形资产工时分配表!$P$6:$P$125,$W66)/$G66,2))</f>
        <v/>
      </c>
      <c r="S66" s="27" t="str">
        <f aca="false">IF(OR($A66="",$G66=0),"",ROUND($F66*INDEX(无形资产工时分配表!$Q$6:$Q$125,$W66)/$G66,2))</f>
        <v/>
      </c>
      <c r="T66" s="27" t="str">
        <f aca="false">IF($A66="","",ROUND(SUM(J66:S66),2))</f>
        <v/>
      </c>
      <c r="U66" s="27" t="str">
        <f aca="false">IF($A66="","",ROUND($F66-T66,2))</f>
        <v/>
      </c>
      <c r="V66" s="43" t="str">
        <f aca="false">IF($A66="","",IF($D66="设备","⚠ 设备请在仪器设备工时费用分配表登记",IF($W66=0,"⚠ 工时分配表无此资产当月记录",IF($X66&gt;1,"⚠ 工时分配表存在重复行","√ 正常"))))</f>
        <v/>
      </c>
      <c r="W66" s="47" t="n">
        <f aca="false">IF($A66="",0,IFERROR(MATCH($A66&amp;"|"&amp;$B66,无形资产工时分配表!$V$6:$V$125,0),0))</f>
        <v>0</v>
      </c>
      <c r="X66" s="47" t="n">
        <f aca="false">IF($A66="",0,COUNTIFS(无形资产工时分配表!$A$6:$A$125,$A66,无形资产工时分配表!$B$6:$B$125,$B66))</f>
        <v>0</v>
      </c>
    </row>
    <row r="67" customFormat="false" ht="18" hidden="false" customHeight="true" outlineLevel="0" collapsed="false">
      <c r="A67" s="36"/>
      <c r="B67" s="36"/>
      <c r="C67" s="48" t="str">
        <f aca="false">IF($B67="","",IFERROR(VLOOKUP($B67,资产台账!$B$4:$N$53,2,0)&amp;"","台账中未登记"))</f>
        <v/>
      </c>
      <c r="D67" s="43" t="str">
        <f aca="false">IF($B67="","",IFERROR(VLOOKUP($B67,资产台账!$B$4:$N$53,3,0)&amp;"",""))</f>
        <v/>
      </c>
      <c r="E67" s="43" t="str">
        <f aca="false">IF($B67="","",IFERROR(VLOOKUP($B67,资产台账!$B$4:$N$53,10,0)&amp;"",""))</f>
        <v/>
      </c>
      <c r="F67" s="49" t="str">
        <f aca="false">IF($B67="","",IFERROR(VLOOKUP($B67,资产台账!$B$4:$N$53,9,0),0))</f>
        <v/>
      </c>
      <c r="G67" s="45" t="n">
        <f aca="false">IF(OR($A67="",$W67=0),0,INDEX(无形资产工时分配表!$F$6:$F$125,$W67))</f>
        <v>0</v>
      </c>
      <c r="H67" s="45" t="n">
        <f aca="false">IF(OR($A67="",$W67=0),0,INDEX(无形资产工时分配表!$R$6:$R$125,$W67))</f>
        <v>0</v>
      </c>
      <c r="I67" s="28" t="str">
        <f aca="false">IF(OR($A67="",$G67=0),"",$H67/$G67)</f>
        <v/>
      </c>
      <c r="J67" s="27" t="str">
        <f aca="false">IF(OR($A67="",$G67=0),"",ROUND($F67*INDEX(无形资产工时分配表!$H$6:$H$125,$W67)/$G67,2))</f>
        <v/>
      </c>
      <c r="K67" s="27" t="str">
        <f aca="false">IF(OR($A67="",$G67=0),"",ROUND($F67*INDEX(无形资产工时分配表!$I$6:$I$125,$W67)/$G67,2))</f>
        <v/>
      </c>
      <c r="L67" s="27" t="str">
        <f aca="false">IF(OR($A67="",$G67=0),"",ROUND($F67*INDEX(无形资产工时分配表!$J$6:$J$125,$W67)/$G67,2))</f>
        <v/>
      </c>
      <c r="M67" s="27" t="str">
        <f aca="false">IF(OR($A67="",$G67=0),"",ROUND($F67*INDEX(无形资产工时分配表!$K$6:$K$125,$W67)/$G67,2))</f>
        <v/>
      </c>
      <c r="N67" s="27" t="str">
        <f aca="false">IF(OR($A67="",$G67=0),"",ROUND($F67*INDEX(无形资产工时分配表!$L$6:$L$125,$W67)/$G67,2))</f>
        <v/>
      </c>
      <c r="O67" s="27" t="str">
        <f aca="false">IF(OR($A67="",$G67=0),"",ROUND($F67*INDEX(无形资产工时分配表!$M$6:$M$125,$W67)/$G67,2))</f>
        <v/>
      </c>
      <c r="P67" s="27" t="str">
        <f aca="false">IF(OR($A67="",$G67=0),"",ROUND($F67*INDEX(无形资产工时分配表!$N$6:$N$125,$W67)/$G67,2))</f>
        <v/>
      </c>
      <c r="Q67" s="27" t="str">
        <f aca="false">IF(OR($A67="",$G67=0),"",ROUND($F67*INDEX(无形资产工时分配表!$O$6:$O$125,$W67)/$G67,2))</f>
        <v/>
      </c>
      <c r="R67" s="27" t="str">
        <f aca="false">IF(OR($A67="",$G67=0),"",ROUND($F67*INDEX(无形资产工时分配表!$P$6:$P$125,$W67)/$G67,2))</f>
        <v/>
      </c>
      <c r="S67" s="27" t="str">
        <f aca="false">IF(OR($A67="",$G67=0),"",ROUND($F67*INDEX(无形资产工时分配表!$Q$6:$Q$125,$W67)/$G67,2))</f>
        <v/>
      </c>
      <c r="T67" s="27" t="str">
        <f aca="false">IF($A67="","",ROUND(SUM(J67:S67),2))</f>
        <v/>
      </c>
      <c r="U67" s="27" t="str">
        <f aca="false">IF($A67="","",ROUND($F67-T67,2))</f>
        <v/>
      </c>
      <c r="V67" s="43" t="str">
        <f aca="false">IF($A67="","",IF($D67="设备","⚠ 设备请在仪器设备工时费用分配表登记",IF($W67=0,"⚠ 工时分配表无此资产当月记录",IF($X67&gt;1,"⚠ 工时分配表存在重复行","√ 正常"))))</f>
        <v/>
      </c>
      <c r="W67" s="47" t="n">
        <f aca="false">IF($A67="",0,IFERROR(MATCH($A67&amp;"|"&amp;$B67,无形资产工时分配表!$V$6:$V$125,0),0))</f>
        <v>0</v>
      </c>
      <c r="X67" s="47" t="n">
        <f aca="false">IF($A67="",0,COUNTIFS(无形资产工时分配表!$A$6:$A$125,$A67,无形资产工时分配表!$B$6:$B$125,$B67))</f>
        <v>0</v>
      </c>
    </row>
    <row r="68" customFormat="false" ht="18" hidden="false" customHeight="true" outlineLevel="0" collapsed="false">
      <c r="A68" s="36"/>
      <c r="B68" s="36"/>
      <c r="C68" s="48" t="str">
        <f aca="false">IF($B68="","",IFERROR(VLOOKUP($B68,资产台账!$B$4:$N$53,2,0)&amp;"","台账中未登记"))</f>
        <v/>
      </c>
      <c r="D68" s="43" t="str">
        <f aca="false">IF($B68="","",IFERROR(VLOOKUP($B68,资产台账!$B$4:$N$53,3,0)&amp;"",""))</f>
        <v/>
      </c>
      <c r="E68" s="43" t="str">
        <f aca="false">IF($B68="","",IFERROR(VLOOKUP($B68,资产台账!$B$4:$N$53,10,0)&amp;"",""))</f>
        <v/>
      </c>
      <c r="F68" s="49" t="str">
        <f aca="false">IF($B68="","",IFERROR(VLOOKUP($B68,资产台账!$B$4:$N$53,9,0),0))</f>
        <v/>
      </c>
      <c r="G68" s="45" t="n">
        <f aca="false">IF(OR($A68="",$W68=0),0,INDEX(无形资产工时分配表!$F$6:$F$125,$W68))</f>
        <v>0</v>
      </c>
      <c r="H68" s="45" t="n">
        <f aca="false">IF(OR($A68="",$W68=0),0,INDEX(无形资产工时分配表!$R$6:$R$125,$W68))</f>
        <v>0</v>
      </c>
      <c r="I68" s="28" t="str">
        <f aca="false">IF(OR($A68="",$G68=0),"",$H68/$G68)</f>
        <v/>
      </c>
      <c r="J68" s="27" t="str">
        <f aca="false">IF(OR($A68="",$G68=0),"",ROUND($F68*INDEX(无形资产工时分配表!$H$6:$H$125,$W68)/$G68,2))</f>
        <v/>
      </c>
      <c r="K68" s="27" t="str">
        <f aca="false">IF(OR($A68="",$G68=0),"",ROUND($F68*INDEX(无形资产工时分配表!$I$6:$I$125,$W68)/$G68,2))</f>
        <v/>
      </c>
      <c r="L68" s="27" t="str">
        <f aca="false">IF(OR($A68="",$G68=0),"",ROUND($F68*INDEX(无形资产工时分配表!$J$6:$J$125,$W68)/$G68,2))</f>
        <v/>
      </c>
      <c r="M68" s="27" t="str">
        <f aca="false">IF(OR($A68="",$G68=0),"",ROUND($F68*INDEX(无形资产工时分配表!$K$6:$K$125,$W68)/$G68,2))</f>
        <v/>
      </c>
      <c r="N68" s="27" t="str">
        <f aca="false">IF(OR($A68="",$G68=0),"",ROUND($F68*INDEX(无形资产工时分配表!$L$6:$L$125,$W68)/$G68,2))</f>
        <v/>
      </c>
      <c r="O68" s="27" t="str">
        <f aca="false">IF(OR($A68="",$G68=0),"",ROUND($F68*INDEX(无形资产工时分配表!$M$6:$M$125,$W68)/$G68,2))</f>
        <v/>
      </c>
      <c r="P68" s="27" t="str">
        <f aca="false">IF(OR($A68="",$G68=0),"",ROUND($F68*INDEX(无形资产工时分配表!$N$6:$N$125,$W68)/$G68,2))</f>
        <v/>
      </c>
      <c r="Q68" s="27" t="str">
        <f aca="false">IF(OR($A68="",$G68=0),"",ROUND($F68*INDEX(无形资产工时分配表!$O$6:$O$125,$W68)/$G68,2))</f>
        <v/>
      </c>
      <c r="R68" s="27" t="str">
        <f aca="false">IF(OR($A68="",$G68=0),"",ROUND($F68*INDEX(无形资产工时分配表!$P$6:$P$125,$W68)/$G68,2))</f>
        <v/>
      </c>
      <c r="S68" s="27" t="str">
        <f aca="false">IF(OR($A68="",$G68=0),"",ROUND($F68*INDEX(无形资产工时分配表!$Q$6:$Q$125,$W68)/$G68,2))</f>
        <v/>
      </c>
      <c r="T68" s="27" t="str">
        <f aca="false">IF($A68="","",ROUND(SUM(J68:S68),2))</f>
        <v/>
      </c>
      <c r="U68" s="27" t="str">
        <f aca="false">IF($A68="","",ROUND($F68-T68,2))</f>
        <v/>
      </c>
      <c r="V68" s="43" t="str">
        <f aca="false">IF($A68="","",IF($D68="设备","⚠ 设备请在仪器设备工时费用分配表登记",IF($W68=0,"⚠ 工时分配表无此资产当月记录",IF($X68&gt;1,"⚠ 工时分配表存在重复行","√ 正常"))))</f>
        <v/>
      </c>
      <c r="W68" s="47" t="n">
        <f aca="false">IF($A68="",0,IFERROR(MATCH($A68&amp;"|"&amp;$B68,无形资产工时分配表!$V$6:$V$125,0),0))</f>
        <v>0</v>
      </c>
      <c r="X68" s="47" t="n">
        <f aca="false">IF($A68="",0,COUNTIFS(无形资产工时分配表!$A$6:$A$125,$A68,无形资产工时分配表!$B$6:$B$125,$B68))</f>
        <v>0</v>
      </c>
    </row>
    <row r="69" customFormat="false" ht="18" hidden="false" customHeight="true" outlineLevel="0" collapsed="false">
      <c r="A69" s="36"/>
      <c r="B69" s="36"/>
      <c r="C69" s="48" t="str">
        <f aca="false">IF($B69="","",IFERROR(VLOOKUP($B69,资产台账!$B$4:$N$53,2,0)&amp;"","台账中未登记"))</f>
        <v/>
      </c>
      <c r="D69" s="43" t="str">
        <f aca="false">IF($B69="","",IFERROR(VLOOKUP($B69,资产台账!$B$4:$N$53,3,0)&amp;"",""))</f>
        <v/>
      </c>
      <c r="E69" s="43" t="str">
        <f aca="false">IF($B69="","",IFERROR(VLOOKUP($B69,资产台账!$B$4:$N$53,10,0)&amp;"",""))</f>
        <v/>
      </c>
      <c r="F69" s="49" t="str">
        <f aca="false">IF($B69="","",IFERROR(VLOOKUP($B69,资产台账!$B$4:$N$53,9,0),0))</f>
        <v/>
      </c>
      <c r="G69" s="45" t="n">
        <f aca="false">IF(OR($A69="",$W69=0),0,INDEX(无形资产工时分配表!$F$6:$F$125,$W69))</f>
        <v>0</v>
      </c>
      <c r="H69" s="45" t="n">
        <f aca="false">IF(OR($A69="",$W69=0),0,INDEX(无形资产工时分配表!$R$6:$R$125,$W69))</f>
        <v>0</v>
      </c>
      <c r="I69" s="28" t="str">
        <f aca="false">IF(OR($A69="",$G69=0),"",$H69/$G69)</f>
        <v/>
      </c>
      <c r="J69" s="27" t="str">
        <f aca="false">IF(OR($A69="",$G69=0),"",ROUND($F69*INDEX(无形资产工时分配表!$H$6:$H$125,$W69)/$G69,2))</f>
        <v/>
      </c>
      <c r="K69" s="27" t="str">
        <f aca="false">IF(OR($A69="",$G69=0),"",ROUND($F69*INDEX(无形资产工时分配表!$I$6:$I$125,$W69)/$G69,2))</f>
        <v/>
      </c>
      <c r="L69" s="27" t="str">
        <f aca="false">IF(OR($A69="",$G69=0),"",ROUND($F69*INDEX(无形资产工时分配表!$J$6:$J$125,$W69)/$G69,2))</f>
        <v/>
      </c>
      <c r="M69" s="27" t="str">
        <f aca="false">IF(OR($A69="",$G69=0),"",ROUND($F69*INDEX(无形资产工时分配表!$K$6:$K$125,$W69)/$G69,2))</f>
        <v/>
      </c>
      <c r="N69" s="27" t="str">
        <f aca="false">IF(OR($A69="",$G69=0),"",ROUND($F69*INDEX(无形资产工时分配表!$L$6:$L$125,$W69)/$G69,2))</f>
        <v/>
      </c>
      <c r="O69" s="27" t="str">
        <f aca="false">IF(OR($A69="",$G69=0),"",ROUND($F69*INDEX(无形资产工时分配表!$M$6:$M$125,$W69)/$G69,2))</f>
        <v/>
      </c>
      <c r="P69" s="27" t="str">
        <f aca="false">IF(OR($A69="",$G69=0),"",ROUND($F69*INDEX(无形资产工时分配表!$N$6:$N$125,$W69)/$G69,2))</f>
        <v/>
      </c>
      <c r="Q69" s="27" t="str">
        <f aca="false">IF(OR($A69="",$G69=0),"",ROUND($F69*INDEX(无形资产工时分配表!$O$6:$O$125,$W69)/$G69,2))</f>
        <v/>
      </c>
      <c r="R69" s="27" t="str">
        <f aca="false">IF(OR($A69="",$G69=0),"",ROUND($F69*INDEX(无形资产工时分配表!$P$6:$P$125,$W69)/$G69,2))</f>
        <v/>
      </c>
      <c r="S69" s="27" t="str">
        <f aca="false">IF(OR($A69="",$G69=0),"",ROUND($F69*INDEX(无形资产工时分配表!$Q$6:$Q$125,$W69)/$G69,2))</f>
        <v/>
      </c>
      <c r="T69" s="27" t="str">
        <f aca="false">IF($A69="","",ROUND(SUM(J69:S69),2))</f>
        <v/>
      </c>
      <c r="U69" s="27" t="str">
        <f aca="false">IF($A69="","",ROUND($F69-T69,2))</f>
        <v/>
      </c>
      <c r="V69" s="43" t="str">
        <f aca="false">IF($A69="","",IF($D69="设备","⚠ 设备请在仪器设备工时费用分配表登记",IF($W69=0,"⚠ 工时分配表无此资产当月记录",IF($X69&gt;1,"⚠ 工时分配表存在重复行","√ 正常"))))</f>
        <v/>
      </c>
      <c r="W69" s="47" t="n">
        <f aca="false">IF($A69="",0,IFERROR(MATCH($A69&amp;"|"&amp;$B69,无形资产工时分配表!$V$6:$V$125,0),0))</f>
        <v>0</v>
      </c>
      <c r="X69" s="47" t="n">
        <f aca="false">IF($A69="",0,COUNTIFS(无形资产工时分配表!$A$6:$A$125,$A69,无形资产工时分配表!$B$6:$B$125,$B69))</f>
        <v>0</v>
      </c>
    </row>
    <row r="70" customFormat="false" ht="18" hidden="false" customHeight="true" outlineLevel="0" collapsed="false">
      <c r="A70" s="36"/>
      <c r="B70" s="36"/>
      <c r="C70" s="48" t="str">
        <f aca="false">IF($B70="","",IFERROR(VLOOKUP($B70,资产台账!$B$4:$N$53,2,0)&amp;"","台账中未登记"))</f>
        <v/>
      </c>
      <c r="D70" s="43" t="str">
        <f aca="false">IF($B70="","",IFERROR(VLOOKUP($B70,资产台账!$B$4:$N$53,3,0)&amp;"",""))</f>
        <v/>
      </c>
      <c r="E70" s="43" t="str">
        <f aca="false">IF($B70="","",IFERROR(VLOOKUP($B70,资产台账!$B$4:$N$53,10,0)&amp;"",""))</f>
        <v/>
      </c>
      <c r="F70" s="49" t="str">
        <f aca="false">IF($B70="","",IFERROR(VLOOKUP($B70,资产台账!$B$4:$N$53,9,0),0))</f>
        <v/>
      </c>
      <c r="G70" s="45" t="n">
        <f aca="false">IF(OR($A70="",$W70=0),0,INDEX(无形资产工时分配表!$F$6:$F$125,$W70))</f>
        <v>0</v>
      </c>
      <c r="H70" s="45" t="n">
        <f aca="false">IF(OR($A70="",$W70=0),0,INDEX(无形资产工时分配表!$R$6:$R$125,$W70))</f>
        <v>0</v>
      </c>
      <c r="I70" s="28" t="str">
        <f aca="false">IF(OR($A70="",$G70=0),"",$H70/$G70)</f>
        <v/>
      </c>
      <c r="J70" s="27" t="str">
        <f aca="false">IF(OR($A70="",$G70=0),"",ROUND($F70*INDEX(无形资产工时分配表!$H$6:$H$125,$W70)/$G70,2))</f>
        <v/>
      </c>
      <c r="K70" s="27" t="str">
        <f aca="false">IF(OR($A70="",$G70=0),"",ROUND($F70*INDEX(无形资产工时分配表!$I$6:$I$125,$W70)/$G70,2))</f>
        <v/>
      </c>
      <c r="L70" s="27" t="str">
        <f aca="false">IF(OR($A70="",$G70=0),"",ROUND($F70*INDEX(无形资产工时分配表!$J$6:$J$125,$W70)/$G70,2))</f>
        <v/>
      </c>
      <c r="M70" s="27" t="str">
        <f aca="false">IF(OR($A70="",$G70=0),"",ROUND($F70*INDEX(无形资产工时分配表!$K$6:$K$125,$W70)/$G70,2))</f>
        <v/>
      </c>
      <c r="N70" s="27" t="str">
        <f aca="false">IF(OR($A70="",$G70=0),"",ROUND($F70*INDEX(无形资产工时分配表!$L$6:$L$125,$W70)/$G70,2))</f>
        <v/>
      </c>
      <c r="O70" s="27" t="str">
        <f aca="false">IF(OR($A70="",$G70=0),"",ROUND($F70*INDEX(无形资产工时分配表!$M$6:$M$125,$W70)/$G70,2))</f>
        <v/>
      </c>
      <c r="P70" s="27" t="str">
        <f aca="false">IF(OR($A70="",$G70=0),"",ROUND($F70*INDEX(无形资产工时分配表!$N$6:$N$125,$W70)/$G70,2))</f>
        <v/>
      </c>
      <c r="Q70" s="27" t="str">
        <f aca="false">IF(OR($A70="",$G70=0),"",ROUND($F70*INDEX(无形资产工时分配表!$O$6:$O$125,$W70)/$G70,2))</f>
        <v/>
      </c>
      <c r="R70" s="27" t="str">
        <f aca="false">IF(OR($A70="",$G70=0),"",ROUND($F70*INDEX(无形资产工时分配表!$P$6:$P$125,$W70)/$G70,2))</f>
        <v/>
      </c>
      <c r="S70" s="27" t="str">
        <f aca="false">IF(OR($A70="",$G70=0),"",ROUND($F70*INDEX(无形资产工时分配表!$Q$6:$Q$125,$W70)/$G70,2))</f>
        <v/>
      </c>
      <c r="T70" s="27" t="str">
        <f aca="false">IF($A70="","",ROUND(SUM(J70:S70),2))</f>
        <v/>
      </c>
      <c r="U70" s="27" t="str">
        <f aca="false">IF($A70="","",ROUND($F70-T70,2))</f>
        <v/>
      </c>
      <c r="V70" s="43" t="str">
        <f aca="false">IF($A70="","",IF($D70="设备","⚠ 设备请在仪器设备工时费用分配表登记",IF($W70=0,"⚠ 工时分配表无此资产当月记录",IF($X70&gt;1,"⚠ 工时分配表存在重复行","√ 正常"))))</f>
        <v/>
      </c>
      <c r="W70" s="47" t="n">
        <f aca="false">IF($A70="",0,IFERROR(MATCH($A70&amp;"|"&amp;$B70,无形资产工时分配表!$V$6:$V$125,0),0))</f>
        <v>0</v>
      </c>
      <c r="X70" s="47" t="n">
        <f aca="false">IF($A70="",0,COUNTIFS(无形资产工时分配表!$A$6:$A$125,$A70,无形资产工时分配表!$B$6:$B$125,$B70))</f>
        <v>0</v>
      </c>
    </row>
    <row r="71" customFormat="false" ht="18" hidden="false" customHeight="true" outlineLevel="0" collapsed="false">
      <c r="A71" s="36"/>
      <c r="B71" s="36"/>
      <c r="C71" s="48" t="str">
        <f aca="false">IF($B71="","",IFERROR(VLOOKUP($B71,资产台账!$B$4:$N$53,2,0)&amp;"","台账中未登记"))</f>
        <v/>
      </c>
      <c r="D71" s="43" t="str">
        <f aca="false">IF($B71="","",IFERROR(VLOOKUP($B71,资产台账!$B$4:$N$53,3,0)&amp;"",""))</f>
        <v/>
      </c>
      <c r="E71" s="43" t="str">
        <f aca="false">IF($B71="","",IFERROR(VLOOKUP($B71,资产台账!$B$4:$N$53,10,0)&amp;"",""))</f>
        <v/>
      </c>
      <c r="F71" s="49" t="str">
        <f aca="false">IF($B71="","",IFERROR(VLOOKUP($B71,资产台账!$B$4:$N$53,9,0),0))</f>
        <v/>
      </c>
      <c r="G71" s="45" t="n">
        <f aca="false">IF(OR($A71="",$W71=0),0,INDEX(无形资产工时分配表!$F$6:$F$125,$W71))</f>
        <v>0</v>
      </c>
      <c r="H71" s="45" t="n">
        <f aca="false">IF(OR($A71="",$W71=0),0,INDEX(无形资产工时分配表!$R$6:$R$125,$W71))</f>
        <v>0</v>
      </c>
      <c r="I71" s="28" t="str">
        <f aca="false">IF(OR($A71="",$G71=0),"",$H71/$G71)</f>
        <v/>
      </c>
      <c r="J71" s="27" t="str">
        <f aca="false">IF(OR($A71="",$G71=0),"",ROUND($F71*INDEX(无形资产工时分配表!$H$6:$H$125,$W71)/$G71,2))</f>
        <v/>
      </c>
      <c r="K71" s="27" t="str">
        <f aca="false">IF(OR($A71="",$G71=0),"",ROUND($F71*INDEX(无形资产工时分配表!$I$6:$I$125,$W71)/$G71,2))</f>
        <v/>
      </c>
      <c r="L71" s="27" t="str">
        <f aca="false">IF(OR($A71="",$G71=0),"",ROUND($F71*INDEX(无形资产工时分配表!$J$6:$J$125,$W71)/$G71,2))</f>
        <v/>
      </c>
      <c r="M71" s="27" t="str">
        <f aca="false">IF(OR($A71="",$G71=0),"",ROUND($F71*INDEX(无形资产工时分配表!$K$6:$K$125,$W71)/$G71,2))</f>
        <v/>
      </c>
      <c r="N71" s="27" t="str">
        <f aca="false">IF(OR($A71="",$G71=0),"",ROUND($F71*INDEX(无形资产工时分配表!$L$6:$L$125,$W71)/$G71,2))</f>
        <v/>
      </c>
      <c r="O71" s="27" t="str">
        <f aca="false">IF(OR($A71="",$G71=0),"",ROUND($F71*INDEX(无形资产工时分配表!$M$6:$M$125,$W71)/$G71,2))</f>
        <v/>
      </c>
      <c r="P71" s="27" t="str">
        <f aca="false">IF(OR($A71="",$G71=0),"",ROUND($F71*INDEX(无形资产工时分配表!$N$6:$N$125,$W71)/$G71,2))</f>
        <v/>
      </c>
      <c r="Q71" s="27" t="str">
        <f aca="false">IF(OR($A71="",$G71=0),"",ROUND($F71*INDEX(无形资产工时分配表!$O$6:$O$125,$W71)/$G71,2))</f>
        <v/>
      </c>
      <c r="R71" s="27" t="str">
        <f aca="false">IF(OR($A71="",$G71=0),"",ROUND($F71*INDEX(无形资产工时分配表!$P$6:$P$125,$W71)/$G71,2))</f>
        <v/>
      </c>
      <c r="S71" s="27" t="str">
        <f aca="false">IF(OR($A71="",$G71=0),"",ROUND($F71*INDEX(无形资产工时分配表!$Q$6:$Q$125,$W71)/$G71,2))</f>
        <v/>
      </c>
      <c r="T71" s="27" t="str">
        <f aca="false">IF($A71="","",ROUND(SUM(J71:S71),2))</f>
        <v/>
      </c>
      <c r="U71" s="27" t="str">
        <f aca="false">IF($A71="","",ROUND($F71-T71,2))</f>
        <v/>
      </c>
      <c r="V71" s="43" t="str">
        <f aca="false">IF($A71="","",IF($D71="设备","⚠ 设备请在仪器设备工时费用分配表登记",IF($W71=0,"⚠ 工时分配表无此资产当月记录",IF($X71&gt;1,"⚠ 工时分配表存在重复行","√ 正常"))))</f>
        <v/>
      </c>
      <c r="W71" s="47" t="n">
        <f aca="false">IF($A71="",0,IFERROR(MATCH($A71&amp;"|"&amp;$B71,无形资产工时分配表!$V$6:$V$125,0),0))</f>
        <v>0</v>
      </c>
      <c r="X71" s="47" t="n">
        <f aca="false">IF($A71="",0,COUNTIFS(无形资产工时分配表!$A$6:$A$125,$A71,无形资产工时分配表!$B$6:$B$125,$B71))</f>
        <v>0</v>
      </c>
    </row>
    <row r="72" customFormat="false" ht="18" hidden="false" customHeight="true" outlineLevel="0" collapsed="false">
      <c r="A72" s="36"/>
      <c r="B72" s="36"/>
      <c r="C72" s="48" t="str">
        <f aca="false">IF($B72="","",IFERROR(VLOOKUP($B72,资产台账!$B$4:$N$53,2,0)&amp;"","台账中未登记"))</f>
        <v/>
      </c>
      <c r="D72" s="43" t="str">
        <f aca="false">IF($B72="","",IFERROR(VLOOKUP($B72,资产台账!$B$4:$N$53,3,0)&amp;"",""))</f>
        <v/>
      </c>
      <c r="E72" s="43" t="str">
        <f aca="false">IF($B72="","",IFERROR(VLOOKUP($B72,资产台账!$B$4:$N$53,10,0)&amp;"",""))</f>
        <v/>
      </c>
      <c r="F72" s="49" t="str">
        <f aca="false">IF($B72="","",IFERROR(VLOOKUP($B72,资产台账!$B$4:$N$53,9,0),0))</f>
        <v/>
      </c>
      <c r="G72" s="45" t="n">
        <f aca="false">IF(OR($A72="",$W72=0),0,INDEX(无形资产工时分配表!$F$6:$F$125,$W72))</f>
        <v>0</v>
      </c>
      <c r="H72" s="45" t="n">
        <f aca="false">IF(OR($A72="",$W72=0),0,INDEX(无形资产工时分配表!$R$6:$R$125,$W72))</f>
        <v>0</v>
      </c>
      <c r="I72" s="28" t="str">
        <f aca="false">IF(OR($A72="",$G72=0),"",$H72/$G72)</f>
        <v/>
      </c>
      <c r="J72" s="27" t="str">
        <f aca="false">IF(OR($A72="",$G72=0),"",ROUND($F72*INDEX(无形资产工时分配表!$H$6:$H$125,$W72)/$G72,2))</f>
        <v/>
      </c>
      <c r="K72" s="27" t="str">
        <f aca="false">IF(OR($A72="",$G72=0),"",ROUND($F72*INDEX(无形资产工时分配表!$I$6:$I$125,$W72)/$G72,2))</f>
        <v/>
      </c>
      <c r="L72" s="27" t="str">
        <f aca="false">IF(OR($A72="",$G72=0),"",ROUND($F72*INDEX(无形资产工时分配表!$J$6:$J$125,$W72)/$G72,2))</f>
        <v/>
      </c>
      <c r="M72" s="27" t="str">
        <f aca="false">IF(OR($A72="",$G72=0),"",ROUND($F72*INDEX(无形资产工时分配表!$K$6:$K$125,$W72)/$G72,2))</f>
        <v/>
      </c>
      <c r="N72" s="27" t="str">
        <f aca="false">IF(OR($A72="",$G72=0),"",ROUND($F72*INDEX(无形资产工时分配表!$L$6:$L$125,$W72)/$G72,2))</f>
        <v/>
      </c>
      <c r="O72" s="27" t="str">
        <f aca="false">IF(OR($A72="",$G72=0),"",ROUND($F72*INDEX(无形资产工时分配表!$M$6:$M$125,$W72)/$G72,2))</f>
        <v/>
      </c>
      <c r="P72" s="27" t="str">
        <f aca="false">IF(OR($A72="",$G72=0),"",ROUND($F72*INDEX(无形资产工时分配表!$N$6:$N$125,$W72)/$G72,2))</f>
        <v/>
      </c>
      <c r="Q72" s="27" t="str">
        <f aca="false">IF(OR($A72="",$G72=0),"",ROUND($F72*INDEX(无形资产工时分配表!$O$6:$O$125,$W72)/$G72,2))</f>
        <v/>
      </c>
      <c r="R72" s="27" t="str">
        <f aca="false">IF(OR($A72="",$G72=0),"",ROUND($F72*INDEX(无形资产工时分配表!$P$6:$P$125,$W72)/$G72,2))</f>
        <v/>
      </c>
      <c r="S72" s="27" t="str">
        <f aca="false">IF(OR($A72="",$G72=0),"",ROUND($F72*INDEX(无形资产工时分配表!$Q$6:$Q$125,$W72)/$G72,2))</f>
        <v/>
      </c>
      <c r="T72" s="27" t="str">
        <f aca="false">IF($A72="","",ROUND(SUM(J72:S72),2))</f>
        <v/>
      </c>
      <c r="U72" s="27" t="str">
        <f aca="false">IF($A72="","",ROUND($F72-T72,2))</f>
        <v/>
      </c>
      <c r="V72" s="43" t="str">
        <f aca="false">IF($A72="","",IF($D72="设备","⚠ 设备请在仪器设备工时费用分配表登记",IF($W72=0,"⚠ 工时分配表无此资产当月记录",IF($X72&gt;1,"⚠ 工时分配表存在重复行","√ 正常"))))</f>
        <v/>
      </c>
      <c r="W72" s="47" t="n">
        <f aca="false">IF($A72="",0,IFERROR(MATCH($A72&amp;"|"&amp;$B72,无形资产工时分配表!$V$6:$V$125,0),0))</f>
        <v>0</v>
      </c>
      <c r="X72" s="47" t="n">
        <f aca="false">IF($A72="",0,COUNTIFS(无形资产工时分配表!$A$6:$A$125,$A72,无形资产工时分配表!$B$6:$B$125,$B72))</f>
        <v>0</v>
      </c>
    </row>
    <row r="73" customFormat="false" ht="18" hidden="false" customHeight="true" outlineLevel="0" collapsed="false">
      <c r="A73" s="36"/>
      <c r="B73" s="36"/>
      <c r="C73" s="48" t="str">
        <f aca="false">IF($B73="","",IFERROR(VLOOKUP($B73,资产台账!$B$4:$N$53,2,0)&amp;"","台账中未登记"))</f>
        <v/>
      </c>
      <c r="D73" s="43" t="str">
        <f aca="false">IF($B73="","",IFERROR(VLOOKUP($B73,资产台账!$B$4:$N$53,3,0)&amp;"",""))</f>
        <v/>
      </c>
      <c r="E73" s="43" t="str">
        <f aca="false">IF($B73="","",IFERROR(VLOOKUP($B73,资产台账!$B$4:$N$53,10,0)&amp;"",""))</f>
        <v/>
      </c>
      <c r="F73" s="49" t="str">
        <f aca="false">IF($B73="","",IFERROR(VLOOKUP($B73,资产台账!$B$4:$N$53,9,0),0))</f>
        <v/>
      </c>
      <c r="G73" s="45" t="n">
        <f aca="false">IF(OR($A73="",$W73=0),0,INDEX(无形资产工时分配表!$F$6:$F$125,$W73))</f>
        <v>0</v>
      </c>
      <c r="H73" s="45" t="n">
        <f aca="false">IF(OR($A73="",$W73=0),0,INDEX(无形资产工时分配表!$R$6:$R$125,$W73))</f>
        <v>0</v>
      </c>
      <c r="I73" s="28" t="str">
        <f aca="false">IF(OR($A73="",$G73=0),"",$H73/$G73)</f>
        <v/>
      </c>
      <c r="J73" s="27" t="str">
        <f aca="false">IF(OR($A73="",$G73=0),"",ROUND($F73*INDEX(无形资产工时分配表!$H$6:$H$125,$W73)/$G73,2))</f>
        <v/>
      </c>
      <c r="K73" s="27" t="str">
        <f aca="false">IF(OR($A73="",$G73=0),"",ROUND($F73*INDEX(无形资产工时分配表!$I$6:$I$125,$W73)/$G73,2))</f>
        <v/>
      </c>
      <c r="L73" s="27" t="str">
        <f aca="false">IF(OR($A73="",$G73=0),"",ROUND($F73*INDEX(无形资产工时分配表!$J$6:$J$125,$W73)/$G73,2))</f>
        <v/>
      </c>
      <c r="M73" s="27" t="str">
        <f aca="false">IF(OR($A73="",$G73=0),"",ROUND($F73*INDEX(无形资产工时分配表!$K$6:$K$125,$W73)/$G73,2))</f>
        <v/>
      </c>
      <c r="N73" s="27" t="str">
        <f aca="false">IF(OR($A73="",$G73=0),"",ROUND($F73*INDEX(无形资产工时分配表!$L$6:$L$125,$W73)/$G73,2))</f>
        <v/>
      </c>
      <c r="O73" s="27" t="str">
        <f aca="false">IF(OR($A73="",$G73=0),"",ROUND($F73*INDEX(无形资产工时分配表!$M$6:$M$125,$W73)/$G73,2))</f>
        <v/>
      </c>
      <c r="P73" s="27" t="str">
        <f aca="false">IF(OR($A73="",$G73=0),"",ROUND($F73*INDEX(无形资产工时分配表!$N$6:$N$125,$W73)/$G73,2))</f>
        <v/>
      </c>
      <c r="Q73" s="27" t="str">
        <f aca="false">IF(OR($A73="",$G73=0),"",ROUND($F73*INDEX(无形资产工时分配表!$O$6:$O$125,$W73)/$G73,2))</f>
        <v/>
      </c>
      <c r="R73" s="27" t="str">
        <f aca="false">IF(OR($A73="",$G73=0),"",ROUND($F73*INDEX(无形资产工时分配表!$P$6:$P$125,$W73)/$G73,2))</f>
        <v/>
      </c>
      <c r="S73" s="27" t="str">
        <f aca="false">IF(OR($A73="",$G73=0),"",ROUND($F73*INDEX(无形资产工时分配表!$Q$6:$Q$125,$W73)/$G73,2))</f>
        <v/>
      </c>
      <c r="T73" s="27" t="str">
        <f aca="false">IF($A73="","",ROUND(SUM(J73:S73),2))</f>
        <v/>
      </c>
      <c r="U73" s="27" t="str">
        <f aca="false">IF($A73="","",ROUND($F73-T73,2))</f>
        <v/>
      </c>
      <c r="V73" s="43" t="str">
        <f aca="false">IF($A73="","",IF($D73="设备","⚠ 设备请在仪器设备工时费用分配表登记",IF($W73=0,"⚠ 工时分配表无此资产当月记录",IF($X73&gt;1,"⚠ 工时分配表存在重复行","√ 正常"))))</f>
        <v/>
      </c>
      <c r="W73" s="47" t="n">
        <f aca="false">IF($A73="",0,IFERROR(MATCH($A73&amp;"|"&amp;$B73,无形资产工时分配表!$V$6:$V$125,0),0))</f>
        <v>0</v>
      </c>
      <c r="X73" s="47" t="n">
        <f aca="false">IF($A73="",0,COUNTIFS(无形资产工时分配表!$A$6:$A$125,$A73,无形资产工时分配表!$B$6:$B$125,$B73))</f>
        <v>0</v>
      </c>
    </row>
    <row r="74" customFormat="false" ht="18" hidden="false" customHeight="true" outlineLevel="0" collapsed="false">
      <c r="A74" s="36"/>
      <c r="B74" s="36"/>
      <c r="C74" s="48" t="str">
        <f aca="false">IF($B74="","",IFERROR(VLOOKUP($B74,资产台账!$B$4:$N$53,2,0)&amp;"","台账中未登记"))</f>
        <v/>
      </c>
      <c r="D74" s="43" t="str">
        <f aca="false">IF($B74="","",IFERROR(VLOOKUP($B74,资产台账!$B$4:$N$53,3,0)&amp;"",""))</f>
        <v/>
      </c>
      <c r="E74" s="43" t="str">
        <f aca="false">IF($B74="","",IFERROR(VLOOKUP($B74,资产台账!$B$4:$N$53,10,0)&amp;"",""))</f>
        <v/>
      </c>
      <c r="F74" s="49" t="str">
        <f aca="false">IF($B74="","",IFERROR(VLOOKUP($B74,资产台账!$B$4:$N$53,9,0),0))</f>
        <v/>
      </c>
      <c r="G74" s="45" t="n">
        <f aca="false">IF(OR($A74="",$W74=0),0,INDEX(无形资产工时分配表!$F$6:$F$125,$W74))</f>
        <v>0</v>
      </c>
      <c r="H74" s="45" t="n">
        <f aca="false">IF(OR($A74="",$W74=0),0,INDEX(无形资产工时分配表!$R$6:$R$125,$W74))</f>
        <v>0</v>
      </c>
      <c r="I74" s="28" t="str">
        <f aca="false">IF(OR($A74="",$G74=0),"",$H74/$G74)</f>
        <v/>
      </c>
      <c r="J74" s="27" t="str">
        <f aca="false">IF(OR($A74="",$G74=0),"",ROUND($F74*INDEX(无形资产工时分配表!$H$6:$H$125,$W74)/$G74,2))</f>
        <v/>
      </c>
      <c r="K74" s="27" t="str">
        <f aca="false">IF(OR($A74="",$G74=0),"",ROUND($F74*INDEX(无形资产工时分配表!$I$6:$I$125,$W74)/$G74,2))</f>
        <v/>
      </c>
      <c r="L74" s="27" t="str">
        <f aca="false">IF(OR($A74="",$G74=0),"",ROUND($F74*INDEX(无形资产工时分配表!$J$6:$J$125,$W74)/$G74,2))</f>
        <v/>
      </c>
      <c r="M74" s="27" t="str">
        <f aca="false">IF(OR($A74="",$G74=0),"",ROUND($F74*INDEX(无形资产工时分配表!$K$6:$K$125,$W74)/$G74,2))</f>
        <v/>
      </c>
      <c r="N74" s="27" t="str">
        <f aca="false">IF(OR($A74="",$G74=0),"",ROUND($F74*INDEX(无形资产工时分配表!$L$6:$L$125,$W74)/$G74,2))</f>
        <v/>
      </c>
      <c r="O74" s="27" t="str">
        <f aca="false">IF(OR($A74="",$G74=0),"",ROUND($F74*INDEX(无形资产工时分配表!$M$6:$M$125,$W74)/$G74,2))</f>
        <v/>
      </c>
      <c r="P74" s="27" t="str">
        <f aca="false">IF(OR($A74="",$G74=0),"",ROUND($F74*INDEX(无形资产工时分配表!$N$6:$N$125,$W74)/$G74,2))</f>
        <v/>
      </c>
      <c r="Q74" s="27" t="str">
        <f aca="false">IF(OR($A74="",$G74=0),"",ROUND($F74*INDEX(无形资产工时分配表!$O$6:$O$125,$W74)/$G74,2))</f>
        <v/>
      </c>
      <c r="R74" s="27" t="str">
        <f aca="false">IF(OR($A74="",$G74=0),"",ROUND($F74*INDEX(无形资产工时分配表!$P$6:$P$125,$W74)/$G74,2))</f>
        <v/>
      </c>
      <c r="S74" s="27" t="str">
        <f aca="false">IF(OR($A74="",$G74=0),"",ROUND($F74*INDEX(无形资产工时分配表!$Q$6:$Q$125,$W74)/$G74,2))</f>
        <v/>
      </c>
      <c r="T74" s="27" t="str">
        <f aca="false">IF($A74="","",ROUND(SUM(J74:S74),2))</f>
        <v/>
      </c>
      <c r="U74" s="27" t="str">
        <f aca="false">IF($A74="","",ROUND($F74-T74,2))</f>
        <v/>
      </c>
      <c r="V74" s="43" t="str">
        <f aca="false">IF($A74="","",IF($D74="设备","⚠ 设备请在仪器设备工时费用分配表登记",IF($W74=0,"⚠ 工时分配表无此资产当月记录",IF($X74&gt;1,"⚠ 工时分配表存在重复行","√ 正常"))))</f>
        <v/>
      </c>
      <c r="W74" s="47" t="n">
        <f aca="false">IF($A74="",0,IFERROR(MATCH($A74&amp;"|"&amp;$B74,无形资产工时分配表!$V$6:$V$125,0),0))</f>
        <v>0</v>
      </c>
      <c r="X74" s="47" t="n">
        <f aca="false">IF($A74="",0,COUNTIFS(无形资产工时分配表!$A$6:$A$125,$A74,无形资产工时分配表!$B$6:$B$125,$B74))</f>
        <v>0</v>
      </c>
    </row>
    <row r="75" customFormat="false" ht="18" hidden="false" customHeight="true" outlineLevel="0" collapsed="false">
      <c r="A75" s="36"/>
      <c r="B75" s="36"/>
      <c r="C75" s="48" t="str">
        <f aca="false">IF($B75="","",IFERROR(VLOOKUP($B75,资产台账!$B$4:$N$53,2,0)&amp;"","台账中未登记"))</f>
        <v/>
      </c>
      <c r="D75" s="43" t="str">
        <f aca="false">IF($B75="","",IFERROR(VLOOKUP($B75,资产台账!$B$4:$N$53,3,0)&amp;"",""))</f>
        <v/>
      </c>
      <c r="E75" s="43" t="str">
        <f aca="false">IF($B75="","",IFERROR(VLOOKUP($B75,资产台账!$B$4:$N$53,10,0)&amp;"",""))</f>
        <v/>
      </c>
      <c r="F75" s="49" t="str">
        <f aca="false">IF($B75="","",IFERROR(VLOOKUP($B75,资产台账!$B$4:$N$53,9,0),0))</f>
        <v/>
      </c>
      <c r="G75" s="45" t="n">
        <f aca="false">IF(OR($A75="",$W75=0),0,INDEX(无形资产工时分配表!$F$6:$F$125,$W75))</f>
        <v>0</v>
      </c>
      <c r="H75" s="45" t="n">
        <f aca="false">IF(OR($A75="",$W75=0),0,INDEX(无形资产工时分配表!$R$6:$R$125,$W75))</f>
        <v>0</v>
      </c>
      <c r="I75" s="28" t="str">
        <f aca="false">IF(OR($A75="",$G75=0),"",$H75/$G75)</f>
        <v/>
      </c>
      <c r="J75" s="27" t="str">
        <f aca="false">IF(OR($A75="",$G75=0),"",ROUND($F75*INDEX(无形资产工时分配表!$H$6:$H$125,$W75)/$G75,2))</f>
        <v/>
      </c>
      <c r="K75" s="27" t="str">
        <f aca="false">IF(OR($A75="",$G75=0),"",ROUND($F75*INDEX(无形资产工时分配表!$I$6:$I$125,$W75)/$G75,2))</f>
        <v/>
      </c>
      <c r="L75" s="27" t="str">
        <f aca="false">IF(OR($A75="",$G75=0),"",ROUND($F75*INDEX(无形资产工时分配表!$J$6:$J$125,$W75)/$G75,2))</f>
        <v/>
      </c>
      <c r="M75" s="27" t="str">
        <f aca="false">IF(OR($A75="",$G75=0),"",ROUND($F75*INDEX(无形资产工时分配表!$K$6:$K$125,$W75)/$G75,2))</f>
        <v/>
      </c>
      <c r="N75" s="27" t="str">
        <f aca="false">IF(OR($A75="",$G75=0),"",ROUND($F75*INDEX(无形资产工时分配表!$L$6:$L$125,$W75)/$G75,2))</f>
        <v/>
      </c>
      <c r="O75" s="27" t="str">
        <f aca="false">IF(OR($A75="",$G75=0),"",ROUND($F75*INDEX(无形资产工时分配表!$M$6:$M$125,$W75)/$G75,2))</f>
        <v/>
      </c>
      <c r="P75" s="27" t="str">
        <f aca="false">IF(OR($A75="",$G75=0),"",ROUND($F75*INDEX(无形资产工时分配表!$N$6:$N$125,$W75)/$G75,2))</f>
        <v/>
      </c>
      <c r="Q75" s="27" t="str">
        <f aca="false">IF(OR($A75="",$G75=0),"",ROUND($F75*INDEX(无形资产工时分配表!$O$6:$O$125,$W75)/$G75,2))</f>
        <v/>
      </c>
      <c r="R75" s="27" t="str">
        <f aca="false">IF(OR($A75="",$G75=0),"",ROUND($F75*INDEX(无形资产工时分配表!$P$6:$P$125,$W75)/$G75,2))</f>
        <v/>
      </c>
      <c r="S75" s="27" t="str">
        <f aca="false">IF(OR($A75="",$G75=0),"",ROUND($F75*INDEX(无形资产工时分配表!$Q$6:$Q$125,$W75)/$G75,2))</f>
        <v/>
      </c>
      <c r="T75" s="27" t="str">
        <f aca="false">IF($A75="","",ROUND(SUM(J75:S75),2))</f>
        <v/>
      </c>
      <c r="U75" s="27" t="str">
        <f aca="false">IF($A75="","",ROUND($F75-T75,2))</f>
        <v/>
      </c>
      <c r="V75" s="43" t="str">
        <f aca="false">IF($A75="","",IF($D75="设备","⚠ 设备请在仪器设备工时费用分配表登记",IF($W75=0,"⚠ 工时分配表无此资产当月记录",IF($X75&gt;1,"⚠ 工时分配表存在重复行","√ 正常"))))</f>
        <v/>
      </c>
      <c r="W75" s="47" t="n">
        <f aca="false">IF($A75="",0,IFERROR(MATCH($A75&amp;"|"&amp;$B75,无形资产工时分配表!$V$6:$V$125,0),0))</f>
        <v>0</v>
      </c>
      <c r="X75" s="47" t="n">
        <f aca="false">IF($A75="",0,COUNTIFS(无形资产工时分配表!$A$6:$A$125,$A75,无形资产工时分配表!$B$6:$B$125,$B75))</f>
        <v>0</v>
      </c>
    </row>
    <row r="76" customFormat="false" ht="18" hidden="false" customHeight="true" outlineLevel="0" collapsed="false">
      <c r="A76" s="36"/>
      <c r="B76" s="36"/>
      <c r="C76" s="48" t="str">
        <f aca="false">IF($B76="","",IFERROR(VLOOKUP($B76,资产台账!$B$4:$N$53,2,0)&amp;"","台账中未登记"))</f>
        <v/>
      </c>
      <c r="D76" s="43" t="str">
        <f aca="false">IF($B76="","",IFERROR(VLOOKUP($B76,资产台账!$B$4:$N$53,3,0)&amp;"",""))</f>
        <v/>
      </c>
      <c r="E76" s="43" t="str">
        <f aca="false">IF($B76="","",IFERROR(VLOOKUP($B76,资产台账!$B$4:$N$53,10,0)&amp;"",""))</f>
        <v/>
      </c>
      <c r="F76" s="49" t="str">
        <f aca="false">IF($B76="","",IFERROR(VLOOKUP($B76,资产台账!$B$4:$N$53,9,0),0))</f>
        <v/>
      </c>
      <c r="G76" s="45" t="n">
        <f aca="false">IF(OR($A76="",$W76=0),0,INDEX(无形资产工时分配表!$F$6:$F$125,$W76))</f>
        <v>0</v>
      </c>
      <c r="H76" s="45" t="n">
        <f aca="false">IF(OR($A76="",$W76=0),0,INDEX(无形资产工时分配表!$R$6:$R$125,$W76))</f>
        <v>0</v>
      </c>
      <c r="I76" s="28" t="str">
        <f aca="false">IF(OR($A76="",$G76=0),"",$H76/$G76)</f>
        <v/>
      </c>
      <c r="J76" s="27" t="str">
        <f aca="false">IF(OR($A76="",$G76=0),"",ROUND($F76*INDEX(无形资产工时分配表!$H$6:$H$125,$W76)/$G76,2))</f>
        <v/>
      </c>
      <c r="K76" s="27" t="str">
        <f aca="false">IF(OR($A76="",$G76=0),"",ROUND($F76*INDEX(无形资产工时分配表!$I$6:$I$125,$W76)/$G76,2))</f>
        <v/>
      </c>
      <c r="L76" s="27" t="str">
        <f aca="false">IF(OR($A76="",$G76=0),"",ROUND($F76*INDEX(无形资产工时分配表!$J$6:$J$125,$W76)/$G76,2))</f>
        <v/>
      </c>
      <c r="M76" s="27" t="str">
        <f aca="false">IF(OR($A76="",$G76=0),"",ROUND($F76*INDEX(无形资产工时分配表!$K$6:$K$125,$W76)/$G76,2))</f>
        <v/>
      </c>
      <c r="N76" s="27" t="str">
        <f aca="false">IF(OR($A76="",$G76=0),"",ROUND($F76*INDEX(无形资产工时分配表!$L$6:$L$125,$W76)/$G76,2))</f>
        <v/>
      </c>
      <c r="O76" s="27" t="str">
        <f aca="false">IF(OR($A76="",$G76=0),"",ROUND($F76*INDEX(无形资产工时分配表!$M$6:$M$125,$W76)/$G76,2))</f>
        <v/>
      </c>
      <c r="P76" s="27" t="str">
        <f aca="false">IF(OR($A76="",$G76=0),"",ROUND($F76*INDEX(无形资产工时分配表!$N$6:$N$125,$W76)/$G76,2))</f>
        <v/>
      </c>
      <c r="Q76" s="27" t="str">
        <f aca="false">IF(OR($A76="",$G76=0),"",ROUND($F76*INDEX(无形资产工时分配表!$O$6:$O$125,$W76)/$G76,2))</f>
        <v/>
      </c>
      <c r="R76" s="27" t="str">
        <f aca="false">IF(OR($A76="",$G76=0),"",ROUND($F76*INDEX(无形资产工时分配表!$P$6:$P$125,$W76)/$G76,2))</f>
        <v/>
      </c>
      <c r="S76" s="27" t="str">
        <f aca="false">IF(OR($A76="",$G76=0),"",ROUND($F76*INDEX(无形资产工时分配表!$Q$6:$Q$125,$W76)/$G76,2))</f>
        <v/>
      </c>
      <c r="T76" s="27" t="str">
        <f aca="false">IF($A76="","",ROUND(SUM(J76:S76),2))</f>
        <v/>
      </c>
      <c r="U76" s="27" t="str">
        <f aca="false">IF($A76="","",ROUND($F76-T76,2))</f>
        <v/>
      </c>
      <c r="V76" s="43" t="str">
        <f aca="false">IF($A76="","",IF($D76="设备","⚠ 设备请在仪器设备工时费用分配表登记",IF($W76=0,"⚠ 工时分配表无此资产当月记录",IF($X76&gt;1,"⚠ 工时分配表存在重复行","√ 正常"))))</f>
        <v/>
      </c>
      <c r="W76" s="47" t="n">
        <f aca="false">IF($A76="",0,IFERROR(MATCH($A76&amp;"|"&amp;$B76,无形资产工时分配表!$V$6:$V$125,0),0))</f>
        <v>0</v>
      </c>
      <c r="X76" s="47" t="n">
        <f aca="false">IF($A76="",0,COUNTIFS(无形资产工时分配表!$A$6:$A$125,$A76,无形资产工时分配表!$B$6:$B$125,$B76))</f>
        <v>0</v>
      </c>
    </row>
    <row r="77" customFormat="false" ht="18" hidden="false" customHeight="true" outlineLevel="0" collapsed="false">
      <c r="A77" s="36"/>
      <c r="B77" s="36"/>
      <c r="C77" s="48" t="str">
        <f aca="false">IF($B77="","",IFERROR(VLOOKUP($B77,资产台账!$B$4:$N$53,2,0)&amp;"","台账中未登记"))</f>
        <v/>
      </c>
      <c r="D77" s="43" t="str">
        <f aca="false">IF($B77="","",IFERROR(VLOOKUP($B77,资产台账!$B$4:$N$53,3,0)&amp;"",""))</f>
        <v/>
      </c>
      <c r="E77" s="43" t="str">
        <f aca="false">IF($B77="","",IFERROR(VLOOKUP($B77,资产台账!$B$4:$N$53,10,0)&amp;"",""))</f>
        <v/>
      </c>
      <c r="F77" s="49" t="str">
        <f aca="false">IF($B77="","",IFERROR(VLOOKUP($B77,资产台账!$B$4:$N$53,9,0),0))</f>
        <v/>
      </c>
      <c r="G77" s="45" t="n">
        <f aca="false">IF(OR($A77="",$W77=0),0,INDEX(无形资产工时分配表!$F$6:$F$125,$W77))</f>
        <v>0</v>
      </c>
      <c r="H77" s="45" t="n">
        <f aca="false">IF(OR($A77="",$W77=0),0,INDEX(无形资产工时分配表!$R$6:$R$125,$W77))</f>
        <v>0</v>
      </c>
      <c r="I77" s="28" t="str">
        <f aca="false">IF(OR($A77="",$G77=0),"",$H77/$G77)</f>
        <v/>
      </c>
      <c r="J77" s="27" t="str">
        <f aca="false">IF(OR($A77="",$G77=0),"",ROUND($F77*INDEX(无形资产工时分配表!$H$6:$H$125,$W77)/$G77,2))</f>
        <v/>
      </c>
      <c r="K77" s="27" t="str">
        <f aca="false">IF(OR($A77="",$G77=0),"",ROUND($F77*INDEX(无形资产工时分配表!$I$6:$I$125,$W77)/$G77,2))</f>
        <v/>
      </c>
      <c r="L77" s="27" t="str">
        <f aca="false">IF(OR($A77="",$G77=0),"",ROUND($F77*INDEX(无形资产工时分配表!$J$6:$J$125,$W77)/$G77,2))</f>
        <v/>
      </c>
      <c r="M77" s="27" t="str">
        <f aca="false">IF(OR($A77="",$G77=0),"",ROUND($F77*INDEX(无形资产工时分配表!$K$6:$K$125,$W77)/$G77,2))</f>
        <v/>
      </c>
      <c r="N77" s="27" t="str">
        <f aca="false">IF(OR($A77="",$G77=0),"",ROUND($F77*INDEX(无形资产工时分配表!$L$6:$L$125,$W77)/$G77,2))</f>
        <v/>
      </c>
      <c r="O77" s="27" t="str">
        <f aca="false">IF(OR($A77="",$G77=0),"",ROUND($F77*INDEX(无形资产工时分配表!$M$6:$M$125,$W77)/$G77,2))</f>
        <v/>
      </c>
      <c r="P77" s="27" t="str">
        <f aca="false">IF(OR($A77="",$G77=0),"",ROUND($F77*INDEX(无形资产工时分配表!$N$6:$N$125,$W77)/$G77,2))</f>
        <v/>
      </c>
      <c r="Q77" s="27" t="str">
        <f aca="false">IF(OR($A77="",$G77=0),"",ROUND($F77*INDEX(无形资产工时分配表!$O$6:$O$125,$W77)/$G77,2))</f>
        <v/>
      </c>
      <c r="R77" s="27" t="str">
        <f aca="false">IF(OR($A77="",$G77=0),"",ROUND($F77*INDEX(无形资产工时分配表!$P$6:$P$125,$W77)/$G77,2))</f>
        <v/>
      </c>
      <c r="S77" s="27" t="str">
        <f aca="false">IF(OR($A77="",$G77=0),"",ROUND($F77*INDEX(无形资产工时分配表!$Q$6:$Q$125,$W77)/$G77,2))</f>
        <v/>
      </c>
      <c r="T77" s="27" t="str">
        <f aca="false">IF($A77="","",ROUND(SUM(J77:S77),2))</f>
        <v/>
      </c>
      <c r="U77" s="27" t="str">
        <f aca="false">IF($A77="","",ROUND($F77-T77,2))</f>
        <v/>
      </c>
      <c r="V77" s="43" t="str">
        <f aca="false">IF($A77="","",IF($D77="设备","⚠ 设备请在仪器设备工时费用分配表登记",IF($W77=0,"⚠ 工时分配表无此资产当月记录",IF($X77&gt;1,"⚠ 工时分配表存在重复行","√ 正常"))))</f>
        <v/>
      </c>
      <c r="W77" s="47" t="n">
        <f aca="false">IF($A77="",0,IFERROR(MATCH($A77&amp;"|"&amp;$B77,无形资产工时分配表!$V$6:$V$125,0),0))</f>
        <v>0</v>
      </c>
      <c r="X77" s="47" t="n">
        <f aca="false">IF($A77="",0,COUNTIFS(无形资产工时分配表!$A$6:$A$125,$A77,无形资产工时分配表!$B$6:$B$125,$B77))</f>
        <v>0</v>
      </c>
    </row>
    <row r="78" customFormat="false" ht="18" hidden="false" customHeight="true" outlineLevel="0" collapsed="false">
      <c r="A78" s="36"/>
      <c r="B78" s="36"/>
      <c r="C78" s="48" t="str">
        <f aca="false">IF($B78="","",IFERROR(VLOOKUP($B78,资产台账!$B$4:$N$53,2,0)&amp;"","台账中未登记"))</f>
        <v/>
      </c>
      <c r="D78" s="43" t="str">
        <f aca="false">IF($B78="","",IFERROR(VLOOKUP($B78,资产台账!$B$4:$N$53,3,0)&amp;"",""))</f>
        <v/>
      </c>
      <c r="E78" s="43" t="str">
        <f aca="false">IF($B78="","",IFERROR(VLOOKUP($B78,资产台账!$B$4:$N$53,10,0)&amp;"",""))</f>
        <v/>
      </c>
      <c r="F78" s="49" t="str">
        <f aca="false">IF($B78="","",IFERROR(VLOOKUP($B78,资产台账!$B$4:$N$53,9,0),0))</f>
        <v/>
      </c>
      <c r="G78" s="45" t="n">
        <f aca="false">IF(OR($A78="",$W78=0),0,INDEX(无形资产工时分配表!$F$6:$F$125,$W78))</f>
        <v>0</v>
      </c>
      <c r="H78" s="45" t="n">
        <f aca="false">IF(OR($A78="",$W78=0),0,INDEX(无形资产工时分配表!$R$6:$R$125,$W78))</f>
        <v>0</v>
      </c>
      <c r="I78" s="28" t="str">
        <f aca="false">IF(OR($A78="",$G78=0),"",$H78/$G78)</f>
        <v/>
      </c>
      <c r="J78" s="27" t="str">
        <f aca="false">IF(OR($A78="",$G78=0),"",ROUND($F78*INDEX(无形资产工时分配表!$H$6:$H$125,$W78)/$G78,2))</f>
        <v/>
      </c>
      <c r="K78" s="27" t="str">
        <f aca="false">IF(OR($A78="",$G78=0),"",ROUND($F78*INDEX(无形资产工时分配表!$I$6:$I$125,$W78)/$G78,2))</f>
        <v/>
      </c>
      <c r="L78" s="27" t="str">
        <f aca="false">IF(OR($A78="",$G78=0),"",ROUND($F78*INDEX(无形资产工时分配表!$J$6:$J$125,$W78)/$G78,2))</f>
        <v/>
      </c>
      <c r="M78" s="27" t="str">
        <f aca="false">IF(OR($A78="",$G78=0),"",ROUND($F78*INDEX(无形资产工时分配表!$K$6:$K$125,$W78)/$G78,2))</f>
        <v/>
      </c>
      <c r="N78" s="27" t="str">
        <f aca="false">IF(OR($A78="",$G78=0),"",ROUND($F78*INDEX(无形资产工时分配表!$L$6:$L$125,$W78)/$G78,2))</f>
        <v/>
      </c>
      <c r="O78" s="27" t="str">
        <f aca="false">IF(OR($A78="",$G78=0),"",ROUND($F78*INDEX(无形资产工时分配表!$M$6:$M$125,$W78)/$G78,2))</f>
        <v/>
      </c>
      <c r="P78" s="27" t="str">
        <f aca="false">IF(OR($A78="",$G78=0),"",ROUND($F78*INDEX(无形资产工时分配表!$N$6:$N$125,$W78)/$G78,2))</f>
        <v/>
      </c>
      <c r="Q78" s="27" t="str">
        <f aca="false">IF(OR($A78="",$G78=0),"",ROUND($F78*INDEX(无形资产工时分配表!$O$6:$O$125,$W78)/$G78,2))</f>
        <v/>
      </c>
      <c r="R78" s="27" t="str">
        <f aca="false">IF(OR($A78="",$G78=0),"",ROUND($F78*INDEX(无形资产工时分配表!$P$6:$P$125,$W78)/$G78,2))</f>
        <v/>
      </c>
      <c r="S78" s="27" t="str">
        <f aca="false">IF(OR($A78="",$G78=0),"",ROUND($F78*INDEX(无形资产工时分配表!$Q$6:$Q$125,$W78)/$G78,2))</f>
        <v/>
      </c>
      <c r="T78" s="27" t="str">
        <f aca="false">IF($A78="","",ROUND(SUM(J78:S78),2))</f>
        <v/>
      </c>
      <c r="U78" s="27" t="str">
        <f aca="false">IF($A78="","",ROUND($F78-T78,2))</f>
        <v/>
      </c>
      <c r="V78" s="43" t="str">
        <f aca="false">IF($A78="","",IF($D78="设备","⚠ 设备请在仪器设备工时费用分配表登记",IF($W78=0,"⚠ 工时分配表无此资产当月记录",IF($X78&gt;1,"⚠ 工时分配表存在重复行","√ 正常"))))</f>
        <v/>
      </c>
      <c r="W78" s="47" t="n">
        <f aca="false">IF($A78="",0,IFERROR(MATCH($A78&amp;"|"&amp;$B78,无形资产工时分配表!$V$6:$V$125,0),0))</f>
        <v>0</v>
      </c>
      <c r="X78" s="47" t="n">
        <f aca="false">IF($A78="",0,COUNTIFS(无形资产工时分配表!$A$6:$A$125,$A78,无形资产工时分配表!$B$6:$B$125,$B78))</f>
        <v>0</v>
      </c>
    </row>
    <row r="79" customFormat="false" ht="18" hidden="false" customHeight="true" outlineLevel="0" collapsed="false">
      <c r="A79" s="36"/>
      <c r="B79" s="36"/>
      <c r="C79" s="48" t="str">
        <f aca="false">IF($B79="","",IFERROR(VLOOKUP($B79,资产台账!$B$4:$N$53,2,0)&amp;"","台账中未登记"))</f>
        <v/>
      </c>
      <c r="D79" s="43" t="str">
        <f aca="false">IF($B79="","",IFERROR(VLOOKUP($B79,资产台账!$B$4:$N$53,3,0)&amp;"",""))</f>
        <v/>
      </c>
      <c r="E79" s="43" t="str">
        <f aca="false">IF($B79="","",IFERROR(VLOOKUP($B79,资产台账!$B$4:$N$53,10,0)&amp;"",""))</f>
        <v/>
      </c>
      <c r="F79" s="49" t="str">
        <f aca="false">IF($B79="","",IFERROR(VLOOKUP($B79,资产台账!$B$4:$N$53,9,0),0))</f>
        <v/>
      </c>
      <c r="G79" s="45" t="n">
        <f aca="false">IF(OR($A79="",$W79=0),0,INDEX(无形资产工时分配表!$F$6:$F$125,$W79))</f>
        <v>0</v>
      </c>
      <c r="H79" s="45" t="n">
        <f aca="false">IF(OR($A79="",$W79=0),0,INDEX(无形资产工时分配表!$R$6:$R$125,$W79))</f>
        <v>0</v>
      </c>
      <c r="I79" s="28" t="str">
        <f aca="false">IF(OR($A79="",$G79=0),"",$H79/$G79)</f>
        <v/>
      </c>
      <c r="J79" s="27" t="str">
        <f aca="false">IF(OR($A79="",$G79=0),"",ROUND($F79*INDEX(无形资产工时分配表!$H$6:$H$125,$W79)/$G79,2))</f>
        <v/>
      </c>
      <c r="K79" s="27" t="str">
        <f aca="false">IF(OR($A79="",$G79=0),"",ROUND($F79*INDEX(无形资产工时分配表!$I$6:$I$125,$W79)/$G79,2))</f>
        <v/>
      </c>
      <c r="L79" s="27" t="str">
        <f aca="false">IF(OR($A79="",$G79=0),"",ROUND($F79*INDEX(无形资产工时分配表!$J$6:$J$125,$W79)/$G79,2))</f>
        <v/>
      </c>
      <c r="M79" s="27" t="str">
        <f aca="false">IF(OR($A79="",$G79=0),"",ROUND($F79*INDEX(无形资产工时分配表!$K$6:$K$125,$W79)/$G79,2))</f>
        <v/>
      </c>
      <c r="N79" s="27" t="str">
        <f aca="false">IF(OR($A79="",$G79=0),"",ROUND($F79*INDEX(无形资产工时分配表!$L$6:$L$125,$W79)/$G79,2))</f>
        <v/>
      </c>
      <c r="O79" s="27" t="str">
        <f aca="false">IF(OR($A79="",$G79=0),"",ROUND($F79*INDEX(无形资产工时分配表!$M$6:$M$125,$W79)/$G79,2))</f>
        <v/>
      </c>
      <c r="P79" s="27" t="str">
        <f aca="false">IF(OR($A79="",$G79=0),"",ROUND($F79*INDEX(无形资产工时分配表!$N$6:$N$125,$W79)/$G79,2))</f>
        <v/>
      </c>
      <c r="Q79" s="27" t="str">
        <f aca="false">IF(OR($A79="",$G79=0),"",ROUND($F79*INDEX(无形资产工时分配表!$O$6:$O$125,$W79)/$G79,2))</f>
        <v/>
      </c>
      <c r="R79" s="27" t="str">
        <f aca="false">IF(OR($A79="",$G79=0),"",ROUND($F79*INDEX(无形资产工时分配表!$P$6:$P$125,$W79)/$G79,2))</f>
        <v/>
      </c>
      <c r="S79" s="27" t="str">
        <f aca="false">IF(OR($A79="",$G79=0),"",ROUND($F79*INDEX(无形资产工时分配表!$Q$6:$Q$125,$W79)/$G79,2))</f>
        <v/>
      </c>
      <c r="T79" s="27" t="str">
        <f aca="false">IF($A79="","",ROUND(SUM(J79:S79),2))</f>
        <v/>
      </c>
      <c r="U79" s="27" t="str">
        <f aca="false">IF($A79="","",ROUND($F79-T79,2))</f>
        <v/>
      </c>
      <c r="V79" s="43" t="str">
        <f aca="false">IF($A79="","",IF($D79="设备","⚠ 设备请在仪器设备工时费用分配表登记",IF($W79=0,"⚠ 工时分配表无此资产当月记录",IF($X79&gt;1,"⚠ 工时分配表存在重复行","√ 正常"))))</f>
        <v/>
      </c>
      <c r="W79" s="47" t="n">
        <f aca="false">IF($A79="",0,IFERROR(MATCH($A79&amp;"|"&amp;$B79,无形资产工时分配表!$V$6:$V$125,0),0))</f>
        <v>0</v>
      </c>
      <c r="X79" s="47" t="n">
        <f aca="false">IF($A79="",0,COUNTIFS(无形资产工时分配表!$A$6:$A$125,$A79,无形资产工时分配表!$B$6:$B$125,$B79))</f>
        <v>0</v>
      </c>
    </row>
    <row r="80" customFormat="false" ht="18" hidden="false" customHeight="true" outlineLevel="0" collapsed="false">
      <c r="A80" s="36"/>
      <c r="B80" s="36"/>
      <c r="C80" s="48" t="str">
        <f aca="false">IF($B80="","",IFERROR(VLOOKUP($B80,资产台账!$B$4:$N$53,2,0)&amp;"","台账中未登记"))</f>
        <v/>
      </c>
      <c r="D80" s="43" t="str">
        <f aca="false">IF($B80="","",IFERROR(VLOOKUP($B80,资产台账!$B$4:$N$53,3,0)&amp;"",""))</f>
        <v/>
      </c>
      <c r="E80" s="43" t="str">
        <f aca="false">IF($B80="","",IFERROR(VLOOKUP($B80,资产台账!$B$4:$N$53,10,0)&amp;"",""))</f>
        <v/>
      </c>
      <c r="F80" s="49" t="str">
        <f aca="false">IF($B80="","",IFERROR(VLOOKUP($B80,资产台账!$B$4:$N$53,9,0),0))</f>
        <v/>
      </c>
      <c r="G80" s="45" t="n">
        <f aca="false">IF(OR($A80="",$W80=0),0,INDEX(无形资产工时分配表!$F$6:$F$125,$W80))</f>
        <v>0</v>
      </c>
      <c r="H80" s="45" t="n">
        <f aca="false">IF(OR($A80="",$W80=0),0,INDEX(无形资产工时分配表!$R$6:$R$125,$W80))</f>
        <v>0</v>
      </c>
      <c r="I80" s="28" t="str">
        <f aca="false">IF(OR($A80="",$G80=0),"",$H80/$G80)</f>
        <v/>
      </c>
      <c r="J80" s="27" t="str">
        <f aca="false">IF(OR($A80="",$G80=0),"",ROUND($F80*INDEX(无形资产工时分配表!$H$6:$H$125,$W80)/$G80,2))</f>
        <v/>
      </c>
      <c r="K80" s="27" t="str">
        <f aca="false">IF(OR($A80="",$G80=0),"",ROUND($F80*INDEX(无形资产工时分配表!$I$6:$I$125,$W80)/$G80,2))</f>
        <v/>
      </c>
      <c r="L80" s="27" t="str">
        <f aca="false">IF(OR($A80="",$G80=0),"",ROUND($F80*INDEX(无形资产工时分配表!$J$6:$J$125,$W80)/$G80,2))</f>
        <v/>
      </c>
      <c r="M80" s="27" t="str">
        <f aca="false">IF(OR($A80="",$G80=0),"",ROUND($F80*INDEX(无形资产工时分配表!$K$6:$K$125,$W80)/$G80,2))</f>
        <v/>
      </c>
      <c r="N80" s="27" t="str">
        <f aca="false">IF(OR($A80="",$G80=0),"",ROUND($F80*INDEX(无形资产工时分配表!$L$6:$L$125,$W80)/$G80,2))</f>
        <v/>
      </c>
      <c r="O80" s="27" t="str">
        <f aca="false">IF(OR($A80="",$G80=0),"",ROUND($F80*INDEX(无形资产工时分配表!$M$6:$M$125,$W80)/$G80,2))</f>
        <v/>
      </c>
      <c r="P80" s="27" t="str">
        <f aca="false">IF(OR($A80="",$G80=0),"",ROUND($F80*INDEX(无形资产工时分配表!$N$6:$N$125,$W80)/$G80,2))</f>
        <v/>
      </c>
      <c r="Q80" s="27" t="str">
        <f aca="false">IF(OR($A80="",$G80=0),"",ROUND($F80*INDEX(无形资产工时分配表!$O$6:$O$125,$W80)/$G80,2))</f>
        <v/>
      </c>
      <c r="R80" s="27" t="str">
        <f aca="false">IF(OR($A80="",$G80=0),"",ROUND($F80*INDEX(无形资产工时分配表!$P$6:$P$125,$W80)/$G80,2))</f>
        <v/>
      </c>
      <c r="S80" s="27" t="str">
        <f aca="false">IF(OR($A80="",$G80=0),"",ROUND($F80*INDEX(无形资产工时分配表!$Q$6:$Q$125,$W80)/$G80,2))</f>
        <v/>
      </c>
      <c r="T80" s="27" t="str">
        <f aca="false">IF($A80="","",ROUND(SUM(J80:S80),2))</f>
        <v/>
      </c>
      <c r="U80" s="27" t="str">
        <f aca="false">IF($A80="","",ROUND($F80-T80,2))</f>
        <v/>
      </c>
      <c r="V80" s="43" t="str">
        <f aca="false">IF($A80="","",IF($D80="设备","⚠ 设备请在仪器设备工时费用分配表登记",IF($W80=0,"⚠ 工时分配表无此资产当月记录",IF($X80&gt;1,"⚠ 工时分配表存在重复行","√ 正常"))))</f>
        <v/>
      </c>
      <c r="W80" s="47" t="n">
        <f aca="false">IF($A80="",0,IFERROR(MATCH($A80&amp;"|"&amp;$B80,无形资产工时分配表!$V$6:$V$125,0),0))</f>
        <v>0</v>
      </c>
      <c r="X80" s="47" t="n">
        <f aca="false">IF($A80="",0,COUNTIFS(无形资产工时分配表!$A$6:$A$125,$A80,无形资产工时分配表!$B$6:$B$125,$B80))</f>
        <v>0</v>
      </c>
    </row>
    <row r="81" customFormat="false" ht="18" hidden="false" customHeight="true" outlineLevel="0" collapsed="false">
      <c r="A81" s="36"/>
      <c r="B81" s="36"/>
      <c r="C81" s="48" t="str">
        <f aca="false">IF($B81="","",IFERROR(VLOOKUP($B81,资产台账!$B$4:$N$53,2,0)&amp;"","台账中未登记"))</f>
        <v/>
      </c>
      <c r="D81" s="43" t="str">
        <f aca="false">IF($B81="","",IFERROR(VLOOKUP($B81,资产台账!$B$4:$N$53,3,0)&amp;"",""))</f>
        <v/>
      </c>
      <c r="E81" s="43" t="str">
        <f aca="false">IF($B81="","",IFERROR(VLOOKUP($B81,资产台账!$B$4:$N$53,10,0)&amp;"",""))</f>
        <v/>
      </c>
      <c r="F81" s="49" t="str">
        <f aca="false">IF($B81="","",IFERROR(VLOOKUP($B81,资产台账!$B$4:$N$53,9,0),0))</f>
        <v/>
      </c>
      <c r="G81" s="45" t="n">
        <f aca="false">IF(OR($A81="",$W81=0),0,INDEX(无形资产工时分配表!$F$6:$F$125,$W81))</f>
        <v>0</v>
      </c>
      <c r="H81" s="45" t="n">
        <f aca="false">IF(OR($A81="",$W81=0),0,INDEX(无形资产工时分配表!$R$6:$R$125,$W81))</f>
        <v>0</v>
      </c>
      <c r="I81" s="28" t="str">
        <f aca="false">IF(OR($A81="",$G81=0),"",$H81/$G81)</f>
        <v/>
      </c>
      <c r="J81" s="27" t="str">
        <f aca="false">IF(OR($A81="",$G81=0),"",ROUND($F81*INDEX(无形资产工时分配表!$H$6:$H$125,$W81)/$G81,2))</f>
        <v/>
      </c>
      <c r="K81" s="27" t="str">
        <f aca="false">IF(OR($A81="",$G81=0),"",ROUND($F81*INDEX(无形资产工时分配表!$I$6:$I$125,$W81)/$G81,2))</f>
        <v/>
      </c>
      <c r="L81" s="27" t="str">
        <f aca="false">IF(OR($A81="",$G81=0),"",ROUND($F81*INDEX(无形资产工时分配表!$J$6:$J$125,$W81)/$G81,2))</f>
        <v/>
      </c>
      <c r="M81" s="27" t="str">
        <f aca="false">IF(OR($A81="",$G81=0),"",ROUND($F81*INDEX(无形资产工时分配表!$K$6:$K$125,$W81)/$G81,2))</f>
        <v/>
      </c>
      <c r="N81" s="27" t="str">
        <f aca="false">IF(OR($A81="",$G81=0),"",ROUND($F81*INDEX(无形资产工时分配表!$L$6:$L$125,$W81)/$G81,2))</f>
        <v/>
      </c>
      <c r="O81" s="27" t="str">
        <f aca="false">IF(OR($A81="",$G81=0),"",ROUND($F81*INDEX(无形资产工时分配表!$M$6:$M$125,$W81)/$G81,2))</f>
        <v/>
      </c>
      <c r="P81" s="27" t="str">
        <f aca="false">IF(OR($A81="",$G81=0),"",ROUND($F81*INDEX(无形资产工时分配表!$N$6:$N$125,$W81)/$G81,2))</f>
        <v/>
      </c>
      <c r="Q81" s="27" t="str">
        <f aca="false">IF(OR($A81="",$G81=0),"",ROUND($F81*INDEX(无形资产工时分配表!$O$6:$O$125,$W81)/$G81,2))</f>
        <v/>
      </c>
      <c r="R81" s="27" t="str">
        <f aca="false">IF(OR($A81="",$G81=0),"",ROUND($F81*INDEX(无形资产工时分配表!$P$6:$P$125,$W81)/$G81,2))</f>
        <v/>
      </c>
      <c r="S81" s="27" t="str">
        <f aca="false">IF(OR($A81="",$G81=0),"",ROUND($F81*INDEX(无形资产工时分配表!$Q$6:$Q$125,$W81)/$G81,2))</f>
        <v/>
      </c>
      <c r="T81" s="27" t="str">
        <f aca="false">IF($A81="","",ROUND(SUM(J81:S81),2))</f>
        <v/>
      </c>
      <c r="U81" s="27" t="str">
        <f aca="false">IF($A81="","",ROUND($F81-T81,2))</f>
        <v/>
      </c>
      <c r="V81" s="43" t="str">
        <f aca="false">IF($A81="","",IF($D81="设备","⚠ 设备请在仪器设备工时费用分配表登记",IF($W81=0,"⚠ 工时分配表无此资产当月记录",IF($X81&gt;1,"⚠ 工时分配表存在重复行","√ 正常"))))</f>
        <v/>
      </c>
      <c r="W81" s="47" t="n">
        <f aca="false">IF($A81="",0,IFERROR(MATCH($A81&amp;"|"&amp;$B81,无形资产工时分配表!$V$6:$V$125,0),0))</f>
        <v>0</v>
      </c>
      <c r="X81" s="47" t="n">
        <f aca="false">IF($A81="",0,COUNTIFS(无形资产工时分配表!$A$6:$A$125,$A81,无形资产工时分配表!$B$6:$B$125,$B81))</f>
        <v>0</v>
      </c>
    </row>
    <row r="82" customFormat="false" ht="18" hidden="false" customHeight="true" outlineLevel="0" collapsed="false">
      <c r="A82" s="36"/>
      <c r="B82" s="36"/>
      <c r="C82" s="48" t="str">
        <f aca="false">IF($B82="","",IFERROR(VLOOKUP($B82,资产台账!$B$4:$N$53,2,0)&amp;"","台账中未登记"))</f>
        <v/>
      </c>
      <c r="D82" s="43" t="str">
        <f aca="false">IF($B82="","",IFERROR(VLOOKUP($B82,资产台账!$B$4:$N$53,3,0)&amp;"",""))</f>
        <v/>
      </c>
      <c r="E82" s="43" t="str">
        <f aca="false">IF($B82="","",IFERROR(VLOOKUP($B82,资产台账!$B$4:$N$53,10,0)&amp;"",""))</f>
        <v/>
      </c>
      <c r="F82" s="49" t="str">
        <f aca="false">IF($B82="","",IFERROR(VLOOKUP($B82,资产台账!$B$4:$N$53,9,0),0))</f>
        <v/>
      </c>
      <c r="G82" s="45" t="n">
        <f aca="false">IF(OR($A82="",$W82=0),0,INDEX(无形资产工时分配表!$F$6:$F$125,$W82))</f>
        <v>0</v>
      </c>
      <c r="H82" s="45" t="n">
        <f aca="false">IF(OR($A82="",$W82=0),0,INDEX(无形资产工时分配表!$R$6:$R$125,$W82))</f>
        <v>0</v>
      </c>
      <c r="I82" s="28" t="str">
        <f aca="false">IF(OR($A82="",$G82=0),"",$H82/$G82)</f>
        <v/>
      </c>
      <c r="J82" s="27" t="str">
        <f aca="false">IF(OR($A82="",$G82=0),"",ROUND($F82*INDEX(无形资产工时分配表!$H$6:$H$125,$W82)/$G82,2))</f>
        <v/>
      </c>
      <c r="K82" s="27" t="str">
        <f aca="false">IF(OR($A82="",$G82=0),"",ROUND($F82*INDEX(无形资产工时分配表!$I$6:$I$125,$W82)/$G82,2))</f>
        <v/>
      </c>
      <c r="L82" s="27" t="str">
        <f aca="false">IF(OR($A82="",$G82=0),"",ROUND($F82*INDEX(无形资产工时分配表!$J$6:$J$125,$W82)/$G82,2))</f>
        <v/>
      </c>
      <c r="M82" s="27" t="str">
        <f aca="false">IF(OR($A82="",$G82=0),"",ROUND($F82*INDEX(无形资产工时分配表!$K$6:$K$125,$W82)/$G82,2))</f>
        <v/>
      </c>
      <c r="N82" s="27" t="str">
        <f aca="false">IF(OR($A82="",$G82=0),"",ROUND($F82*INDEX(无形资产工时分配表!$L$6:$L$125,$W82)/$G82,2))</f>
        <v/>
      </c>
      <c r="O82" s="27" t="str">
        <f aca="false">IF(OR($A82="",$G82=0),"",ROUND($F82*INDEX(无形资产工时分配表!$M$6:$M$125,$W82)/$G82,2))</f>
        <v/>
      </c>
      <c r="P82" s="27" t="str">
        <f aca="false">IF(OR($A82="",$G82=0),"",ROUND($F82*INDEX(无形资产工时分配表!$N$6:$N$125,$W82)/$G82,2))</f>
        <v/>
      </c>
      <c r="Q82" s="27" t="str">
        <f aca="false">IF(OR($A82="",$G82=0),"",ROUND($F82*INDEX(无形资产工时分配表!$O$6:$O$125,$W82)/$G82,2))</f>
        <v/>
      </c>
      <c r="R82" s="27" t="str">
        <f aca="false">IF(OR($A82="",$G82=0),"",ROUND($F82*INDEX(无形资产工时分配表!$P$6:$P$125,$W82)/$G82,2))</f>
        <v/>
      </c>
      <c r="S82" s="27" t="str">
        <f aca="false">IF(OR($A82="",$G82=0),"",ROUND($F82*INDEX(无形资产工时分配表!$Q$6:$Q$125,$W82)/$G82,2))</f>
        <v/>
      </c>
      <c r="T82" s="27" t="str">
        <f aca="false">IF($A82="","",ROUND(SUM(J82:S82),2))</f>
        <v/>
      </c>
      <c r="U82" s="27" t="str">
        <f aca="false">IF($A82="","",ROUND($F82-T82,2))</f>
        <v/>
      </c>
      <c r="V82" s="43" t="str">
        <f aca="false">IF($A82="","",IF($D82="设备","⚠ 设备请在仪器设备工时费用分配表登记",IF($W82=0,"⚠ 工时分配表无此资产当月记录",IF($X82&gt;1,"⚠ 工时分配表存在重复行","√ 正常"))))</f>
        <v/>
      </c>
      <c r="W82" s="47" t="n">
        <f aca="false">IF($A82="",0,IFERROR(MATCH($A82&amp;"|"&amp;$B82,无形资产工时分配表!$V$6:$V$125,0),0))</f>
        <v>0</v>
      </c>
      <c r="X82" s="47" t="n">
        <f aca="false">IF($A82="",0,COUNTIFS(无形资产工时分配表!$A$6:$A$125,$A82,无形资产工时分配表!$B$6:$B$125,$B82))</f>
        <v>0</v>
      </c>
    </row>
    <row r="83" customFormat="false" ht="18" hidden="false" customHeight="true" outlineLevel="0" collapsed="false">
      <c r="A83" s="36"/>
      <c r="B83" s="36"/>
      <c r="C83" s="48" t="str">
        <f aca="false">IF($B83="","",IFERROR(VLOOKUP($B83,资产台账!$B$4:$N$53,2,0)&amp;"","台账中未登记"))</f>
        <v/>
      </c>
      <c r="D83" s="43" t="str">
        <f aca="false">IF($B83="","",IFERROR(VLOOKUP($B83,资产台账!$B$4:$N$53,3,0)&amp;"",""))</f>
        <v/>
      </c>
      <c r="E83" s="43" t="str">
        <f aca="false">IF($B83="","",IFERROR(VLOOKUP($B83,资产台账!$B$4:$N$53,10,0)&amp;"",""))</f>
        <v/>
      </c>
      <c r="F83" s="49" t="str">
        <f aca="false">IF($B83="","",IFERROR(VLOOKUP($B83,资产台账!$B$4:$N$53,9,0),0))</f>
        <v/>
      </c>
      <c r="G83" s="45" t="n">
        <f aca="false">IF(OR($A83="",$W83=0),0,INDEX(无形资产工时分配表!$F$6:$F$125,$W83))</f>
        <v>0</v>
      </c>
      <c r="H83" s="45" t="n">
        <f aca="false">IF(OR($A83="",$W83=0),0,INDEX(无形资产工时分配表!$R$6:$R$125,$W83))</f>
        <v>0</v>
      </c>
      <c r="I83" s="28" t="str">
        <f aca="false">IF(OR($A83="",$G83=0),"",$H83/$G83)</f>
        <v/>
      </c>
      <c r="J83" s="27" t="str">
        <f aca="false">IF(OR($A83="",$G83=0),"",ROUND($F83*INDEX(无形资产工时分配表!$H$6:$H$125,$W83)/$G83,2))</f>
        <v/>
      </c>
      <c r="K83" s="27" t="str">
        <f aca="false">IF(OR($A83="",$G83=0),"",ROUND($F83*INDEX(无形资产工时分配表!$I$6:$I$125,$W83)/$G83,2))</f>
        <v/>
      </c>
      <c r="L83" s="27" t="str">
        <f aca="false">IF(OR($A83="",$G83=0),"",ROUND($F83*INDEX(无形资产工时分配表!$J$6:$J$125,$W83)/$G83,2))</f>
        <v/>
      </c>
      <c r="M83" s="27" t="str">
        <f aca="false">IF(OR($A83="",$G83=0),"",ROUND($F83*INDEX(无形资产工时分配表!$K$6:$K$125,$W83)/$G83,2))</f>
        <v/>
      </c>
      <c r="N83" s="27" t="str">
        <f aca="false">IF(OR($A83="",$G83=0),"",ROUND($F83*INDEX(无形资产工时分配表!$L$6:$L$125,$W83)/$G83,2))</f>
        <v/>
      </c>
      <c r="O83" s="27" t="str">
        <f aca="false">IF(OR($A83="",$G83=0),"",ROUND($F83*INDEX(无形资产工时分配表!$M$6:$M$125,$W83)/$G83,2))</f>
        <v/>
      </c>
      <c r="P83" s="27" t="str">
        <f aca="false">IF(OR($A83="",$G83=0),"",ROUND($F83*INDEX(无形资产工时分配表!$N$6:$N$125,$W83)/$G83,2))</f>
        <v/>
      </c>
      <c r="Q83" s="27" t="str">
        <f aca="false">IF(OR($A83="",$G83=0),"",ROUND($F83*INDEX(无形资产工时分配表!$O$6:$O$125,$W83)/$G83,2))</f>
        <v/>
      </c>
      <c r="R83" s="27" t="str">
        <f aca="false">IF(OR($A83="",$G83=0),"",ROUND($F83*INDEX(无形资产工时分配表!$P$6:$P$125,$W83)/$G83,2))</f>
        <v/>
      </c>
      <c r="S83" s="27" t="str">
        <f aca="false">IF(OR($A83="",$G83=0),"",ROUND($F83*INDEX(无形资产工时分配表!$Q$6:$Q$125,$W83)/$G83,2))</f>
        <v/>
      </c>
      <c r="T83" s="27" t="str">
        <f aca="false">IF($A83="","",ROUND(SUM(J83:S83),2))</f>
        <v/>
      </c>
      <c r="U83" s="27" t="str">
        <f aca="false">IF($A83="","",ROUND($F83-T83,2))</f>
        <v/>
      </c>
      <c r="V83" s="43" t="str">
        <f aca="false">IF($A83="","",IF($D83="设备","⚠ 设备请在仪器设备工时费用分配表登记",IF($W83=0,"⚠ 工时分配表无此资产当月记录",IF($X83&gt;1,"⚠ 工时分配表存在重复行","√ 正常"))))</f>
        <v/>
      </c>
      <c r="W83" s="47" t="n">
        <f aca="false">IF($A83="",0,IFERROR(MATCH($A83&amp;"|"&amp;$B83,无形资产工时分配表!$V$6:$V$125,0),0))</f>
        <v>0</v>
      </c>
      <c r="X83" s="47" t="n">
        <f aca="false">IF($A83="",0,COUNTIFS(无形资产工时分配表!$A$6:$A$125,$A83,无形资产工时分配表!$B$6:$B$125,$B83))</f>
        <v>0</v>
      </c>
    </row>
    <row r="84" customFormat="false" ht="18" hidden="false" customHeight="true" outlineLevel="0" collapsed="false">
      <c r="A84" s="36"/>
      <c r="B84" s="36"/>
      <c r="C84" s="48" t="str">
        <f aca="false">IF($B84="","",IFERROR(VLOOKUP($B84,资产台账!$B$4:$N$53,2,0)&amp;"","台账中未登记"))</f>
        <v/>
      </c>
      <c r="D84" s="43" t="str">
        <f aca="false">IF($B84="","",IFERROR(VLOOKUP($B84,资产台账!$B$4:$N$53,3,0)&amp;"",""))</f>
        <v/>
      </c>
      <c r="E84" s="43" t="str">
        <f aca="false">IF($B84="","",IFERROR(VLOOKUP($B84,资产台账!$B$4:$N$53,10,0)&amp;"",""))</f>
        <v/>
      </c>
      <c r="F84" s="49" t="str">
        <f aca="false">IF($B84="","",IFERROR(VLOOKUP($B84,资产台账!$B$4:$N$53,9,0),0))</f>
        <v/>
      </c>
      <c r="G84" s="45" t="n">
        <f aca="false">IF(OR($A84="",$W84=0),0,INDEX(无形资产工时分配表!$F$6:$F$125,$W84))</f>
        <v>0</v>
      </c>
      <c r="H84" s="45" t="n">
        <f aca="false">IF(OR($A84="",$W84=0),0,INDEX(无形资产工时分配表!$R$6:$R$125,$W84))</f>
        <v>0</v>
      </c>
      <c r="I84" s="28" t="str">
        <f aca="false">IF(OR($A84="",$G84=0),"",$H84/$G84)</f>
        <v/>
      </c>
      <c r="J84" s="27" t="str">
        <f aca="false">IF(OR($A84="",$G84=0),"",ROUND($F84*INDEX(无形资产工时分配表!$H$6:$H$125,$W84)/$G84,2))</f>
        <v/>
      </c>
      <c r="K84" s="27" t="str">
        <f aca="false">IF(OR($A84="",$G84=0),"",ROUND($F84*INDEX(无形资产工时分配表!$I$6:$I$125,$W84)/$G84,2))</f>
        <v/>
      </c>
      <c r="L84" s="27" t="str">
        <f aca="false">IF(OR($A84="",$G84=0),"",ROUND($F84*INDEX(无形资产工时分配表!$J$6:$J$125,$W84)/$G84,2))</f>
        <v/>
      </c>
      <c r="M84" s="27" t="str">
        <f aca="false">IF(OR($A84="",$G84=0),"",ROUND($F84*INDEX(无形资产工时分配表!$K$6:$K$125,$W84)/$G84,2))</f>
        <v/>
      </c>
      <c r="N84" s="27" t="str">
        <f aca="false">IF(OR($A84="",$G84=0),"",ROUND($F84*INDEX(无形资产工时分配表!$L$6:$L$125,$W84)/$G84,2))</f>
        <v/>
      </c>
      <c r="O84" s="27" t="str">
        <f aca="false">IF(OR($A84="",$G84=0),"",ROUND($F84*INDEX(无形资产工时分配表!$M$6:$M$125,$W84)/$G84,2))</f>
        <v/>
      </c>
      <c r="P84" s="27" t="str">
        <f aca="false">IF(OR($A84="",$G84=0),"",ROUND($F84*INDEX(无形资产工时分配表!$N$6:$N$125,$W84)/$G84,2))</f>
        <v/>
      </c>
      <c r="Q84" s="27" t="str">
        <f aca="false">IF(OR($A84="",$G84=0),"",ROUND($F84*INDEX(无形资产工时分配表!$O$6:$O$125,$W84)/$G84,2))</f>
        <v/>
      </c>
      <c r="R84" s="27" t="str">
        <f aca="false">IF(OR($A84="",$G84=0),"",ROUND($F84*INDEX(无形资产工时分配表!$P$6:$P$125,$W84)/$G84,2))</f>
        <v/>
      </c>
      <c r="S84" s="27" t="str">
        <f aca="false">IF(OR($A84="",$G84=0),"",ROUND($F84*INDEX(无形资产工时分配表!$Q$6:$Q$125,$W84)/$G84,2))</f>
        <v/>
      </c>
      <c r="T84" s="27" t="str">
        <f aca="false">IF($A84="","",ROUND(SUM(J84:S84),2))</f>
        <v/>
      </c>
      <c r="U84" s="27" t="str">
        <f aca="false">IF($A84="","",ROUND($F84-T84,2))</f>
        <v/>
      </c>
      <c r="V84" s="43" t="str">
        <f aca="false">IF($A84="","",IF($D84="设备","⚠ 设备请在仪器设备工时费用分配表登记",IF($W84=0,"⚠ 工时分配表无此资产当月记录",IF($X84&gt;1,"⚠ 工时分配表存在重复行","√ 正常"))))</f>
        <v/>
      </c>
      <c r="W84" s="47" t="n">
        <f aca="false">IF($A84="",0,IFERROR(MATCH($A84&amp;"|"&amp;$B84,无形资产工时分配表!$V$6:$V$125,0),0))</f>
        <v>0</v>
      </c>
      <c r="X84" s="47" t="n">
        <f aca="false">IF($A84="",0,COUNTIFS(无形资产工时分配表!$A$6:$A$125,$A84,无形资产工时分配表!$B$6:$B$125,$B84))</f>
        <v>0</v>
      </c>
    </row>
    <row r="85" customFormat="false" ht="18" hidden="false" customHeight="true" outlineLevel="0" collapsed="false">
      <c r="A85" s="36"/>
      <c r="B85" s="36"/>
      <c r="C85" s="48" t="str">
        <f aca="false">IF($B85="","",IFERROR(VLOOKUP($B85,资产台账!$B$4:$N$53,2,0)&amp;"","台账中未登记"))</f>
        <v/>
      </c>
      <c r="D85" s="43" t="str">
        <f aca="false">IF($B85="","",IFERROR(VLOOKUP($B85,资产台账!$B$4:$N$53,3,0)&amp;"",""))</f>
        <v/>
      </c>
      <c r="E85" s="43" t="str">
        <f aca="false">IF($B85="","",IFERROR(VLOOKUP($B85,资产台账!$B$4:$N$53,10,0)&amp;"",""))</f>
        <v/>
      </c>
      <c r="F85" s="49" t="str">
        <f aca="false">IF($B85="","",IFERROR(VLOOKUP($B85,资产台账!$B$4:$N$53,9,0),0))</f>
        <v/>
      </c>
      <c r="G85" s="45" t="n">
        <f aca="false">IF(OR($A85="",$W85=0),0,INDEX(无形资产工时分配表!$F$6:$F$125,$W85))</f>
        <v>0</v>
      </c>
      <c r="H85" s="45" t="n">
        <f aca="false">IF(OR($A85="",$W85=0),0,INDEX(无形资产工时分配表!$R$6:$R$125,$W85))</f>
        <v>0</v>
      </c>
      <c r="I85" s="28" t="str">
        <f aca="false">IF(OR($A85="",$G85=0),"",$H85/$G85)</f>
        <v/>
      </c>
      <c r="J85" s="27" t="str">
        <f aca="false">IF(OR($A85="",$G85=0),"",ROUND($F85*INDEX(无形资产工时分配表!$H$6:$H$125,$W85)/$G85,2))</f>
        <v/>
      </c>
      <c r="K85" s="27" t="str">
        <f aca="false">IF(OR($A85="",$G85=0),"",ROUND($F85*INDEX(无形资产工时分配表!$I$6:$I$125,$W85)/$G85,2))</f>
        <v/>
      </c>
      <c r="L85" s="27" t="str">
        <f aca="false">IF(OR($A85="",$G85=0),"",ROUND($F85*INDEX(无形资产工时分配表!$J$6:$J$125,$W85)/$G85,2))</f>
        <v/>
      </c>
      <c r="M85" s="27" t="str">
        <f aca="false">IF(OR($A85="",$G85=0),"",ROUND($F85*INDEX(无形资产工时分配表!$K$6:$K$125,$W85)/$G85,2))</f>
        <v/>
      </c>
      <c r="N85" s="27" t="str">
        <f aca="false">IF(OR($A85="",$G85=0),"",ROUND($F85*INDEX(无形资产工时分配表!$L$6:$L$125,$W85)/$G85,2))</f>
        <v/>
      </c>
      <c r="O85" s="27" t="str">
        <f aca="false">IF(OR($A85="",$G85=0),"",ROUND($F85*INDEX(无形资产工时分配表!$M$6:$M$125,$W85)/$G85,2))</f>
        <v/>
      </c>
      <c r="P85" s="27" t="str">
        <f aca="false">IF(OR($A85="",$G85=0),"",ROUND($F85*INDEX(无形资产工时分配表!$N$6:$N$125,$W85)/$G85,2))</f>
        <v/>
      </c>
      <c r="Q85" s="27" t="str">
        <f aca="false">IF(OR($A85="",$G85=0),"",ROUND($F85*INDEX(无形资产工时分配表!$O$6:$O$125,$W85)/$G85,2))</f>
        <v/>
      </c>
      <c r="R85" s="27" t="str">
        <f aca="false">IF(OR($A85="",$G85=0),"",ROUND($F85*INDEX(无形资产工时分配表!$P$6:$P$125,$W85)/$G85,2))</f>
        <v/>
      </c>
      <c r="S85" s="27" t="str">
        <f aca="false">IF(OR($A85="",$G85=0),"",ROUND($F85*INDEX(无形资产工时分配表!$Q$6:$Q$125,$W85)/$G85,2))</f>
        <v/>
      </c>
      <c r="T85" s="27" t="str">
        <f aca="false">IF($A85="","",ROUND(SUM(J85:S85),2))</f>
        <v/>
      </c>
      <c r="U85" s="27" t="str">
        <f aca="false">IF($A85="","",ROUND($F85-T85,2))</f>
        <v/>
      </c>
      <c r="V85" s="43" t="str">
        <f aca="false">IF($A85="","",IF($D85="设备","⚠ 设备请在仪器设备工时费用分配表登记",IF($W85=0,"⚠ 工时分配表无此资产当月记录",IF($X85&gt;1,"⚠ 工时分配表存在重复行","√ 正常"))))</f>
        <v/>
      </c>
      <c r="W85" s="47" t="n">
        <f aca="false">IF($A85="",0,IFERROR(MATCH($A85&amp;"|"&amp;$B85,无形资产工时分配表!$V$6:$V$125,0),0))</f>
        <v>0</v>
      </c>
      <c r="X85" s="47" t="n">
        <f aca="false">IF($A85="",0,COUNTIFS(无形资产工时分配表!$A$6:$A$125,$A85,无形资产工时分配表!$B$6:$B$125,$B85))</f>
        <v>0</v>
      </c>
    </row>
    <row r="86" customFormat="false" ht="18" hidden="false" customHeight="true" outlineLevel="0" collapsed="false">
      <c r="A86" s="36"/>
      <c r="B86" s="36"/>
      <c r="C86" s="48" t="str">
        <f aca="false">IF($B86="","",IFERROR(VLOOKUP($B86,资产台账!$B$4:$N$53,2,0)&amp;"","台账中未登记"))</f>
        <v/>
      </c>
      <c r="D86" s="43" t="str">
        <f aca="false">IF($B86="","",IFERROR(VLOOKUP($B86,资产台账!$B$4:$N$53,3,0)&amp;"",""))</f>
        <v/>
      </c>
      <c r="E86" s="43" t="str">
        <f aca="false">IF($B86="","",IFERROR(VLOOKUP($B86,资产台账!$B$4:$N$53,10,0)&amp;"",""))</f>
        <v/>
      </c>
      <c r="F86" s="49" t="str">
        <f aca="false">IF($B86="","",IFERROR(VLOOKUP($B86,资产台账!$B$4:$N$53,9,0),0))</f>
        <v/>
      </c>
      <c r="G86" s="45" t="n">
        <f aca="false">IF(OR($A86="",$W86=0),0,INDEX(无形资产工时分配表!$F$6:$F$125,$W86))</f>
        <v>0</v>
      </c>
      <c r="H86" s="45" t="n">
        <f aca="false">IF(OR($A86="",$W86=0),0,INDEX(无形资产工时分配表!$R$6:$R$125,$W86))</f>
        <v>0</v>
      </c>
      <c r="I86" s="28" t="str">
        <f aca="false">IF(OR($A86="",$G86=0),"",$H86/$G86)</f>
        <v/>
      </c>
      <c r="J86" s="27" t="str">
        <f aca="false">IF(OR($A86="",$G86=0),"",ROUND($F86*INDEX(无形资产工时分配表!$H$6:$H$125,$W86)/$G86,2))</f>
        <v/>
      </c>
      <c r="K86" s="27" t="str">
        <f aca="false">IF(OR($A86="",$G86=0),"",ROUND($F86*INDEX(无形资产工时分配表!$I$6:$I$125,$W86)/$G86,2))</f>
        <v/>
      </c>
      <c r="L86" s="27" t="str">
        <f aca="false">IF(OR($A86="",$G86=0),"",ROUND($F86*INDEX(无形资产工时分配表!$J$6:$J$125,$W86)/$G86,2))</f>
        <v/>
      </c>
      <c r="M86" s="27" t="str">
        <f aca="false">IF(OR($A86="",$G86=0),"",ROUND($F86*INDEX(无形资产工时分配表!$K$6:$K$125,$W86)/$G86,2))</f>
        <v/>
      </c>
      <c r="N86" s="27" t="str">
        <f aca="false">IF(OR($A86="",$G86=0),"",ROUND($F86*INDEX(无形资产工时分配表!$L$6:$L$125,$W86)/$G86,2))</f>
        <v/>
      </c>
      <c r="O86" s="27" t="str">
        <f aca="false">IF(OR($A86="",$G86=0),"",ROUND($F86*INDEX(无形资产工时分配表!$M$6:$M$125,$W86)/$G86,2))</f>
        <v/>
      </c>
      <c r="P86" s="27" t="str">
        <f aca="false">IF(OR($A86="",$G86=0),"",ROUND($F86*INDEX(无形资产工时分配表!$N$6:$N$125,$W86)/$G86,2))</f>
        <v/>
      </c>
      <c r="Q86" s="27" t="str">
        <f aca="false">IF(OR($A86="",$G86=0),"",ROUND($F86*INDEX(无形资产工时分配表!$O$6:$O$125,$W86)/$G86,2))</f>
        <v/>
      </c>
      <c r="R86" s="27" t="str">
        <f aca="false">IF(OR($A86="",$G86=0),"",ROUND($F86*INDEX(无形资产工时分配表!$P$6:$P$125,$W86)/$G86,2))</f>
        <v/>
      </c>
      <c r="S86" s="27" t="str">
        <f aca="false">IF(OR($A86="",$G86=0),"",ROUND($F86*INDEX(无形资产工时分配表!$Q$6:$Q$125,$W86)/$G86,2))</f>
        <v/>
      </c>
      <c r="T86" s="27" t="str">
        <f aca="false">IF($A86="","",ROUND(SUM(J86:S86),2))</f>
        <v/>
      </c>
      <c r="U86" s="27" t="str">
        <f aca="false">IF($A86="","",ROUND($F86-T86,2))</f>
        <v/>
      </c>
      <c r="V86" s="43" t="str">
        <f aca="false">IF($A86="","",IF($D86="设备","⚠ 设备请在仪器设备工时费用分配表登记",IF($W86=0,"⚠ 工时分配表无此资产当月记录",IF($X86&gt;1,"⚠ 工时分配表存在重复行","√ 正常"))))</f>
        <v/>
      </c>
      <c r="W86" s="47" t="n">
        <f aca="false">IF($A86="",0,IFERROR(MATCH($A86&amp;"|"&amp;$B86,无形资产工时分配表!$V$6:$V$125,0),0))</f>
        <v>0</v>
      </c>
      <c r="X86" s="47" t="n">
        <f aca="false">IF($A86="",0,COUNTIFS(无形资产工时分配表!$A$6:$A$125,$A86,无形资产工时分配表!$B$6:$B$125,$B86))</f>
        <v>0</v>
      </c>
    </row>
    <row r="87" customFormat="false" ht="18" hidden="false" customHeight="true" outlineLevel="0" collapsed="false">
      <c r="A87" s="36"/>
      <c r="B87" s="36"/>
      <c r="C87" s="48" t="str">
        <f aca="false">IF($B87="","",IFERROR(VLOOKUP($B87,资产台账!$B$4:$N$53,2,0)&amp;"","台账中未登记"))</f>
        <v/>
      </c>
      <c r="D87" s="43" t="str">
        <f aca="false">IF($B87="","",IFERROR(VLOOKUP($B87,资产台账!$B$4:$N$53,3,0)&amp;"",""))</f>
        <v/>
      </c>
      <c r="E87" s="43" t="str">
        <f aca="false">IF($B87="","",IFERROR(VLOOKUP($B87,资产台账!$B$4:$N$53,10,0)&amp;"",""))</f>
        <v/>
      </c>
      <c r="F87" s="49" t="str">
        <f aca="false">IF($B87="","",IFERROR(VLOOKUP($B87,资产台账!$B$4:$N$53,9,0),0))</f>
        <v/>
      </c>
      <c r="G87" s="45" t="n">
        <f aca="false">IF(OR($A87="",$W87=0),0,INDEX(无形资产工时分配表!$F$6:$F$125,$W87))</f>
        <v>0</v>
      </c>
      <c r="H87" s="45" t="n">
        <f aca="false">IF(OR($A87="",$W87=0),0,INDEX(无形资产工时分配表!$R$6:$R$125,$W87))</f>
        <v>0</v>
      </c>
      <c r="I87" s="28" t="str">
        <f aca="false">IF(OR($A87="",$G87=0),"",$H87/$G87)</f>
        <v/>
      </c>
      <c r="J87" s="27" t="str">
        <f aca="false">IF(OR($A87="",$G87=0),"",ROUND($F87*INDEX(无形资产工时分配表!$H$6:$H$125,$W87)/$G87,2))</f>
        <v/>
      </c>
      <c r="K87" s="27" t="str">
        <f aca="false">IF(OR($A87="",$G87=0),"",ROUND($F87*INDEX(无形资产工时分配表!$I$6:$I$125,$W87)/$G87,2))</f>
        <v/>
      </c>
      <c r="L87" s="27" t="str">
        <f aca="false">IF(OR($A87="",$G87=0),"",ROUND($F87*INDEX(无形资产工时分配表!$J$6:$J$125,$W87)/$G87,2))</f>
        <v/>
      </c>
      <c r="M87" s="27" t="str">
        <f aca="false">IF(OR($A87="",$G87=0),"",ROUND($F87*INDEX(无形资产工时分配表!$K$6:$K$125,$W87)/$G87,2))</f>
        <v/>
      </c>
      <c r="N87" s="27" t="str">
        <f aca="false">IF(OR($A87="",$G87=0),"",ROUND($F87*INDEX(无形资产工时分配表!$L$6:$L$125,$W87)/$G87,2))</f>
        <v/>
      </c>
      <c r="O87" s="27" t="str">
        <f aca="false">IF(OR($A87="",$G87=0),"",ROUND($F87*INDEX(无形资产工时分配表!$M$6:$M$125,$W87)/$G87,2))</f>
        <v/>
      </c>
      <c r="P87" s="27" t="str">
        <f aca="false">IF(OR($A87="",$G87=0),"",ROUND($F87*INDEX(无形资产工时分配表!$N$6:$N$125,$W87)/$G87,2))</f>
        <v/>
      </c>
      <c r="Q87" s="27" t="str">
        <f aca="false">IF(OR($A87="",$G87=0),"",ROUND($F87*INDEX(无形资产工时分配表!$O$6:$O$125,$W87)/$G87,2))</f>
        <v/>
      </c>
      <c r="R87" s="27" t="str">
        <f aca="false">IF(OR($A87="",$G87=0),"",ROUND($F87*INDEX(无形资产工时分配表!$P$6:$P$125,$W87)/$G87,2))</f>
        <v/>
      </c>
      <c r="S87" s="27" t="str">
        <f aca="false">IF(OR($A87="",$G87=0),"",ROUND($F87*INDEX(无形资产工时分配表!$Q$6:$Q$125,$W87)/$G87,2))</f>
        <v/>
      </c>
      <c r="T87" s="27" t="str">
        <f aca="false">IF($A87="","",ROUND(SUM(J87:S87),2))</f>
        <v/>
      </c>
      <c r="U87" s="27" t="str">
        <f aca="false">IF($A87="","",ROUND($F87-T87,2))</f>
        <v/>
      </c>
      <c r="V87" s="43" t="str">
        <f aca="false">IF($A87="","",IF($D87="设备","⚠ 设备请在仪器设备工时费用分配表登记",IF($W87=0,"⚠ 工时分配表无此资产当月记录",IF($X87&gt;1,"⚠ 工时分配表存在重复行","√ 正常"))))</f>
        <v/>
      </c>
      <c r="W87" s="47" t="n">
        <f aca="false">IF($A87="",0,IFERROR(MATCH($A87&amp;"|"&amp;$B87,无形资产工时分配表!$V$6:$V$125,0),0))</f>
        <v>0</v>
      </c>
      <c r="X87" s="47" t="n">
        <f aca="false">IF($A87="",0,COUNTIFS(无形资产工时分配表!$A$6:$A$125,$A87,无形资产工时分配表!$B$6:$B$125,$B87))</f>
        <v>0</v>
      </c>
    </row>
    <row r="88" customFormat="false" ht="18" hidden="false" customHeight="true" outlineLevel="0" collapsed="false">
      <c r="A88" s="36"/>
      <c r="B88" s="36"/>
      <c r="C88" s="48" t="str">
        <f aca="false">IF($B88="","",IFERROR(VLOOKUP($B88,资产台账!$B$4:$N$53,2,0)&amp;"","台账中未登记"))</f>
        <v/>
      </c>
      <c r="D88" s="43" t="str">
        <f aca="false">IF($B88="","",IFERROR(VLOOKUP($B88,资产台账!$B$4:$N$53,3,0)&amp;"",""))</f>
        <v/>
      </c>
      <c r="E88" s="43" t="str">
        <f aca="false">IF($B88="","",IFERROR(VLOOKUP($B88,资产台账!$B$4:$N$53,10,0)&amp;"",""))</f>
        <v/>
      </c>
      <c r="F88" s="49" t="str">
        <f aca="false">IF($B88="","",IFERROR(VLOOKUP($B88,资产台账!$B$4:$N$53,9,0),0))</f>
        <v/>
      </c>
      <c r="G88" s="45" t="n">
        <f aca="false">IF(OR($A88="",$W88=0),0,INDEX(无形资产工时分配表!$F$6:$F$125,$W88))</f>
        <v>0</v>
      </c>
      <c r="H88" s="45" t="n">
        <f aca="false">IF(OR($A88="",$W88=0),0,INDEX(无形资产工时分配表!$R$6:$R$125,$W88))</f>
        <v>0</v>
      </c>
      <c r="I88" s="28" t="str">
        <f aca="false">IF(OR($A88="",$G88=0),"",$H88/$G88)</f>
        <v/>
      </c>
      <c r="J88" s="27" t="str">
        <f aca="false">IF(OR($A88="",$G88=0),"",ROUND($F88*INDEX(无形资产工时分配表!$H$6:$H$125,$W88)/$G88,2))</f>
        <v/>
      </c>
      <c r="K88" s="27" t="str">
        <f aca="false">IF(OR($A88="",$G88=0),"",ROUND($F88*INDEX(无形资产工时分配表!$I$6:$I$125,$W88)/$G88,2))</f>
        <v/>
      </c>
      <c r="L88" s="27" t="str">
        <f aca="false">IF(OR($A88="",$G88=0),"",ROUND($F88*INDEX(无形资产工时分配表!$J$6:$J$125,$W88)/$G88,2))</f>
        <v/>
      </c>
      <c r="M88" s="27" t="str">
        <f aca="false">IF(OR($A88="",$G88=0),"",ROUND($F88*INDEX(无形资产工时分配表!$K$6:$K$125,$W88)/$G88,2))</f>
        <v/>
      </c>
      <c r="N88" s="27" t="str">
        <f aca="false">IF(OR($A88="",$G88=0),"",ROUND($F88*INDEX(无形资产工时分配表!$L$6:$L$125,$W88)/$G88,2))</f>
        <v/>
      </c>
      <c r="O88" s="27" t="str">
        <f aca="false">IF(OR($A88="",$G88=0),"",ROUND($F88*INDEX(无形资产工时分配表!$M$6:$M$125,$W88)/$G88,2))</f>
        <v/>
      </c>
      <c r="P88" s="27" t="str">
        <f aca="false">IF(OR($A88="",$G88=0),"",ROUND($F88*INDEX(无形资产工时分配表!$N$6:$N$125,$W88)/$G88,2))</f>
        <v/>
      </c>
      <c r="Q88" s="27" t="str">
        <f aca="false">IF(OR($A88="",$G88=0),"",ROUND($F88*INDEX(无形资产工时分配表!$O$6:$O$125,$W88)/$G88,2))</f>
        <v/>
      </c>
      <c r="R88" s="27" t="str">
        <f aca="false">IF(OR($A88="",$G88=0),"",ROUND($F88*INDEX(无形资产工时分配表!$P$6:$P$125,$W88)/$G88,2))</f>
        <v/>
      </c>
      <c r="S88" s="27" t="str">
        <f aca="false">IF(OR($A88="",$G88=0),"",ROUND($F88*INDEX(无形资产工时分配表!$Q$6:$Q$125,$W88)/$G88,2))</f>
        <v/>
      </c>
      <c r="T88" s="27" t="str">
        <f aca="false">IF($A88="","",ROUND(SUM(J88:S88),2))</f>
        <v/>
      </c>
      <c r="U88" s="27" t="str">
        <f aca="false">IF($A88="","",ROUND($F88-T88,2))</f>
        <v/>
      </c>
      <c r="V88" s="43" t="str">
        <f aca="false">IF($A88="","",IF($D88="设备","⚠ 设备请在仪器设备工时费用分配表登记",IF($W88=0,"⚠ 工时分配表无此资产当月记录",IF($X88&gt;1,"⚠ 工时分配表存在重复行","√ 正常"))))</f>
        <v/>
      </c>
      <c r="W88" s="47" t="n">
        <f aca="false">IF($A88="",0,IFERROR(MATCH($A88&amp;"|"&amp;$B88,无形资产工时分配表!$V$6:$V$125,0),0))</f>
        <v>0</v>
      </c>
      <c r="X88" s="47" t="n">
        <f aca="false">IF($A88="",0,COUNTIFS(无形资产工时分配表!$A$6:$A$125,$A88,无形资产工时分配表!$B$6:$B$125,$B88))</f>
        <v>0</v>
      </c>
    </row>
    <row r="89" customFormat="false" ht="18" hidden="false" customHeight="true" outlineLevel="0" collapsed="false">
      <c r="A89" s="36"/>
      <c r="B89" s="36"/>
      <c r="C89" s="48" t="str">
        <f aca="false">IF($B89="","",IFERROR(VLOOKUP($B89,资产台账!$B$4:$N$53,2,0)&amp;"","台账中未登记"))</f>
        <v/>
      </c>
      <c r="D89" s="43" t="str">
        <f aca="false">IF($B89="","",IFERROR(VLOOKUP($B89,资产台账!$B$4:$N$53,3,0)&amp;"",""))</f>
        <v/>
      </c>
      <c r="E89" s="43" t="str">
        <f aca="false">IF($B89="","",IFERROR(VLOOKUP($B89,资产台账!$B$4:$N$53,10,0)&amp;"",""))</f>
        <v/>
      </c>
      <c r="F89" s="49" t="str">
        <f aca="false">IF($B89="","",IFERROR(VLOOKUP($B89,资产台账!$B$4:$N$53,9,0),0))</f>
        <v/>
      </c>
      <c r="G89" s="45" t="n">
        <f aca="false">IF(OR($A89="",$W89=0),0,INDEX(无形资产工时分配表!$F$6:$F$125,$W89))</f>
        <v>0</v>
      </c>
      <c r="H89" s="45" t="n">
        <f aca="false">IF(OR($A89="",$W89=0),0,INDEX(无形资产工时分配表!$R$6:$R$125,$W89))</f>
        <v>0</v>
      </c>
      <c r="I89" s="28" t="str">
        <f aca="false">IF(OR($A89="",$G89=0),"",$H89/$G89)</f>
        <v/>
      </c>
      <c r="J89" s="27" t="str">
        <f aca="false">IF(OR($A89="",$G89=0),"",ROUND($F89*INDEX(无形资产工时分配表!$H$6:$H$125,$W89)/$G89,2))</f>
        <v/>
      </c>
      <c r="K89" s="27" t="str">
        <f aca="false">IF(OR($A89="",$G89=0),"",ROUND($F89*INDEX(无形资产工时分配表!$I$6:$I$125,$W89)/$G89,2))</f>
        <v/>
      </c>
      <c r="L89" s="27" t="str">
        <f aca="false">IF(OR($A89="",$G89=0),"",ROUND($F89*INDEX(无形资产工时分配表!$J$6:$J$125,$W89)/$G89,2))</f>
        <v/>
      </c>
      <c r="M89" s="27" t="str">
        <f aca="false">IF(OR($A89="",$G89=0),"",ROUND($F89*INDEX(无形资产工时分配表!$K$6:$K$125,$W89)/$G89,2))</f>
        <v/>
      </c>
      <c r="N89" s="27" t="str">
        <f aca="false">IF(OR($A89="",$G89=0),"",ROUND($F89*INDEX(无形资产工时分配表!$L$6:$L$125,$W89)/$G89,2))</f>
        <v/>
      </c>
      <c r="O89" s="27" t="str">
        <f aca="false">IF(OR($A89="",$G89=0),"",ROUND($F89*INDEX(无形资产工时分配表!$M$6:$M$125,$W89)/$G89,2))</f>
        <v/>
      </c>
      <c r="P89" s="27" t="str">
        <f aca="false">IF(OR($A89="",$G89=0),"",ROUND($F89*INDEX(无形资产工时分配表!$N$6:$N$125,$W89)/$G89,2))</f>
        <v/>
      </c>
      <c r="Q89" s="27" t="str">
        <f aca="false">IF(OR($A89="",$G89=0),"",ROUND($F89*INDEX(无形资产工时分配表!$O$6:$O$125,$W89)/$G89,2))</f>
        <v/>
      </c>
      <c r="R89" s="27" t="str">
        <f aca="false">IF(OR($A89="",$G89=0),"",ROUND($F89*INDEX(无形资产工时分配表!$P$6:$P$125,$W89)/$G89,2))</f>
        <v/>
      </c>
      <c r="S89" s="27" t="str">
        <f aca="false">IF(OR($A89="",$G89=0),"",ROUND($F89*INDEX(无形资产工时分配表!$Q$6:$Q$125,$W89)/$G89,2))</f>
        <v/>
      </c>
      <c r="T89" s="27" t="str">
        <f aca="false">IF($A89="","",ROUND(SUM(J89:S89),2))</f>
        <v/>
      </c>
      <c r="U89" s="27" t="str">
        <f aca="false">IF($A89="","",ROUND($F89-T89,2))</f>
        <v/>
      </c>
      <c r="V89" s="43" t="str">
        <f aca="false">IF($A89="","",IF($D89="设备","⚠ 设备请在仪器设备工时费用分配表登记",IF($W89=0,"⚠ 工时分配表无此资产当月记录",IF($X89&gt;1,"⚠ 工时分配表存在重复行","√ 正常"))))</f>
        <v/>
      </c>
      <c r="W89" s="47" t="n">
        <f aca="false">IF($A89="",0,IFERROR(MATCH($A89&amp;"|"&amp;$B89,无形资产工时分配表!$V$6:$V$125,0),0))</f>
        <v>0</v>
      </c>
      <c r="X89" s="47" t="n">
        <f aca="false">IF($A89="",0,COUNTIFS(无形资产工时分配表!$A$6:$A$125,$A89,无形资产工时分配表!$B$6:$B$125,$B89))</f>
        <v>0</v>
      </c>
    </row>
    <row r="90" customFormat="false" ht="18" hidden="false" customHeight="true" outlineLevel="0" collapsed="false">
      <c r="A90" s="36"/>
      <c r="B90" s="36"/>
      <c r="C90" s="48" t="str">
        <f aca="false">IF($B90="","",IFERROR(VLOOKUP($B90,资产台账!$B$4:$N$53,2,0)&amp;"","台账中未登记"))</f>
        <v/>
      </c>
      <c r="D90" s="43" t="str">
        <f aca="false">IF($B90="","",IFERROR(VLOOKUP($B90,资产台账!$B$4:$N$53,3,0)&amp;"",""))</f>
        <v/>
      </c>
      <c r="E90" s="43" t="str">
        <f aca="false">IF($B90="","",IFERROR(VLOOKUP($B90,资产台账!$B$4:$N$53,10,0)&amp;"",""))</f>
        <v/>
      </c>
      <c r="F90" s="49" t="str">
        <f aca="false">IF($B90="","",IFERROR(VLOOKUP($B90,资产台账!$B$4:$N$53,9,0),0))</f>
        <v/>
      </c>
      <c r="G90" s="45" t="n">
        <f aca="false">IF(OR($A90="",$W90=0),0,INDEX(无形资产工时分配表!$F$6:$F$125,$W90))</f>
        <v>0</v>
      </c>
      <c r="H90" s="45" t="n">
        <f aca="false">IF(OR($A90="",$W90=0),0,INDEX(无形资产工时分配表!$R$6:$R$125,$W90))</f>
        <v>0</v>
      </c>
      <c r="I90" s="28" t="str">
        <f aca="false">IF(OR($A90="",$G90=0),"",$H90/$G90)</f>
        <v/>
      </c>
      <c r="J90" s="27" t="str">
        <f aca="false">IF(OR($A90="",$G90=0),"",ROUND($F90*INDEX(无形资产工时分配表!$H$6:$H$125,$W90)/$G90,2))</f>
        <v/>
      </c>
      <c r="K90" s="27" t="str">
        <f aca="false">IF(OR($A90="",$G90=0),"",ROUND($F90*INDEX(无形资产工时分配表!$I$6:$I$125,$W90)/$G90,2))</f>
        <v/>
      </c>
      <c r="L90" s="27" t="str">
        <f aca="false">IF(OR($A90="",$G90=0),"",ROUND($F90*INDEX(无形资产工时分配表!$J$6:$J$125,$W90)/$G90,2))</f>
        <v/>
      </c>
      <c r="M90" s="27" t="str">
        <f aca="false">IF(OR($A90="",$G90=0),"",ROUND($F90*INDEX(无形资产工时分配表!$K$6:$K$125,$W90)/$G90,2))</f>
        <v/>
      </c>
      <c r="N90" s="27" t="str">
        <f aca="false">IF(OR($A90="",$G90=0),"",ROUND($F90*INDEX(无形资产工时分配表!$L$6:$L$125,$W90)/$G90,2))</f>
        <v/>
      </c>
      <c r="O90" s="27" t="str">
        <f aca="false">IF(OR($A90="",$G90=0),"",ROUND($F90*INDEX(无形资产工时分配表!$M$6:$M$125,$W90)/$G90,2))</f>
        <v/>
      </c>
      <c r="P90" s="27" t="str">
        <f aca="false">IF(OR($A90="",$G90=0),"",ROUND($F90*INDEX(无形资产工时分配表!$N$6:$N$125,$W90)/$G90,2))</f>
        <v/>
      </c>
      <c r="Q90" s="27" t="str">
        <f aca="false">IF(OR($A90="",$G90=0),"",ROUND($F90*INDEX(无形资产工时分配表!$O$6:$O$125,$W90)/$G90,2))</f>
        <v/>
      </c>
      <c r="R90" s="27" t="str">
        <f aca="false">IF(OR($A90="",$G90=0),"",ROUND($F90*INDEX(无形资产工时分配表!$P$6:$P$125,$W90)/$G90,2))</f>
        <v/>
      </c>
      <c r="S90" s="27" t="str">
        <f aca="false">IF(OR($A90="",$G90=0),"",ROUND($F90*INDEX(无形资产工时分配表!$Q$6:$Q$125,$W90)/$G90,2))</f>
        <v/>
      </c>
      <c r="T90" s="27" t="str">
        <f aca="false">IF($A90="","",ROUND(SUM(J90:S90),2))</f>
        <v/>
      </c>
      <c r="U90" s="27" t="str">
        <f aca="false">IF($A90="","",ROUND($F90-T90,2))</f>
        <v/>
      </c>
      <c r="V90" s="43" t="str">
        <f aca="false">IF($A90="","",IF($D90="设备","⚠ 设备请在仪器设备工时费用分配表登记",IF($W90=0,"⚠ 工时分配表无此资产当月记录",IF($X90&gt;1,"⚠ 工时分配表存在重复行","√ 正常"))))</f>
        <v/>
      </c>
      <c r="W90" s="47" t="n">
        <f aca="false">IF($A90="",0,IFERROR(MATCH($A90&amp;"|"&amp;$B90,无形资产工时分配表!$V$6:$V$125,0),0))</f>
        <v>0</v>
      </c>
      <c r="X90" s="47" t="n">
        <f aca="false">IF($A90="",0,COUNTIFS(无形资产工时分配表!$A$6:$A$125,$A90,无形资产工时分配表!$B$6:$B$125,$B90))</f>
        <v>0</v>
      </c>
    </row>
    <row r="91" customFormat="false" ht="18" hidden="false" customHeight="true" outlineLevel="0" collapsed="false">
      <c r="A91" s="36"/>
      <c r="B91" s="36"/>
      <c r="C91" s="48" t="str">
        <f aca="false">IF($B91="","",IFERROR(VLOOKUP($B91,资产台账!$B$4:$N$53,2,0)&amp;"","台账中未登记"))</f>
        <v/>
      </c>
      <c r="D91" s="43" t="str">
        <f aca="false">IF($B91="","",IFERROR(VLOOKUP($B91,资产台账!$B$4:$N$53,3,0)&amp;"",""))</f>
        <v/>
      </c>
      <c r="E91" s="43" t="str">
        <f aca="false">IF($B91="","",IFERROR(VLOOKUP($B91,资产台账!$B$4:$N$53,10,0)&amp;"",""))</f>
        <v/>
      </c>
      <c r="F91" s="49" t="str">
        <f aca="false">IF($B91="","",IFERROR(VLOOKUP($B91,资产台账!$B$4:$N$53,9,0),0))</f>
        <v/>
      </c>
      <c r="G91" s="45" t="n">
        <f aca="false">IF(OR($A91="",$W91=0),0,INDEX(无形资产工时分配表!$F$6:$F$125,$W91))</f>
        <v>0</v>
      </c>
      <c r="H91" s="45" t="n">
        <f aca="false">IF(OR($A91="",$W91=0),0,INDEX(无形资产工时分配表!$R$6:$R$125,$W91))</f>
        <v>0</v>
      </c>
      <c r="I91" s="28" t="str">
        <f aca="false">IF(OR($A91="",$G91=0),"",$H91/$G91)</f>
        <v/>
      </c>
      <c r="J91" s="27" t="str">
        <f aca="false">IF(OR($A91="",$G91=0),"",ROUND($F91*INDEX(无形资产工时分配表!$H$6:$H$125,$W91)/$G91,2))</f>
        <v/>
      </c>
      <c r="K91" s="27" t="str">
        <f aca="false">IF(OR($A91="",$G91=0),"",ROUND($F91*INDEX(无形资产工时分配表!$I$6:$I$125,$W91)/$G91,2))</f>
        <v/>
      </c>
      <c r="L91" s="27" t="str">
        <f aca="false">IF(OR($A91="",$G91=0),"",ROUND($F91*INDEX(无形资产工时分配表!$J$6:$J$125,$W91)/$G91,2))</f>
        <v/>
      </c>
      <c r="M91" s="27" t="str">
        <f aca="false">IF(OR($A91="",$G91=0),"",ROUND($F91*INDEX(无形资产工时分配表!$K$6:$K$125,$W91)/$G91,2))</f>
        <v/>
      </c>
      <c r="N91" s="27" t="str">
        <f aca="false">IF(OR($A91="",$G91=0),"",ROUND($F91*INDEX(无形资产工时分配表!$L$6:$L$125,$W91)/$G91,2))</f>
        <v/>
      </c>
      <c r="O91" s="27" t="str">
        <f aca="false">IF(OR($A91="",$G91=0),"",ROUND($F91*INDEX(无形资产工时分配表!$M$6:$M$125,$W91)/$G91,2))</f>
        <v/>
      </c>
      <c r="P91" s="27" t="str">
        <f aca="false">IF(OR($A91="",$G91=0),"",ROUND($F91*INDEX(无形资产工时分配表!$N$6:$N$125,$W91)/$G91,2))</f>
        <v/>
      </c>
      <c r="Q91" s="27" t="str">
        <f aca="false">IF(OR($A91="",$G91=0),"",ROUND($F91*INDEX(无形资产工时分配表!$O$6:$O$125,$W91)/$G91,2))</f>
        <v/>
      </c>
      <c r="R91" s="27" t="str">
        <f aca="false">IF(OR($A91="",$G91=0),"",ROUND($F91*INDEX(无形资产工时分配表!$P$6:$P$125,$W91)/$G91,2))</f>
        <v/>
      </c>
      <c r="S91" s="27" t="str">
        <f aca="false">IF(OR($A91="",$G91=0),"",ROUND($F91*INDEX(无形资产工时分配表!$Q$6:$Q$125,$W91)/$G91,2))</f>
        <v/>
      </c>
      <c r="T91" s="27" t="str">
        <f aca="false">IF($A91="","",ROUND(SUM(J91:S91),2))</f>
        <v/>
      </c>
      <c r="U91" s="27" t="str">
        <f aca="false">IF($A91="","",ROUND($F91-T91,2))</f>
        <v/>
      </c>
      <c r="V91" s="43" t="str">
        <f aca="false">IF($A91="","",IF($D91="设备","⚠ 设备请在仪器设备工时费用分配表登记",IF($W91=0,"⚠ 工时分配表无此资产当月记录",IF($X91&gt;1,"⚠ 工时分配表存在重复行","√ 正常"))))</f>
        <v/>
      </c>
      <c r="W91" s="47" t="n">
        <f aca="false">IF($A91="",0,IFERROR(MATCH($A91&amp;"|"&amp;$B91,无形资产工时分配表!$V$6:$V$125,0),0))</f>
        <v>0</v>
      </c>
      <c r="X91" s="47" t="n">
        <f aca="false">IF($A91="",0,COUNTIFS(无形资产工时分配表!$A$6:$A$125,$A91,无形资产工时分配表!$B$6:$B$125,$B91))</f>
        <v>0</v>
      </c>
    </row>
    <row r="92" customFormat="false" ht="18" hidden="false" customHeight="true" outlineLevel="0" collapsed="false">
      <c r="A92" s="36"/>
      <c r="B92" s="36"/>
      <c r="C92" s="48" t="str">
        <f aca="false">IF($B92="","",IFERROR(VLOOKUP($B92,资产台账!$B$4:$N$53,2,0)&amp;"","台账中未登记"))</f>
        <v/>
      </c>
      <c r="D92" s="43" t="str">
        <f aca="false">IF($B92="","",IFERROR(VLOOKUP($B92,资产台账!$B$4:$N$53,3,0)&amp;"",""))</f>
        <v/>
      </c>
      <c r="E92" s="43" t="str">
        <f aca="false">IF($B92="","",IFERROR(VLOOKUP($B92,资产台账!$B$4:$N$53,10,0)&amp;"",""))</f>
        <v/>
      </c>
      <c r="F92" s="49" t="str">
        <f aca="false">IF($B92="","",IFERROR(VLOOKUP($B92,资产台账!$B$4:$N$53,9,0),0))</f>
        <v/>
      </c>
      <c r="G92" s="45" t="n">
        <f aca="false">IF(OR($A92="",$W92=0),0,INDEX(无形资产工时分配表!$F$6:$F$125,$W92))</f>
        <v>0</v>
      </c>
      <c r="H92" s="45" t="n">
        <f aca="false">IF(OR($A92="",$W92=0),0,INDEX(无形资产工时分配表!$R$6:$R$125,$W92))</f>
        <v>0</v>
      </c>
      <c r="I92" s="28" t="str">
        <f aca="false">IF(OR($A92="",$G92=0),"",$H92/$G92)</f>
        <v/>
      </c>
      <c r="J92" s="27" t="str">
        <f aca="false">IF(OR($A92="",$G92=0),"",ROUND($F92*INDEX(无形资产工时分配表!$H$6:$H$125,$W92)/$G92,2))</f>
        <v/>
      </c>
      <c r="K92" s="27" t="str">
        <f aca="false">IF(OR($A92="",$G92=0),"",ROUND($F92*INDEX(无形资产工时分配表!$I$6:$I$125,$W92)/$G92,2))</f>
        <v/>
      </c>
      <c r="L92" s="27" t="str">
        <f aca="false">IF(OR($A92="",$G92=0),"",ROUND($F92*INDEX(无形资产工时分配表!$J$6:$J$125,$W92)/$G92,2))</f>
        <v/>
      </c>
      <c r="M92" s="27" t="str">
        <f aca="false">IF(OR($A92="",$G92=0),"",ROUND($F92*INDEX(无形资产工时分配表!$K$6:$K$125,$W92)/$G92,2))</f>
        <v/>
      </c>
      <c r="N92" s="27" t="str">
        <f aca="false">IF(OR($A92="",$G92=0),"",ROUND($F92*INDEX(无形资产工时分配表!$L$6:$L$125,$W92)/$G92,2))</f>
        <v/>
      </c>
      <c r="O92" s="27" t="str">
        <f aca="false">IF(OR($A92="",$G92=0),"",ROUND($F92*INDEX(无形资产工时分配表!$M$6:$M$125,$W92)/$G92,2))</f>
        <v/>
      </c>
      <c r="P92" s="27" t="str">
        <f aca="false">IF(OR($A92="",$G92=0),"",ROUND($F92*INDEX(无形资产工时分配表!$N$6:$N$125,$W92)/$G92,2))</f>
        <v/>
      </c>
      <c r="Q92" s="27" t="str">
        <f aca="false">IF(OR($A92="",$G92=0),"",ROUND($F92*INDEX(无形资产工时分配表!$O$6:$O$125,$W92)/$G92,2))</f>
        <v/>
      </c>
      <c r="R92" s="27" t="str">
        <f aca="false">IF(OR($A92="",$G92=0),"",ROUND($F92*INDEX(无形资产工时分配表!$P$6:$P$125,$W92)/$G92,2))</f>
        <v/>
      </c>
      <c r="S92" s="27" t="str">
        <f aca="false">IF(OR($A92="",$G92=0),"",ROUND($F92*INDEX(无形资产工时分配表!$Q$6:$Q$125,$W92)/$G92,2))</f>
        <v/>
      </c>
      <c r="T92" s="27" t="str">
        <f aca="false">IF($A92="","",ROUND(SUM(J92:S92),2))</f>
        <v/>
      </c>
      <c r="U92" s="27" t="str">
        <f aca="false">IF($A92="","",ROUND($F92-T92,2))</f>
        <v/>
      </c>
      <c r="V92" s="43" t="str">
        <f aca="false">IF($A92="","",IF($D92="设备","⚠ 设备请在仪器设备工时费用分配表登记",IF($W92=0,"⚠ 工时分配表无此资产当月记录",IF($X92&gt;1,"⚠ 工时分配表存在重复行","√ 正常"))))</f>
        <v/>
      </c>
      <c r="W92" s="47" t="n">
        <f aca="false">IF($A92="",0,IFERROR(MATCH($A92&amp;"|"&amp;$B92,无形资产工时分配表!$V$6:$V$125,0),0))</f>
        <v>0</v>
      </c>
      <c r="X92" s="47" t="n">
        <f aca="false">IF($A92="",0,COUNTIFS(无形资产工时分配表!$A$6:$A$125,$A92,无形资产工时分配表!$B$6:$B$125,$B92))</f>
        <v>0</v>
      </c>
    </row>
    <row r="93" customFormat="false" ht="18" hidden="false" customHeight="true" outlineLevel="0" collapsed="false">
      <c r="A93" s="36"/>
      <c r="B93" s="36"/>
      <c r="C93" s="48" t="str">
        <f aca="false">IF($B93="","",IFERROR(VLOOKUP($B93,资产台账!$B$4:$N$53,2,0)&amp;"","台账中未登记"))</f>
        <v/>
      </c>
      <c r="D93" s="43" t="str">
        <f aca="false">IF($B93="","",IFERROR(VLOOKUP($B93,资产台账!$B$4:$N$53,3,0)&amp;"",""))</f>
        <v/>
      </c>
      <c r="E93" s="43" t="str">
        <f aca="false">IF($B93="","",IFERROR(VLOOKUP($B93,资产台账!$B$4:$N$53,10,0)&amp;"",""))</f>
        <v/>
      </c>
      <c r="F93" s="49" t="str">
        <f aca="false">IF($B93="","",IFERROR(VLOOKUP($B93,资产台账!$B$4:$N$53,9,0),0))</f>
        <v/>
      </c>
      <c r="G93" s="45" t="n">
        <f aca="false">IF(OR($A93="",$W93=0),0,INDEX(无形资产工时分配表!$F$6:$F$125,$W93))</f>
        <v>0</v>
      </c>
      <c r="H93" s="45" t="n">
        <f aca="false">IF(OR($A93="",$W93=0),0,INDEX(无形资产工时分配表!$R$6:$R$125,$W93))</f>
        <v>0</v>
      </c>
      <c r="I93" s="28" t="str">
        <f aca="false">IF(OR($A93="",$G93=0),"",$H93/$G93)</f>
        <v/>
      </c>
      <c r="J93" s="27" t="str">
        <f aca="false">IF(OR($A93="",$G93=0),"",ROUND($F93*INDEX(无形资产工时分配表!$H$6:$H$125,$W93)/$G93,2))</f>
        <v/>
      </c>
      <c r="K93" s="27" t="str">
        <f aca="false">IF(OR($A93="",$G93=0),"",ROUND($F93*INDEX(无形资产工时分配表!$I$6:$I$125,$W93)/$G93,2))</f>
        <v/>
      </c>
      <c r="L93" s="27" t="str">
        <f aca="false">IF(OR($A93="",$G93=0),"",ROUND($F93*INDEX(无形资产工时分配表!$J$6:$J$125,$W93)/$G93,2))</f>
        <v/>
      </c>
      <c r="M93" s="27" t="str">
        <f aca="false">IF(OR($A93="",$G93=0),"",ROUND($F93*INDEX(无形资产工时分配表!$K$6:$K$125,$W93)/$G93,2))</f>
        <v/>
      </c>
      <c r="N93" s="27" t="str">
        <f aca="false">IF(OR($A93="",$G93=0),"",ROUND($F93*INDEX(无形资产工时分配表!$L$6:$L$125,$W93)/$G93,2))</f>
        <v/>
      </c>
      <c r="O93" s="27" t="str">
        <f aca="false">IF(OR($A93="",$G93=0),"",ROUND($F93*INDEX(无形资产工时分配表!$M$6:$M$125,$W93)/$G93,2))</f>
        <v/>
      </c>
      <c r="P93" s="27" t="str">
        <f aca="false">IF(OR($A93="",$G93=0),"",ROUND($F93*INDEX(无形资产工时分配表!$N$6:$N$125,$W93)/$G93,2))</f>
        <v/>
      </c>
      <c r="Q93" s="27" t="str">
        <f aca="false">IF(OR($A93="",$G93=0),"",ROUND($F93*INDEX(无形资产工时分配表!$O$6:$O$125,$W93)/$G93,2))</f>
        <v/>
      </c>
      <c r="R93" s="27" t="str">
        <f aca="false">IF(OR($A93="",$G93=0),"",ROUND($F93*INDEX(无形资产工时分配表!$P$6:$P$125,$W93)/$G93,2))</f>
        <v/>
      </c>
      <c r="S93" s="27" t="str">
        <f aca="false">IF(OR($A93="",$G93=0),"",ROUND($F93*INDEX(无形资产工时分配表!$Q$6:$Q$125,$W93)/$G93,2))</f>
        <v/>
      </c>
      <c r="T93" s="27" t="str">
        <f aca="false">IF($A93="","",ROUND(SUM(J93:S93),2))</f>
        <v/>
      </c>
      <c r="U93" s="27" t="str">
        <f aca="false">IF($A93="","",ROUND($F93-T93,2))</f>
        <v/>
      </c>
      <c r="V93" s="43" t="str">
        <f aca="false">IF($A93="","",IF($D93="设备","⚠ 设备请在仪器设备工时费用分配表登记",IF($W93=0,"⚠ 工时分配表无此资产当月记录",IF($X93&gt;1,"⚠ 工时分配表存在重复行","√ 正常"))))</f>
        <v/>
      </c>
      <c r="W93" s="47" t="n">
        <f aca="false">IF($A93="",0,IFERROR(MATCH($A93&amp;"|"&amp;$B93,无形资产工时分配表!$V$6:$V$125,0),0))</f>
        <v>0</v>
      </c>
      <c r="X93" s="47" t="n">
        <f aca="false">IF($A93="",0,COUNTIFS(无形资产工时分配表!$A$6:$A$125,$A93,无形资产工时分配表!$B$6:$B$125,$B93))</f>
        <v>0</v>
      </c>
    </row>
    <row r="94" customFormat="false" ht="18" hidden="false" customHeight="true" outlineLevel="0" collapsed="false">
      <c r="A94" s="36"/>
      <c r="B94" s="36"/>
      <c r="C94" s="48" t="str">
        <f aca="false">IF($B94="","",IFERROR(VLOOKUP($B94,资产台账!$B$4:$N$53,2,0)&amp;"","台账中未登记"))</f>
        <v/>
      </c>
      <c r="D94" s="43" t="str">
        <f aca="false">IF($B94="","",IFERROR(VLOOKUP($B94,资产台账!$B$4:$N$53,3,0)&amp;"",""))</f>
        <v/>
      </c>
      <c r="E94" s="43" t="str">
        <f aca="false">IF($B94="","",IFERROR(VLOOKUP($B94,资产台账!$B$4:$N$53,10,0)&amp;"",""))</f>
        <v/>
      </c>
      <c r="F94" s="49" t="str">
        <f aca="false">IF($B94="","",IFERROR(VLOOKUP($B94,资产台账!$B$4:$N$53,9,0),0))</f>
        <v/>
      </c>
      <c r="G94" s="45" t="n">
        <f aca="false">IF(OR($A94="",$W94=0),0,INDEX(无形资产工时分配表!$F$6:$F$125,$W94))</f>
        <v>0</v>
      </c>
      <c r="H94" s="45" t="n">
        <f aca="false">IF(OR($A94="",$W94=0),0,INDEX(无形资产工时分配表!$R$6:$R$125,$W94))</f>
        <v>0</v>
      </c>
      <c r="I94" s="28" t="str">
        <f aca="false">IF(OR($A94="",$G94=0),"",$H94/$G94)</f>
        <v/>
      </c>
      <c r="J94" s="27" t="str">
        <f aca="false">IF(OR($A94="",$G94=0),"",ROUND($F94*INDEX(无形资产工时分配表!$H$6:$H$125,$W94)/$G94,2))</f>
        <v/>
      </c>
      <c r="K94" s="27" t="str">
        <f aca="false">IF(OR($A94="",$G94=0),"",ROUND($F94*INDEX(无形资产工时分配表!$I$6:$I$125,$W94)/$G94,2))</f>
        <v/>
      </c>
      <c r="L94" s="27" t="str">
        <f aca="false">IF(OR($A94="",$G94=0),"",ROUND($F94*INDEX(无形资产工时分配表!$J$6:$J$125,$W94)/$G94,2))</f>
        <v/>
      </c>
      <c r="M94" s="27" t="str">
        <f aca="false">IF(OR($A94="",$G94=0),"",ROUND($F94*INDEX(无形资产工时分配表!$K$6:$K$125,$W94)/$G94,2))</f>
        <v/>
      </c>
      <c r="N94" s="27" t="str">
        <f aca="false">IF(OR($A94="",$G94=0),"",ROUND($F94*INDEX(无形资产工时分配表!$L$6:$L$125,$W94)/$G94,2))</f>
        <v/>
      </c>
      <c r="O94" s="27" t="str">
        <f aca="false">IF(OR($A94="",$G94=0),"",ROUND($F94*INDEX(无形资产工时分配表!$M$6:$M$125,$W94)/$G94,2))</f>
        <v/>
      </c>
      <c r="P94" s="27" t="str">
        <f aca="false">IF(OR($A94="",$G94=0),"",ROUND($F94*INDEX(无形资产工时分配表!$N$6:$N$125,$W94)/$G94,2))</f>
        <v/>
      </c>
      <c r="Q94" s="27" t="str">
        <f aca="false">IF(OR($A94="",$G94=0),"",ROUND($F94*INDEX(无形资产工时分配表!$O$6:$O$125,$W94)/$G94,2))</f>
        <v/>
      </c>
      <c r="R94" s="27" t="str">
        <f aca="false">IF(OR($A94="",$G94=0),"",ROUND($F94*INDEX(无形资产工时分配表!$P$6:$P$125,$W94)/$G94,2))</f>
        <v/>
      </c>
      <c r="S94" s="27" t="str">
        <f aca="false">IF(OR($A94="",$G94=0),"",ROUND($F94*INDEX(无形资产工时分配表!$Q$6:$Q$125,$W94)/$G94,2))</f>
        <v/>
      </c>
      <c r="T94" s="27" t="str">
        <f aca="false">IF($A94="","",ROUND(SUM(J94:S94),2))</f>
        <v/>
      </c>
      <c r="U94" s="27" t="str">
        <f aca="false">IF($A94="","",ROUND($F94-T94,2))</f>
        <v/>
      </c>
      <c r="V94" s="43" t="str">
        <f aca="false">IF($A94="","",IF($D94="设备","⚠ 设备请在仪器设备工时费用分配表登记",IF($W94=0,"⚠ 工时分配表无此资产当月记录",IF($X94&gt;1,"⚠ 工时分配表存在重复行","√ 正常"))))</f>
        <v/>
      </c>
      <c r="W94" s="47" t="n">
        <f aca="false">IF($A94="",0,IFERROR(MATCH($A94&amp;"|"&amp;$B94,无形资产工时分配表!$V$6:$V$125,0),0))</f>
        <v>0</v>
      </c>
      <c r="X94" s="47" t="n">
        <f aca="false">IF($A94="",0,COUNTIFS(无形资产工时分配表!$A$6:$A$125,$A94,无形资产工时分配表!$B$6:$B$125,$B94))</f>
        <v>0</v>
      </c>
    </row>
    <row r="95" customFormat="false" ht="18" hidden="false" customHeight="true" outlineLevel="0" collapsed="false">
      <c r="A95" s="36"/>
      <c r="B95" s="36"/>
      <c r="C95" s="48" t="str">
        <f aca="false">IF($B95="","",IFERROR(VLOOKUP($B95,资产台账!$B$4:$N$53,2,0)&amp;"","台账中未登记"))</f>
        <v/>
      </c>
      <c r="D95" s="43" t="str">
        <f aca="false">IF($B95="","",IFERROR(VLOOKUP($B95,资产台账!$B$4:$N$53,3,0)&amp;"",""))</f>
        <v/>
      </c>
      <c r="E95" s="43" t="str">
        <f aca="false">IF($B95="","",IFERROR(VLOOKUP($B95,资产台账!$B$4:$N$53,10,0)&amp;"",""))</f>
        <v/>
      </c>
      <c r="F95" s="49" t="str">
        <f aca="false">IF($B95="","",IFERROR(VLOOKUP($B95,资产台账!$B$4:$N$53,9,0),0))</f>
        <v/>
      </c>
      <c r="G95" s="45" t="n">
        <f aca="false">IF(OR($A95="",$W95=0),0,INDEX(无形资产工时分配表!$F$6:$F$125,$W95))</f>
        <v>0</v>
      </c>
      <c r="H95" s="45" t="n">
        <f aca="false">IF(OR($A95="",$W95=0),0,INDEX(无形资产工时分配表!$R$6:$R$125,$W95))</f>
        <v>0</v>
      </c>
      <c r="I95" s="28" t="str">
        <f aca="false">IF(OR($A95="",$G95=0),"",$H95/$G95)</f>
        <v/>
      </c>
      <c r="J95" s="27" t="str">
        <f aca="false">IF(OR($A95="",$G95=0),"",ROUND($F95*INDEX(无形资产工时分配表!$H$6:$H$125,$W95)/$G95,2))</f>
        <v/>
      </c>
      <c r="K95" s="27" t="str">
        <f aca="false">IF(OR($A95="",$G95=0),"",ROUND($F95*INDEX(无形资产工时分配表!$I$6:$I$125,$W95)/$G95,2))</f>
        <v/>
      </c>
      <c r="L95" s="27" t="str">
        <f aca="false">IF(OR($A95="",$G95=0),"",ROUND($F95*INDEX(无形资产工时分配表!$J$6:$J$125,$W95)/$G95,2))</f>
        <v/>
      </c>
      <c r="M95" s="27" t="str">
        <f aca="false">IF(OR($A95="",$G95=0),"",ROUND($F95*INDEX(无形资产工时分配表!$K$6:$K$125,$W95)/$G95,2))</f>
        <v/>
      </c>
      <c r="N95" s="27" t="str">
        <f aca="false">IF(OR($A95="",$G95=0),"",ROUND($F95*INDEX(无形资产工时分配表!$L$6:$L$125,$W95)/$G95,2))</f>
        <v/>
      </c>
      <c r="O95" s="27" t="str">
        <f aca="false">IF(OR($A95="",$G95=0),"",ROUND($F95*INDEX(无形资产工时分配表!$M$6:$M$125,$W95)/$G95,2))</f>
        <v/>
      </c>
      <c r="P95" s="27" t="str">
        <f aca="false">IF(OR($A95="",$G95=0),"",ROUND($F95*INDEX(无形资产工时分配表!$N$6:$N$125,$W95)/$G95,2))</f>
        <v/>
      </c>
      <c r="Q95" s="27" t="str">
        <f aca="false">IF(OR($A95="",$G95=0),"",ROUND($F95*INDEX(无形资产工时分配表!$O$6:$O$125,$W95)/$G95,2))</f>
        <v/>
      </c>
      <c r="R95" s="27" t="str">
        <f aca="false">IF(OR($A95="",$G95=0),"",ROUND($F95*INDEX(无形资产工时分配表!$P$6:$P$125,$W95)/$G95,2))</f>
        <v/>
      </c>
      <c r="S95" s="27" t="str">
        <f aca="false">IF(OR($A95="",$G95=0),"",ROUND($F95*INDEX(无形资产工时分配表!$Q$6:$Q$125,$W95)/$G95,2))</f>
        <v/>
      </c>
      <c r="T95" s="27" t="str">
        <f aca="false">IF($A95="","",ROUND(SUM(J95:S95),2))</f>
        <v/>
      </c>
      <c r="U95" s="27" t="str">
        <f aca="false">IF($A95="","",ROUND($F95-T95,2))</f>
        <v/>
      </c>
      <c r="V95" s="43" t="str">
        <f aca="false">IF($A95="","",IF($D95="设备","⚠ 设备请在仪器设备工时费用分配表登记",IF($W95=0,"⚠ 工时分配表无此资产当月记录",IF($X95&gt;1,"⚠ 工时分配表存在重复行","√ 正常"))))</f>
        <v/>
      </c>
      <c r="W95" s="47" t="n">
        <f aca="false">IF($A95="",0,IFERROR(MATCH($A95&amp;"|"&amp;$B95,无形资产工时分配表!$V$6:$V$125,0),0))</f>
        <v>0</v>
      </c>
      <c r="X95" s="47" t="n">
        <f aca="false">IF($A95="",0,COUNTIFS(无形资产工时分配表!$A$6:$A$125,$A95,无形资产工时分配表!$B$6:$B$125,$B95))</f>
        <v>0</v>
      </c>
    </row>
    <row r="96" customFormat="false" ht="18" hidden="false" customHeight="true" outlineLevel="0" collapsed="false">
      <c r="A96" s="36"/>
      <c r="B96" s="36"/>
      <c r="C96" s="48" t="str">
        <f aca="false">IF($B96="","",IFERROR(VLOOKUP($B96,资产台账!$B$4:$N$53,2,0)&amp;"","台账中未登记"))</f>
        <v/>
      </c>
      <c r="D96" s="43" t="str">
        <f aca="false">IF($B96="","",IFERROR(VLOOKUP($B96,资产台账!$B$4:$N$53,3,0)&amp;"",""))</f>
        <v/>
      </c>
      <c r="E96" s="43" t="str">
        <f aca="false">IF($B96="","",IFERROR(VLOOKUP($B96,资产台账!$B$4:$N$53,10,0)&amp;"",""))</f>
        <v/>
      </c>
      <c r="F96" s="49" t="str">
        <f aca="false">IF($B96="","",IFERROR(VLOOKUP($B96,资产台账!$B$4:$N$53,9,0),0))</f>
        <v/>
      </c>
      <c r="G96" s="45" t="n">
        <f aca="false">IF(OR($A96="",$W96=0),0,INDEX(无形资产工时分配表!$F$6:$F$125,$W96))</f>
        <v>0</v>
      </c>
      <c r="H96" s="45" t="n">
        <f aca="false">IF(OR($A96="",$W96=0),0,INDEX(无形资产工时分配表!$R$6:$R$125,$W96))</f>
        <v>0</v>
      </c>
      <c r="I96" s="28" t="str">
        <f aca="false">IF(OR($A96="",$G96=0),"",$H96/$G96)</f>
        <v/>
      </c>
      <c r="J96" s="27" t="str">
        <f aca="false">IF(OR($A96="",$G96=0),"",ROUND($F96*INDEX(无形资产工时分配表!$H$6:$H$125,$W96)/$G96,2))</f>
        <v/>
      </c>
      <c r="K96" s="27" t="str">
        <f aca="false">IF(OR($A96="",$G96=0),"",ROUND($F96*INDEX(无形资产工时分配表!$I$6:$I$125,$W96)/$G96,2))</f>
        <v/>
      </c>
      <c r="L96" s="27" t="str">
        <f aca="false">IF(OR($A96="",$G96=0),"",ROUND($F96*INDEX(无形资产工时分配表!$J$6:$J$125,$W96)/$G96,2))</f>
        <v/>
      </c>
      <c r="M96" s="27" t="str">
        <f aca="false">IF(OR($A96="",$G96=0),"",ROUND($F96*INDEX(无形资产工时分配表!$K$6:$K$125,$W96)/$G96,2))</f>
        <v/>
      </c>
      <c r="N96" s="27" t="str">
        <f aca="false">IF(OR($A96="",$G96=0),"",ROUND($F96*INDEX(无形资产工时分配表!$L$6:$L$125,$W96)/$G96,2))</f>
        <v/>
      </c>
      <c r="O96" s="27" t="str">
        <f aca="false">IF(OR($A96="",$G96=0),"",ROUND($F96*INDEX(无形资产工时分配表!$M$6:$M$125,$W96)/$G96,2))</f>
        <v/>
      </c>
      <c r="P96" s="27" t="str">
        <f aca="false">IF(OR($A96="",$G96=0),"",ROUND($F96*INDEX(无形资产工时分配表!$N$6:$N$125,$W96)/$G96,2))</f>
        <v/>
      </c>
      <c r="Q96" s="27" t="str">
        <f aca="false">IF(OR($A96="",$G96=0),"",ROUND($F96*INDEX(无形资产工时分配表!$O$6:$O$125,$W96)/$G96,2))</f>
        <v/>
      </c>
      <c r="R96" s="27" t="str">
        <f aca="false">IF(OR($A96="",$G96=0),"",ROUND($F96*INDEX(无形资产工时分配表!$P$6:$P$125,$W96)/$G96,2))</f>
        <v/>
      </c>
      <c r="S96" s="27" t="str">
        <f aca="false">IF(OR($A96="",$G96=0),"",ROUND($F96*INDEX(无形资产工时分配表!$Q$6:$Q$125,$W96)/$G96,2))</f>
        <v/>
      </c>
      <c r="T96" s="27" t="str">
        <f aca="false">IF($A96="","",ROUND(SUM(J96:S96),2))</f>
        <v/>
      </c>
      <c r="U96" s="27" t="str">
        <f aca="false">IF($A96="","",ROUND($F96-T96,2))</f>
        <v/>
      </c>
      <c r="V96" s="43" t="str">
        <f aca="false">IF($A96="","",IF($D96="设备","⚠ 设备请在仪器设备工时费用分配表登记",IF($W96=0,"⚠ 工时分配表无此资产当月记录",IF($X96&gt;1,"⚠ 工时分配表存在重复行","√ 正常"))))</f>
        <v/>
      </c>
      <c r="W96" s="47" t="n">
        <f aca="false">IF($A96="",0,IFERROR(MATCH($A96&amp;"|"&amp;$B96,无形资产工时分配表!$V$6:$V$125,0),0))</f>
        <v>0</v>
      </c>
      <c r="X96" s="47" t="n">
        <f aca="false">IF($A96="",0,COUNTIFS(无形资产工时分配表!$A$6:$A$125,$A96,无形资产工时分配表!$B$6:$B$125,$B96))</f>
        <v>0</v>
      </c>
    </row>
    <row r="97" customFormat="false" ht="18" hidden="false" customHeight="true" outlineLevel="0" collapsed="false">
      <c r="A97" s="36"/>
      <c r="B97" s="36"/>
      <c r="C97" s="48" t="str">
        <f aca="false">IF($B97="","",IFERROR(VLOOKUP($B97,资产台账!$B$4:$N$53,2,0)&amp;"","台账中未登记"))</f>
        <v/>
      </c>
      <c r="D97" s="43" t="str">
        <f aca="false">IF($B97="","",IFERROR(VLOOKUP($B97,资产台账!$B$4:$N$53,3,0)&amp;"",""))</f>
        <v/>
      </c>
      <c r="E97" s="43" t="str">
        <f aca="false">IF($B97="","",IFERROR(VLOOKUP($B97,资产台账!$B$4:$N$53,10,0)&amp;"",""))</f>
        <v/>
      </c>
      <c r="F97" s="49" t="str">
        <f aca="false">IF($B97="","",IFERROR(VLOOKUP($B97,资产台账!$B$4:$N$53,9,0),0))</f>
        <v/>
      </c>
      <c r="G97" s="45" t="n">
        <f aca="false">IF(OR($A97="",$W97=0),0,INDEX(无形资产工时分配表!$F$6:$F$125,$W97))</f>
        <v>0</v>
      </c>
      <c r="H97" s="45" t="n">
        <f aca="false">IF(OR($A97="",$W97=0),0,INDEX(无形资产工时分配表!$R$6:$R$125,$W97))</f>
        <v>0</v>
      </c>
      <c r="I97" s="28" t="str">
        <f aca="false">IF(OR($A97="",$G97=0),"",$H97/$G97)</f>
        <v/>
      </c>
      <c r="J97" s="27" t="str">
        <f aca="false">IF(OR($A97="",$G97=0),"",ROUND($F97*INDEX(无形资产工时分配表!$H$6:$H$125,$W97)/$G97,2))</f>
        <v/>
      </c>
      <c r="K97" s="27" t="str">
        <f aca="false">IF(OR($A97="",$G97=0),"",ROUND($F97*INDEX(无形资产工时分配表!$I$6:$I$125,$W97)/$G97,2))</f>
        <v/>
      </c>
      <c r="L97" s="27" t="str">
        <f aca="false">IF(OR($A97="",$G97=0),"",ROUND($F97*INDEX(无形资产工时分配表!$J$6:$J$125,$W97)/$G97,2))</f>
        <v/>
      </c>
      <c r="M97" s="27" t="str">
        <f aca="false">IF(OR($A97="",$G97=0),"",ROUND($F97*INDEX(无形资产工时分配表!$K$6:$K$125,$W97)/$G97,2))</f>
        <v/>
      </c>
      <c r="N97" s="27" t="str">
        <f aca="false">IF(OR($A97="",$G97=0),"",ROUND($F97*INDEX(无形资产工时分配表!$L$6:$L$125,$W97)/$G97,2))</f>
        <v/>
      </c>
      <c r="O97" s="27" t="str">
        <f aca="false">IF(OR($A97="",$G97=0),"",ROUND($F97*INDEX(无形资产工时分配表!$M$6:$M$125,$W97)/$G97,2))</f>
        <v/>
      </c>
      <c r="P97" s="27" t="str">
        <f aca="false">IF(OR($A97="",$G97=0),"",ROUND($F97*INDEX(无形资产工时分配表!$N$6:$N$125,$W97)/$G97,2))</f>
        <v/>
      </c>
      <c r="Q97" s="27" t="str">
        <f aca="false">IF(OR($A97="",$G97=0),"",ROUND($F97*INDEX(无形资产工时分配表!$O$6:$O$125,$W97)/$G97,2))</f>
        <v/>
      </c>
      <c r="R97" s="27" t="str">
        <f aca="false">IF(OR($A97="",$G97=0),"",ROUND($F97*INDEX(无形资产工时分配表!$P$6:$P$125,$W97)/$G97,2))</f>
        <v/>
      </c>
      <c r="S97" s="27" t="str">
        <f aca="false">IF(OR($A97="",$G97=0),"",ROUND($F97*INDEX(无形资产工时分配表!$Q$6:$Q$125,$W97)/$G97,2))</f>
        <v/>
      </c>
      <c r="T97" s="27" t="str">
        <f aca="false">IF($A97="","",ROUND(SUM(J97:S97),2))</f>
        <v/>
      </c>
      <c r="U97" s="27" t="str">
        <f aca="false">IF($A97="","",ROUND($F97-T97,2))</f>
        <v/>
      </c>
      <c r="V97" s="43" t="str">
        <f aca="false">IF($A97="","",IF($D97="设备","⚠ 设备请在仪器设备工时费用分配表登记",IF($W97=0,"⚠ 工时分配表无此资产当月记录",IF($X97&gt;1,"⚠ 工时分配表存在重复行","√ 正常"))))</f>
        <v/>
      </c>
      <c r="W97" s="47" t="n">
        <f aca="false">IF($A97="",0,IFERROR(MATCH($A97&amp;"|"&amp;$B97,无形资产工时分配表!$V$6:$V$125,0),0))</f>
        <v>0</v>
      </c>
      <c r="X97" s="47" t="n">
        <f aca="false">IF($A97="",0,COUNTIFS(无形资产工时分配表!$A$6:$A$125,$A97,无形资产工时分配表!$B$6:$B$125,$B97))</f>
        <v>0</v>
      </c>
    </row>
    <row r="98" customFormat="false" ht="18" hidden="false" customHeight="true" outlineLevel="0" collapsed="false">
      <c r="A98" s="36"/>
      <c r="B98" s="36"/>
      <c r="C98" s="48" t="str">
        <f aca="false">IF($B98="","",IFERROR(VLOOKUP($B98,资产台账!$B$4:$N$53,2,0)&amp;"","台账中未登记"))</f>
        <v/>
      </c>
      <c r="D98" s="43" t="str">
        <f aca="false">IF($B98="","",IFERROR(VLOOKUP($B98,资产台账!$B$4:$N$53,3,0)&amp;"",""))</f>
        <v/>
      </c>
      <c r="E98" s="43" t="str">
        <f aca="false">IF($B98="","",IFERROR(VLOOKUP($B98,资产台账!$B$4:$N$53,10,0)&amp;"",""))</f>
        <v/>
      </c>
      <c r="F98" s="49" t="str">
        <f aca="false">IF($B98="","",IFERROR(VLOOKUP($B98,资产台账!$B$4:$N$53,9,0),0))</f>
        <v/>
      </c>
      <c r="G98" s="45" t="n">
        <f aca="false">IF(OR($A98="",$W98=0),0,INDEX(无形资产工时分配表!$F$6:$F$125,$W98))</f>
        <v>0</v>
      </c>
      <c r="H98" s="45" t="n">
        <f aca="false">IF(OR($A98="",$W98=0),0,INDEX(无形资产工时分配表!$R$6:$R$125,$W98))</f>
        <v>0</v>
      </c>
      <c r="I98" s="28" t="str">
        <f aca="false">IF(OR($A98="",$G98=0),"",$H98/$G98)</f>
        <v/>
      </c>
      <c r="J98" s="27" t="str">
        <f aca="false">IF(OR($A98="",$G98=0),"",ROUND($F98*INDEX(无形资产工时分配表!$H$6:$H$125,$W98)/$G98,2))</f>
        <v/>
      </c>
      <c r="K98" s="27" t="str">
        <f aca="false">IF(OR($A98="",$G98=0),"",ROUND($F98*INDEX(无形资产工时分配表!$I$6:$I$125,$W98)/$G98,2))</f>
        <v/>
      </c>
      <c r="L98" s="27" t="str">
        <f aca="false">IF(OR($A98="",$G98=0),"",ROUND($F98*INDEX(无形资产工时分配表!$J$6:$J$125,$W98)/$G98,2))</f>
        <v/>
      </c>
      <c r="M98" s="27" t="str">
        <f aca="false">IF(OR($A98="",$G98=0),"",ROUND($F98*INDEX(无形资产工时分配表!$K$6:$K$125,$W98)/$G98,2))</f>
        <v/>
      </c>
      <c r="N98" s="27" t="str">
        <f aca="false">IF(OR($A98="",$G98=0),"",ROUND($F98*INDEX(无形资产工时分配表!$L$6:$L$125,$W98)/$G98,2))</f>
        <v/>
      </c>
      <c r="O98" s="27" t="str">
        <f aca="false">IF(OR($A98="",$G98=0),"",ROUND($F98*INDEX(无形资产工时分配表!$M$6:$M$125,$W98)/$G98,2))</f>
        <v/>
      </c>
      <c r="P98" s="27" t="str">
        <f aca="false">IF(OR($A98="",$G98=0),"",ROUND($F98*INDEX(无形资产工时分配表!$N$6:$N$125,$W98)/$G98,2))</f>
        <v/>
      </c>
      <c r="Q98" s="27" t="str">
        <f aca="false">IF(OR($A98="",$G98=0),"",ROUND($F98*INDEX(无形资产工时分配表!$O$6:$O$125,$W98)/$G98,2))</f>
        <v/>
      </c>
      <c r="R98" s="27" t="str">
        <f aca="false">IF(OR($A98="",$G98=0),"",ROUND($F98*INDEX(无形资产工时分配表!$P$6:$P$125,$W98)/$G98,2))</f>
        <v/>
      </c>
      <c r="S98" s="27" t="str">
        <f aca="false">IF(OR($A98="",$G98=0),"",ROUND($F98*INDEX(无形资产工时分配表!$Q$6:$Q$125,$W98)/$G98,2))</f>
        <v/>
      </c>
      <c r="T98" s="27" t="str">
        <f aca="false">IF($A98="","",ROUND(SUM(J98:S98),2))</f>
        <v/>
      </c>
      <c r="U98" s="27" t="str">
        <f aca="false">IF($A98="","",ROUND($F98-T98,2))</f>
        <v/>
      </c>
      <c r="V98" s="43" t="str">
        <f aca="false">IF($A98="","",IF($D98="设备","⚠ 设备请在仪器设备工时费用分配表登记",IF($W98=0,"⚠ 工时分配表无此资产当月记录",IF($X98&gt;1,"⚠ 工时分配表存在重复行","√ 正常"))))</f>
        <v/>
      </c>
      <c r="W98" s="47" t="n">
        <f aca="false">IF($A98="",0,IFERROR(MATCH($A98&amp;"|"&amp;$B98,无形资产工时分配表!$V$6:$V$125,0),0))</f>
        <v>0</v>
      </c>
      <c r="X98" s="47" t="n">
        <f aca="false">IF($A98="",0,COUNTIFS(无形资产工时分配表!$A$6:$A$125,$A98,无形资产工时分配表!$B$6:$B$125,$B98))</f>
        <v>0</v>
      </c>
    </row>
    <row r="99" customFormat="false" ht="18" hidden="false" customHeight="true" outlineLevel="0" collapsed="false">
      <c r="A99" s="36"/>
      <c r="B99" s="36"/>
      <c r="C99" s="48" t="str">
        <f aca="false">IF($B99="","",IFERROR(VLOOKUP($B99,资产台账!$B$4:$N$53,2,0)&amp;"","台账中未登记"))</f>
        <v/>
      </c>
      <c r="D99" s="43" t="str">
        <f aca="false">IF($B99="","",IFERROR(VLOOKUP($B99,资产台账!$B$4:$N$53,3,0)&amp;"",""))</f>
        <v/>
      </c>
      <c r="E99" s="43" t="str">
        <f aca="false">IF($B99="","",IFERROR(VLOOKUP($B99,资产台账!$B$4:$N$53,10,0)&amp;"",""))</f>
        <v/>
      </c>
      <c r="F99" s="49" t="str">
        <f aca="false">IF($B99="","",IFERROR(VLOOKUP($B99,资产台账!$B$4:$N$53,9,0),0))</f>
        <v/>
      </c>
      <c r="G99" s="45" t="n">
        <f aca="false">IF(OR($A99="",$W99=0),0,INDEX(无形资产工时分配表!$F$6:$F$125,$W99))</f>
        <v>0</v>
      </c>
      <c r="H99" s="45" t="n">
        <f aca="false">IF(OR($A99="",$W99=0),0,INDEX(无形资产工时分配表!$R$6:$R$125,$W99))</f>
        <v>0</v>
      </c>
      <c r="I99" s="28" t="str">
        <f aca="false">IF(OR($A99="",$G99=0),"",$H99/$G99)</f>
        <v/>
      </c>
      <c r="J99" s="27" t="str">
        <f aca="false">IF(OR($A99="",$G99=0),"",ROUND($F99*INDEX(无形资产工时分配表!$H$6:$H$125,$W99)/$G99,2))</f>
        <v/>
      </c>
      <c r="K99" s="27" t="str">
        <f aca="false">IF(OR($A99="",$G99=0),"",ROUND($F99*INDEX(无形资产工时分配表!$I$6:$I$125,$W99)/$G99,2))</f>
        <v/>
      </c>
      <c r="L99" s="27" t="str">
        <f aca="false">IF(OR($A99="",$G99=0),"",ROUND($F99*INDEX(无形资产工时分配表!$J$6:$J$125,$W99)/$G99,2))</f>
        <v/>
      </c>
      <c r="M99" s="27" t="str">
        <f aca="false">IF(OR($A99="",$G99=0),"",ROUND($F99*INDEX(无形资产工时分配表!$K$6:$K$125,$W99)/$G99,2))</f>
        <v/>
      </c>
      <c r="N99" s="27" t="str">
        <f aca="false">IF(OR($A99="",$G99=0),"",ROUND($F99*INDEX(无形资产工时分配表!$L$6:$L$125,$W99)/$G99,2))</f>
        <v/>
      </c>
      <c r="O99" s="27" t="str">
        <f aca="false">IF(OR($A99="",$G99=0),"",ROUND($F99*INDEX(无形资产工时分配表!$M$6:$M$125,$W99)/$G99,2))</f>
        <v/>
      </c>
      <c r="P99" s="27" t="str">
        <f aca="false">IF(OR($A99="",$G99=0),"",ROUND($F99*INDEX(无形资产工时分配表!$N$6:$N$125,$W99)/$G99,2))</f>
        <v/>
      </c>
      <c r="Q99" s="27" t="str">
        <f aca="false">IF(OR($A99="",$G99=0),"",ROUND($F99*INDEX(无形资产工时分配表!$O$6:$O$125,$W99)/$G99,2))</f>
        <v/>
      </c>
      <c r="R99" s="27" t="str">
        <f aca="false">IF(OR($A99="",$G99=0),"",ROUND($F99*INDEX(无形资产工时分配表!$P$6:$P$125,$W99)/$G99,2))</f>
        <v/>
      </c>
      <c r="S99" s="27" t="str">
        <f aca="false">IF(OR($A99="",$G99=0),"",ROUND($F99*INDEX(无形资产工时分配表!$Q$6:$Q$125,$W99)/$G99,2))</f>
        <v/>
      </c>
      <c r="T99" s="27" t="str">
        <f aca="false">IF($A99="","",ROUND(SUM(J99:S99),2))</f>
        <v/>
      </c>
      <c r="U99" s="27" t="str">
        <f aca="false">IF($A99="","",ROUND($F99-T99,2))</f>
        <v/>
      </c>
      <c r="V99" s="43" t="str">
        <f aca="false">IF($A99="","",IF($D99="设备","⚠ 设备请在仪器设备工时费用分配表登记",IF($W99=0,"⚠ 工时分配表无此资产当月记录",IF($X99&gt;1,"⚠ 工时分配表存在重复行","√ 正常"))))</f>
        <v/>
      </c>
      <c r="W99" s="47" t="n">
        <f aca="false">IF($A99="",0,IFERROR(MATCH($A99&amp;"|"&amp;$B99,无形资产工时分配表!$V$6:$V$125,0),0))</f>
        <v>0</v>
      </c>
      <c r="X99" s="47" t="n">
        <f aca="false">IF($A99="",0,COUNTIFS(无形资产工时分配表!$A$6:$A$125,$A99,无形资产工时分配表!$B$6:$B$125,$B99))</f>
        <v>0</v>
      </c>
    </row>
    <row r="100" customFormat="false" ht="18" hidden="false" customHeight="true" outlineLevel="0" collapsed="false">
      <c r="A100" s="36"/>
      <c r="B100" s="36"/>
      <c r="C100" s="48" t="str">
        <f aca="false">IF($B100="","",IFERROR(VLOOKUP($B100,资产台账!$B$4:$N$53,2,0)&amp;"","台账中未登记"))</f>
        <v/>
      </c>
      <c r="D100" s="43" t="str">
        <f aca="false">IF($B100="","",IFERROR(VLOOKUP($B100,资产台账!$B$4:$N$53,3,0)&amp;"",""))</f>
        <v/>
      </c>
      <c r="E100" s="43" t="str">
        <f aca="false">IF($B100="","",IFERROR(VLOOKUP($B100,资产台账!$B$4:$N$53,10,0)&amp;"",""))</f>
        <v/>
      </c>
      <c r="F100" s="49" t="str">
        <f aca="false">IF($B100="","",IFERROR(VLOOKUP($B100,资产台账!$B$4:$N$53,9,0),0))</f>
        <v/>
      </c>
      <c r="G100" s="45" t="n">
        <f aca="false">IF(OR($A100="",$W100=0),0,INDEX(无形资产工时分配表!$F$6:$F$125,$W100))</f>
        <v>0</v>
      </c>
      <c r="H100" s="45" t="n">
        <f aca="false">IF(OR($A100="",$W100=0),0,INDEX(无形资产工时分配表!$R$6:$R$125,$W100))</f>
        <v>0</v>
      </c>
      <c r="I100" s="28" t="str">
        <f aca="false">IF(OR($A100="",$G100=0),"",$H100/$G100)</f>
        <v/>
      </c>
      <c r="J100" s="27" t="str">
        <f aca="false">IF(OR($A100="",$G100=0),"",ROUND($F100*INDEX(无形资产工时分配表!$H$6:$H$125,$W100)/$G100,2))</f>
        <v/>
      </c>
      <c r="K100" s="27" t="str">
        <f aca="false">IF(OR($A100="",$G100=0),"",ROUND($F100*INDEX(无形资产工时分配表!$I$6:$I$125,$W100)/$G100,2))</f>
        <v/>
      </c>
      <c r="L100" s="27" t="str">
        <f aca="false">IF(OR($A100="",$G100=0),"",ROUND($F100*INDEX(无形资产工时分配表!$J$6:$J$125,$W100)/$G100,2))</f>
        <v/>
      </c>
      <c r="M100" s="27" t="str">
        <f aca="false">IF(OR($A100="",$G100=0),"",ROUND($F100*INDEX(无形资产工时分配表!$K$6:$K$125,$W100)/$G100,2))</f>
        <v/>
      </c>
      <c r="N100" s="27" t="str">
        <f aca="false">IF(OR($A100="",$G100=0),"",ROUND($F100*INDEX(无形资产工时分配表!$L$6:$L$125,$W100)/$G100,2))</f>
        <v/>
      </c>
      <c r="O100" s="27" t="str">
        <f aca="false">IF(OR($A100="",$G100=0),"",ROUND($F100*INDEX(无形资产工时分配表!$M$6:$M$125,$W100)/$G100,2))</f>
        <v/>
      </c>
      <c r="P100" s="27" t="str">
        <f aca="false">IF(OR($A100="",$G100=0),"",ROUND($F100*INDEX(无形资产工时分配表!$N$6:$N$125,$W100)/$G100,2))</f>
        <v/>
      </c>
      <c r="Q100" s="27" t="str">
        <f aca="false">IF(OR($A100="",$G100=0),"",ROUND($F100*INDEX(无形资产工时分配表!$O$6:$O$125,$W100)/$G100,2))</f>
        <v/>
      </c>
      <c r="R100" s="27" t="str">
        <f aca="false">IF(OR($A100="",$G100=0),"",ROUND($F100*INDEX(无形资产工时分配表!$P$6:$P$125,$W100)/$G100,2))</f>
        <v/>
      </c>
      <c r="S100" s="27" t="str">
        <f aca="false">IF(OR($A100="",$G100=0),"",ROUND($F100*INDEX(无形资产工时分配表!$Q$6:$Q$125,$W100)/$G100,2))</f>
        <v/>
      </c>
      <c r="T100" s="27" t="str">
        <f aca="false">IF($A100="","",ROUND(SUM(J100:S100),2))</f>
        <v/>
      </c>
      <c r="U100" s="27" t="str">
        <f aca="false">IF($A100="","",ROUND($F100-T100,2))</f>
        <v/>
      </c>
      <c r="V100" s="43" t="str">
        <f aca="false">IF($A100="","",IF($D100="设备","⚠ 设备请在仪器设备工时费用分配表登记",IF($W100=0,"⚠ 工时分配表无此资产当月记录",IF($X100&gt;1,"⚠ 工时分配表存在重复行","√ 正常"))))</f>
        <v/>
      </c>
      <c r="W100" s="47" t="n">
        <f aca="false">IF($A100="",0,IFERROR(MATCH($A100&amp;"|"&amp;$B100,无形资产工时分配表!$V$6:$V$125,0),0))</f>
        <v>0</v>
      </c>
      <c r="X100" s="47" t="n">
        <f aca="false">IF($A100="",0,COUNTIFS(无形资产工时分配表!$A$6:$A$125,$A100,无形资产工时分配表!$B$6:$B$125,$B100))</f>
        <v>0</v>
      </c>
    </row>
    <row r="101" customFormat="false" ht="18" hidden="false" customHeight="true" outlineLevel="0" collapsed="false">
      <c r="A101" s="36"/>
      <c r="B101" s="36"/>
      <c r="C101" s="48" t="str">
        <f aca="false">IF($B101="","",IFERROR(VLOOKUP($B101,资产台账!$B$4:$N$53,2,0)&amp;"","台账中未登记"))</f>
        <v/>
      </c>
      <c r="D101" s="43" t="str">
        <f aca="false">IF($B101="","",IFERROR(VLOOKUP($B101,资产台账!$B$4:$N$53,3,0)&amp;"",""))</f>
        <v/>
      </c>
      <c r="E101" s="43" t="str">
        <f aca="false">IF($B101="","",IFERROR(VLOOKUP($B101,资产台账!$B$4:$N$53,10,0)&amp;"",""))</f>
        <v/>
      </c>
      <c r="F101" s="49" t="str">
        <f aca="false">IF($B101="","",IFERROR(VLOOKUP($B101,资产台账!$B$4:$N$53,9,0),0))</f>
        <v/>
      </c>
      <c r="G101" s="45" t="n">
        <f aca="false">IF(OR($A101="",$W101=0),0,INDEX(无形资产工时分配表!$F$6:$F$125,$W101))</f>
        <v>0</v>
      </c>
      <c r="H101" s="45" t="n">
        <f aca="false">IF(OR($A101="",$W101=0),0,INDEX(无形资产工时分配表!$R$6:$R$125,$W101))</f>
        <v>0</v>
      </c>
      <c r="I101" s="28" t="str">
        <f aca="false">IF(OR($A101="",$G101=0),"",$H101/$G101)</f>
        <v/>
      </c>
      <c r="J101" s="27" t="str">
        <f aca="false">IF(OR($A101="",$G101=0),"",ROUND($F101*INDEX(无形资产工时分配表!$H$6:$H$125,$W101)/$G101,2))</f>
        <v/>
      </c>
      <c r="K101" s="27" t="str">
        <f aca="false">IF(OR($A101="",$G101=0),"",ROUND($F101*INDEX(无形资产工时分配表!$I$6:$I$125,$W101)/$G101,2))</f>
        <v/>
      </c>
      <c r="L101" s="27" t="str">
        <f aca="false">IF(OR($A101="",$G101=0),"",ROUND($F101*INDEX(无形资产工时分配表!$J$6:$J$125,$W101)/$G101,2))</f>
        <v/>
      </c>
      <c r="M101" s="27" t="str">
        <f aca="false">IF(OR($A101="",$G101=0),"",ROUND($F101*INDEX(无形资产工时分配表!$K$6:$K$125,$W101)/$G101,2))</f>
        <v/>
      </c>
      <c r="N101" s="27" t="str">
        <f aca="false">IF(OR($A101="",$G101=0),"",ROUND($F101*INDEX(无形资产工时分配表!$L$6:$L$125,$W101)/$G101,2))</f>
        <v/>
      </c>
      <c r="O101" s="27" t="str">
        <f aca="false">IF(OR($A101="",$G101=0),"",ROUND($F101*INDEX(无形资产工时分配表!$M$6:$M$125,$W101)/$G101,2))</f>
        <v/>
      </c>
      <c r="P101" s="27" t="str">
        <f aca="false">IF(OR($A101="",$G101=0),"",ROUND($F101*INDEX(无形资产工时分配表!$N$6:$N$125,$W101)/$G101,2))</f>
        <v/>
      </c>
      <c r="Q101" s="27" t="str">
        <f aca="false">IF(OR($A101="",$G101=0),"",ROUND($F101*INDEX(无形资产工时分配表!$O$6:$O$125,$W101)/$G101,2))</f>
        <v/>
      </c>
      <c r="R101" s="27" t="str">
        <f aca="false">IF(OR($A101="",$G101=0),"",ROUND($F101*INDEX(无形资产工时分配表!$P$6:$P$125,$W101)/$G101,2))</f>
        <v/>
      </c>
      <c r="S101" s="27" t="str">
        <f aca="false">IF(OR($A101="",$G101=0),"",ROUND($F101*INDEX(无形资产工时分配表!$Q$6:$Q$125,$W101)/$G101,2))</f>
        <v/>
      </c>
      <c r="T101" s="27" t="str">
        <f aca="false">IF($A101="","",ROUND(SUM(J101:S101),2))</f>
        <v/>
      </c>
      <c r="U101" s="27" t="str">
        <f aca="false">IF($A101="","",ROUND($F101-T101,2))</f>
        <v/>
      </c>
      <c r="V101" s="43" t="str">
        <f aca="false">IF($A101="","",IF($D101="设备","⚠ 设备请在仪器设备工时费用分配表登记",IF($W101=0,"⚠ 工时分配表无此资产当月记录",IF($X101&gt;1,"⚠ 工时分配表存在重复行","√ 正常"))))</f>
        <v/>
      </c>
      <c r="W101" s="47" t="n">
        <f aca="false">IF($A101="",0,IFERROR(MATCH($A101&amp;"|"&amp;$B101,无形资产工时分配表!$V$6:$V$125,0),0))</f>
        <v>0</v>
      </c>
      <c r="X101" s="47" t="n">
        <f aca="false">IF($A101="",0,COUNTIFS(无形资产工时分配表!$A$6:$A$125,$A101,无形资产工时分配表!$B$6:$B$125,$B101))</f>
        <v>0</v>
      </c>
    </row>
    <row r="102" customFormat="false" ht="18" hidden="false" customHeight="true" outlineLevel="0" collapsed="false">
      <c r="A102" s="36"/>
      <c r="B102" s="36"/>
      <c r="C102" s="48" t="str">
        <f aca="false">IF($B102="","",IFERROR(VLOOKUP($B102,资产台账!$B$4:$N$53,2,0)&amp;"","台账中未登记"))</f>
        <v/>
      </c>
      <c r="D102" s="43" t="str">
        <f aca="false">IF($B102="","",IFERROR(VLOOKUP($B102,资产台账!$B$4:$N$53,3,0)&amp;"",""))</f>
        <v/>
      </c>
      <c r="E102" s="43" t="str">
        <f aca="false">IF($B102="","",IFERROR(VLOOKUP($B102,资产台账!$B$4:$N$53,10,0)&amp;"",""))</f>
        <v/>
      </c>
      <c r="F102" s="49" t="str">
        <f aca="false">IF($B102="","",IFERROR(VLOOKUP($B102,资产台账!$B$4:$N$53,9,0),0))</f>
        <v/>
      </c>
      <c r="G102" s="45" t="n">
        <f aca="false">IF(OR($A102="",$W102=0),0,INDEX(无形资产工时分配表!$F$6:$F$125,$W102))</f>
        <v>0</v>
      </c>
      <c r="H102" s="45" t="n">
        <f aca="false">IF(OR($A102="",$W102=0),0,INDEX(无形资产工时分配表!$R$6:$R$125,$W102))</f>
        <v>0</v>
      </c>
      <c r="I102" s="28" t="str">
        <f aca="false">IF(OR($A102="",$G102=0),"",$H102/$G102)</f>
        <v/>
      </c>
      <c r="J102" s="27" t="str">
        <f aca="false">IF(OR($A102="",$G102=0),"",ROUND($F102*INDEX(无形资产工时分配表!$H$6:$H$125,$W102)/$G102,2))</f>
        <v/>
      </c>
      <c r="K102" s="27" t="str">
        <f aca="false">IF(OR($A102="",$G102=0),"",ROUND($F102*INDEX(无形资产工时分配表!$I$6:$I$125,$W102)/$G102,2))</f>
        <v/>
      </c>
      <c r="L102" s="27" t="str">
        <f aca="false">IF(OR($A102="",$G102=0),"",ROUND($F102*INDEX(无形资产工时分配表!$J$6:$J$125,$W102)/$G102,2))</f>
        <v/>
      </c>
      <c r="M102" s="27" t="str">
        <f aca="false">IF(OR($A102="",$G102=0),"",ROUND($F102*INDEX(无形资产工时分配表!$K$6:$K$125,$W102)/$G102,2))</f>
        <v/>
      </c>
      <c r="N102" s="27" t="str">
        <f aca="false">IF(OR($A102="",$G102=0),"",ROUND($F102*INDEX(无形资产工时分配表!$L$6:$L$125,$W102)/$G102,2))</f>
        <v/>
      </c>
      <c r="O102" s="27" t="str">
        <f aca="false">IF(OR($A102="",$G102=0),"",ROUND($F102*INDEX(无形资产工时分配表!$M$6:$M$125,$W102)/$G102,2))</f>
        <v/>
      </c>
      <c r="P102" s="27" t="str">
        <f aca="false">IF(OR($A102="",$G102=0),"",ROUND($F102*INDEX(无形资产工时分配表!$N$6:$N$125,$W102)/$G102,2))</f>
        <v/>
      </c>
      <c r="Q102" s="27" t="str">
        <f aca="false">IF(OR($A102="",$G102=0),"",ROUND($F102*INDEX(无形资产工时分配表!$O$6:$O$125,$W102)/$G102,2))</f>
        <v/>
      </c>
      <c r="R102" s="27" t="str">
        <f aca="false">IF(OR($A102="",$G102=0),"",ROUND($F102*INDEX(无形资产工时分配表!$P$6:$P$125,$W102)/$G102,2))</f>
        <v/>
      </c>
      <c r="S102" s="27" t="str">
        <f aca="false">IF(OR($A102="",$G102=0),"",ROUND($F102*INDEX(无形资产工时分配表!$Q$6:$Q$125,$W102)/$G102,2))</f>
        <v/>
      </c>
      <c r="T102" s="27" t="str">
        <f aca="false">IF($A102="","",ROUND(SUM(J102:S102),2))</f>
        <v/>
      </c>
      <c r="U102" s="27" t="str">
        <f aca="false">IF($A102="","",ROUND($F102-T102,2))</f>
        <v/>
      </c>
      <c r="V102" s="43" t="str">
        <f aca="false">IF($A102="","",IF($D102="设备","⚠ 设备请在仪器设备工时费用分配表登记",IF($W102=0,"⚠ 工时分配表无此资产当月记录",IF($X102&gt;1,"⚠ 工时分配表存在重复行","√ 正常"))))</f>
        <v/>
      </c>
      <c r="W102" s="47" t="n">
        <f aca="false">IF($A102="",0,IFERROR(MATCH($A102&amp;"|"&amp;$B102,无形资产工时分配表!$V$6:$V$125,0),0))</f>
        <v>0</v>
      </c>
      <c r="X102" s="47" t="n">
        <f aca="false">IF($A102="",0,COUNTIFS(无形资产工时分配表!$A$6:$A$125,$A102,无形资产工时分配表!$B$6:$B$125,$B102))</f>
        <v>0</v>
      </c>
    </row>
    <row r="103" customFormat="false" ht="18" hidden="false" customHeight="true" outlineLevel="0" collapsed="false">
      <c r="A103" s="36"/>
      <c r="B103" s="36"/>
      <c r="C103" s="48" t="str">
        <f aca="false">IF($B103="","",IFERROR(VLOOKUP($B103,资产台账!$B$4:$N$53,2,0)&amp;"","台账中未登记"))</f>
        <v/>
      </c>
      <c r="D103" s="43" t="str">
        <f aca="false">IF($B103="","",IFERROR(VLOOKUP($B103,资产台账!$B$4:$N$53,3,0)&amp;"",""))</f>
        <v/>
      </c>
      <c r="E103" s="43" t="str">
        <f aca="false">IF($B103="","",IFERROR(VLOOKUP($B103,资产台账!$B$4:$N$53,10,0)&amp;"",""))</f>
        <v/>
      </c>
      <c r="F103" s="49" t="str">
        <f aca="false">IF($B103="","",IFERROR(VLOOKUP($B103,资产台账!$B$4:$N$53,9,0),0))</f>
        <v/>
      </c>
      <c r="G103" s="45" t="n">
        <f aca="false">IF(OR($A103="",$W103=0),0,INDEX(无形资产工时分配表!$F$6:$F$125,$W103))</f>
        <v>0</v>
      </c>
      <c r="H103" s="45" t="n">
        <f aca="false">IF(OR($A103="",$W103=0),0,INDEX(无形资产工时分配表!$R$6:$R$125,$W103))</f>
        <v>0</v>
      </c>
      <c r="I103" s="28" t="str">
        <f aca="false">IF(OR($A103="",$G103=0),"",$H103/$G103)</f>
        <v/>
      </c>
      <c r="J103" s="27" t="str">
        <f aca="false">IF(OR($A103="",$G103=0),"",ROUND($F103*INDEX(无形资产工时分配表!$H$6:$H$125,$W103)/$G103,2))</f>
        <v/>
      </c>
      <c r="K103" s="27" t="str">
        <f aca="false">IF(OR($A103="",$G103=0),"",ROUND($F103*INDEX(无形资产工时分配表!$I$6:$I$125,$W103)/$G103,2))</f>
        <v/>
      </c>
      <c r="L103" s="27" t="str">
        <f aca="false">IF(OR($A103="",$G103=0),"",ROUND($F103*INDEX(无形资产工时分配表!$J$6:$J$125,$W103)/$G103,2))</f>
        <v/>
      </c>
      <c r="M103" s="27" t="str">
        <f aca="false">IF(OR($A103="",$G103=0),"",ROUND($F103*INDEX(无形资产工时分配表!$K$6:$K$125,$W103)/$G103,2))</f>
        <v/>
      </c>
      <c r="N103" s="27" t="str">
        <f aca="false">IF(OR($A103="",$G103=0),"",ROUND($F103*INDEX(无形资产工时分配表!$L$6:$L$125,$W103)/$G103,2))</f>
        <v/>
      </c>
      <c r="O103" s="27" t="str">
        <f aca="false">IF(OR($A103="",$G103=0),"",ROUND($F103*INDEX(无形资产工时分配表!$M$6:$M$125,$W103)/$G103,2))</f>
        <v/>
      </c>
      <c r="P103" s="27" t="str">
        <f aca="false">IF(OR($A103="",$G103=0),"",ROUND($F103*INDEX(无形资产工时分配表!$N$6:$N$125,$W103)/$G103,2))</f>
        <v/>
      </c>
      <c r="Q103" s="27" t="str">
        <f aca="false">IF(OR($A103="",$G103=0),"",ROUND($F103*INDEX(无形资产工时分配表!$O$6:$O$125,$W103)/$G103,2))</f>
        <v/>
      </c>
      <c r="R103" s="27" t="str">
        <f aca="false">IF(OR($A103="",$G103=0),"",ROUND($F103*INDEX(无形资产工时分配表!$P$6:$P$125,$W103)/$G103,2))</f>
        <v/>
      </c>
      <c r="S103" s="27" t="str">
        <f aca="false">IF(OR($A103="",$G103=0),"",ROUND($F103*INDEX(无形资产工时分配表!$Q$6:$Q$125,$W103)/$G103,2))</f>
        <v/>
      </c>
      <c r="T103" s="27" t="str">
        <f aca="false">IF($A103="","",ROUND(SUM(J103:S103),2))</f>
        <v/>
      </c>
      <c r="U103" s="27" t="str">
        <f aca="false">IF($A103="","",ROUND($F103-T103,2))</f>
        <v/>
      </c>
      <c r="V103" s="43" t="str">
        <f aca="false">IF($A103="","",IF($D103="设备","⚠ 设备请在仪器设备工时费用分配表登记",IF($W103=0,"⚠ 工时分配表无此资产当月记录",IF($X103&gt;1,"⚠ 工时分配表存在重复行","√ 正常"))))</f>
        <v/>
      </c>
      <c r="W103" s="47" t="n">
        <f aca="false">IF($A103="",0,IFERROR(MATCH($A103&amp;"|"&amp;$B103,无形资产工时分配表!$V$6:$V$125,0),0))</f>
        <v>0</v>
      </c>
      <c r="X103" s="47" t="n">
        <f aca="false">IF($A103="",0,COUNTIFS(无形资产工时分配表!$A$6:$A$125,$A103,无形资产工时分配表!$B$6:$B$125,$B103))</f>
        <v>0</v>
      </c>
    </row>
    <row r="104" customFormat="false" ht="18" hidden="false" customHeight="true" outlineLevel="0" collapsed="false">
      <c r="A104" s="36"/>
      <c r="B104" s="36"/>
      <c r="C104" s="48" t="str">
        <f aca="false">IF($B104="","",IFERROR(VLOOKUP($B104,资产台账!$B$4:$N$53,2,0)&amp;"","台账中未登记"))</f>
        <v/>
      </c>
      <c r="D104" s="43" t="str">
        <f aca="false">IF($B104="","",IFERROR(VLOOKUP($B104,资产台账!$B$4:$N$53,3,0)&amp;"",""))</f>
        <v/>
      </c>
      <c r="E104" s="43" t="str">
        <f aca="false">IF($B104="","",IFERROR(VLOOKUP($B104,资产台账!$B$4:$N$53,10,0)&amp;"",""))</f>
        <v/>
      </c>
      <c r="F104" s="49" t="str">
        <f aca="false">IF($B104="","",IFERROR(VLOOKUP($B104,资产台账!$B$4:$N$53,9,0),0))</f>
        <v/>
      </c>
      <c r="G104" s="45" t="n">
        <f aca="false">IF(OR($A104="",$W104=0),0,INDEX(无形资产工时分配表!$F$6:$F$125,$W104))</f>
        <v>0</v>
      </c>
      <c r="H104" s="45" t="n">
        <f aca="false">IF(OR($A104="",$W104=0),0,INDEX(无形资产工时分配表!$R$6:$R$125,$W104))</f>
        <v>0</v>
      </c>
      <c r="I104" s="28" t="str">
        <f aca="false">IF(OR($A104="",$G104=0),"",$H104/$G104)</f>
        <v/>
      </c>
      <c r="J104" s="27" t="str">
        <f aca="false">IF(OR($A104="",$G104=0),"",ROUND($F104*INDEX(无形资产工时分配表!$H$6:$H$125,$W104)/$G104,2))</f>
        <v/>
      </c>
      <c r="K104" s="27" t="str">
        <f aca="false">IF(OR($A104="",$G104=0),"",ROUND($F104*INDEX(无形资产工时分配表!$I$6:$I$125,$W104)/$G104,2))</f>
        <v/>
      </c>
      <c r="L104" s="27" t="str">
        <f aca="false">IF(OR($A104="",$G104=0),"",ROUND($F104*INDEX(无形资产工时分配表!$J$6:$J$125,$W104)/$G104,2))</f>
        <v/>
      </c>
      <c r="M104" s="27" t="str">
        <f aca="false">IF(OR($A104="",$G104=0),"",ROUND($F104*INDEX(无形资产工时分配表!$K$6:$K$125,$W104)/$G104,2))</f>
        <v/>
      </c>
      <c r="N104" s="27" t="str">
        <f aca="false">IF(OR($A104="",$G104=0),"",ROUND($F104*INDEX(无形资产工时分配表!$L$6:$L$125,$W104)/$G104,2))</f>
        <v/>
      </c>
      <c r="O104" s="27" t="str">
        <f aca="false">IF(OR($A104="",$G104=0),"",ROUND($F104*INDEX(无形资产工时分配表!$M$6:$M$125,$W104)/$G104,2))</f>
        <v/>
      </c>
      <c r="P104" s="27" t="str">
        <f aca="false">IF(OR($A104="",$G104=0),"",ROUND($F104*INDEX(无形资产工时分配表!$N$6:$N$125,$W104)/$G104,2))</f>
        <v/>
      </c>
      <c r="Q104" s="27" t="str">
        <f aca="false">IF(OR($A104="",$G104=0),"",ROUND($F104*INDEX(无形资产工时分配表!$O$6:$O$125,$W104)/$G104,2))</f>
        <v/>
      </c>
      <c r="R104" s="27" t="str">
        <f aca="false">IF(OR($A104="",$G104=0),"",ROUND($F104*INDEX(无形资产工时分配表!$P$6:$P$125,$W104)/$G104,2))</f>
        <v/>
      </c>
      <c r="S104" s="27" t="str">
        <f aca="false">IF(OR($A104="",$G104=0),"",ROUND($F104*INDEX(无形资产工时分配表!$Q$6:$Q$125,$W104)/$G104,2))</f>
        <v/>
      </c>
      <c r="T104" s="27" t="str">
        <f aca="false">IF($A104="","",ROUND(SUM(J104:S104),2))</f>
        <v/>
      </c>
      <c r="U104" s="27" t="str">
        <f aca="false">IF($A104="","",ROUND($F104-T104,2))</f>
        <v/>
      </c>
      <c r="V104" s="43" t="str">
        <f aca="false">IF($A104="","",IF($D104="设备","⚠ 设备请在仪器设备工时费用分配表登记",IF($W104=0,"⚠ 工时分配表无此资产当月记录",IF($X104&gt;1,"⚠ 工时分配表存在重复行","√ 正常"))))</f>
        <v/>
      </c>
      <c r="W104" s="47" t="n">
        <f aca="false">IF($A104="",0,IFERROR(MATCH($A104&amp;"|"&amp;$B104,无形资产工时分配表!$V$6:$V$125,0),0))</f>
        <v>0</v>
      </c>
      <c r="X104" s="47" t="n">
        <f aca="false">IF($A104="",0,COUNTIFS(无形资产工时分配表!$A$6:$A$125,$A104,无形资产工时分配表!$B$6:$B$125,$B104))</f>
        <v>0</v>
      </c>
    </row>
    <row r="105" customFormat="false" ht="18" hidden="false" customHeight="true" outlineLevel="0" collapsed="false">
      <c r="A105" s="36"/>
      <c r="B105" s="36"/>
      <c r="C105" s="48" t="str">
        <f aca="false">IF($B105="","",IFERROR(VLOOKUP($B105,资产台账!$B$4:$N$53,2,0)&amp;"","台账中未登记"))</f>
        <v/>
      </c>
      <c r="D105" s="43" t="str">
        <f aca="false">IF($B105="","",IFERROR(VLOOKUP($B105,资产台账!$B$4:$N$53,3,0)&amp;"",""))</f>
        <v/>
      </c>
      <c r="E105" s="43" t="str">
        <f aca="false">IF($B105="","",IFERROR(VLOOKUP($B105,资产台账!$B$4:$N$53,10,0)&amp;"",""))</f>
        <v/>
      </c>
      <c r="F105" s="49" t="str">
        <f aca="false">IF($B105="","",IFERROR(VLOOKUP($B105,资产台账!$B$4:$N$53,9,0),0))</f>
        <v/>
      </c>
      <c r="G105" s="45" t="n">
        <f aca="false">IF(OR($A105="",$W105=0),0,INDEX(无形资产工时分配表!$F$6:$F$125,$W105))</f>
        <v>0</v>
      </c>
      <c r="H105" s="45" t="n">
        <f aca="false">IF(OR($A105="",$W105=0),0,INDEX(无形资产工时分配表!$R$6:$R$125,$W105))</f>
        <v>0</v>
      </c>
      <c r="I105" s="28" t="str">
        <f aca="false">IF(OR($A105="",$G105=0),"",$H105/$G105)</f>
        <v/>
      </c>
      <c r="J105" s="27" t="str">
        <f aca="false">IF(OR($A105="",$G105=0),"",ROUND($F105*INDEX(无形资产工时分配表!$H$6:$H$125,$W105)/$G105,2))</f>
        <v/>
      </c>
      <c r="K105" s="27" t="str">
        <f aca="false">IF(OR($A105="",$G105=0),"",ROUND($F105*INDEX(无形资产工时分配表!$I$6:$I$125,$W105)/$G105,2))</f>
        <v/>
      </c>
      <c r="L105" s="27" t="str">
        <f aca="false">IF(OR($A105="",$G105=0),"",ROUND($F105*INDEX(无形资产工时分配表!$J$6:$J$125,$W105)/$G105,2))</f>
        <v/>
      </c>
      <c r="M105" s="27" t="str">
        <f aca="false">IF(OR($A105="",$G105=0),"",ROUND($F105*INDEX(无形资产工时分配表!$K$6:$K$125,$W105)/$G105,2))</f>
        <v/>
      </c>
      <c r="N105" s="27" t="str">
        <f aca="false">IF(OR($A105="",$G105=0),"",ROUND($F105*INDEX(无形资产工时分配表!$L$6:$L$125,$W105)/$G105,2))</f>
        <v/>
      </c>
      <c r="O105" s="27" t="str">
        <f aca="false">IF(OR($A105="",$G105=0),"",ROUND($F105*INDEX(无形资产工时分配表!$M$6:$M$125,$W105)/$G105,2))</f>
        <v/>
      </c>
      <c r="P105" s="27" t="str">
        <f aca="false">IF(OR($A105="",$G105=0),"",ROUND($F105*INDEX(无形资产工时分配表!$N$6:$N$125,$W105)/$G105,2))</f>
        <v/>
      </c>
      <c r="Q105" s="27" t="str">
        <f aca="false">IF(OR($A105="",$G105=0),"",ROUND($F105*INDEX(无形资产工时分配表!$O$6:$O$125,$W105)/$G105,2))</f>
        <v/>
      </c>
      <c r="R105" s="27" t="str">
        <f aca="false">IF(OR($A105="",$G105=0),"",ROUND($F105*INDEX(无形资产工时分配表!$P$6:$P$125,$W105)/$G105,2))</f>
        <v/>
      </c>
      <c r="S105" s="27" t="str">
        <f aca="false">IF(OR($A105="",$G105=0),"",ROUND($F105*INDEX(无形资产工时分配表!$Q$6:$Q$125,$W105)/$G105,2))</f>
        <v/>
      </c>
      <c r="T105" s="27" t="str">
        <f aca="false">IF($A105="","",ROUND(SUM(J105:S105),2))</f>
        <v/>
      </c>
      <c r="U105" s="27" t="str">
        <f aca="false">IF($A105="","",ROUND($F105-T105,2))</f>
        <v/>
      </c>
      <c r="V105" s="43" t="str">
        <f aca="false">IF($A105="","",IF($D105="设备","⚠ 设备请在仪器设备工时费用分配表登记",IF($W105=0,"⚠ 工时分配表无此资产当月记录",IF($X105&gt;1,"⚠ 工时分配表存在重复行","√ 正常"))))</f>
        <v/>
      </c>
      <c r="W105" s="47" t="n">
        <f aca="false">IF($A105="",0,IFERROR(MATCH($A105&amp;"|"&amp;$B105,无形资产工时分配表!$V$6:$V$125,0),0))</f>
        <v>0</v>
      </c>
      <c r="X105" s="47" t="n">
        <f aca="false">IF($A105="",0,COUNTIFS(无形资产工时分配表!$A$6:$A$125,$A105,无形资产工时分配表!$B$6:$B$125,$B105))</f>
        <v>0</v>
      </c>
    </row>
    <row r="106" customFormat="false" ht="18" hidden="false" customHeight="true" outlineLevel="0" collapsed="false">
      <c r="A106" s="36"/>
      <c r="B106" s="36"/>
      <c r="C106" s="48" t="str">
        <f aca="false">IF($B106="","",IFERROR(VLOOKUP($B106,资产台账!$B$4:$N$53,2,0)&amp;"","台账中未登记"))</f>
        <v/>
      </c>
      <c r="D106" s="43" t="str">
        <f aca="false">IF($B106="","",IFERROR(VLOOKUP($B106,资产台账!$B$4:$N$53,3,0)&amp;"",""))</f>
        <v/>
      </c>
      <c r="E106" s="43" t="str">
        <f aca="false">IF($B106="","",IFERROR(VLOOKUP($B106,资产台账!$B$4:$N$53,10,0)&amp;"",""))</f>
        <v/>
      </c>
      <c r="F106" s="49" t="str">
        <f aca="false">IF($B106="","",IFERROR(VLOOKUP($B106,资产台账!$B$4:$N$53,9,0),0))</f>
        <v/>
      </c>
      <c r="G106" s="45" t="n">
        <f aca="false">IF(OR($A106="",$W106=0),0,INDEX(无形资产工时分配表!$F$6:$F$125,$W106))</f>
        <v>0</v>
      </c>
      <c r="H106" s="45" t="n">
        <f aca="false">IF(OR($A106="",$W106=0),0,INDEX(无形资产工时分配表!$R$6:$R$125,$W106))</f>
        <v>0</v>
      </c>
      <c r="I106" s="28" t="str">
        <f aca="false">IF(OR($A106="",$G106=0),"",$H106/$G106)</f>
        <v/>
      </c>
      <c r="J106" s="27" t="str">
        <f aca="false">IF(OR($A106="",$G106=0),"",ROUND($F106*INDEX(无形资产工时分配表!$H$6:$H$125,$W106)/$G106,2))</f>
        <v/>
      </c>
      <c r="K106" s="27" t="str">
        <f aca="false">IF(OR($A106="",$G106=0),"",ROUND($F106*INDEX(无形资产工时分配表!$I$6:$I$125,$W106)/$G106,2))</f>
        <v/>
      </c>
      <c r="L106" s="27" t="str">
        <f aca="false">IF(OR($A106="",$G106=0),"",ROUND($F106*INDEX(无形资产工时分配表!$J$6:$J$125,$W106)/$G106,2))</f>
        <v/>
      </c>
      <c r="M106" s="27" t="str">
        <f aca="false">IF(OR($A106="",$G106=0),"",ROUND($F106*INDEX(无形资产工时分配表!$K$6:$K$125,$W106)/$G106,2))</f>
        <v/>
      </c>
      <c r="N106" s="27" t="str">
        <f aca="false">IF(OR($A106="",$G106=0),"",ROUND($F106*INDEX(无形资产工时分配表!$L$6:$L$125,$W106)/$G106,2))</f>
        <v/>
      </c>
      <c r="O106" s="27" t="str">
        <f aca="false">IF(OR($A106="",$G106=0),"",ROUND($F106*INDEX(无形资产工时分配表!$M$6:$M$125,$W106)/$G106,2))</f>
        <v/>
      </c>
      <c r="P106" s="27" t="str">
        <f aca="false">IF(OR($A106="",$G106=0),"",ROUND($F106*INDEX(无形资产工时分配表!$N$6:$N$125,$W106)/$G106,2))</f>
        <v/>
      </c>
      <c r="Q106" s="27" t="str">
        <f aca="false">IF(OR($A106="",$G106=0),"",ROUND($F106*INDEX(无形资产工时分配表!$O$6:$O$125,$W106)/$G106,2))</f>
        <v/>
      </c>
      <c r="R106" s="27" t="str">
        <f aca="false">IF(OR($A106="",$G106=0),"",ROUND($F106*INDEX(无形资产工时分配表!$P$6:$P$125,$W106)/$G106,2))</f>
        <v/>
      </c>
      <c r="S106" s="27" t="str">
        <f aca="false">IF(OR($A106="",$G106=0),"",ROUND($F106*INDEX(无形资产工时分配表!$Q$6:$Q$125,$W106)/$G106,2))</f>
        <v/>
      </c>
      <c r="T106" s="27" t="str">
        <f aca="false">IF($A106="","",ROUND(SUM(J106:S106),2))</f>
        <v/>
      </c>
      <c r="U106" s="27" t="str">
        <f aca="false">IF($A106="","",ROUND($F106-T106,2))</f>
        <v/>
      </c>
      <c r="V106" s="43" t="str">
        <f aca="false">IF($A106="","",IF($D106="设备","⚠ 设备请在仪器设备工时费用分配表登记",IF($W106=0,"⚠ 工时分配表无此资产当月记录",IF($X106&gt;1,"⚠ 工时分配表存在重复行","√ 正常"))))</f>
        <v/>
      </c>
      <c r="W106" s="47" t="n">
        <f aca="false">IF($A106="",0,IFERROR(MATCH($A106&amp;"|"&amp;$B106,无形资产工时分配表!$V$6:$V$125,0),0))</f>
        <v>0</v>
      </c>
      <c r="X106" s="47" t="n">
        <f aca="false">IF($A106="",0,COUNTIFS(无形资产工时分配表!$A$6:$A$125,$A106,无形资产工时分配表!$B$6:$B$125,$B106))</f>
        <v>0</v>
      </c>
    </row>
    <row r="107" customFormat="false" ht="18" hidden="false" customHeight="true" outlineLevel="0" collapsed="false">
      <c r="A107" s="36"/>
      <c r="B107" s="36"/>
      <c r="C107" s="48" t="str">
        <f aca="false">IF($B107="","",IFERROR(VLOOKUP($B107,资产台账!$B$4:$N$53,2,0)&amp;"","台账中未登记"))</f>
        <v/>
      </c>
      <c r="D107" s="43" t="str">
        <f aca="false">IF($B107="","",IFERROR(VLOOKUP($B107,资产台账!$B$4:$N$53,3,0)&amp;"",""))</f>
        <v/>
      </c>
      <c r="E107" s="43" t="str">
        <f aca="false">IF($B107="","",IFERROR(VLOOKUP($B107,资产台账!$B$4:$N$53,10,0)&amp;"",""))</f>
        <v/>
      </c>
      <c r="F107" s="49" t="str">
        <f aca="false">IF($B107="","",IFERROR(VLOOKUP($B107,资产台账!$B$4:$N$53,9,0),0))</f>
        <v/>
      </c>
      <c r="G107" s="45" t="n">
        <f aca="false">IF(OR($A107="",$W107=0),0,INDEX(无形资产工时分配表!$F$6:$F$125,$W107))</f>
        <v>0</v>
      </c>
      <c r="H107" s="45" t="n">
        <f aca="false">IF(OR($A107="",$W107=0),0,INDEX(无形资产工时分配表!$R$6:$R$125,$W107))</f>
        <v>0</v>
      </c>
      <c r="I107" s="28" t="str">
        <f aca="false">IF(OR($A107="",$G107=0),"",$H107/$G107)</f>
        <v/>
      </c>
      <c r="J107" s="27" t="str">
        <f aca="false">IF(OR($A107="",$G107=0),"",ROUND($F107*INDEX(无形资产工时分配表!$H$6:$H$125,$W107)/$G107,2))</f>
        <v/>
      </c>
      <c r="K107" s="27" t="str">
        <f aca="false">IF(OR($A107="",$G107=0),"",ROUND($F107*INDEX(无形资产工时分配表!$I$6:$I$125,$W107)/$G107,2))</f>
        <v/>
      </c>
      <c r="L107" s="27" t="str">
        <f aca="false">IF(OR($A107="",$G107=0),"",ROUND($F107*INDEX(无形资产工时分配表!$J$6:$J$125,$W107)/$G107,2))</f>
        <v/>
      </c>
      <c r="M107" s="27" t="str">
        <f aca="false">IF(OR($A107="",$G107=0),"",ROUND($F107*INDEX(无形资产工时分配表!$K$6:$K$125,$W107)/$G107,2))</f>
        <v/>
      </c>
      <c r="N107" s="27" t="str">
        <f aca="false">IF(OR($A107="",$G107=0),"",ROUND($F107*INDEX(无形资产工时分配表!$L$6:$L$125,$W107)/$G107,2))</f>
        <v/>
      </c>
      <c r="O107" s="27" t="str">
        <f aca="false">IF(OR($A107="",$G107=0),"",ROUND($F107*INDEX(无形资产工时分配表!$M$6:$M$125,$W107)/$G107,2))</f>
        <v/>
      </c>
      <c r="P107" s="27" t="str">
        <f aca="false">IF(OR($A107="",$G107=0),"",ROUND($F107*INDEX(无形资产工时分配表!$N$6:$N$125,$W107)/$G107,2))</f>
        <v/>
      </c>
      <c r="Q107" s="27" t="str">
        <f aca="false">IF(OR($A107="",$G107=0),"",ROUND($F107*INDEX(无形资产工时分配表!$O$6:$O$125,$W107)/$G107,2))</f>
        <v/>
      </c>
      <c r="R107" s="27" t="str">
        <f aca="false">IF(OR($A107="",$G107=0),"",ROUND($F107*INDEX(无形资产工时分配表!$P$6:$P$125,$W107)/$G107,2))</f>
        <v/>
      </c>
      <c r="S107" s="27" t="str">
        <f aca="false">IF(OR($A107="",$G107=0),"",ROUND($F107*INDEX(无形资产工时分配表!$Q$6:$Q$125,$W107)/$G107,2))</f>
        <v/>
      </c>
      <c r="T107" s="27" t="str">
        <f aca="false">IF($A107="","",ROUND(SUM(J107:S107),2))</f>
        <v/>
      </c>
      <c r="U107" s="27" t="str">
        <f aca="false">IF($A107="","",ROUND($F107-T107,2))</f>
        <v/>
      </c>
      <c r="V107" s="43" t="str">
        <f aca="false">IF($A107="","",IF($D107="设备","⚠ 设备请在仪器设备工时费用分配表登记",IF($W107=0,"⚠ 工时分配表无此资产当月记录",IF($X107&gt;1,"⚠ 工时分配表存在重复行","√ 正常"))))</f>
        <v/>
      </c>
      <c r="W107" s="47" t="n">
        <f aca="false">IF($A107="",0,IFERROR(MATCH($A107&amp;"|"&amp;$B107,无形资产工时分配表!$V$6:$V$125,0),0))</f>
        <v>0</v>
      </c>
      <c r="X107" s="47" t="n">
        <f aca="false">IF($A107="",0,COUNTIFS(无形资产工时分配表!$A$6:$A$125,$A107,无形资产工时分配表!$B$6:$B$125,$B107))</f>
        <v>0</v>
      </c>
    </row>
    <row r="108" customFormat="false" ht="18" hidden="false" customHeight="true" outlineLevel="0" collapsed="false">
      <c r="A108" s="36"/>
      <c r="B108" s="36"/>
      <c r="C108" s="48" t="str">
        <f aca="false">IF($B108="","",IFERROR(VLOOKUP($B108,资产台账!$B$4:$N$53,2,0)&amp;"","台账中未登记"))</f>
        <v/>
      </c>
      <c r="D108" s="43" t="str">
        <f aca="false">IF($B108="","",IFERROR(VLOOKUP($B108,资产台账!$B$4:$N$53,3,0)&amp;"",""))</f>
        <v/>
      </c>
      <c r="E108" s="43" t="str">
        <f aca="false">IF($B108="","",IFERROR(VLOOKUP($B108,资产台账!$B$4:$N$53,10,0)&amp;"",""))</f>
        <v/>
      </c>
      <c r="F108" s="49" t="str">
        <f aca="false">IF($B108="","",IFERROR(VLOOKUP($B108,资产台账!$B$4:$N$53,9,0),0))</f>
        <v/>
      </c>
      <c r="G108" s="45" t="n">
        <f aca="false">IF(OR($A108="",$W108=0),0,INDEX(无形资产工时分配表!$F$6:$F$125,$W108))</f>
        <v>0</v>
      </c>
      <c r="H108" s="45" t="n">
        <f aca="false">IF(OR($A108="",$W108=0),0,INDEX(无形资产工时分配表!$R$6:$R$125,$W108))</f>
        <v>0</v>
      </c>
      <c r="I108" s="28" t="str">
        <f aca="false">IF(OR($A108="",$G108=0),"",$H108/$G108)</f>
        <v/>
      </c>
      <c r="J108" s="27" t="str">
        <f aca="false">IF(OR($A108="",$G108=0),"",ROUND($F108*INDEX(无形资产工时分配表!$H$6:$H$125,$W108)/$G108,2))</f>
        <v/>
      </c>
      <c r="K108" s="27" t="str">
        <f aca="false">IF(OR($A108="",$G108=0),"",ROUND($F108*INDEX(无形资产工时分配表!$I$6:$I$125,$W108)/$G108,2))</f>
        <v/>
      </c>
      <c r="L108" s="27" t="str">
        <f aca="false">IF(OR($A108="",$G108=0),"",ROUND($F108*INDEX(无形资产工时分配表!$J$6:$J$125,$W108)/$G108,2))</f>
        <v/>
      </c>
      <c r="M108" s="27" t="str">
        <f aca="false">IF(OR($A108="",$G108=0),"",ROUND($F108*INDEX(无形资产工时分配表!$K$6:$K$125,$W108)/$G108,2))</f>
        <v/>
      </c>
      <c r="N108" s="27" t="str">
        <f aca="false">IF(OR($A108="",$G108=0),"",ROUND($F108*INDEX(无形资产工时分配表!$L$6:$L$125,$W108)/$G108,2))</f>
        <v/>
      </c>
      <c r="O108" s="27" t="str">
        <f aca="false">IF(OR($A108="",$G108=0),"",ROUND($F108*INDEX(无形资产工时分配表!$M$6:$M$125,$W108)/$G108,2))</f>
        <v/>
      </c>
      <c r="P108" s="27" t="str">
        <f aca="false">IF(OR($A108="",$G108=0),"",ROUND($F108*INDEX(无形资产工时分配表!$N$6:$N$125,$W108)/$G108,2))</f>
        <v/>
      </c>
      <c r="Q108" s="27" t="str">
        <f aca="false">IF(OR($A108="",$G108=0),"",ROUND($F108*INDEX(无形资产工时分配表!$O$6:$O$125,$W108)/$G108,2))</f>
        <v/>
      </c>
      <c r="R108" s="27" t="str">
        <f aca="false">IF(OR($A108="",$G108=0),"",ROUND($F108*INDEX(无形资产工时分配表!$P$6:$P$125,$W108)/$G108,2))</f>
        <v/>
      </c>
      <c r="S108" s="27" t="str">
        <f aca="false">IF(OR($A108="",$G108=0),"",ROUND($F108*INDEX(无形资产工时分配表!$Q$6:$Q$125,$W108)/$G108,2))</f>
        <v/>
      </c>
      <c r="T108" s="27" t="str">
        <f aca="false">IF($A108="","",ROUND(SUM(J108:S108),2))</f>
        <v/>
      </c>
      <c r="U108" s="27" t="str">
        <f aca="false">IF($A108="","",ROUND($F108-T108,2))</f>
        <v/>
      </c>
      <c r="V108" s="43" t="str">
        <f aca="false">IF($A108="","",IF($D108="设备","⚠ 设备请在仪器设备工时费用分配表登记",IF($W108=0,"⚠ 工时分配表无此资产当月记录",IF($X108&gt;1,"⚠ 工时分配表存在重复行","√ 正常"))))</f>
        <v/>
      </c>
      <c r="W108" s="47" t="n">
        <f aca="false">IF($A108="",0,IFERROR(MATCH($A108&amp;"|"&amp;$B108,无形资产工时分配表!$V$6:$V$125,0),0))</f>
        <v>0</v>
      </c>
      <c r="X108" s="47" t="n">
        <f aca="false">IF($A108="",0,COUNTIFS(无形资产工时分配表!$A$6:$A$125,$A108,无形资产工时分配表!$B$6:$B$125,$B108))</f>
        <v>0</v>
      </c>
    </row>
    <row r="109" customFormat="false" ht="18" hidden="false" customHeight="true" outlineLevel="0" collapsed="false">
      <c r="A109" s="36"/>
      <c r="B109" s="36"/>
      <c r="C109" s="48" t="str">
        <f aca="false">IF($B109="","",IFERROR(VLOOKUP($B109,资产台账!$B$4:$N$53,2,0)&amp;"","台账中未登记"))</f>
        <v/>
      </c>
      <c r="D109" s="43" t="str">
        <f aca="false">IF($B109="","",IFERROR(VLOOKUP($B109,资产台账!$B$4:$N$53,3,0)&amp;"",""))</f>
        <v/>
      </c>
      <c r="E109" s="43" t="str">
        <f aca="false">IF($B109="","",IFERROR(VLOOKUP($B109,资产台账!$B$4:$N$53,10,0)&amp;"",""))</f>
        <v/>
      </c>
      <c r="F109" s="49" t="str">
        <f aca="false">IF($B109="","",IFERROR(VLOOKUP($B109,资产台账!$B$4:$N$53,9,0),0))</f>
        <v/>
      </c>
      <c r="G109" s="45" t="n">
        <f aca="false">IF(OR($A109="",$W109=0),0,INDEX(无形资产工时分配表!$F$6:$F$125,$W109))</f>
        <v>0</v>
      </c>
      <c r="H109" s="45" t="n">
        <f aca="false">IF(OR($A109="",$W109=0),0,INDEX(无形资产工时分配表!$R$6:$R$125,$W109))</f>
        <v>0</v>
      </c>
      <c r="I109" s="28" t="str">
        <f aca="false">IF(OR($A109="",$G109=0),"",$H109/$G109)</f>
        <v/>
      </c>
      <c r="J109" s="27" t="str">
        <f aca="false">IF(OR($A109="",$G109=0),"",ROUND($F109*INDEX(无形资产工时分配表!$H$6:$H$125,$W109)/$G109,2))</f>
        <v/>
      </c>
      <c r="K109" s="27" t="str">
        <f aca="false">IF(OR($A109="",$G109=0),"",ROUND($F109*INDEX(无形资产工时分配表!$I$6:$I$125,$W109)/$G109,2))</f>
        <v/>
      </c>
      <c r="L109" s="27" t="str">
        <f aca="false">IF(OR($A109="",$G109=0),"",ROUND($F109*INDEX(无形资产工时分配表!$J$6:$J$125,$W109)/$G109,2))</f>
        <v/>
      </c>
      <c r="M109" s="27" t="str">
        <f aca="false">IF(OR($A109="",$G109=0),"",ROUND($F109*INDEX(无形资产工时分配表!$K$6:$K$125,$W109)/$G109,2))</f>
        <v/>
      </c>
      <c r="N109" s="27" t="str">
        <f aca="false">IF(OR($A109="",$G109=0),"",ROUND($F109*INDEX(无形资产工时分配表!$L$6:$L$125,$W109)/$G109,2))</f>
        <v/>
      </c>
      <c r="O109" s="27" t="str">
        <f aca="false">IF(OR($A109="",$G109=0),"",ROUND($F109*INDEX(无形资产工时分配表!$M$6:$M$125,$W109)/$G109,2))</f>
        <v/>
      </c>
      <c r="P109" s="27" t="str">
        <f aca="false">IF(OR($A109="",$G109=0),"",ROUND($F109*INDEX(无形资产工时分配表!$N$6:$N$125,$W109)/$G109,2))</f>
        <v/>
      </c>
      <c r="Q109" s="27" t="str">
        <f aca="false">IF(OR($A109="",$G109=0),"",ROUND($F109*INDEX(无形资产工时分配表!$O$6:$O$125,$W109)/$G109,2))</f>
        <v/>
      </c>
      <c r="R109" s="27" t="str">
        <f aca="false">IF(OR($A109="",$G109=0),"",ROUND($F109*INDEX(无形资产工时分配表!$P$6:$P$125,$W109)/$G109,2))</f>
        <v/>
      </c>
      <c r="S109" s="27" t="str">
        <f aca="false">IF(OR($A109="",$G109=0),"",ROUND($F109*INDEX(无形资产工时分配表!$Q$6:$Q$125,$W109)/$G109,2))</f>
        <v/>
      </c>
      <c r="T109" s="27" t="str">
        <f aca="false">IF($A109="","",ROUND(SUM(J109:S109),2))</f>
        <v/>
      </c>
      <c r="U109" s="27" t="str">
        <f aca="false">IF($A109="","",ROUND($F109-T109,2))</f>
        <v/>
      </c>
      <c r="V109" s="43" t="str">
        <f aca="false">IF($A109="","",IF($D109="设备","⚠ 设备请在仪器设备工时费用分配表登记",IF($W109=0,"⚠ 工时分配表无此资产当月记录",IF($X109&gt;1,"⚠ 工时分配表存在重复行","√ 正常"))))</f>
        <v/>
      </c>
      <c r="W109" s="47" t="n">
        <f aca="false">IF($A109="",0,IFERROR(MATCH($A109&amp;"|"&amp;$B109,无形资产工时分配表!$V$6:$V$125,0),0))</f>
        <v>0</v>
      </c>
      <c r="X109" s="47" t="n">
        <f aca="false">IF($A109="",0,COUNTIFS(无形资产工时分配表!$A$6:$A$125,$A109,无形资产工时分配表!$B$6:$B$125,$B109))</f>
        <v>0</v>
      </c>
    </row>
    <row r="110" customFormat="false" ht="18" hidden="false" customHeight="true" outlineLevel="0" collapsed="false">
      <c r="A110" s="36"/>
      <c r="B110" s="36"/>
      <c r="C110" s="48" t="str">
        <f aca="false">IF($B110="","",IFERROR(VLOOKUP($B110,资产台账!$B$4:$N$53,2,0)&amp;"","台账中未登记"))</f>
        <v/>
      </c>
      <c r="D110" s="43" t="str">
        <f aca="false">IF($B110="","",IFERROR(VLOOKUP($B110,资产台账!$B$4:$N$53,3,0)&amp;"",""))</f>
        <v/>
      </c>
      <c r="E110" s="43" t="str">
        <f aca="false">IF($B110="","",IFERROR(VLOOKUP($B110,资产台账!$B$4:$N$53,10,0)&amp;"",""))</f>
        <v/>
      </c>
      <c r="F110" s="49" t="str">
        <f aca="false">IF($B110="","",IFERROR(VLOOKUP($B110,资产台账!$B$4:$N$53,9,0),0))</f>
        <v/>
      </c>
      <c r="G110" s="45" t="n">
        <f aca="false">IF(OR($A110="",$W110=0),0,INDEX(无形资产工时分配表!$F$6:$F$125,$W110))</f>
        <v>0</v>
      </c>
      <c r="H110" s="45" t="n">
        <f aca="false">IF(OR($A110="",$W110=0),0,INDEX(无形资产工时分配表!$R$6:$R$125,$W110))</f>
        <v>0</v>
      </c>
      <c r="I110" s="28" t="str">
        <f aca="false">IF(OR($A110="",$G110=0),"",$H110/$G110)</f>
        <v/>
      </c>
      <c r="J110" s="27" t="str">
        <f aca="false">IF(OR($A110="",$G110=0),"",ROUND($F110*INDEX(无形资产工时分配表!$H$6:$H$125,$W110)/$G110,2))</f>
        <v/>
      </c>
      <c r="K110" s="27" t="str">
        <f aca="false">IF(OR($A110="",$G110=0),"",ROUND($F110*INDEX(无形资产工时分配表!$I$6:$I$125,$W110)/$G110,2))</f>
        <v/>
      </c>
      <c r="L110" s="27" t="str">
        <f aca="false">IF(OR($A110="",$G110=0),"",ROUND($F110*INDEX(无形资产工时分配表!$J$6:$J$125,$W110)/$G110,2))</f>
        <v/>
      </c>
      <c r="M110" s="27" t="str">
        <f aca="false">IF(OR($A110="",$G110=0),"",ROUND($F110*INDEX(无形资产工时分配表!$K$6:$K$125,$W110)/$G110,2))</f>
        <v/>
      </c>
      <c r="N110" s="27" t="str">
        <f aca="false">IF(OR($A110="",$G110=0),"",ROUND($F110*INDEX(无形资产工时分配表!$L$6:$L$125,$W110)/$G110,2))</f>
        <v/>
      </c>
      <c r="O110" s="27" t="str">
        <f aca="false">IF(OR($A110="",$G110=0),"",ROUND($F110*INDEX(无形资产工时分配表!$M$6:$M$125,$W110)/$G110,2))</f>
        <v/>
      </c>
      <c r="P110" s="27" t="str">
        <f aca="false">IF(OR($A110="",$G110=0),"",ROUND($F110*INDEX(无形资产工时分配表!$N$6:$N$125,$W110)/$G110,2))</f>
        <v/>
      </c>
      <c r="Q110" s="27" t="str">
        <f aca="false">IF(OR($A110="",$G110=0),"",ROUND($F110*INDEX(无形资产工时分配表!$O$6:$O$125,$W110)/$G110,2))</f>
        <v/>
      </c>
      <c r="R110" s="27" t="str">
        <f aca="false">IF(OR($A110="",$G110=0),"",ROUND($F110*INDEX(无形资产工时分配表!$P$6:$P$125,$W110)/$G110,2))</f>
        <v/>
      </c>
      <c r="S110" s="27" t="str">
        <f aca="false">IF(OR($A110="",$G110=0),"",ROUND($F110*INDEX(无形资产工时分配表!$Q$6:$Q$125,$W110)/$G110,2))</f>
        <v/>
      </c>
      <c r="T110" s="27" t="str">
        <f aca="false">IF($A110="","",ROUND(SUM(J110:S110),2))</f>
        <v/>
      </c>
      <c r="U110" s="27" t="str">
        <f aca="false">IF($A110="","",ROUND($F110-T110,2))</f>
        <v/>
      </c>
      <c r="V110" s="43" t="str">
        <f aca="false">IF($A110="","",IF($D110="设备","⚠ 设备请在仪器设备工时费用分配表登记",IF($W110=0,"⚠ 工时分配表无此资产当月记录",IF($X110&gt;1,"⚠ 工时分配表存在重复行","√ 正常"))))</f>
        <v/>
      </c>
      <c r="W110" s="47" t="n">
        <f aca="false">IF($A110="",0,IFERROR(MATCH($A110&amp;"|"&amp;$B110,无形资产工时分配表!$V$6:$V$125,0),0))</f>
        <v>0</v>
      </c>
      <c r="X110" s="47" t="n">
        <f aca="false">IF($A110="",0,COUNTIFS(无形资产工时分配表!$A$6:$A$125,$A110,无形资产工时分配表!$B$6:$B$125,$B110))</f>
        <v>0</v>
      </c>
    </row>
    <row r="111" customFormat="false" ht="18" hidden="false" customHeight="true" outlineLevel="0" collapsed="false">
      <c r="A111" s="36"/>
      <c r="B111" s="36"/>
      <c r="C111" s="48" t="str">
        <f aca="false">IF($B111="","",IFERROR(VLOOKUP($B111,资产台账!$B$4:$N$53,2,0)&amp;"","台账中未登记"))</f>
        <v/>
      </c>
      <c r="D111" s="43" t="str">
        <f aca="false">IF($B111="","",IFERROR(VLOOKUP($B111,资产台账!$B$4:$N$53,3,0)&amp;"",""))</f>
        <v/>
      </c>
      <c r="E111" s="43" t="str">
        <f aca="false">IF($B111="","",IFERROR(VLOOKUP($B111,资产台账!$B$4:$N$53,10,0)&amp;"",""))</f>
        <v/>
      </c>
      <c r="F111" s="49" t="str">
        <f aca="false">IF($B111="","",IFERROR(VLOOKUP($B111,资产台账!$B$4:$N$53,9,0),0))</f>
        <v/>
      </c>
      <c r="G111" s="45" t="n">
        <f aca="false">IF(OR($A111="",$W111=0),0,INDEX(无形资产工时分配表!$F$6:$F$125,$W111))</f>
        <v>0</v>
      </c>
      <c r="H111" s="45" t="n">
        <f aca="false">IF(OR($A111="",$W111=0),0,INDEX(无形资产工时分配表!$R$6:$R$125,$W111))</f>
        <v>0</v>
      </c>
      <c r="I111" s="28" t="str">
        <f aca="false">IF(OR($A111="",$G111=0),"",$H111/$G111)</f>
        <v/>
      </c>
      <c r="J111" s="27" t="str">
        <f aca="false">IF(OR($A111="",$G111=0),"",ROUND($F111*INDEX(无形资产工时分配表!$H$6:$H$125,$W111)/$G111,2))</f>
        <v/>
      </c>
      <c r="K111" s="27" t="str">
        <f aca="false">IF(OR($A111="",$G111=0),"",ROUND($F111*INDEX(无形资产工时分配表!$I$6:$I$125,$W111)/$G111,2))</f>
        <v/>
      </c>
      <c r="L111" s="27" t="str">
        <f aca="false">IF(OR($A111="",$G111=0),"",ROUND($F111*INDEX(无形资产工时分配表!$J$6:$J$125,$W111)/$G111,2))</f>
        <v/>
      </c>
      <c r="M111" s="27" t="str">
        <f aca="false">IF(OR($A111="",$G111=0),"",ROUND($F111*INDEX(无形资产工时分配表!$K$6:$K$125,$W111)/$G111,2))</f>
        <v/>
      </c>
      <c r="N111" s="27" t="str">
        <f aca="false">IF(OR($A111="",$G111=0),"",ROUND($F111*INDEX(无形资产工时分配表!$L$6:$L$125,$W111)/$G111,2))</f>
        <v/>
      </c>
      <c r="O111" s="27" t="str">
        <f aca="false">IF(OR($A111="",$G111=0),"",ROUND($F111*INDEX(无形资产工时分配表!$M$6:$M$125,$W111)/$G111,2))</f>
        <v/>
      </c>
      <c r="P111" s="27" t="str">
        <f aca="false">IF(OR($A111="",$G111=0),"",ROUND($F111*INDEX(无形资产工时分配表!$N$6:$N$125,$W111)/$G111,2))</f>
        <v/>
      </c>
      <c r="Q111" s="27" t="str">
        <f aca="false">IF(OR($A111="",$G111=0),"",ROUND($F111*INDEX(无形资产工时分配表!$O$6:$O$125,$W111)/$G111,2))</f>
        <v/>
      </c>
      <c r="R111" s="27" t="str">
        <f aca="false">IF(OR($A111="",$G111=0),"",ROUND($F111*INDEX(无形资产工时分配表!$P$6:$P$125,$W111)/$G111,2))</f>
        <v/>
      </c>
      <c r="S111" s="27" t="str">
        <f aca="false">IF(OR($A111="",$G111=0),"",ROUND($F111*INDEX(无形资产工时分配表!$Q$6:$Q$125,$W111)/$G111,2))</f>
        <v/>
      </c>
      <c r="T111" s="27" t="str">
        <f aca="false">IF($A111="","",ROUND(SUM(J111:S111),2))</f>
        <v/>
      </c>
      <c r="U111" s="27" t="str">
        <f aca="false">IF($A111="","",ROUND($F111-T111,2))</f>
        <v/>
      </c>
      <c r="V111" s="43" t="str">
        <f aca="false">IF($A111="","",IF($D111="设备","⚠ 设备请在仪器设备工时费用分配表登记",IF($W111=0,"⚠ 工时分配表无此资产当月记录",IF($X111&gt;1,"⚠ 工时分配表存在重复行","√ 正常"))))</f>
        <v/>
      </c>
      <c r="W111" s="47" t="n">
        <f aca="false">IF($A111="",0,IFERROR(MATCH($A111&amp;"|"&amp;$B111,无形资产工时分配表!$V$6:$V$125,0),0))</f>
        <v>0</v>
      </c>
      <c r="X111" s="47" t="n">
        <f aca="false">IF($A111="",0,COUNTIFS(无形资产工时分配表!$A$6:$A$125,$A111,无形资产工时分配表!$B$6:$B$125,$B111))</f>
        <v>0</v>
      </c>
    </row>
    <row r="112" customFormat="false" ht="18" hidden="false" customHeight="true" outlineLevel="0" collapsed="false">
      <c r="A112" s="36"/>
      <c r="B112" s="36"/>
      <c r="C112" s="48" t="str">
        <f aca="false">IF($B112="","",IFERROR(VLOOKUP($B112,资产台账!$B$4:$N$53,2,0)&amp;"","台账中未登记"))</f>
        <v/>
      </c>
      <c r="D112" s="43" t="str">
        <f aca="false">IF($B112="","",IFERROR(VLOOKUP($B112,资产台账!$B$4:$N$53,3,0)&amp;"",""))</f>
        <v/>
      </c>
      <c r="E112" s="43" t="str">
        <f aca="false">IF($B112="","",IFERROR(VLOOKUP($B112,资产台账!$B$4:$N$53,10,0)&amp;"",""))</f>
        <v/>
      </c>
      <c r="F112" s="49" t="str">
        <f aca="false">IF($B112="","",IFERROR(VLOOKUP($B112,资产台账!$B$4:$N$53,9,0),0))</f>
        <v/>
      </c>
      <c r="G112" s="45" t="n">
        <f aca="false">IF(OR($A112="",$W112=0),0,INDEX(无形资产工时分配表!$F$6:$F$125,$W112))</f>
        <v>0</v>
      </c>
      <c r="H112" s="45" t="n">
        <f aca="false">IF(OR($A112="",$W112=0),0,INDEX(无形资产工时分配表!$R$6:$R$125,$W112))</f>
        <v>0</v>
      </c>
      <c r="I112" s="28" t="str">
        <f aca="false">IF(OR($A112="",$G112=0),"",$H112/$G112)</f>
        <v/>
      </c>
      <c r="J112" s="27" t="str">
        <f aca="false">IF(OR($A112="",$G112=0),"",ROUND($F112*INDEX(无形资产工时分配表!$H$6:$H$125,$W112)/$G112,2))</f>
        <v/>
      </c>
      <c r="K112" s="27" t="str">
        <f aca="false">IF(OR($A112="",$G112=0),"",ROUND($F112*INDEX(无形资产工时分配表!$I$6:$I$125,$W112)/$G112,2))</f>
        <v/>
      </c>
      <c r="L112" s="27" t="str">
        <f aca="false">IF(OR($A112="",$G112=0),"",ROUND($F112*INDEX(无形资产工时分配表!$J$6:$J$125,$W112)/$G112,2))</f>
        <v/>
      </c>
      <c r="M112" s="27" t="str">
        <f aca="false">IF(OR($A112="",$G112=0),"",ROUND($F112*INDEX(无形资产工时分配表!$K$6:$K$125,$W112)/$G112,2))</f>
        <v/>
      </c>
      <c r="N112" s="27" t="str">
        <f aca="false">IF(OR($A112="",$G112=0),"",ROUND($F112*INDEX(无形资产工时分配表!$L$6:$L$125,$W112)/$G112,2))</f>
        <v/>
      </c>
      <c r="O112" s="27" t="str">
        <f aca="false">IF(OR($A112="",$G112=0),"",ROUND($F112*INDEX(无形资产工时分配表!$M$6:$M$125,$W112)/$G112,2))</f>
        <v/>
      </c>
      <c r="P112" s="27" t="str">
        <f aca="false">IF(OR($A112="",$G112=0),"",ROUND($F112*INDEX(无形资产工时分配表!$N$6:$N$125,$W112)/$G112,2))</f>
        <v/>
      </c>
      <c r="Q112" s="27" t="str">
        <f aca="false">IF(OR($A112="",$G112=0),"",ROUND($F112*INDEX(无形资产工时分配表!$O$6:$O$125,$W112)/$G112,2))</f>
        <v/>
      </c>
      <c r="R112" s="27" t="str">
        <f aca="false">IF(OR($A112="",$G112=0),"",ROUND($F112*INDEX(无形资产工时分配表!$P$6:$P$125,$W112)/$G112,2))</f>
        <v/>
      </c>
      <c r="S112" s="27" t="str">
        <f aca="false">IF(OR($A112="",$G112=0),"",ROUND($F112*INDEX(无形资产工时分配表!$Q$6:$Q$125,$W112)/$G112,2))</f>
        <v/>
      </c>
      <c r="T112" s="27" t="str">
        <f aca="false">IF($A112="","",ROUND(SUM(J112:S112),2))</f>
        <v/>
      </c>
      <c r="U112" s="27" t="str">
        <f aca="false">IF($A112="","",ROUND($F112-T112,2))</f>
        <v/>
      </c>
      <c r="V112" s="43" t="str">
        <f aca="false">IF($A112="","",IF($D112="设备","⚠ 设备请在仪器设备工时费用分配表登记",IF($W112=0,"⚠ 工时分配表无此资产当月记录",IF($X112&gt;1,"⚠ 工时分配表存在重复行","√ 正常"))))</f>
        <v/>
      </c>
      <c r="W112" s="47" t="n">
        <f aca="false">IF($A112="",0,IFERROR(MATCH($A112&amp;"|"&amp;$B112,无形资产工时分配表!$V$6:$V$125,0),0))</f>
        <v>0</v>
      </c>
      <c r="X112" s="47" t="n">
        <f aca="false">IF($A112="",0,COUNTIFS(无形资产工时分配表!$A$6:$A$125,$A112,无形资产工时分配表!$B$6:$B$125,$B112))</f>
        <v>0</v>
      </c>
    </row>
    <row r="113" customFormat="false" ht="18" hidden="false" customHeight="true" outlineLevel="0" collapsed="false">
      <c r="A113" s="36"/>
      <c r="B113" s="36"/>
      <c r="C113" s="48" t="str">
        <f aca="false">IF($B113="","",IFERROR(VLOOKUP($B113,资产台账!$B$4:$N$53,2,0)&amp;"","台账中未登记"))</f>
        <v/>
      </c>
      <c r="D113" s="43" t="str">
        <f aca="false">IF($B113="","",IFERROR(VLOOKUP($B113,资产台账!$B$4:$N$53,3,0)&amp;"",""))</f>
        <v/>
      </c>
      <c r="E113" s="43" t="str">
        <f aca="false">IF($B113="","",IFERROR(VLOOKUP($B113,资产台账!$B$4:$N$53,10,0)&amp;"",""))</f>
        <v/>
      </c>
      <c r="F113" s="49" t="str">
        <f aca="false">IF($B113="","",IFERROR(VLOOKUP($B113,资产台账!$B$4:$N$53,9,0),0))</f>
        <v/>
      </c>
      <c r="G113" s="45" t="n">
        <f aca="false">IF(OR($A113="",$W113=0),0,INDEX(无形资产工时分配表!$F$6:$F$125,$W113))</f>
        <v>0</v>
      </c>
      <c r="H113" s="45" t="n">
        <f aca="false">IF(OR($A113="",$W113=0),0,INDEX(无形资产工时分配表!$R$6:$R$125,$W113))</f>
        <v>0</v>
      </c>
      <c r="I113" s="28" t="str">
        <f aca="false">IF(OR($A113="",$G113=0),"",$H113/$G113)</f>
        <v/>
      </c>
      <c r="J113" s="27" t="str">
        <f aca="false">IF(OR($A113="",$G113=0),"",ROUND($F113*INDEX(无形资产工时分配表!$H$6:$H$125,$W113)/$G113,2))</f>
        <v/>
      </c>
      <c r="K113" s="27" t="str">
        <f aca="false">IF(OR($A113="",$G113=0),"",ROUND($F113*INDEX(无形资产工时分配表!$I$6:$I$125,$W113)/$G113,2))</f>
        <v/>
      </c>
      <c r="L113" s="27" t="str">
        <f aca="false">IF(OR($A113="",$G113=0),"",ROUND($F113*INDEX(无形资产工时分配表!$J$6:$J$125,$W113)/$G113,2))</f>
        <v/>
      </c>
      <c r="M113" s="27" t="str">
        <f aca="false">IF(OR($A113="",$G113=0),"",ROUND($F113*INDEX(无形资产工时分配表!$K$6:$K$125,$W113)/$G113,2))</f>
        <v/>
      </c>
      <c r="N113" s="27" t="str">
        <f aca="false">IF(OR($A113="",$G113=0),"",ROUND($F113*INDEX(无形资产工时分配表!$L$6:$L$125,$W113)/$G113,2))</f>
        <v/>
      </c>
      <c r="O113" s="27" t="str">
        <f aca="false">IF(OR($A113="",$G113=0),"",ROUND($F113*INDEX(无形资产工时分配表!$M$6:$M$125,$W113)/$G113,2))</f>
        <v/>
      </c>
      <c r="P113" s="27" t="str">
        <f aca="false">IF(OR($A113="",$G113=0),"",ROUND($F113*INDEX(无形资产工时分配表!$N$6:$N$125,$W113)/$G113,2))</f>
        <v/>
      </c>
      <c r="Q113" s="27" t="str">
        <f aca="false">IF(OR($A113="",$G113=0),"",ROUND($F113*INDEX(无形资产工时分配表!$O$6:$O$125,$W113)/$G113,2))</f>
        <v/>
      </c>
      <c r="R113" s="27" t="str">
        <f aca="false">IF(OR($A113="",$G113=0),"",ROUND($F113*INDEX(无形资产工时分配表!$P$6:$P$125,$W113)/$G113,2))</f>
        <v/>
      </c>
      <c r="S113" s="27" t="str">
        <f aca="false">IF(OR($A113="",$G113=0),"",ROUND($F113*INDEX(无形资产工时分配表!$Q$6:$Q$125,$W113)/$G113,2))</f>
        <v/>
      </c>
      <c r="T113" s="27" t="str">
        <f aca="false">IF($A113="","",ROUND(SUM(J113:S113),2))</f>
        <v/>
      </c>
      <c r="U113" s="27" t="str">
        <f aca="false">IF($A113="","",ROUND($F113-T113,2))</f>
        <v/>
      </c>
      <c r="V113" s="43" t="str">
        <f aca="false">IF($A113="","",IF($D113="设备","⚠ 设备请在仪器设备工时费用分配表登记",IF($W113=0,"⚠ 工时分配表无此资产当月记录",IF($X113&gt;1,"⚠ 工时分配表存在重复行","√ 正常"))))</f>
        <v/>
      </c>
      <c r="W113" s="47" t="n">
        <f aca="false">IF($A113="",0,IFERROR(MATCH($A113&amp;"|"&amp;$B113,无形资产工时分配表!$V$6:$V$125,0),0))</f>
        <v>0</v>
      </c>
      <c r="X113" s="47" t="n">
        <f aca="false">IF($A113="",0,COUNTIFS(无形资产工时分配表!$A$6:$A$125,$A113,无形资产工时分配表!$B$6:$B$125,$B113))</f>
        <v>0</v>
      </c>
    </row>
    <row r="114" customFormat="false" ht="18" hidden="false" customHeight="true" outlineLevel="0" collapsed="false">
      <c r="A114" s="36"/>
      <c r="B114" s="36"/>
      <c r="C114" s="48" t="str">
        <f aca="false">IF($B114="","",IFERROR(VLOOKUP($B114,资产台账!$B$4:$N$53,2,0)&amp;"","台账中未登记"))</f>
        <v/>
      </c>
      <c r="D114" s="43" t="str">
        <f aca="false">IF($B114="","",IFERROR(VLOOKUP($B114,资产台账!$B$4:$N$53,3,0)&amp;"",""))</f>
        <v/>
      </c>
      <c r="E114" s="43" t="str">
        <f aca="false">IF($B114="","",IFERROR(VLOOKUP($B114,资产台账!$B$4:$N$53,10,0)&amp;"",""))</f>
        <v/>
      </c>
      <c r="F114" s="49" t="str">
        <f aca="false">IF($B114="","",IFERROR(VLOOKUP($B114,资产台账!$B$4:$N$53,9,0),0))</f>
        <v/>
      </c>
      <c r="G114" s="45" t="n">
        <f aca="false">IF(OR($A114="",$W114=0),0,INDEX(无形资产工时分配表!$F$6:$F$125,$W114))</f>
        <v>0</v>
      </c>
      <c r="H114" s="45" t="n">
        <f aca="false">IF(OR($A114="",$W114=0),0,INDEX(无形资产工时分配表!$R$6:$R$125,$W114))</f>
        <v>0</v>
      </c>
      <c r="I114" s="28" t="str">
        <f aca="false">IF(OR($A114="",$G114=0),"",$H114/$G114)</f>
        <v/>
      </c>
      <c r="J114" s="27" t="str">
        <f aca="false">IF(OR($A114="",$G114=0),"",ROUND($F114*INDEX(无形资产工时分配表!$H$6:$H$125,$W114)/$G114,2))</f>
        <v/>
      </c>
      <c r="K114" s="27" t="str">
        <f aca="false">IF(OR($A114="",$G114=0),"",ROUND($F114*INDEX(无形资产工时分配表!$I$6:$I$125,$W114)/$G114,2))</f>
        <v/>
      </c>
      <c r="L114" s="27" t="str">
        <f aca="false">IF(OR($A114="",$G114=0),"",ROUND($F114*INDEX(无形资产工时分配表!$J$6:$J$125,$W114)/$G114,2))</f>
        <v/>
      </c>
      <c r="M114" s="27" t="str">
        <f aca="false">IF(OR($A114="",$G114=0),"",ROUND($F114*INDEX(无形资产工时分配表!$K$6:$K$125,$W114)/$G114,2))</f>
        <v/>
      </c>
      <c r="N114" s="27" t="str">
        <f aca="false">IF(OR($A114="",$G114=0),"",ROUND($F114*INDEX(无形资产工时分配表!$L$6:$L$125,$W114)/$G114,2))</f>
        <v/>
      </c>
      <c r="O114" s="27" t="str">
        <f aca="false">IF(OR($A114="",$G114=0),"",ROUND($F114*INDEX(无形资产工时分配表!$M$6:$M$125,$W114)/$G114,2))</f>
        <v/>
      </c>
      <c r="P114" s="27" t="str">
        <f aca="false">IF(OR($A114="",$G114=0),"",ROUND($F114*INDEX(无形资产工时分配表!$N$6:$N$125,$W114)/$G114,2))</f>
        <v/>
      </c>
      <c r="Q114" s="27" t="str">
        <f aca="false">IF(OR($A114="",$G114=0),"",ROUND($F114*INDEX(无形资产工时分配表!$O$6:$O$125,$W114)/$G114,2))</f>
        <v/>
      </c>
      <c r="R114" s="27" t="str">
        <f aca="false">IF(OR($A114="",$G114=0),"",ROUND($F114*INDEX(无形资产工时分配表!$P$6:$P$125,$W114)/$G114,2))</f>
        <v/>
      </c>
      <c r="S114" s="27" t="str">
        <f aca="false">IF(OR($A114="",$G114=0),"",ROUND($F114*INDEX(无形资产工时分配表!$Q$6:$Q$125,$W114)/$G114,2))</f>
        <v/>
      </c>
      <c r="T114" s="27" t="str">
        <f aca="false">IF($A114="","",ROUND(SUM(J114:S114),2))</f>
        <v/>
      </c>
      <c r="U114" s="27" t="str">
        <f aca="false">IF($A114="","",ROUND($F114-T114,2))</f>
        <v/>
      </c>
      <c r="V114" s="43" t="str">
        <f aca="false">IF($A114="","",IF($D114="设备","⚠ 设备请在仪器设备工时费用分配表登记",IF($W114=0,"⚠ 工时分配表无此资产当月记录",IF($X114&gt;1,"⚠ 工时分配表存在重复行","√ 正常"))))</f>
        <v/>
      </c>
      <c r="W114" s="47" t="n">
        <f aca="false">IF($A114="",0,IFERROR(MATCH($A114&amp;"|"&amp;$B114,无形资产工时分配表!$V$6:$V$125,0),0))</f>
        <v>0</v>
      </c>
      <c r="X114" s="47" t="n">
        <f aca="false">IF($A114="",0,COUNTIFS(无形资产工时分配表!$A$6:$A$125,$A114,无形资产工时分配表!$B$6:$B$125,$B114))</f>
        <v>0</v>
      </c>
    </row>
    <row r="115" customFormat="false" ht="18" hidden="false" customHeight="true" outlineLevel="0" collapsed="false">
      <c r="A115" s="36"/>
      <c r="B115" s="36"/>
      <c r="C115" s="48" t="str">
        <f aca="false">IF($B115="","",IFERROR(VLOOKUP($B115,资产台账!$B$4:$N$53,2,0)&amp;"","台账中未登记"))</f>
        <v/>
      </c>
      <c r="D115" s="43" t="str">
        <f aca="false">IF($B115="","",IFERROR(VLOOKUP($B115,资产台账!$B$4:$N$53,3,0)&amp;"",""))</f>
        <v/>
      </c>
      <c r="E115" s="43" t="str">
        <f aca="false">IF($B115="","",IFERROR(VLOOKUP($B115,资产台账!$B$4:$N$53,10,0)&amp;"",""))</f>
        <v/>
      </c>
      <c r="F115" s="49" t="str">
        <f aca="false">IF($B115="","",IFERROR(VLOOKUP($B115,资产台账!$B$4:$N$53,9,0),0))</f>
        <v/>
      </c>
      <c r="G115" s="45" t="n">
        <f aca="false">IF(OR($A115="",$W115=0),0,INDEX(无形资产工时分配表!$F$6:$F$125,$W115))</f>
        <v>0</v>
      </c>
      <c r="H115" s="45" t="n">
        <f aca="false">IF(OR($A115="",$W115=0),0,INDEX(无形资产工时分配表!$R$6:$R$125,$W115))</f>
        <v>0</v>
      </c>
      <c r="I115" s="28" t="str">
        <f aca="false">IF(OR($A115="",$G115=0),"",$H115/$G115)</f>
        <v/>
      </c>
      <c r="J115" s="27" t="str">
        <f aca="false">IF(OR($A115="",$G115=0),"",ROUND($F115*INDEX(无形资产工时分配表!$H$6:$H$125,$W115)/$G115,2))</f>
        <v/>
      </c>
      <c r="K115" s="27" t="str">
        <f aca="false">IF(OR($A115="",$G115=0),"",ROUND($F115*INDEX(无形资产工时分配表!$I$6:$I$125,$W115)/$G115,2))</f>
        <v/>
      </c>
      <c r="L115" s="27" t="str">
        <f aca="false">IF(OR($A115="",$G115=0),"",ROUND($F115*INDEX(无形资产工时分配表!$J$6:$J$125,$W115)/$G115,2))</f>
        <v/>
      </c>
      <c r="M115" s="27" t="str">
        <f aca="false">IF(OR($A115="",$G115=0),"",ROUND($F115*INDEX(无形资产工时分配表!$K$6:$K$125,$W115)/$G115,2))</f>
        <v/>
      </c>
      <c r="N115" s="27" t="str">
        <f aca="false">IF(OR($A115="",$G115=0),"",ROUND($F115*INDEX(无形资产工时分配表!$L$6:$L$125,$W115)/$G115,2))</f>
        <v/>
      </c>
      <c r="O115" s="27" t="str">
        <f aca="false">IF(OR($A115="",$G115=0),"",ROUND($F115*INDEX(无形资产工时分配表!$M$6:$M$125,$W115)/$G115,2))</f>
        <v/>
      </c>
      <c r="P115" s="27" t="str">
        <f aca="false">IF(OR($A115="",$G115=0),"",ROUND($F115*INDEX(无形资产工时分配表!$N$6:$N$125,$W115)/$G115,2))</f>
        <v/>
      </c>
      <c r="Q115" s="27" t="str">
        <f aca="false">IF(OR($A115="",$G115=0),"",ROUND($F115*INDEX(无形资产工时分配表!$O$6:$O$125,$W115)/$G115,2))</f>
        <v/>
      </c>
      <c r="R115" s="27" t="str">
        <f aca="false">IF(OR($A115="",$G115=0),"",ROUND($F115*INDEX(无形资产工时分配表!$P$6:$P$125,$W115)/$G115,2))</f>
        <v/>
      </c>
      <c r="S115" s="27" t="str">
        <f aca="false">IF(OR($A115="",$G115=0),"",ROUND($F115*INDEX(无形资产工时分配表!$Q$6:$Q$125,$W115)/$G115,2))</f>
        <v/>
      </c>
      <c r="T115" s="27" t="str">
        <f aca="false">IF($A115="","",ROUND(SUM(J115:S115),2))</f>
        <v/>
      </c>
      <c r="U115" s="27" t="str">
        <f aca="false">IF($A115="","",ROUND($F115-T115,2))</f>
        <v/>
      </c>
      <c r="V115" s="43" t="str">
        <f aca="false">IF($A115="","",IF($D115="设备","⚠ 设备请在仪器设备工时费用分配表登记",IF($W115=0,"⚠ 工时分配表无此资产当月记录",IF($X115&gt;1,"⚠ 工时分配表存在重复行","√ 正常"))))</f>
        <v/>
      </c>
      <c r="W115" s="47" t="n">
        <f aca="false">IF($A115="",0,IFERROR(MATCH($A115&amp;"|"&amp;$B115,无形资产工时分配表!$V$6:$V$125,0),0))</f>
        <v>0</v>
      </c>
      <c r="X115" s="47" t="n">
        <f aca="false">IF($A115="",0,COUNTIFS(无形资产工时分配表!$A$6:$A$125,$A115,无形资产工时分配表!$B$6:$B$125,$B115))</f>
        <v>0</v>
      </c>
    </row>
    <row r="116" customFormat="false" ht="18" hidden="false" customHeight="true" outlineLevel="0" collapsed="false">
      <c r="A116" s="36"/>
      <c r="B116" s="36"/>
      <c r="C116" s="48" t="str">
        <f aca="false">IF($B116="","",IFERROR(VLOOKUP($B116,资产台账!$B$4:$N$53,2,0)&amp;"","台账中未登记"))</f>
        <v/>
      </c>
      <c r="D116" s="43" t="str">
        <f aca="false">IF($B116="","",IFERROR(VLOOKUP($B116,资产台账!$B$4:$N$53,3,0)&amp;"",""))</f>
        <v/>
      </c>
      <c r="E116" s="43" t="str">
        <f aca="false">IF($B116="","",IFERROR(VLOOKUP($B116,资产台账!$B$4:$N$53,10,0)&amp;"",""))</f>
        <v/>
      </c>
      <c r="F116" s="49" t="str">
        <f aca="false">IF($B116="","",IFERROR(VLOOKUP($B116,资产台账!$B$4:$N$53,9,0),0))</f>
        <v/>
      </c>
      <c r="G116" s="45" t="n">
        <f aca="false">IF(OR($A116="",$W116=0),0,INDEX(无形资产工时分配表!$F$6:$F$125,$W116))</f>
        <v>0</v>
      </c>
      <c r="H116" s="45" t="n">
        <f aca="false">IF(OR($A116="",$W116=0),0,INDEX(无形资产工时分配表!$R$6:$R$125,$W116))</f>
        <v>0</v>
      </c>
      <c r="I116" s="28" t="str">
        <f aca="false">IF(OR($A116="",$G116=0),"",$H116/$G116)</f>
        <v/>
      </c>
      <c r="J116" s="27" t="str">
        <f aca="false">IF(OR($A116="",$G116=0),"",ROUND($F116*INDEX(无形资产工时分配表!$H$6:$H$125,$W116)/$G116,2))</f>
        <v/>
      </c>
      <c r="K116" s="27" t="str">
        <f aca="false">IF(OR($A116="",$G116=0),"",ROUND($F116*INDEX(无形资产工时分配表!$I$6:$I$125,$W116)/$G116,2))</f>
        <v/>
      </c>
      <c r="L116" s="27" t="str">
        <f aca="false">IF(OR($A116="",$G116=0),"",ROUND($F116*INDEX(无形资产工时分配表!$J$6:$J$125,$W116)/$G116,2))</f>
        <v/>
      </c>
      <c r="M116" s="27" t="str">
        <f aca="false">IF(OR($A116="",$G116=0),"",ROUND($F116*INDEX(无形资产工时分配表!$K$6:$K$125,$W116)/$G116,2))</f>
        <v/>
      </c>
      <c r="N116" s="27" t="str">
        <f aca="false">IF(OR($A116="",$G116=0),"",ROUND($F116*INDEX(无形资产工时分配表!$L$6:$L$125,$W116)/$G116,2))</f>
        <v/>
      </c>
      <c r="O116" s="27" t="str">
        <f aca="false">IF(OR($A116="",$G116=0),"",ROUND($F116*INDEX(无形资产工时分配表!$M$6:$M$125,$W116)/$G116,2))</f>
        <v/>
      </c>
      <c r="P116" s="27" t="str">
        <f aca="false">IF(OR($A116="",$G116=0),"",ROUND($F116*INDEX(无形资产工时分配表!$N$6:$N$125,$W116)/$G116,2))</f>
        <v/>
      </c>
      <c r="Q116" s="27" t="str">
        <f aca="false">IF(OR($A116="",$G116=0),"",ROUND($F116*INDEX(无形资产工时分配表!$O$6:$O$125,$W116)/$G116,2))</f>
        <v/>
      </c>
      <c r="R116" s="27" t="str">
        <f aca="false">IF(OR($A116="",$G116=0),"",ROUND($F116*INDEX(无形资产工时分配表!$P$6:$P$125,$W116)/$G116,2))</f>
        <v/>
      </c>
      <c r="S116" s="27" t="str">
        <f aca="false">IF(OR($A116="",$G116=0),"",ROUND($F116*INDEX(无形资产工时分配表!$Q$6:$Q$125,$W116)/$G116,2))</f>
        <v/>
      </c>
      <c r="T116" s="27" t="str">
        <f aca="false">IF($A116="","",ROUND(SUM(J116:S116),2))</f>
        <v/>
      </c>
      <c r="U116" s="27" t="str">
        <f aca="false">IF($A116="","",ROUND($F116-T116,2))</f>
        <v/>
      </c>
      <c r="V116" s="43" t="str">
        <f aca="false">IF($A116="","",IF($D116="设备","⚠ 设备请在仪器设备工时费用分配表登记",IF($W116=0,"⚠ 工时分配表无此资产当月记录",IF($X116&gt;1,"⚠ 工时分配表存在重复行","√ 正常"))))</f>
        <v/>
      </c>
      <c r="W116" s="47" t="n">
        <f aca="false">IF($A116="",0,IFERROR(MATCH($A116&amp;"|"&amp;$B116,无形资产工时分配表!$V$6:$V$125,0),0))</f>
        <v>0</v>
      </c>
      <c r="X116" s="47" t="n">
        <f aca="false">IF($A116="",0,COUNTIFS(无形资产工时分配表!$A$6:$A$125,$A116,无形资产工时分配表!$B$6:$B$125,$B116))</f>
        <v>0</v>
      </c>
    </row>
    <row r="117" customFormat="false" ht="18" hidden="false" customHeight="true" outlineLevel="0" collapsed="false">
      <c r="A117" s="36"/>
      <c r="B117" s="36"/>
      <c r="C117" s="48" t="str">
        <f aca="false">IF($B117="","",IFERROR(VLOOKUP($B117,资产台账!$B$4:$N$53,2,0)&amp;"","台账中未登记"))</f>
        <v/>
      </c>
      <c r="D117" s="43" t="str">
        <f aca="false">IF($B117="","",IFERROR(VLOOKUP($B117,资产台账!$B$4:$N$53,3,0)&amp;"",""))</f>
        <v/>
      </c>
      <c r="E117" s="43" t="str">
        <f aca="false">IF($B117="","",IFERROR(VLOOKUP($B117,资产台账!$B$4:$N$53,10,0)&amp;"",""))</f>
        <v/>
      </c>
      <c r="F117" s="49" t="str">
        <f aca="false">IF($B117="","",IFERROR(VLOOKUP($B117,资产台账!$B$4:$N$53,9,0),0))</f>
        <v/>
      </c>
      <c r="G117" s="45" t="n">
        <f aca="false">IF(OR($A117="",$W117=0),0,INDEX(无形资产工时分配表!$F$6:$F$125,$W117))</f>
        <v>0</v>
      </c>
      <c r="H117" s="45" t="n">
        <f aca="false">IF(OR($A117="",$W117=0),0,INDEX(无形资产工时分配表!$R$6:$R$125,$W117))</f>
        <v>0</v>
      </c>
      <c r="I117" s="28" t="str">
        <f aca="false">IF(OR($A117="",$G117=0),"",$H117/$G117)</f>
        <v/>
      </c>
      <c r="J117" s="27" t="str">
        <f aca="false">IF(OR($A117="",$G117=0),"",ROUND($F117*INDEX(无形资产工时分配表!$H$6:$H$125,$W117)/$G117,2))</f>
        <v/>
      </c>
      <c r="K117" s="27" t="str">
        <f aca="false">IF(OR($A117="",$G117=0),"",ROUND($F117*INDEX(无形资产工时分配表!$I$6:$I$125,$W117)/$G117,2))</f>
        <v/>
      </c>
      <c r="L117" s="27" t="str">
        <f aca="false">IF(OR($A117="",$G117=0),"",ROUND($F117*INDEX(无形资产工时分配表!$J$6:$J$125,$W117)/$G117,2))</f>
        <v/>
      </c>
      <c r="M117" s="27" t="str">
        <f aca="false">IF(OR($A117="",$G117=0),"",ROUND($F117*INDEX(无形资产工时分配表!$K$6:$K$125,$W117)/$G117,2))</f>
        <v/>
      </c>
      <c r="N117" s="27" t="str">
        <f aca="false">IF(OR($A117="",$G117=0),"",ROUND($F117*INDEX(无形资产工时分配表!$L$6:$L$125,$W117)/$G117,2))</f>
        <v/>
      </c>
      <c r="O117" s="27" t="str">
        <f aca="false">IF(OR($A117="",$G117=0),"",ROUND($F117*INDEX(无形资产工时分配表!$M$6:$M$125,$W117)/$G117,2))</f>
        <v/>
      </c>
      <c r="P117" s="27" t="str">
        <f aca="false">IF(OR($A117="",$G117=0),"",ROUND($F117*INDEX(无形资产工时分配表!$N$6:$N$125,$W117)/$G117,2))</f>
        <v/>
      </c>
      <c r="Q117" s="27" t="str">
        <f aca="false">IF(OR($A117="",$G117=0),"",ROUND($F117*INDEX(无形资产工时分配表!$O$6:$O$125,$W117)/$G117,2))</f>
        <v/>
      </c>
      <c r="R117" s="27" t="str">
        <f aca="false">IF(OR($A117="",$G117=0),"",ROUND($F117*INDEX(无形资产工时分配表!$P$6:$P$125,$W117)/$G117,2))</f>
        <v/>
      </c>
      <c r="S117" s="27" t="str">
        <f aca="false">IF(OR($A117="",$G117=0),"",ROUND($F117*INDEX(无形资产工时分配表!$Q$6:$Q$125,$W117)/$G117,2))</f>
        <v/>
      </c>
      <c r="T117" s="27" t="str">
        <f aca="false">IF($A117="","",ROUND(SUM(J117:S117),2))</f>
        <v/>
      </c>
      <c r="U117" s="27" t="str">
        <f aca="false">IF($A117="","",ROUND($F117-T117,2))</f>
        <v/>
      </c>
      <c r="V117" s="43" t="str">
        <f aca="false">IF($A117="","",IF($D117="设备","⚠ 设备请在仪器设备工时费用分配表登记",IF($W117=0,"⚠ 工时分配表无此资产当月记录",IF($X117&gt;1,"⚠ 工时分配表存在重复行","√ 正常"))))</f>
        <v/>
      </c>
      <c r="W117" s="47" t="n">
        <f aca="false">IF($A117="",0,IFERROR(MATCH($A117&amp;"|"&amp;$B117,无形资产工时分配表!$V$6:$V$125,0),0))</f>
        <v>0</v>
      </c>
      <c r="X117" s="47" t="n">
        <f aca="false">IF($A117="",0,COUNTIFS(无形资产工时分配表!$A$6:$A$125,$A117,无形资产工时分配表!$B$6:$B$125,$B117))</f>
        <v>0</v>
      </c>
    </row>
    <row r="118" customFormat="false" ht="18" hidden="false" customHeight="true" outlineLevel="0" collapsed="false">
      <c r="A118" s="36"/>
      <c r="B118" s="36"/>
      <c r="C118" s="48" t="str">
        <f aca="false">IF($B118="","",IFERROR(VLOOKUP($B118,资产台账!$B$4:$N$53,2,0)&amp;"","台账中未登记"))</f>
        <v/>
      </c>
      <c r="D118" s="43" t="str">
        <f aca="false">IF($B118="","",IFERROR(VLOOKUP($B118,资产台账!$B$4:$N$53,3,0)&amp;"",""))</f>
        <v/>
      </c>
      <c r="E118" s="43" t="str">
        <f aca="false">IF($B118="","",IFERROR(VLOOKUP($B118,资产台账!$B$4:$N$53,10,0)&amp;"",""))</f>
        <v/>
      </c>
      <c r="F118" s="49" t="str">
        <f aca="false">IF($B118="","",IFERROR(VLOOKUP($B118,资产台账!$B$4:$N$53,9,0),0))</f>
        <v/>
      </c>
      <c r="G118" s="45" t="n">
        <f aca="false">IF(OR($A118="",$W118=0),0,INDEX(无形资产工时分配表!$F$6:$F$125,$W118))</f>
        <v>0</v>
      </c>
      <c r="H118" s="45" t="n">
        <f aca="false">IF(OR($A118="",$W118=0),0,INDEX(无形资产工时分配表!$R$6:$R$125,$W118))</f>
        <v>0</v>
      </c>
      <c r="I118" s="28" t="str">
        <f aca="false">IF(OR($A118="",$G118=0),"",$H118/$G118)</f>
        <v/>
      </c>
      <c r="J118" s="27" t="str">
        <f aca="false">IF(OR($A118="",$G118=0),"",ROUND($F118*INDEX(无形资产工时分配表!$H$6:$H$125,$W118)/$G118,2))</f>
        <v/>
      </c>
      <c r="K118" s="27" t="str">
        <f aca="false">IF(OR($A118="",$G118=0),"",ROUND($F118*INDEX(无形资产工时分配表!$I$6:$I$125,$W118)/$G118,2))</f>
        <v/>
      </c>
      <c r="L118" s="27" t="str">
        <f aca="false">IF(OR($A118="",$G118=0),"",ROUND($F118*INDEX(无形资产工时分配表!$J$6:$J$125,$W118)/$G118,2))</f>
        <v/>
      </c>
      <c r="M118" s="27" t="str">
        <f aca="false">IF(OR($A118="",$G118=0),"",ROUND($F118*INDEX(无形资产工时分配表!$K$6:$K$125,$W118)/$G118,2))</f>
        <v/>
      </c>
      <c r="N118" s="27" t="str">
        <f aca="false">IF(OR($A118="",$G118=0),"",ROUND($F118*INDEX(无形资产工时分配表!$L$6:$L$125,$W118)/$G118,2))</f>
        <v/>
      </c>
      <c r="O118" s="27" t="str">
        <f aca="false">IF(OR($A118="",$G118=0),"",ROUND($F118*INDEX(无形资产工时分配表!$M$6:$M$125,$W118)/$G118,2))</f>
        <v/>
      </c>
      <c r="P118" s="27" t="str">
        <f aca="false">IF(OR($A118="",$G118=0),"",ROUND($F118*INDEX(无形资产工时分配表!$N$6:$N$125,$W118)/$G118,2))</f>
        <v/>
      </c>
      <c r="Q118" s="27" t="str">
        <f aca="false">IF(OR($A118="",$G118=0),"",ROUND($F118*INDEX(无形资产工时分配表!$O$6:$O$125,$W118)/$G118,2))</f>
        <v/>
      </c>
      <c r="R118" s="27" t="str">
        <f aca="false">IF(OR($A118="",$G118=0),"",ROUND($F118*INDEX(无形资产工时分配表!$P$6:$P$125,$W118)/$G118,2))</f>
        <v/>
      </c>
      <c r="S118" s="27" t="str">
        <f aca="false">IF(OR($A118="",$G118=0),"",ROUND($F118*INDEX(无形资产工时分配表!$Q$6:$Q$125,$W118)/$G118,2))</f>
        <v/>
      </c>
      <c r="T118" s="27" t="str">
        <f aca="false">IF($A118="","",ROUND(SUM(J118:S118),2))</f>
        <v/>
      </c>
      <c r="U118" s="27" t="str">
        <f aca="false">IF($A118="","",ROUND($F118-T118,2))</f>
        <v/>
      </c>
      <c r="V118" s="43" t="str">
        <f aca="false">IF($A118="","",IF($D118="设备","⚠ 设备请在仪器设备工时费用分配表登记",IF($W118=0,"⚠ 工时分配表无此资产当月记录",IF($X118&gt;1,"⚠ 工时分配表存在重复行","√ 正常"))))</f>
        <v/>
      </c>
      <c r="W118" s="47" t="n">
        <f aca="false">IF($A118="",0,IFERROR(MATCH($A118&amp;"|"&amp;$B118,无形资产工时分配表!$V$6:$V$125,0),0))</f>
        <v>0</v>
      </c>
      <c r="X118" s="47" t="n">
        <f aca="false">IF($A118="",0,COUNTIFS(无形资产工时分配表!$A$6:$A$125,$A118,无形资产工时分配表!$B$6:$B$125,$B118))</f>
        <v>0</v>
      </c>
    </row>
    <row r="119" customFormat="false" ht="18" hidden="false" customHeight="true" outlineLevel="0" collapsed="false">
      <c r="A119" s="36"/>
      <c r="B119" s="36"/>
      <c r="C119" s="48" t="str">
        <f aca="false">IF($B119="","",IFERROR(VLOOKUP($B119,资产台账!$B$4:$N$53,2,0)&amp;"","台账中未登记"))</f>
        <v/>
      </c>
      <c r="D119" s="43" t="str">
        <f aca="false">IF($B119="","",IFERROR(VLOOKUP($B119,资产台账!$B$4:$N$53,3,0)&amp;"",""))</f>
        <v/>
      </c>
      <c r="E119" s="43" t="str">
        <f aca="false">IF($B119="","",IFERROR(VLOOKUP($B119,资产台账!$B$4:$N$53,10,0)&amp;"",""))</f>
        <v/>
      </c>
      <c r="F119" s="49" t="str">
        <f aca="false">IF($B119="","",IFERROR(VLOOKUP($B119,资产台账!$B$4:$N$53,9,0),0))</f>
        <v/>
      </c>
      <c r="G119" s="45" t="n">
        <f aca="false">IF(OR($A119="",$W119=0),0,INDEX(无形资产工时分配表!$F$6:$F$125,$W119))</f>
        <v>0</v>
      </c>
      <c r="H119" s="45" t="n">
        <f aca="false">IF(OR($A119="",$W119=0),0,INDEX(无形资产工时分配表!$R$6:$R$125,$W119))</f>
        <v>0</v>
      </c>
      <c r="I119" s="28" t="str">
        <f aca="false">IF(OR($A119="",$G119=0),"",$H119/$G119)</f>
        <v/>
      </c>
      <c r="J119" s="27" t="str">
        <f aca="false">IF(OR($A119="",$G119=0),"",ROUND($F119*INDEX(无形资产工时分配表!$H$6:$H$125,$W119)/$G119,2))</f>
        <v/>
      </c>
      <c r="K119" s="27" t="str">
        <f aca="false">IF(OR($A119="",$G119=0),"",ROUND($F119*INDEX(无形资产工时分配表!$I$6:$I$125,$W119)/$G119,2))</f>
        <v/>
      </c>
      <c r="L119" s="27" t="str">
        <f aca="false">IF(OR($A119="",$G119=0),"",ROUND($F119*INDEX(无形资产工时分配表!$J$6:$J$125,$W119)/$G119,2))</f>
        <v/>
      </c>
      <c r="M119" s="27" t="str">
        <f aca="false">IF(OR($A119="",$G119=0),"",ROUND($F119*INDEX(无形资产工时分配表!$K$6:$K$125,$W119)/$G119,2))</f>
        <v/>
      </c>
      <c r="N119" s="27" t="str">
        <f aca="false">IF(OR($A119="",$G119=0),"",ROUND($F119*INDEX(无形资产工时分配表!$L$6:$L$125,$W119)/$G119,2))</f>
        <v/>
      </c>
      <c r="O119" s="27" t="str">
        <f aca="false">IF(OR($A119="",$G119=0),"",ROUND($F119*INDEX(无形资产工时分配表!$M$6:$M$125,$W119)/$G119,2))</f>
        <v/>
      </c>
      <c r="P119" s="27" t="str">
        <f aca="false">IF(OR($A119="",$G119=0),"",ROUND($F119*INDEX(无形资产工时分配表!$N$6:$N$125,$W119)/$G119,2))</f>
        <v/>
      </c>
      <c r="Q119" s="27" t="str">
        <f aca="false">IF(OR($A119="",$G119=0),"",ROUND($F119*INDEX(无形资产工时分配表!$O$6:$O$125,$W119)/$G119,2))</f>
        <v/>
      </c>
      <c r="R119" s="27" t="str">
        <f aca="false">IF(OR($A119="",$G119=0),"",ROUND($F119*INDEX(无形资产工时分配表!$P$6:$P$125,$W119)/$G119,2))</f>
        <v/>
      </c>
      <c r="S119" s="27" t="str">
        <f aca="false">IF(OR($A119="",$G119=0),"",ROUND($F119*INDEX(无形资产工时分配表!$Q$6:$Q$125,$W119)/$G119,2))</f>
        <v/>
      </c>
      <c r="T119" s="27" t="str">
        <f aca="false">IF($A119="","",ROUND(SUM(J119:S119),2))</f>
        <v/>
      </c>
      <c r="U119" s="27" t="str">
        <f aca="false">IF($A119="","",ROUND($F119-T119,2))</f>
        <v/>
      </c>
      <c r="V119" s="43" t="str">
        <f aca="false">IF($A119="","",IF($D119="设备","⚠ 设备请在仪器设备工时费用分配表登记",IF($W119=0,"⚠ 工时分配表无此资产当月记录",IF($X119&gt;1,"⚠ 工时分配表存在重复行","√ 正常"))))</f>
        <v/>
      </c>
      <c r="W119" s="47" t="n">
        <f aca="false">IF($A119="",0,IFERROR(MATCH($A119&amp;"|"&amp;$B119,无形资产工时分配表!$V$6:$V$125,0),0))</f>
        <v>0</v>
      </c>
      <c r="X119" s="47" t="n">
        <f aca="false">IF($A119="",0,COUNTIFS(无形资产工时分配表!$A$6:$A$125,$A119,无形资产工时分配表!$B$6:$B$125,$B119))</f>
        <v>0</v>
      </c>
    </row>
    <row r="120" customFormat="false" ht="18" hidden="false" customHeight="true" outlineLevel="0" collapsed="false">
      <c r="A120" s="36"/>
      <c r="B120" s="36"/>
      <c r="C120" s="48" t="str">
        <f aca="false">IF($B120="","",IFERROR(VLOOKUP($B120,资产台账!$B$4:$N$53,2,0)&amp;"","台账中未登记"))</f>
        <v/>
      </c>
      <c r="D120" s="43" t="str">
        <f aca="false">IF($B120="","",IFERROR(VLOOKUP($B120,资产台账!$B$4:$N$53,3,0)&amp;"",""))</f>
        <v/>
      </c>
      <c r="E120" s="43" t="str">
        <f aca="false">IF($B120="","",IFERROR(VLOOKUP($B120,资产台账!$B$4:$N$53,10,0)&amp;"",""))</f>
        <v/>
      </c>
      <c r="F120" s="49" t="str">
        <f aca="false">IF($B120="","",IFERROR(VLOOKUP($B120,资产台账!$B$4:$N$53,9,0),0))</f>
        <v/>
      </c>
      <c r="G120" s="45" t="n">
        <f aca="false">IF(OR($A120="",$W120=0),0,INDEX(无形资产工时分配表!$F$6:$F$125,$W120))</f>
        <v>0</v>
      </c>
      <c r="H120" s="45" t="n">
        <f aca="false">IF(OR($A120="",$W120=0),0,INDEX(无形资产工时分配表!$R$6:$R$125,$W120))</f>
        <v>0</v>
      </c>
      <c r="I120" s="28" t="str">
        <f aca="false">IF(OR($A120="",$G120=0),"",$H120/$G120)</f>
        <v/>
      </c>
      <c r="J120" s="27" t="str">
        <f aca="false">IF(OR($A120="",$G120=0),"",ROUND($F120*INDEX(无形资产工时分配表!$H$6:$H$125,$W120)/$G120,2))</f>
        <v/>
      </c>
      <c r="K120" s="27" t="str">
        <f aca="false">IF(OR($A120="",$G120=0),"",ROUND($F120*INDEX(无形资产工时分配表!$I$6:$I$125,$W120)/$G120,2))</f>
        <v/>
      </c>
      <c r="L120" s="27" t="str">
        <f aca="false">IF(OR($A120="",$G120=0),"",ROUND($F120*INDEX(无形资产工时分配表!$J$6:$J$125,$W120)/$G120,2))</f>
        <v/>
      </c>
      <c r="M120" s="27" t="str">
        <f aca="false">IF(OR($A120="",$G120=0),"",ROUND($F120*INDEX(无形资产工时分配表!$K$6:$K$125,$W120)/$G120,2))</f>
        <v/>
      </c>
      <c r="N120" s="27" t="str">
        <f aca="false">IF(OR($A120="",$G120=0),"",ROUND($F120*INDEX(无形资产工时分配表!$L$6:$L$125,$W120)/$G120,2))</f>
        <v/>
      </c>
      <c r="O120" s="27" t="str">
        <f aca="false">IF(OR($A120="",$G120=0),"",ROUND($F120*INDEX(无形资产工时分配表!$M$6:$M$125,$W120)/$G120,2))</f>
        <v/>
      </c>
      <c r="P120" s="27" t="str">
        <f aca="false">IF(OR($A120="",$G120=0),"",ROUND($F120*INDEX(无形资产工时分配表!$N$6:$N$125,$W120)/$G120,2))</f>
        <v/>
      </c>
      <c r="Q120" s="27" t="str">
        <f aca="false">IF(OR($A120="",$G120=0),"",ROUND($F120*INDEX(无形资产工时分配表!$O$6:$O$125,$W120)/$G120,2))</f>
        <v/>
      </c>
      <c r="R120" s="27" t="str">
        <f aca="false">IF(OR($A120="",$G120=0),"",ROUND($F120*INDEX(无形资产工时分配表!$P$6:$P$125,$W120)/$G120,2))</f>
        <v/>
      </c>
      <c r="S120" s="27" t="str">
        <f aca="false">IF(OR($A120="",$G120=0),"",ROUND($F120*INDEX(无形资产工时分配表!$Q$6:$Q$125,$W120)/$G120,2))</f>
        <v/>
      </c>
      <c r="T120" s="27" t="str">
        <f aca="false">IF($A120="","",ROUND(SUM(J120:S120),2))</f>
        <v/>
      </c>
      <c r="U120" s="27" t="str">
        <f aca="false">IF($A120="","",ROUND($F120-T120,2))</f>
        <v/>
      </c>
      <c r="V120" s="43" t="str">
        <f aca="false">IF($A120="","",IF($D120="设备","⚠ 设备请在仪器设备工时费用分配表登记",IF($W120=0,"⚠ 工时分配表无此资产当月记录",IF($X120&gt;1,"⚠ 工时分配表存在重复行","√ 正常"))))</f>
        <v/>
      </c>
      <c r="W120" s="47" t="n">
        <f aca="false">IF($A120="",0,IFERROR(MATCH($A120&amp;"|"&amp;$B120,无形资产工时分配表!$V$6:$V$125,0),0))</f>
        <v>0</v>
      </c>
      <c r="X120" s="47" t="n">
        <f aca="false">IF($A120="",0,COUNTIFS(无形资产工时分配表!$A$6:$A$125,$A120,无形资产工时分配表!$B$6:$B$125,$B120))</f>
        <v>0</v>
      </c>
    </row>
    <row r="121" customFormat="false" ht="18" hidden="false" customHeight="true" outlineLevel="0" collapsed="false">
      <c r="A121" s="36"/>
      <c r="B121" s="36"/>
      <c r="C121" s="48" t="str">
        <f aca="false">IF($B121="","",IFERROR(VLOOKUP($B121,资产台账!$B$4:$N$53,2,0)&amp;"","台账中未登记"))</f>
        <v/>
      </c>
      <c r="D121" s="43" t="str">
        <f aca="false">IF($B121="","",IFERROR(VLOOKUP($B121,资产台账!$B$4:$N$53,3,0)&amp;"",""))</f>
        <v/>
      </c>
      <c r="E121" s="43" t="str">
        <f aca="false">IF($B121="","",IFERROR(VLOOKUP($B121,资产台账!$B$4:$N$53,10,0)&amp;"",""))</f>
        <v/>
      </c>
      <c r="F121" s="49" t="str">
        <f aca="false">IF($B121="","",IFERROR(VLOOKUP($B121,资产台账!$B$4:$N$53,9,0),0))</f>
        <v/>
      </c>
      <c r="G121" s="45" t="n">
        <f aca="false">IF(OR($A121="",$W121=0),0,INDEX(无形资产工时分配表!$F$6:$F$125,$W121))</f>
        <v>0</v>
      </c>
      <c r="H121" s="45" t="n">
        <f aca="false">IF(OR($A121="",$W121=0),0,INDEX(无形资产工时分配表!$R$6:$R$125,$W121))</f>
        <v>0</v>
      </c>
      <c r="I121" s="28" t="str">
        <f aca="false">IF(OR($A121="",$G121=0),"",$H121/$G121)</f>
        <v/>
      </c>
      <c r="J121" s="27" t="str">
        <f aca="false">IF(OR($A121="",$G121=0),"",ROUND($F121*INDEX(无形资产工时分配表!$H$6:$H$125,$W121)/$G121,2))</f>
        <v/>
      </c>
      <c r="K121" s="27" t="str">
        <f aca="false">IF(OR($A121="",$G121=0),"",ROUND($F121*INDEX(无形资产工时分配表!$I$6:$I$125,$W121)/$G121,2))</f>
        <v/>
      </c>
      <c r="L121" s="27" t="str">
        <f aca="false">IF(OR($A121="",$G121=0),"",ROUND($F121*INDEX(无形资产工时分配表!$J$6:$J$125,$W121)/$G121,2))</f>
        <v/>
      </c>
      <c r="M121" s="27" t="str">
        <f aca="false">IF(OR($A121="",$G121=0),"",ROUND($F121*INDEX(无形资产工时分配表!$K$6:$K$125,$W121)/$G121,2))</f>
        <v/>
      </c>
      <c r="N121" s="27" t="str">
        <f aca="false">IF(OR($A121="",$G121=0),"",ROUND($F121*INDEX(无形资产工时分配表!$L$6:$L$125,$W121)/$G121,2))</f>
        <v/>
      </c>
      <c r="O121" s="27" t="str">
        <f aca="false">IF(OR($A121="",$G121=0),"",ROUND($F121*INDEX(无形资产工时分配表!$M$6:$M$125,$W121)/$G121,2))</f>
        <v/>
      </c>
      <c r="P121" s="27" t="str">
        <f aca="false">IF(OR($A121="",$G121=0),"",ROUND($F121*INDEX(无形资产工时分配表!$N$6:$N$125,$W121)/$G121,2))</f>
        <v/>
      </c>
      <c r="Q121" s="27" t="str">
        <f aca="false">IF(OR($A121="",$G121=0),"",ROUND($F121*INDEX(无形资产工时分配表!$O$6:$O$125,$W121)/$G121,2))</f>
        <v/>
      </c>
      <c r="R121" s="27" t="str">
        <f aca="false">IF(OR($A121="",$G121=0),"",ROUND($F121*INDEX(无形资产工时分配表!$P$6:$P$125,$W121)/$G121,2))</f>
        <v/>
      </c>
      <c r="S121" s="27" t="str">
        <f aca="false">IF(OR($A121="",$G121=0),"",ROUND($F121*INDEX(无形资产工时分配表!$Q$6:$Q$125,$W121)/$G121,2))</f>
        <v/>
      </c>
      <c r="T121" s="27" t="str">
        <f aca="false">IF($A121="","",ROUND(SUM(J121:S121),2))</f>
        <v/>
      </c>
      <c r="U121" s="27" t="str">
        <f aca="false">IF($A121="","",ROUND($F121-T121,2))</f>
        <v/>
      </c>
      <c r="V121" s="43" t="str">
        <f aca="false">IF($A121="","",IF($D121="设备","⚠ 设备请在仪器设备工时费用分配表登记",IF($W121=0,"⚠ 工时分配表无此资产当月记录",IF($X121&gt;1,"⚠ 工时分配表存在重复行","√ 正常"))))</f>
        <v/>
      </c>
      <c r="W121" s="47" t="n">
        <f aca="false">IF($A121="",0,IFERROR(MATCH($A121&amp;"|"&amp;$B121,无形资产工时分配表!$V$6:$V$125,0),0))</f>
        <v>0</v>
      </c>
      <c r="X121" s="47" t="n">
        <f aca="false">IF($A121="",0,COUNTIFS(无形资产工时分配表!$A$6:$A$125,$A121,无形资产工时分配表!$B$6:$B$125,$B121))</f>
        <v>0</v>
      </c>
    </row>
    <row r="122" customFormat="false" ht="18" hidden="false" customHeight="true" outlineLevel="0" collapsed="false">
      <c r="A122" s="36"/>
      <c r="B122" s="36"/>
      <c r="C122" s="48" t="str">
        <f aca="false">IF($B122="","",IFERROR(VLOOKUP($B122,资产台账!$B$4:$N$53,2,0)&amp;"","台账中未登记"))</f>
        <v/>
      </c>
      <c r="D122" s="43" t="str">
        <f aca="false">IF($B122="","",IFERROR(VLOOKUP($B122,资产台账!$B$4:$N$53,3,0)&amp;"",""))</f>
        <v/>
      </c>
      <c r="E122" s="43" t="str">
        <f aca="false">IF($B122="","",IFERROR(VLOOKUP($B122,资产台账!$B$4:$N$53,10,0)&amp;"",""))</f>
        <v/>
      </c>
      <c r="F122" s="49" t="str">
        <f aca="false">IF($B122="","",IFERROR(VLOOKUP($B122,资产台账!$B$4:$N$53,9,0),0))</f>
        <v/>
      </c>
      <c r="G122" s="45" t="n">
        <f aca="false">IF(OR($A122="",$W122=0),0,INDEX(无形资产工时分配表!$F$6:$F$125,$W122))</f>
        <v>0</v>
      </c>
      <c r="H122" s="45" t="n">
        <f aca="false">IF(OR($A122="",$W122=0),0,INDEX(无形资产工时分配表!$R$6:$R$125,$W122))</f>
        <v>0</v>
      </c>
      <c r="I122" s="28" t="str">
        <f aca="false">IF(OR($A122="",$G122=0),"",$H122/$G122)</f>
        <v/>
      </c>
      <c r="J122" s="27" t="str">
        <f aca="false">IF(OR($A122="",$G122=0),"",ROUND($F122*INDEX(无形资产工时分配表!$H$6:$H$125,$W122)/$G122,2))</f>
        <v/>
      </c>
      <c r="K122" s="27" t="str">
        <f aca="false">IF(OR($A122="",$G122=0),"",ROUND($F122*INDEX(无形资产工时分配表!$I$6:$I$125,$W122)/$G122,2))</f>
        <v/>
      </c>
      <c r="L122" s="27" t="str">
        <f aca="false">IF(OR($A122="",$G122=0),"",ROUND($F122*INDEX(无形资产工时分配表!$J$6:$J$125,$W122)/$G122,2))</f>
        <v/>
      </c>
      <c r="M122" s="27" t="str">
        <f aca="false">IF(OR($A122="",$G122=0),"",ROUND($F122*INDEX(无形资产工时分配表!$K$6:$K$125,$W122)/$G122,2))</f>
        <v/>
      </c>
      <c r="N122" s="27" t="str">
        <f aca="false">IF(OR($A122="",$G122=0),"",ROUND($F122*INDEX(无形资产工时分配表!$L$6:$L$125,$W122)/$G122,2))</f>
        <v/>
      </c>
      <c r="O122" s="27" t="str">
        <f aca="false">IF(OR($A122="",$G122=0),"",ROUND($F122*INDEX(无形资产工时分配表!$M$6:$M$125,$W122)/$G122,2))</f>
        <v/>
      </c>
      <c r="P122" s="27" t="str">
        <f aca="false">IF(OR($A122="",$G122=0),"",ROUND($F122*INDEX(无形资产工时分配表!$N$6:$N$125,$W122)/$G122,2))</f>
        <v/>
      </c>
      <c r="Q122" s="27" t="str">
        <f aca="false">IF(OR($A122="",$G122=0),"",ROUND($F122*INDEX(无形资产工时分配表!$O$6:$O$125,$W122)/$G122,2))</f>
        <v/>
      </c>
      <c r="R122" s="27" t="str">
        <f aca="false">IF(OR($A122="",$G122=0),"",ROUND($F122*INDEX(无形资产工时分配表!$P$6:$P$125,$W122)/$G122,2))</f>
        <v/>
      </c>
      <c r="S122" s="27" t="str">
        <f aca="false">IF(OR($A122="",$G122=0),"",ROUND($F122*INDEX(无形资产工时分配表!$Q$6:$Q$125,$W122)/$G122,2))</f>
        <v/>
      </c>
      <c r="T122" s="27" t="str">
        <f aca="false">IF($A122="","",ROUND(SUM(J122:S122),2))</f>
        <v/>
      </c>
      <c r="U122" s="27" t="str">
        <f aca="false">IF($A122="","",ROUND($F122-T122,2))</f>
        <v/>
      </c>
      <c r="V122" s="43" t="str">
        <f aca="false">IF($A122="","",IF($D122="设备","⚠ 设备请在仪器设备工时费用分配表登记",IF($W122=0,"⚠ 工时分配表无此资产当月记录",IF($X122&gt;1,"⚠ 工时分配表存在重复行","√ 正常"))))</f>
        <v/>
      </c>
      <c r="W122" s="47" t="n">
        <f aca="false">IF($A122="",0,IFERROR(MATCH($A122&amp;"|"&amp;$B122,无形资产工时分配表!$V$6:$V$125,0),0))</f>
        <v>0</v>
      </c>
      <c r="X122" s="47" t="n">
        <f aca="false">IF($A122="",0,COUNTIFS(无形资产工时分配表!$A$6:$A$125,$A122,无形资产工时分配表!$B$6:$B$125,$B122))</f>
        <v>0</v>
      </c>
    </row>
    <row r="123" customFormat="false" ht="18" hidden="false" customHeight="true" outlineLevel="0" collapsed="false">
      <c r="A123" s="36"/>
      <c r="B123" s="36"/>
      <c r="C123" s="48" t="str">
        <f aca="false">IF($B123="","",IFERROR(VLOOKUP($B123,资产台账!$B$4:$N$53,2,0)&amp;"","台账中未登记"))</f>
        <v/>
      </c>
      <c r="D123" s="43" t="str">
        <f aca="false">IF($B123="","",IFERROR(VLOOKUP($B123,资产台账!$B$4:$N$53,3,0)&amp;"",""))</f>
        <v/>
      </c>
      <c r="E123" s="43" t="str">
        <f aca="false">IF($B123="","",IFERROR(VLOOKUP($B123,资产台账!$B$4:$N$53,10,0)&amp;"",""))</f>
        <v/>
      </c>
      <c r="F123" s="49" t="str">
        <f aca="false">IF($B123="","",IFERROR(VLOOKUP($B123,资产台账!$B$4:$N$53,9,0),0))</f>
        <v/>
      </c>
      <c r="G123" s="45" t="n">
        <f aca="false">IF(OR($A123="",$W123=0),0,INDEX(无形资产工时分配表!$F$6:$F$125,$W123))</f>
        <v>0</v>
      </c>
      <c r="H123" s="45" t="n">
        <f aca="false">IF(OR($A123="",$W123=0),0,INDEX(无形资产工时分配表!$R$6:$R$125,$W123))</f>
        <v>0</v>
      </c>
      <c r="I123" s="28" t="str">
        <f aca="false">IF(OR($A123="",$G123=0),"",$H123/$G123)</f>
        <v/>
      </c>
      <c r="J123" s="27" t="str">
        <f aca="false">IF(OR($A123="",$G123=0),"",ROUND($F123*INDEX(无形资产工时分配表!$H$6:$H$125,$W123)/$G123,2))</f>
        <v/>
      </c>
      <c r="K123" s="27" t="str">
        <f aca="false">IF(OR($A123="",$G123=0),"",ROUND($F123*INDEX(无形资产工时分配表!$I$6:$I$125,$W123)/$G123,2))</f>
        <v/>
      </c>
      <c r="L123" s="27" t="str">
        <f aca="false">IF(OR($A123="",$G123=0),"",ROUND($F123*INDEX(无形资产工时分配表!$J$6:$J$125,$W123)/$G123,2))</f>
        <v/>
      </c>
      <c r="M123" s="27" t="str">
        <f aca="false">IF(OR($A123="",$G123=0),"",ROUND($F123*INDEX(无形资产工时分配表!$K$6:$K$125,$W123)/$G123,2))</f>
        <v/>
      </c>
      <c r="N123" s="27" t="str">
        <f aca="false">IF(OR($A123="",$G123=0),"",ROUND($F123*INDEX(无形资产工时分配表!$L$6:$L$125,$W123)/$G123,2))</f>
        <v/>
      </c>
      <c r="O123" s="27" t="str">
        <f aca="false">IF(OR($A123="",$G123=0),"",ROUND($F123*INDEX(无形资产工时分配表!$M$6:$M$125,$W123)/$G123,2))</f>
        <v/>
      </c>
      <c r="P123" s="27" t="str">
        <f aca="false">IF(OR($A123="",$G123=0),"",ROUND($F123*INDEX(无形资产工时分配表!$N$6:$N$125,$W123)/$G123,2))</f>
        <v/>
      </c>
      <c r="Q123" s="27" t="str">
        <f aca="false">IF(OR($A123="",$G123=0),"",ROUND($F123*INDEX(无形资产工时分配表!$O$6:$O$125,$W123)/$G123,2))</f>
        <v/>
      </c>
      <c r="R123" s="27" t="str">
        <f aca="false">IF(OR($A123="",$G123=0),"",ROUND($F123*INDEX(无形资产工时分配表!$P$6:$P$125,$W123)/$G123,2))</f>
        <v/>
      </c>
      <c r="S123" s="27" t="str">
        <f aca="false">IF(OR($A123="",$G123=0),"",ROUND($F123*INDEX(无形资产工时分配表!$Q$6:$Q$125,$W123)/$G123,2))</f>
        <v/>
      </c>
      <c r="T123" s="27" t="str">
        <f aca="false">IF($A123="","",ROUND(SUM(J123:S123),2))</f>
        <v/>
      </c>
      <c r="U123" s="27" t="str">
        <f aca="false">IF($A123="","",ROUND($F123-T123,2))</f>
        <v/>
      </c>
      <c r="V123" s="43" t="str">
        <f aca="false">IF($A123="","",IF($D123="设备","⚠ 设备请在仪器设备工时费用分配表登记",IF($W123=0,"⚠ 工时分配表无此资产当月记录",IF($X123&gt;1,"⚠ 工时分配表存在重复行","√ 正常"))))</f>
        <v/>
      </c>
      <c r="W123" s="47" t="n">
        <f aca="false">IF($A123="",0,IFERROR(MATCH($A123&amp;"|"&amp;$B123,无形资产工时分配表!$V$6:$V$125,0),0))</f>
        <v>0</v>
      </c>
      <c r="X123" s="47" t="n">
        <f aca="false">IF($A123="",0,COUNTIFS(无形资产工时分配表!$A$6:$A$125,$A123,无形资产工时分配表!$B$6:$B$125,$B123))</f>
        <v>0</v>
      </c>
    </row>
    <row r="124" customFormat="false" ht="18" hidden="false" customHeight="true" outlineLevel="0" collapsed="false">
      <c r="A124" s="36"/>
      <c r="B124" s="36"/>
      <c r="C124" s="48" t="str">
        <f aca="false">IF($B124="","",IFERROR(VLOOKUP($B124,资产台账!$B$4:$N$53,2,0)&amp;"","台账中未登记"))</f>
        <v/>
      </c>
      <c r="D124" s="43" t="str">
        <f aca="false">IF($B124="","",IFERROR(VLOOKUP($B124,资产台账!$B$4:$N$53,3,0)&amp;"",""))</f>
        <v/>
      </c>
      <c r="E124" s="43" t="str">
        <f aca="false">IF($B124="","",IFERROR(VLOOKUP($B124,资产台账!$B$4:$N$53,10,0)&amp;"",""))</f>
        <v/>
      </c>
      <c r="F124" s="49" t="str">
        <f aca="false">IF($B124="","",IFERROR(VLOOKUP($B124,资产台账!$B$4:$N$53,9,0),0))</f>
        <v/>
      </c>
      <c r="G124" s="45" t="n">
        <f aca="false">IF(OR($A124="",$W124=0),0,INDEX(无形资产工时分配表!$F$6:$F$125,$W124))</f>
        <v>0</v>
      </c>
      <c r="H124" s="45" t="n">
        <f aca="false">IF(OR($A124="",$W124=0),0,INDEX(无形资产工时分配表!$R$6:$R$125,$W124))</f>
        <v>0</v>
      </c>
      <c r="I124" s="28" t="str">
        <f aca="false">IF(OR($A124="",$G124=0),"",$H124/$G124)</f>
        <v/>
      </c>
      <c r="J124" s="27" t="str">
        <f aca="false">IF(OR($A124="",$G124=0),"",ROUND($F124*INDEX(无形资产工时分配表!$H$6:$H$125,$W124)/$G124,2))</f>
        <v/>
      </c>
      <c r="K124" s="27" t="str">
        <f aca="false">IF(OR($A124="",$G124=0),"",ROUND($F124*INDEX(无形资产工时分配表!$I$6:$I$125,$W124)/$G124,2))</f>
        <v/>
      </c>
      <c r="L124" s="27" t="str">
        <f aca="false">IF(OR($A124="",$G124=0),"",ROUND($F124*INDEX(无形资产工时分配表!$J$6:$J$125,$W124)/$G124,2))</f>
        <v/>
      </c>
      <c r="M124" s="27" t="str">
        <f aca="false">IF(OR($A124="",$G124=0),"",ROUND($F124*INDEX(无形资产工时分配表!$K$6:$K$125,$W124)/$G124,2))</f>
        <v/>
      </c>
      <c r="N124" s="27" t="str">
        <f aca="false">IF(OR($A124="",$G124=0),"",ROUND($F124*INDEX(无形资产工时分配表!$L$6:$L$125,$W124)/$G124,2))</f>
        <v/>
      </c>
      <c r="O124" s="27" t="str">
        <f aca="false">IF(OR($A124="",$G124=0),"",ROUND($F124*INDEX(无形资产工时分配表!$M$6:$M$125,$W124)/$G124,2))</f>
        <v/>
      </c>
      <c r="P124" s="27" t="str">
        <f aca="false">IF(OR($A124="",$G124=0),"",ROUND($F124*INDEX(无形资产工时分配表!$N$6:$N$125,$W124)/$G124,2))</f>
        <v/>
      </c>
      <c r="Q124" s="27" t="str">
        <f aca="false">IF(OR($A124="",$G124=0),"",ROUND($F124*INDEX(无形资产工时分配表!$O$6:$O$125,$W124)/$G124,2))</f>
        <v/>
      </c>
      <c r="R124" s="27" t="str">
        <f aca="false">IF(OR($A124="",$G124=0),"",ROUND($F124*INDEX(无形资产工时分配表!$P$6:$P$125,$W124)/$G124,2))</f>
        <v/>
      </c>
      <c r="S124" s="27" t="str">
        <f aca="false">IF(OR($A124="",$G124=0),"",ROUND($F124*INDEX(无形资产工时分配表!$Q$6:$Q$125,$W124)/$G124,2))</f>
        <v/>
      </c>
      <c r="T124" s="27" t="str">
        <f aca="false">IF($A124="","",ROUND(SUM(J124:S124),2))</f>
        <v/>
      </c>
      <c r="U124" s="27" t="str">
        <f aca="false">IF($A124="","",ROUND($F124-T124,2))</f>
        <v/>
      </c>
      <c r="V124" s="43" t="str">
        <f aca="false">IF($A124="","",IF($D124="设备","⚠ 设备请在仪器设备工时费用分配表登记",IF($W124=0,"⚠ 工时分配表无此资产当月记录",IF($X124&gt;1,"⚠ 工时分配表存在重复行","√ 正常"))))</f>
        <v/>
      </c>
      <c r="W124" s="47" t="n">
        <f aca="false">IF($A124="",0,IFERROR(MATCH($A124&amp;"|"&amp;$B124,无形资产工时分配表!$V$6:$V$125,0),0))</f>
        <v>0</v>
      </c>
      <c r="X124" s="47" t="n">
        <f aca="false">IF($A124="",0,COUNTIFS(无形资产工时分配表!$A$6:$A$125,$A124,无形资产工时分配表!$B$6:$B$125,$B124))</f>
        <v>0</v>
      </c>
    </row>
    <row r="125" customFormat="false" ht="18" hidden="false" customHeight="true" outlineLevel="0" collapsed="false">
      <c r="A125" s="36"/>
      <c r="B125" s="36"/>
      <c r="C125" s="48" t="str">
        <f aca="false">IF($B125="","",IFERROR(VLOOKUP($B125,资产台账!$B$4:$N$53,2,0)&amp;"","台账中未登记"))</f>
        <v/>
      </c>
      <c r="D125" s="43" t="str">
        <f aca="false">IF($B125="","",IFERROR(VLOOKUP($B125,资产台账!$B$4:$N$53,3,0)&amp;"",""))</f>
        <v/>
      </c>
      <c r="E125" s="43" t="str">
        <f aca="false">IF($B125="","",IFERROR(VLOOKUP($B125,资产台账!$B$4:$N$53,10,0)&amp;"",""))</f>
        <v/>
      </c>
      <c r="F125" s="49" t="str">
        <f aca="false">IF($B125="","",IFERROR(VLOOKUP($B125,资产台账!$B$4:$N$53,9,0),0))</f>
        <v/>
      </c>
      <c r="G125" s="45" t="n">
        <f aca="false">IF(OR($A125="",$W125=0),0,INDEX(无形资产工时分配表!$F$6:$F$125,$W125))</f>
        <v>0</v>
      </c>
      <c r="H125" s="45" t="n">
        <f aca="false">IF(OR($A125="",$W125=0),0,INDEX(无形资产工时分配表!$R$6:$R$125,$W125))</f>
        <v>0</v>
      </c>
      <c r="I125" s="28" t="str">
        <f aca="false">IF(OR($A125="",$G125=0),"",$H125/$G125)</f>
        <v/>
      </c>
      <c r="J125" s="27" t="str">
        <f aca="false">IF(OR($A125="",$G125=0),"",ROUND($F125*INDEX(无形资产工时分配表!$H$6:$H$125,$W125)/$G125,2))</f>
        <v/>
      </c>
      <c r="K125" s="27" t="str">
        <f aca="false">IF(OR($A125="",$G125=0),"",ROUND($F125*INDEX(无形资产工时分配表!$I$6:$I$125,$W125)/$G125,2))</f>
        <v/>
      </c>
      <c r="L125" s="27" t="str">
        <f aca="false">IF(OR($A125="",$G125=0),"",ROUND($F125*INDEX(无形资产工时分配表!$J$6:$J$125,$W125)/$G125,2))</f>
        <v/>
      </c>
      <c r="M125" s="27" t="str">
        <f aca="false">IF(OR($A125="",$G125=0),"",ROUND($F125*INDEX(无形资产工时分配表!$K$6:$K$125,$W125)/$G125,2))</f>
        <v/>
      </c>
      <c r="N125" s="27" t="str">
        <f aca="false">IF(OR($A125="",$G125=0),"",ROUND($F125*INDEX(无形资产工时分配表!$L$6:$L$125,$W125)/$G125,2))</f>
        <v/>
      </c>
      <c r="O125" s="27" t="str">
        <f aca="false">IF(OR($A125="",$G125=0),"",ROUND($F125*INDEX(无形资产工时分配表!$M$6:$M$125,$W125)/$G125,2))</f>
        <v/>
      </c>
      <c r="P125" s="27" t="str">
        <f aca="false">IF(OR($A125="",$G125=0),"",ROUND($F125*INDEX(无形资产工时分配表!$N$6:$N$125,$W125)/$G125,2))</f>
        <v/>
      </c>
      <c r="Q125" s="27" t="str">
        <f aca="false">IF(OR($A125="",$G125=0),"",ROUND($F125*INDEX(无形资产工时分配表!$O$6:$O$125,$W125)/$G125,2))</f>
        <v/>
      </c>
      <c r="R125" s="27" t="str">
        <f aca="false">IF(OR($A125="",$G125=0),"",ROUND($F125*INDEX(无形资产工时分配表!$P$6:$P$125,$W125)/$G125,2))</f>
        <v/>
      </c>
      <c r="S125" s="27" t="str">
        <f aca="false">IF(OR($A125="",$G125=0),"",ROUND($F125*INDEX(无形资产工时分配表!$Q$6:$Q$125,$W125)/$G125,2))</f>
        <v/>
      </c>
      <c r="T125" s="27" t="str">
        <f aca="false">IF($A125="","",ROUND(SUM(J125:S125),2))</f>
        <v/>
      </c>
      <c r="U125" s="27" t="str">
        <f aca="false">IF($A125="","",ROUND($F125-T125,2))</f>
        <v/>
      </c>
      <c r="V125" s="43" t="str">
        <f aca="false">IF($A125="","",IF($D125="设备","⚠ 设备请在仪器设备工时费用分配表登记",IF($W125=0,"⚠ 工时分配表无此资产当月记录",IF($X125&gt;1,"⚠ 工时分配表存在重复行","√ 正常"))))</f>
        <v/>
      </c>
      <c r="W125" s="47" t="n">
        <f aca="false">IF($A125="",0,IFERROR(MATCH($A125&amp;"|"&amp;$B125,无形资产工时分配表!$V$6:$V$125,0),0))</f>
        <v>0</v>
      </c>
      <c r="X125" s="47" t="n">
        <f aca="false">IF($A125="",0,COUNTIFS(无形资产工时分配表!$A$6:$A$125,$A125,无形资产工时分配表!$B$6:$B$125,$B125))</f>
        <v>0</v>
      </c>
    </row>
  </sheetData>
  <autoFilter ref="A5:V125"/>
  <mergeCells count="16">
    <mergeCell ref="A1:B1"/>
    <mergeCell ref="C1:V1"/>
    <mergeCell ref="A2:V2"/>
    <mergeCell ref="A3:A5"/>
    <mergeCell ref="B3:B5"/>
    <mergeCell ref="C3:C5"/>
    <mergeCell ref="D3:D5"/>
    <mergeCell ref="E3:E5"/>
    <mergeCell ref="F3:F5"/>
    <mergeCell ref="G3:G5"/>
    <mergeCell ref="H3:H5"/>
    <mergeCell ref="I3:I5"/>
    <mergeCell ref="J3:S3"/>
    <mergeCell ref="T3:T5"/>
    <mergeCell ref="U3:U5"/>
    <mergeCell ref="V3:V5"/>
  </mergeCells>
  <conditionalFormatting sqref="V6:V125">
    <cfRule type="expression" priority="2" aboveAverage="0" equalAverage="0" bottom="0" percent="0" rank="0" text="" dxfId="0">
      <formula>LEFT($V6,1)="⚠"</formula>
    </cfRule>
  </conditionalFormatting>
  <dataValidations count="2">
    <dataValidation allowBlank="true" errorStyle="stop" operator="between" showDropDown="false" showErrorMessage="false" showInputMessage="false" sqref="A6:A125" type="list">
      <formula1>"2026-01,2026-02,2026-03,2026-04,2026-05,2026-06,2026-07,2026-08,2026-09,2026-10,2026-11,2026-12"</formula1>
      <formula2>0</formula2>
    </dataValidation>
    <dataValidation allowBlank="true" errorStyle="stop" operator="between" showDropDown="false" showErrorMessage="false" showInputMessage="false" sqref="B6:B125" type="list">
      <formula1>资产编号列表</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550A"/>
    <pageSetUpPr fitToPage="true"/>
  </sheetPr>
  <dimension ref="A1:H1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40"/>
    <col collapsed="false" customWidth="true" hidden="false" outlineLevel="0" max="4" min="4" style="0" width="18"/>
    <col collapsed="false" customWidth="true" hidden="false" outlineLevel="0" max="5" min="5" style="0" width="40"/>
    <col collapsed="false" customWidth="true" hidden="false" outlineLevel="0" max="6" min="6" style="0" width="15"/>
    <col collapsed="false" customWidth="true" hidden="false" outlineLevel="0" max="7" min="7" style="0" width="16"/>
    <col collapsed="false" customWidth="true" hidden="false" outlineLevel="0" max="8" min="8" style="0" width="22"/>
  </cols>
  <sheetData>
    <row r="1" customFormat="false" ht="43.5" hidden="false" customHeight="true" outlineLevel="0" collapsed="false">
      <c r="A1" s="1" t="s">
        <v>0</v>
      </c>
      <c r="B1" s="1"/>
      <c r="C1" s="2" t="str">
        <f aca="false">IF(使用说明!$B$2="","",使用说明!$B$2&amp;"    ")&amp;"十一、其他研发费用登记表（直接投入/设计费/其他相关费用/委外研发）  ——  选填"</f>
        <v>十一、其他研发费用登记表（直接投入/设计费/其他相关费用/委外研发）  ——  选填</v>
      </c>
      <c r="D1" s="2"/>
      <c r="E1" s="2"/>
      <c r="F1" s="2"/>
      <c r="G1" s="2"/>
      <c r="H1" s="2"/>
    </row>
    <row r="2" customFormat="false" ht="30" hidden="false" customHeight="true" outlineLevel="0" collapsed="false">
      <c r="A2" s="17" t="s">
        <v>273</v>
      </c>
      <c r="B2" s="17"/>
      <c r="C2" s="17"/>
      <c r="D2" s="17"/>
      <c r="E2" s="17"/>
      <c r="F2" s="17"/>
      <c r="G2" s="17"/>
      <c r="H2" s="17"/>
    </row>
    <row r="3" customFormat="false" ht="30" hidden="false" customHeight="true" outlineLevel="0" collapsed="false">
      <c r="A3" s="18" t="s">
        <v>82</v>
      </c>
      <c r="B3" s="18" t="s">
        <v>108</v>
      </c>
      <c r="C3" s="18" t="s">
        <v>109</v>
      </c>
      <c r="D3" s="18" t="s">
        <v>274</v>
      </c>
      <c r="E3" s="18" t="s">
        <v>275</v>
      </c>
      <c r="F3" s="18" t="s">
        <v>276</v>
      </c>
      <c r="G3" s="18" t="s">
        <v>277</v>
      </c>
      <c r="H3" s="18" t="s">
        <v>116</v>
      </c>
    </row>
    <row r="4" customFormat="false" ht="18" hidden="false" customHeight="true" outlineLevel="0" collapsed="false">
      <c r="A4" s="36" t="s">
        <v>100</v>
      </c>
      <c r="B4" s="36" t="s">
        <v>124</v>
      </c>
      <c r="C4" s="48" t="str">
        <f aca="false">IF($B4="","",IFERROR(VLOOKUP($B4,项目清单!$B$4:$C$13,2,0)&amp;"","清单中未登记"))</f>
        <v>动力电池模组用高阻燃缓冲泡棉研发</v>
      </c>
      <c r="D4" s="37" t="s">
        <v>278</v>
      </c>
      <c r="E4" s="35" t="s">
        <v>279</v>
      </c>
      <c r="F4" s="25" t="n">
        <v>12600</v>
      </c>
      <c r="G4" s="37" t="s">
        <v>280</v>
      </c>
      <c r="H4" s="39" t="s">
        <v>166</v>
      </c>
    </row>
    <row r="5" customFormat="false" ht="18" hidden="false" customHeight="true" outlineLevel="0" collapsed="false">
      <c r="A5" s="36" t="s">
        <v>100</v>
      </c>
      <c r="B5" s="36" t="s">
        <v>127</v>
      </c>
      <c r="C5" s="48" t="str">
        <f aca="false">IF($B5="","",IFERROR(VLOOKUP($B5,项目清单!$B$4:$C$13,2,0)&amp;"","清单中未登记"))</f>
        <v>泡棉与PET基材无溶剂贴合工艺开发</v>
      </c>
      <c r="D5" s="37" t="s">
        <v>281</v>
      </c>
      <c r="E5" s="35" t="s">
        <v>282</v>
      </c>
      <c r="F5" s="25" t="n">
        <v>30000</v>
      </c>
      <c r="G5" s="37" t="s">
        <v>283</v>
      </c>
      <c r="H5" s="39" t="s">
        <v>166</v>
      </c>
    </row>
    <row r="6" customFormat="false" ht="18" hidden="false" customHeight="true" outlineLevel="0" collapsed="false">
      <c r="A6" s="36" t="s">
        <v>100</v>
      </c>
      <c r="B6" s="36" t="s">
        <v>133</v>
      </c>
      <c r="C6" s="48" t="str">
        <f aca="false">IF($B6="","",IFERROR(VLOOKUP($B6,项目清单!$B$4:$C$13,2,0)&amp;"","清单中未登记"))</f>
        <v>超薄泡棉高精度分切及毛边控制技术研究</v>
      </c>
      <c r="D6" s="37" t="s">
        <v>278</v>
      </c>
      <c r="E6" s="35" t="s">
        <v>284</v>
      </c>
      <c r="F6" s="25" t="n">
        <v>8450</v>
      </c>
      <c r="G6" s="37" t="s">
        <v>285</v>
      </c>
      <c r="H6" s="39" t="s">
        <v>166</v>
      </c>
    </row>
    <row r="7" customFormat="false" ht="18" hidden="false" customHeight="true" outlineLevel="0" collapsed="false">
      <c r="A7" s="36"/>
      <c r="B7" s="36"/>
      <c r="C7" s="48" t="str">
        <f aca="false">IF($B7="","",IFERROR(VLOOKUP($B7,项目清单!$B$4:$C$13,2,0)&amp;"","清单中未登记"))</f>
        <v/>
      </c>
      <c r="D7" s="37"/>
      <c r="E7" s="35"/>
      <c r="F7" s="25"/>
      <c r="G7" s="37"/>
      <c r="H7" s="35"/>
    </row>
    <row r="8" customFormat="false" ht="18" hidden="false" customHeight="true" outlineLevel="0" collapsed="false">
      <c r="A8" s="36"/>
      <c r="B8" s="36"/>
      <c r="C8" s="48" t="str">
        <f aca="false">IF($B8="","",IFERROR(VLOOKUP($B8,项目清单!$B$4:$C$13,2,0)&amp;"","清单中未登记"))</f>
        <v/>
      </c>
      <c r="D8" s="37"/>
      <c r="E8" s="35"/>
      <c r="F8" s="25"/>
      <c r="G8" s="37"/>
      <c r="H8" s="35"/>
    </row>
    <row r="9" customFormat="false" ht="18" hidden="false" customHeight="true" outlineLevel="0" collapsed="false">
      <c r="A9" s="36"/>
      <c r="B9" s="36"/>
      <c r="C9" s="48" t="str">
        <f aca="false">IF($B9="","",IFERROR(VLOOKUP($B9,项目清单!$B$4:$C$13,2,0)&amp;"","清单中未登记"))</f>
        <v/>
      </c>
      <c r="D9" s="37"/>
      <c r="E9" s="35"/>
      <c r="F9" s="25"/>
      <c r="G9" s="37"/>
      <c r="H9" s="35"/>
    </row>
    <row r="10" customFormat="false" ht="18" hidden="false" customHeight="true" outlineLevel="0" collapsed="false">
      <c r="A10" s="36"/>
      <c r="B10" s="36"/>
      <c r="C10" s="48" t="str">
        <f aca="false">IF($B10="","",IFERROR(VLOOKUP($B10,项目清单!$B$4:$C$13,2,0)&amp;"","清单中未登记"))</f>
        <v/>
      </c>
      <c r="D10" s="37"/>
      <c r="E10" s="35"/>
      <c r="F10" s="25"/>
      <c r="G10" s="37"/>
      <c r="H10" s="35"/>
    </row>
    <row r="11" customFormat="false" ht="18" hidden="false" customHeight="true" outlineLevel="0" collapsed="false">
      <c r="A11" s="36"/>
      <c r="B11" s="36"/>
      <c r="C11" s="48" t="str">
        <f aca="false">IF($B11="","",IFERROR(VLOOKUP($B11,项目清单!$B$4:$C$13,2,0)&amp;"","清单中未登记"))</f>
        <v/>
      </c>
      <c r="D11" s="37"/>
      <c r="E11" s="35"/>
      <c r="F11" s="25"/>
      <c r="G11" s="37"/>
      <c r="H11" s="35"/>
    </row>
    <row r="12" customFormat="false" ht="18" hidden="false" customHeight="true" outlineLevel="0" collapsed="false">
      <c r="A12" s="36"/>
      <c r="B12" s="36"/>
      <c r="C12" s="48" t="str">
        <f aca="false">IF($B12="","",IFERROR(VLOOKUP($B12,项目清单!$B$4:$C$13,2,0)&amp;"","清单中未登记"))</f>
        <v/>
      </c>
      <c r="D12" s="37"/>
      <c r="E12" s="35"/>
      <c r="F12" s="25"/>
      <c r="G12" s="37"/>
      <c r="H12" s="35"/>
    </row>
    <row r="13" customFormat="false" ht="18" hidden="false" customHeight="true" outlineLevel="0" collapsed="false">
      <c r="A13" s="36"/>
      <c r="B13" s="36"/>
      <c r="C13" s="48" t="str">
        <f aca="false">IF($B13="","",IFERROR(VLOOKUP($B13,项目清单!$B$4:$C$13,2,0)&amp;"","清单中未登记"))</f>
        <v/>
      </c>
      <c r="D13" s="37"/>
      <c r="E13" s="35"/>
      <c r="F13" s="25"/>
      <c r="G13" s="37"/>
      <c r="H13" s="35"/>
    </row>
    <row r="14" customFormat="false" ht="18" hidden="false" customHeight="true" outlineLevel="0" collapsed="false">
      <c r="A14" s="36"/>
      <c r="B14" s="36"/>
      <c r="C14" s="48" t="str">
        <f aca="false">IF($B14="","",IFERROR(VLOOKUP($B14,项目清单!$B$4:$C$13,2,0)&amp;"","清单中未登记"))</f>
        <v/>
      </c>
      <c r="D14" s="37"/>
      <c r="E14" s="35"/>
      <c r="F14" s="25"/>
      <c r="G14" s="37"/>
      <c r="H14" s="35"/>
    </row>
    <row r="15" customFormat="false" ht="18" hidden="false" customHeight="true" outlineLevel="0" collapsed="false">
      <c r="A15" s="36"/>
      <c r="B15" s="36"/>
      <c r="C15" s="48" t="str">
        <f aca="false">IF($B15="","",IFERROR(VLOOKUP($B15,项目清单!$B$4:$C$13,2,0)&amp;"","清单中未登记"))</f>
        <v/>
      </c>
      <c r="D15" s="37"/>
      <c r="E15" s="35"/>
      <c r="F15" s="25"/>
      <c r="G15" s="37"/>
      <c r="H15" s="35"/>
    </row>
    <row r="16" customFormat="false" ht="18" hidden="false" customHeight="true" outlineLevel="0" collapsed="false">
      <c r="A16" s="36"/>
      <c r="B16" s="36"/>
      <c r="C16" s="48" t="str">
        <f aca="false">IF($B16="","",IFERROR(VLOOKUP($B16,项目清单!$B$4:$C$13,2,0)&amp;"","清单中未登记"))</f>
        <v/>
      </c>
      <c r="D16" s="37"/>
      <c r="E16" s="35"/>
      <c r="F16" s="25"/>
      <c r="G16" s="37"/>
      <c r="H16" s="35"/>
    </row>
    <row r="17" customFormat="false" ht="18" hidden="false" customHeight="true" outlineLevel="0" collapsed="false">
      <c r="A17" s="36"/>
      <c r="B17" s="36"/>
      <c r="C17" s="48" t="str">
        <f aca="false">IF($B17="","",IFERROR(VLOOKUP($B17,项目清单!$B$4:$C$13,2,0)&amp;"","清单中未登记"))</f>
        <v/>
      </c>
      <c r="D17" s="37"/>
      <c r="E17" s="35"/>
      <c r="F17" s="25"/>
      <c r="G17" s="37"/>
      <c r="H17" s="35"/>
    </row>
    <row r="18" customFormat="false" ht="18" hidden="false" customHeight="true" outlineLevel="0" collapsed="false">
      <c r="A18" s="36"/>
      <c r="B18" s="36"/>
      <c r="C18" s="48" t="str">
        <f aca="false">IF($B18="","",IFERROR(VLOOKUP($B18,项目清单!$B$4:$C$13,2,0)&amp;"","清单中未登记"))</f>
        <v/>
      </c>
      <c r="D18" s="37"/>
      <c r="E18" s="35"/>
      <c r="F18" s="25"/>
      <c r="G18" s="37"/>
      <c r="H18" s="35"/>
    </row>
    <row r="19" customFormat="false" ht="18" hidden="false" customHeight="true" outlineLevel="0" collapsed="false">
      <c r="A19" s="36"/>
      <c r="B19" s="36"/>
      <c r="C19" s="48" t="str">
        <f aca="false">IF($B19="","",IFERROR(VLOOKUP($B19,项目清单!$B$4:$C$13,2,0)&amp;"","清单中未登记"))</f>
        <v/>
      </c>
      <c r="D19" s="37"/>
      <c r="E19" s="35"/>
      <c r="F19" s="25"/>
      <c r="G19" s="37"/>
      <c r="H19" s="35"/>
    </row>
    <row r="20" customFormat="false" ht="18" hidden="false" customHeight="true" outlineLevel="0" collapsed="false">
      <c r="A20" s="36"/>
      <c r="B20" s="36"/>
      <c r="C20" s="48" t="str">
        <f aca="false">IF($B20="","",IFERROR(VLOOKUP($B20,项目清单!$B$4:$C$13,2,0)&amp;"","清单中未登记"))</f>
        <v/>
      </c>
      <c r="D20" s="37"/>
      <c r="E20" s="35"/>
      <c r="F20" s="25"/>
      <c r="G20" s="37"/>
      <c r="H20" s="35"/>
    </row>
    <row r="21" customFormat="false" ht="18" hidden="false" customHeight="true" outlineLevel="0" collapsed="false">
      <c r="A21" s="36"/>
      <c r="B21" s="36"/>
      <c r="C21" s="48" t="str">
        <f aca="false">IF($B21="","",IFERROR(VLOOKUP($B21,项目清单!$B$4:$C$13,2,0)&amp;"","清单中未登记"))</f>
        <v/>
      </c>
      <c r="D21" s="37"/>
      <c r="E21" s="35"/>
      <c r="F21" s="25"/>
      <c r="G21" s="37"/>
      <c r="H21" s="35"/>
    </row>
    <row r="22" customFormat="false" ht="18" hidden="false" customHeight="true" outlineLevel="0" collapsed="false">
      <c r="A22" s="36"/>
      <c r="B22" s="36"/>
      <c r="C22" s="48" t="str">
        <f aca="false">IF($B22="","",IFERROR(VLOOKUP($B22,项目清单!$B$4:$C$13,2,0)&amp;"","清单中未登记"))</f>
        <v/>
      </c>
      <c r="D22" s="37"/>
      <c r="E22" s="35"/>
      <c r="F22" s="25"/>
      <c r="G22" s="37"/>
      <c r="H22" s="35"/>
    </row>
    <row r="23" customFormat="false" ht="18" hidden="false" customHeight="true" outlineLevel="0" collapsed="false">
      <c r="A23" s="36"/>
      <c r="B23" s="36"/>
      <c r="C23" s="48" t="str">
        <f aca="false">IF($B23="","",IFERROR(VLOOKUP($B23,项目清单!$B$4:$C$13,2,0)&amp;"","清单中未登记"))</f>
        <v/>
      </c>
      <c r="D23" s="37"/>
      <c r="E23" s="35"/>
      <c r="F23" s="25"/>
      <c r="G23" s="37"/>
      <c r="H23" s="35"/>
    </row>
    <row r="24" customFormat="false" ht="18" hidden="false" customHeight="true" outlineLevel="0" collapsed="false">
      <c r="A24" s="36"/>
      <c r="B24" s="36"/>
      <c r="C24" s="48" t="str">
        <f aca="false">IF($B24="","",IFERROR(VLOOKUP($B24,项目清单!$B$4:$C$13,2,0)&amp;"","清单中未登记"))</f>
        <v/>
      </c>
      <c r="D24" s="37"/>
      <c r="E24" s="35"/>
      <c r="F24" s="25"/>
      <c r="G24" s="37"/>
      <c r="H24" s="35"/>
    </row>
    <row r="25" customFormat="false" ht="18" hidden="false" customHeight="true" outlineLevel="0" collapsed="false">
      <c r="A25" s="36"/>
      <c r="B25" s="36"/>
      <c r="C25" s="48" t="str">
        <f aca="false">IF($B25="","",IFERROR(VLOOKUP($B25,项目清单!$B$4:$C$13,2,0)&amp;"","清单中未登记"))</f>
        <v/>
      </c>
      <c r="D25" s="37"/>
      <c r="E25" s="35"/>
      <c r="F25" s="25"/>
      <c r="G25" s="37"/>
      <c r="H25" s="35"/>
    </row>
    <row r="26" customFormat="false" ht="18" hidden="false" customHeight="true" outlineLevel="0" collapsed="false">
      <c r="A26" s="36"/>
      <c r="B26" s="36"/>
      <c r="C26" s="48" t="str">
        <f aca="false">IF($B26="","",IFERROR(VLOOKUP($B26,项目清单!$B$4:$C$13,2,0)&amp;"","清单中未登记"))</f>
        <v/>
      </c>
      <c r="D26" s="37"/>
      <c r="E26" s="35"/>
      <c r="F26" s="25"/>
      <c r="G26" s="37"/>
      <c r="H26" s="35"/>
    </row>
    <row r="27" customFormat="false" ht="18" hidden="false" customHeight="true" outlineLevel="0" collapsed="false">
      <c r="A27" s="36"/>
      <c r="B27" s="36"/>
      <c r="C27" s="48" t="str">
        <f aca="false">IF($B27="","",IFERROR(VLOOKUP($B27,项目清单!$B$4:$C$13,2,0)&amp;"","清单中未登记"))</f>
        <v/>
      </c>
      <c r="D27" s="37"/>
      <c r="E27" s="35"/>
      <c r="F27" s="25"/>
      <c r="G27" s="37"/>
      <c r="H27" s="35"/>
    </row>
    <row r="28" customFormat="false" ht="18" hidden="false" customHeight="true" outlineLevel="0" collapsed="false">
      <c r="A28" s="36"/>
      <c r="B28" s="36"/>
      <c r="C28" s="48" t="str">
        <f aca="false">IF($B28="","",IFERROR(VLOOKUP($B28,项目清单!$B$4:$C$13,2,0)&amp;"","清单中未登记"))</f>
        <v/>
      </c>
      <c r="D28" s="37"/>
      <c r="E28" s="35"/>
      <c r="F28" s="25"/>
      <c r="G28" s="37"/>
      <c r="H28" s="35"/>
    </row>
    <row r="29" customFormat="false" ht="18" hidden="false" customHeight="true" outlineLevel="0" collapsed="false">
      <c r="A29" s="36"/>
      <c r="B29" s="36"/>
      <c r="C29" s="48" t="str">
        <f aca="false">IF($B29="","",IFERROR(VLOOKUP($B29,项目清单!$B$4:$C$13,2,0)&amp;"","清单中未登记"))</f>
        <v/>
      </c>
      <c r="D29" s="37"/>
      <c r="E29" s="35"/>
      <c r="F29" s="25"/>
      <c r="G29" s="37"/>
      <c r="H29" s="35"/>
    </row>
    <row r="30" customFormat="false" ht="18" hidden="false" customHeight="true" outlineLevel="0" collapsed="false">
      <c r="A30" s="36"/>
      <c r="B30" s="36"/>
      <c r="C30" s="48" t="str">
        <f aca="false">IF($B30="","",IFERROR(VLOOKUP($B30,项目清单!$B$4:$C$13,2,0)&amp;"","清单中未登记"))</f>
        <v/>
      </c>
      <c r="D30" s="37"/>
      <c r="E30" s="35"/>
      <c r="F30" s="25"/>
      <c r="G30" s="37"/>
      <c r="H30" s="35"/>
    </row>
    <row r="31" customFormat="false" ht="18" hidden="false" customHeight="true" outlineLevel="0" collapsed="false">
      <c r="A31" s="36"/>
      <c r="B31" s="36"/>
      <c r="C31" s="48" t="str">
        <f aca="false">IF($B31="","",IFERROR(VLOOKUP($B31,项目清单!$B$4:$C$13,2,0)&amp;"","清单中未登记"))</f>
        <v/>
      </c>
      <c r="D31" s="37"/>
      <c r="E31" s="35"/>
      <c r="F31" s="25"/>
      <c r="G31" s="37"/>
      <c r="H31" s="35"/>
    </row>
    <row r="32" customFormat="false" ht="18" hidden="false" customHeight="true" outlineLevel="0" collapsed="false">
      <c r="A32" s="36"/>
      <c r="B32" s="36"/>
      <c r="C32" s="48" t="str">
        <f aca="false">IF($B32="","",IFERROR(VLOOKUP($B32,项目清单!$B$4:$C$13,2,0)&amp;"","清单中未登记"))</f>
        <v/>
      </c>
      <c r="D32" s="37"/>
      <c r="E32" s="35"/>
      <c r="F32" s="25"/>
      <c r="G32" s="37"/>
      <c r="H32" s="35"/>
    </row>
    <row r="33" customFormat="false" ht="18" hidden="false" customHeight="true" outlineLevel="0" collapsed="false">
      <c r="A33" s="36"/>
      <c r="B33" s="36"/>
      <c r="C33" s="48" t="str">
        <f aca="false">IF($B33="","",IFERROR(VLOOKUP($B33,项目清单!$B$4:$C$13,2,0)&amp;"","清单中未登记"))</f>
        <v/>
      </c>
      <c r="D33" s="37"/>
      <c r="E33" s="35"/>
      <c r="F33" s="25"/>
      <c r="G33" s="37"/>
      <c r="H33" s="35"/>
    </row>
    <row r="34" customFormat="false" ht="18" hidden="false" customHeight="true" outlineLevel="0" collapsed="false">
      <c r="A34" s="36"/>
      <c r="B34" s="36"/>
      <c r="C34" s="48" t="str">
        <f aca="false">IF($B34="","",IFERROR(VLOOKUP($B34,项目清单!$B$4:$C$13,2,0)&amp;"","清单中未登记"))</f>
        <v/>
      </c>
      <c r="D34" s="37"/>
      <c r="E34" s="35"/>
      <c r="F34" s="25"/>
      <c r="G34" s="37"/>
      <c r="H34" s="35"/>
    </row>
    <row r="35" customFormat="false" ht="18" hidden="false" customHeight="true" outlineLevel="0" collapsed="false">
      <c r="A35" s="36"/>
      <c r="B35" s="36"/>
      <c r="C35" s="48" t="str">
        <f aca="false">IF($B35="","",IFERROR(VLOOKUP($B35,项目清单!$B$4:$C$13,2,0)&amp;"","清单中未登记"))</f>
        <v/>
      </c>
      <c r="D35" s="37"/>
      <c r="E35" s="35"/>
      <c r="F35" s="25"/>
      <c r="G35" s="37"/>
      <c r="H35" s="35"/>
    </row>
    <row r="36" customFormat="false" ht="18" hidden="false" customHeight="true" outlineLevel="0" collapsed="false">
      <c r="A36" s="36"/>
      <c r="B36" s="36"/>
      <c r="C36" s="48" t="str">
        <f aca="false">IF($B36="","",IFERROR(VLOOKUP($B36,项目清单!$B$4:$C$13,2,0)&amp;"","清单中未登记"))</f>
        <v/>
      </c>
      <c r="D36" s="37"/>
      <c r="E36" s="35"/>
      <c r="F36" s="25"/>
      <c r="G36" s="37"/>
      <c r="H36" s="35"/>
    </row>
    <row r="37" customFormat="false" ht="18" hidden="false" customHeight="true" outlineLevel="0" collapsed="false">
      <c r="A37" s="36"/>
      <c r="B37" s="36"/>
      <c r="C37" s="48" t="str">
        <f aca="false">IF($B37="","",IFERROR(VLOOKUP($B37,项目清单!$B$4:$C$13,2,0)&amp;"","清单中未登记"))</f>
        <v/>
      </c>
      <c r="D37" s="37"/>
      <c r="E37" s="35"/>
      <c r="F37" s="25"/>
      <c r="G37" s="37"/>
      <c r="H37" s="35"/>
    </row>
    <row r="38" customFormat="false" ht="18" hidden="false" customHeight="true" outlineLevel="0" collapsed="false">
      <c r="A38" s="36"/>
      <c r="B38" s="36"/>
      <c r="C38" s="48" t="str">
        <f aca="false">IF($B38="","",IFERROR(VLOOKUP($B38,项目清单!$B$4:$C$13,2,0)&amp;"","清单中未登记"))</f>
        <v/>
      </c>
      <c r="D38" s="37"/>
      <c r="E38" s="35"/>
      <c r="F38" s="25"/>
      <c r="G38" s="37"/>
      <c r="H38" s="35"/>
    </row>
    <row r="39" customFormat="false" ht="18" hidden="false" customHeight="true" outlineLevel="0" collapsed="false">
      <c r="A39" s="36"/>
      <c r="B39" s="36"/>
      <c r="C39" s="48" t="str">
        <f aca="false">IF($B39="","",IFERROR(VLOOKUP($B39,项目清单!$B$4:$C$13,2,0)&amp;"","清单中未登记"))</f>
        <v/>
      </c>
      <c r="D39" s="37"/>
      <c r="E39" s="35"/>
      <c r="F39" s="25"/>
      <c r="G39" s="37"/>
      <c r="H39" s="35"/>
    </row>
    <row r="40" customFormat="false" ht="18" hidden="false" customHeight="true" outlineLevel="0" collapsed="false">
      <c r="A40" s="36"/>
      <c r="B40" s="36"/>
      <c r="C40" s="48" t="str">
        <f aca="false">IF($B40="","",IFERROR(VLOOKUP($B40,项目清单!$B$4:$C$13,2,0)&amp;"","清单中未登记"))</f>
        <v/>
      </c>
      <c r="D40" s="37"/>
      <c r="E40" s="35"/>
      <c r="F40" s="25"/>
      <c r="G40" s="37"/>
      <c r="H40" s="35"/>
    </row>
    <row r="41" customFormat="false" ht="18" hidden="false" customHeight="true" outlineLevel="0" collapsed="false">
      <c r="A41" s="36"/>
      <c r="B41" s="36"/>
      <c r="C41" s="48" t="str">
        <f aca="false">IF($B41="","",IFERROR(VLOOKUP($B41,项目清单!$B$4:$C$13,2,0)&amp;"","清单中未登记"))</f>
        <v/>
      </c>
      <c r="D41" s="37"/>
      <c r="E41" s="35"/>
      <c r="F41" s="25"/>
      <c r="G41" s="37"/>
      <c r="H41" s="35"/>
    </row>
    <row r="42" customFormat="false" ht="18" hidden="false" customHeight="true" outlineLevel="0" collapsed="false">
      <c r="A42" s="36"/>
      <c r="B42" s="36"/>
      <c r="C42" s="48" t="str">
        <f aca="false">IF($B42="","",IFERROR(VLOOKUP($B42,项目清单!$B$4:$C$13,2,0)&amp;"","清单中未登记"))</f>
        <v/>
      </c>
      <c r="D42" s="37"/>
      <c r="E42" s="35"/>
      <c r="F42" s="25"/>
      <c r="G42" s="37"/>
      <c r="H42" s="35"/>
    </row>
    <row r="43" customFormat="false" ht="18" hidden="false" customHeight="true" outlineLevel="0" collapsed="false">
      <c r="A43" s="36"/>
      <c r="B43" s="36"/>
      <c r="C43" s="48" t="str">
        <f aca="false">IF($B43="","",IFERROR(VLOOKUP($B43,项目清单!$B$4:$C$13,2,0)&amp;"","清单中未登记"))</f>
        <v/>
      </c>
      <c r="D43" s="37"/>
      <c r="E43" s="35"/>
      <c r="F43" s="25"/>
      <c r="G43" s="37"/>
      <c r="H43" s="35"/>
    </row>
    <row r="44" customFormat="false" ht="18" hidden="false" customHeight="true" outlineLevel="0" collapsed="false">
      <c r="A44" s="36"/>
      <c r="B44" s="36"/>
      <c r="C44" s="48" t="str">
        <f aca="false">IF($B44="","",IFERROR(VLOOKUP($B44,项目清单!$B$4:$C$13,2,0)&amp;"","清单中未登记"))</f>
        <v/>
      </c>
      <c r="D44" s="37"/>
      <c r="E44" s="35"/>
      <c r="F44" s="25"/>
      <c r="G44" s="37"/>
      <c r="H44" s="35"/>
    </row>
    <row r="45" customFormat="false" ht="18" hidden="false" customHeight="true" outlineLevel="0" collapsed="false">
      <c r="A45" s="36"/>
      <c r="B45" s="36"/>
      <c r="C45" s="48" t="str">
        <f aca="false">IF($B45="","",IFERROR(VLOOKUP($B45,项目清单!$B$4:$C$13,2,0)&amp;"","清单中未登记"))</f>
        <v/>
      </c>
      <c r="D45" s="37"/>
      <c r="E45" s="35"/>
      <c r="F45" s="25"/>
      <c r="G45" s="37"/>
      <c r="H45" s="35"/>
    </row>
    <row r="46" customFormat="false" ht="18" hidden="false" customHeight="true" outlineLevel="0" collapsed="false">
      <c r="A46" s="36"/>
      <c r="B46" s="36"/>
      <c r="C46" s="48" t="str">
        <f aca="false">IF($B46="","",IFERROR(VLOOKUP($B46,项目清单!$B$4:$C$13,2,0)&amp;"","清单中未登记"))</f>
        <v/>
      </c>
      <c r="D46" s="37"/>
      <c r="E46" s="35"/>
      <c r="F46" s="25"/>
      <c r="G46" s="37"/>
      <c r="H46" s="35"/>
    </row>
    <row r="47" customFormat="false" ht="18" hidden="false" customHeight="true" outlineLevel="0" collapsed="false">
      <c r="A47" s="36"/>
      <c r="B47" s="36"/>
      <c r="C47" s="48" t="str">
        <f aca="false">IF($B47="","",IFERROR(VLOOKUP($B47,项目清单!$B$4:$C$13,2,0)&amp;"","清单中未登记"))</f>
        <v/>
      </c>
      <c r="D47" s="37"/>
      <c r="E47" s="35"/>
      <c r="F47" s="25"/>
      <c r="G47" s="37"/>
      <c r="H47" s="35"/>
    </row>
    <row r="48" customFormat="false" ht="18" hidden="false" customHeight="true" outlineLevel="0" collapsed="false">
      <c r="A48" s="36"/>
      <c r="B48" s="36"/>
      <c r="C48" s="48" t="str">
        <f aca="false">IF($B48="","",IFERROR(VLOOKUP($B48,项目清单!$B$4:$C$13,2,0)&amp;"","清单中未登记"))</f>
        <v/>
      </c>
      <c r="D48" s="37"/>
      <c r="E48" s="35"/>
      <c r="F48" s="25"/>
      <c r="G48" s="37"/>
      <c r="H48" s="35"/>
    </row>
    <row r="49" customFormat="false" ht="18" hidden="false" customHeight="true" outlineLevel="0" collapsed="false">
      <c r="A49" s="36"/>
      <c r="B49" s="36"/>
      <c r="C49" s="48" t="str">
        <f aca="false">IF($B49="","",IFERROR(VLOOKUP($B49,项目清单!$B$4:$C$13,2,0)&amp;"","清单中未登记"))</f>
        <v/>
      </c>
      <c r="D49" s="37"/>
      <c r="E49" s="35"/>
      <c r="F49" s="25"/>
      <c r="G49" s="37"/>
      <c r="H49" s="35"/>
    </row>
    <row r="50" customFormat="false" ht="18" hidden="false" customHeight="true" outlineLevel="0" collapsed="false">
      <c r="A50" s="36"/>
      <c r="B50" s="36"/>
      <c r="C50" s="48" t="str">
        <f aca="false">IF($B50="","",IFERROR(VLOOKUP($B50,项目清单!$B$4:$C$13,2,0)&amp;"","清单中未登记"))</f>
        <v/>
      </c>
      <c r="D50" s="37"/>
      <c r="E50" s="35"/>
      <c r="F50" s="25"/>
      <c r="G50" s="37"/>
      <c r="H50" s="35"/>
    </row>
    <row r="51" customFormat="false" ht="18" hidden="false" customHeight="true" outlineLevel="0" collapsed="false">
      <c r="A51" s="36"/>
      <c r="B51" s="36"/>
      <c r="C51" s="48" t="str">
        <f aca="false">IF($B51="","",IFERROR(VLOOKUP($B51,项目清单!$B$4:$C$13,2,0)&amp;"","清单中未登记"))</f>
        <v/>
      </c>
      <c r="D51" s="37"/>
      <c r="E51" s="35"/>
      <c r="F51" s="25"/>
      <c r="G51" s="37"/>
      <c r="H51" s="35"/>
    </row>
    <row r="52" customFormat="false" ht="18" hidden="false" customHeight="true" outlineLevel="0" collapsed="false">
      <c r="A52" s="36"/>
      <c r="B52" s="36"/>
      <c r="C52" s="48" t="str">
        <f aca="false">IF($B52="","",IFERROR(VLOOKUP($B52,项目清单!$B$4:$C$13,2,0)&amp;"","清单中未登记"))</f>
        <v/>
      </c>
      <c r="D52" s="37"/>
      <c r="E52" s="35"/>
      <c r="F52" s="25"/>
      <c r="G52" s="37"/>
      <c r="H52" s="35"/>
    </row>
    <row r="53" customFormat="false" ht="18" hidden="false" customHeight="true" outlineLevel="0" collapsed="false">
      <c r="A53" s="36"/>
      <c r="B53" s="36"/>
      <c r="C53" s="48" t="str">
        <f aca="false">IF($B53="","",IFERROR(VLOOKUP($B53,项目清单!$B$4:$C$13,2,0)&amp;"","清单中未登记"))</f>
        <v/>
      </c>
      <c r="D53" s="37"/>
      <c r="E53" s="35"/>
      <c r="F53" s="25"/>
      <c r="G53" s="37"/>
      <c r="H53" s="35"/>
    </row>
    <row r="54" customFormat="false" ht="18" hidden="false" customHeight="true" outlineLevel="0" collapsed="false">
      <c r="A54" s="36"/>
      <c r="B54" s="36"/>
      <c r="C54" s="48" t="str">
        <f aca="false">IF($B54="","",IFERROR(VLOOKUP($B54,项目清单!$B$4:$C$13,2,0)&amp;"","清单中未登记"))</f>
        <v/>
      </c>
      <c r="D54" s="37"/>
      <c r="E54" s="35"/>
      <c r="F54" s="25"/>
      <c r="G54" s="37"/>
      <c r="H54" s="35"/>
    </row>
    <row r="55" customFormat="false" ht="18" hidden="false" customHeight="true" outlineLevel="0" collapsed="false">
      <c r="A55" s="36"/>
      <c r="B55" s="36"/>
      <c r="C55" s="48" t="str">
        <f aca="false">IF($B55="","",IFERROR(VLOOKUP($B55,项目清单!$B$4:$C$13,2,0)&amp;"","清单中未登记"))</f>
        <v/>
      </c>
      <c r="D55" s="37"/>
      <c r="E55" s="35"/>
      <c r="F55" s="25"/>
      <c r="G55" s="37"/>
      <c r="H55" s="35"/>
    </row>
    <row r="56" customFormat="false" ht="18" hidden="false" customHeight="true" outlineLevel="0" collapsed="false">
      <c r="A56" s="36"/>
      <c r="B56" s="36"/>
      <c r="C56" s="48" t="str">
        <f aca="false">IF($B56="","",IFERROR(VLOOKUP($B56,项目清单!$B$4:$C$13,2,0)&amp;"","清单中未登记"))</f>
        <v/>
      </c>
      <c r="D56" s="37"/>
      <c r="E56" s="35"/>
      <c r="F56" s="25"/>
      <c r="G56" s="37"/>
      <c r="H56" s="35"/>
    </row>
    <row r="57" customFormat="false" ht="18" hidden="false" customHeight="true" outlineLevel="0" collapsed="false">
      <c r="A57" s="36"/>
      <c r="B57" s="36"/>
      <c r="C57" s="48" t="str">
        <f aca="false">IF($B57="","",IFERROR(VLOOKUP($B57,项目清单!$B$4:$C$13,2,0)&amp;"","清单中未登记"))</f>
        <v/>
      </c>
      <c r="D57" s="37"/>
      <c r="E57" s="35"/>
      <c r="F57" s="25"/>
      <c r="G57" s="37"/>
      <c r="H57" s="35"/>
    </row>
    <row r="58" customFormat="false" ht="18" hidden="false" customHeight="true" outlineLevel="0" collapsed="false">
      <c r="A58" s="36"/>
      <c r="B58" s="36"/>
      <c r="C58" s="48" t="str">
        <f aca="false">IF($B58="","",IFERROR(VLOOKUP($B58,项目清单!$B$4:$C$13,2,0)&amp;"","清单中未登记"))</f>
        <v/>
      </c>
      <c r="D58" s="37"/>
      <c r="E58" s="35"/>
      <c r="F58" s="25"/>
      <c r="G58" s="37"/>
      <c r="H58" s="35"/>
    </row>
    <row r="59" customFormat="false" ht="18" hidden="false" customHeight="true" outlineLevel="0" collapsed="false">
      <c r="A59" s="36"/>
      <c r="B59" s="36"/>
      <c r="C59" s="48" t="str">
        <f aca="false">IF($B59="","",IFERROR(VLOOKUP($B59,项目清单!$B$4:$C$13,2,0)&amp;"","清单中未登记"))</f>
        <v/>
      </c>
      <c r="D59" s="37"/>
      <c r="E59" s="35"/>
      <c r="F59" s="25"/>
      <c r="G59" s="37"/>
      <c r="H59" s="35"/>
    </row>
    <row r="60" customFormat="false" ht="18" hidden="false" customHeight="true" outlineLevel="0" collapsed="false">
      <c r="A60" s="36"/>
      <c r="B60" s="36"/>
      <c r="C60" s="48" t="str">
        <f aca="false">IF($B60="","",IFERROR(VLOOKUP($B60,项目清单!$B$4:$C$13,2,0)&amp;"","清单中未登记"))</f>
        <v/>
      </c>
      <c r="D60" s="37"/>
      <c r="E60" s="35"/>
      <c r="F60" s="25"/>
      <c r="G60" s="37"/>
      <c r="H60" s="35"/>
    </row>
    <row r="61" customFormat="false" ht="18" hidden="false" customHeight="true" outlineLevel="0" collapsed="false">
      <c r="A61" s="36"/>
      <c r="B61" s="36"/>
      <c r="C61" s="48" t="str">
        <f aca="false">IF($B61="","",IFERROR(VLOOKUP($B61,项目清单!$B$4:$C$13,2,0)&amp;"","清单中未登记"))</f>
        <v/>
      </c>
      <c r="D61" s="37"/>
      <c r="E61" s="35"/>
      <c r="F61" s="25"/>
      <c r="G61" s="37"/>
      <c r="H61" s="35"/>
    </row>
    <row r="62" customFormat="false" ht="18" hidden="false" customHeight="true" outlineLevel="0" collapsed="false">
      <c r="A62" s="36"/>
      <c r="B62" s="36"/>
      <c r="C62" s="48" t="str">
        <f aca="false">IF($B62="","",IFERROR(VLOOKUP($B62,项目清单!$B$4:$C$13,2,0)&amp;"","清单中未登记"))</f>
        <v/>
      </c>
      <c r="D62" s="37"/>
      <c r="E62" s="35"/>
      <c r="F62" s="25"/>
      <c r="G62" s="37"/>
      <c r="H62" s="35"/>
    </row>
    <row r="63" customFormat="false" ht="18" hidden="false" customHeight="true" outlineLevel="0" collapsed="false">
      <c r="A63" s="36"/>
      <c r="B63" s="36"/>
      <c r="C63" s="48" t="str">
        <f aca="false">IF($B63="","",IFERROR(VLOOKUP($B63,项目清单!$B$4:$C$13,2,0)&amp;"","清单中未登记"))</f>
        <v/>
      </c>
      <c r="D63" s="37"/>
      <c r="E63" s="35"/>
      <c r="F63" s="25"/>
      <c r="G63" s="37"/>
      <c r="H63" s="35"/>
    </row>
    <row r="64" customFormat="false" ht="18" hidden="false" customHeight="true" outlineLevel="0" collapsed="false">
      <c r="A64" s="36"/>
      <c r="B64" s="36"/>
      <c r="C64" s="48" t="str">
        <f aca="false">IF($B64="","",IFERROR(VLOOKUP($B64,项目清单!$B$4:$C$13,2,0)&amp;"","清单中未登记"))</f>
        <v/>
      </c>
      <c r="D64" s="37"/>
      <c r="E64" s="35"/>
      <c r="F64" s="25"/>
      <c r="G64" s="37"/>
      <c r="H64" s="35"/>
    </row>
    <row r="65" customFormat="false" ht="18" hidden="false" customHeight="true" outlineLevel="0" collapsed="false">
      <c r="A65" s="36"/>
      <c r="B65" s="36"/>
      <c r="C65" s="48" t="str">
        <f aca="false">IF($B65="","",IFERROR(VLOOKUP($B65,项目清单!$B$4:$C$13,2,0)&amp;"","清单中未登记"))</f>
        <v/>
      </c>
      <c r="D65" s="37"/>
      <c r="E65" s="35"/>
      <c r="F65" s="25"/>
      <c r="G65" s="37"/>
      <c r="H65" s="35"/>
    </row>
    <row r="66" customFormat="false" ht="18" hidden="false" customHeight="true" outlineLevel="0" collapsed="false">
      <c r="A66" s="36"/>
      <c r="B66" s="36"/>
      <c r="C66" s="48" t="str">
        <f aca="false">IF($B66="","",IFERROR(VLOOKUP($B66,项目清单!$B$4:$C$13,2,0)&amp;"","清单中未登记"))</f>
        <v/>
      </c>
      <c r="D66" s="37"/>
      <c r="E66" s="35"/>
      <c r="F66" s="25"/>
      <c r="G66" s="37"/>
      <c r="H66" s="35"/>
    </row>
    <row r="67" customFormat="false" ht="18" hidden="false" customHeight="true" outlineLevel="0" collapsed="false">
      <c r="A67" s="36"/>
      <c r="B67" s="36"/>
      <c r="C67" s="48" t="str">
        <f aca="false">IF($B67="","",IFERROR(VLOOKUP($B67,项目清单!$B$4:$C$13,2,0)&amp;"","清单中未登记"))</f>
        <v/>
      </c>
      <c r="D67" s="37"/>
      <c r="E67" s="35"/>
      <c r="F67" s="25"/>
      <c r="G67" s="37"/>
      <c r="H67" s="35"/>
    </row>
    <row r="68" customFormat="false" ht="18" hidden="false" customHeight="true" outlineLevel="0" collapsed="false">
      <c r="A68" s="36"/>
      <c r="B68" s="36"/>
      <c r="C68" s="48" t="str">
        <f aca="false">IF($B68="","",IFERROR(VLOOKUP($B68,项目清单!$B$4:$C$13,2,0)&amp;"","清单中未登记"))</f>
        <v/>
      </c>
      <c r="D68" s="37"/>
      <c r="E68" s="35"/>
      <c r="F68" s="25"/>
      <c r="G68" s="37"/>
      <c r="H68" s="35"/>
    </row>
    <row r="69" customFormat="false" ht="18" hidden="false" customHeight="true" outlineLevel="0" collapsed="false">
      <c r="A69" s="36"/>
      <c r="B69" s="36"/>
      <c r="C69" s="48" t="str">
        <f aca="false">IF($B69="","",IFERROR(VLOOKUP($B69,项目清单!$B$4:$C$13,2,0)&amp;"","清单中未登记"))</f>
        <v/>
      </c>
      <c r="D69" s="37"/>
      <c r="E69" s="35"/>
      <c r="F69" s="25"/>
      <c r="G69" s="37"/>
      <c r="H69" s="35"/>
    </row>
    <row r="70" customFormat="false" ht="18" hidden="false" customHeight="true" outlineLevel="0" collapsed="false">
      <c r="A70" s="36"/>
      <c r="B70" s="36"/>
      <c r="C70" s="48" t="str">
        <f aca="false">IF($B70="","",IFERROR(VLOOKUP($B70,项目清单!$B$4:$C$13,2,0)&amp;"","清单中未登记"))</f>
        <v/>
      </c>
      <c r="D70" s="37"/>
      <c r="E70" s="35"/>
      <c r="F70" s="25"/>
      <c r="G70" s="37"/>
      <c r="H70" s="35"/>
    </row>
    <row r="71" customFormat="false" ht="18" hidden="false" customHeight="true" outlineLevel="0" collapsed="false">
      <c r="A71" s="36"/>
      <c r="B71" s="36"/>
      <c r="C71" s="48" t="str">
        <f aca="false">IF($B71="","",IFERROR(VLOOKUP($B71,项目清单!$B$4:$C$13,2,0)&amp;"","清单中未登记"))</f>
        <v/>
      </c>
      <c r="D71" s="37"/>
      <c r="E71" s="35"/>
      <c r="F71" s="25"/>
      <c r="G71" s="37"/>
      <c r="H71" s="35"/>
    </row>
    <row r="72" customFormat="false" ht="18" hidden="false" customHeight="true" outlineLevel="0" collapsed="false">
      <c r="A72" s="36"/>
      <c r="B72" s="36"/>
      <c r="C72" s="48" t="str">
        <f aca="false">IF($B72="","",IFERROR(VLOOKUP($B72,项目清单!$B$4:$C$13,2,0)&amp;"","清单中未登记"))</f>
        <v/>
      </c>
      <c r="D72" s="37"/>
      <c r="E72" s="35"/>
      <c r="F72" s="25"/>
      <c r="G72" s="37"/>
      <c r="H72" s="35"/>
    </row>
    <row r="73" customFormat="false" ht="18" hidden="false" customHeight="true" outlineLevel="0" collapsed="false">
      <c r="A73" s="36"/>
      <c r="B73" s="36"/>
      <c r="C73" s="48" t="str">
        <f aca="false">IF($B73="","",IFERROR(VLOOKUP($B73,项目清单!$B$4:$C$13,2,0)&amp;"","清单中未登记"))</f>
        <v/>
      </c>
      <c r="D73" s="37"/>
      <c r="E73" s="35"/>
      <c r="F73" s="25"/>
      <c r="G73" s="37"/>
      <c r="H73" s="35"/>
    </row>
    <row r="74" customFormat="false" ht="18" hidden="false" customHeight="true" outlineLevel="0" collapsed="false">
      <c r="A74" s="36"/>
      <c r="B74" s="36"/>
      <c r="C74" s="48" t="str">
        <f aca="false">IF($B74="","",IFERROR(VLOOKUP($B74,项目清单!$B$4:$C$13,2,0)&amp;"","清单中未登记"))</f>
        <v/>
      </c>
      <c r="D74" s="37"/>
      <c r="E74" s="35"/>
      <c r="F74" s="25"/>
      <c r="G74" s="37"/>
      <c r="H74" s="35"/>
    </row>
    <row r="75" customFormat="false" ht="18" hidden="false" customHeight="true" outlineLevel="0" collapsed="false">
      <c r="A75" s="36"/>
      <c r="B75" s="36"/>
      <c r="C75" s="48" t="str">
        <f aca="false">IF($B75="","",IFERROR(VLOOKUP($B75,项目清单!$B$4:$C$13,2,0)&amp;"","清单中未登记"))</f>
        <v/>
      </c>
      <c r="D75" s="37"/>
      <c r="E75" s="35"/>
      <c r="F75" s="25"/>
      <c r="G75" s="37"/>
      <c r="H75" s="35"/>
    </row>
    <row r="76" customFormat="false" ht="18" hidden="false" customHeight="true" outlineLevel="0" collapsed="false">
      <c r="A76" s="36"/>
      <c r="B76" s="36"/>
      <c r="C76" s="48" t="str">
        <f aca="false">IF($B76="","",IFERROR(VLOOKUP($B76,项目清单!$B$4:$C$13,2,0)&amp;"","清单中未登记"))</f>
        <v/>
      </c>
      <c r="D76" s="37"/>
      <c r="E76" s="35"/>
      <c r="F76" s="25"/>
      <c r="G76" s="37"/>
      <c r="H76" s="35"/>
    </row>
    <row r="77" customFormat="false" ht="18" hidden="false" customHeight="true" outlineLevel="0" collapsed="false">
      <c r="A77" s="36"/>
      <c r="B77" s="36"/>
      <c r="C77" s="48" t="str">
        <f aca="false">IF($B77="","",IFERROR(VLOOKUP($B77,项目清单!$B$4:$C$13,2,0)&amp;"","清单中未登记"))</f>
        <v/>
      </c>
      <c r="D77" s="37"/>
      <c r="E77" s="35"/>
      <c r="F77" s="25"/>
      <c r="G77" s="37"/>
      <c r="H77" s="35"/>
    </row>
    <row r="78" customFormat="false" ht="18" hidden="false" customHeight="true" outlineLevel="0" collapsed="false">
      <c r="A78" s="36"/>
      <c r="B78" s="36"/>
      <c r="C78" s="48" t="str">
        <f aca="false">IF($B78="","",IFERROR(VLOOKUP($B78,项目清单!$B$4:$C$13,2,0)&amp;"","清单中未登记"))</f>
        <v/>
      </c>
      <c r="D78" s="37"/>
      <c r="E78" s="35"/>
      <c r="F78" s="25"/>
      <c r="G78" s="37"/>
      <c r="H78" s="35"/>
    </row>
    <row r="79" customFormat="false" ht="18" hidden="false" customHeight="true" outlineLevel="0" collapsed="false">
      <c r="A79" s="36"/>
      <c r="B79" s="36"/>
      <c r="C79" s="48" t="str">
        <f aca="false">IF($B79="","",IFERROR(VLOOKUP($B79,项目清单!$B$4:$C$13,2,0)&amp;"","清单中未登记"))</f>
        <v/>
      </c>
      <c r="D79" s="37"/>
      <c r="E79" s="35"/>
      <c r="F79" s="25"/>
      <c r="G79" s="37"/>
      <c r="H79" s="35"/>
    </row>
    <row r="80" customFormat="false" ht="18" hidden="false" customHeight="true" outlineLevel="0" collapsed="false">
      <c r="A80" s="36"/>
      <c r="B80" s="36"/>
      <c r="C80" s="48" t="str">
        <f aca="false">IF($B80="","",IFERROR(VLOOKUP($B80,项目清单!$B$4:$C$13,2,0)&amp;"","清单中未登记"))</f>
        <v/>
      </c>
      <c r="D80" s="37"/>
      <c r="E80" s="35"/>
      <c r="F80" s="25"/>
      <c r="G80" s="37"/>
      <c r="H80" s="35"/>
    </row>
    <row r="81" customFormat="false" ht="18" hidden="false" customHeight="true" outlineLevel="0" collapsed="false">
      <c r="A81" s="36"/>
      <c r="B81" s="36"/>
      <c r="C81" s="48" t="str">
        <f aca="false">IF($B81="","",IFERROR(VLOOKUP($B81,项目清单!$B$4:$C$13,2,0)&amp;"","清单中未登记"))</f>
        <v/>
      </c>
      <c r="D81" s="37"/>
      <c r="E81" s="35"/>
      <c r="F81" s="25"/>
      <c r="G81" s="37"/>
      <c r="H81" s="35"/>
    </row>
    <row r="82" customFormat="false" ht="18" hidden="false" customHeight="true" outlineLevel="0" collapsed="false">
      <c r="A82" s="36"/>
      <c r="B82" s="36"/>
      <c r="C82" s="48" t="str">
        <f aca="false">IF($B82="","",IFERROR(VLOOKUP($B82,项目清单!$B$4:$C$13,2,0)&amp;"","清单中未登记"))</f>
        <v/>
      </c>
      <c r="D82" s="37"/>
      <c r="E82" s="35"/>
      <c r="F82" s="25"/>
      <c r="G82" s="37"/>
      <c r="H82" s="35"/>
    </row>
    <row r="83" customFormat="false" ht="18" hidden="false" customHeight="true" outlineLevel="0" collapsed="false">
      <c r="A83" s="36"/>
      <c r="B83" s="36"/>
      <c r="C83" s="48" t="str">
        <f aca="false">IF($B83="","",IFERROR(VLOOKUP($B83,项目清单!$B$4:$C$13,2,0)&amp;"","清单中未登记"))</f>
        <v/>
      </c>
      <c r="D83" s="37"/>
      <c r="E83" s="35"/>
      <c r="F83" s="25"/>
      <c r="G83" s="37"/>
      <c r="H83" s="35"/>
    </row>
    <row r="84" customFormat="false" ht="18" hidden="false" customHeight="true" outlineLevel="0" collapsed="false">
      <c r="A84" s="36"/>
      <c r="B84" s="36"/>
      <c r="C84" s="48" t="str">
        <f aca="false">IF($B84="","",IFERROR(VLOOKUP($B84,项目清单!$B$4:$C$13,2,0)&amp;"","清单中未登记"))</f>
        <v/>
      </c>
      <c r="D84" s="37"/>
      <c r="E84" s="35"/>
      <c r="F84" s="25"/>
      <c r="G84" s="37"/>
      <c r="H84" s="35"/>
    </row>
    <row r="85" customFormat="false" ht="18" hidden="false" customHeight="true" outlineLevel="0" collapsed="false">
      <c r="A85" s="36"/>
      <c r="B85" s="36"/>
      <c r="C85" s="48" t="str">
        <f aca="false">IF($B85="","",IFERROR(VLOOKUP($B85,项目清单!$B$4:$C$13,2,0)&amp;"","清单中未登记"))</f>
        <v/>
      </c>
      <c r="D85" s="37"/>
      <c r="E85" s="35"/>
      <c r="F85" s="25"/>
      <c r="G85" s="37"/>
      <c r="H85" s="35"/>
    </row>
    <row r="86" customFormat="false" ht="18" hidden="false" customHeight="true" outlineLevel="0" collapsed="false">
      <c r="A86" s="36"/>
      <c r="B86" s="36"/>
      <c r="C86" s="48" t="str">
        <f aca="false">IF($B86="","",IFERROR(VLOOKUP($B86,项目清单!$B$4:$C$13,2,0)&amp;"","清单中未登记"))</f>
        <v/>
      </c>
      <c r="D86" s="37"/>
      <c r="E86" s="35"/>
      <c r="F86" s="25"/>
      <c r="G86" s="37"/>
      <c r="H86" s="35"/>
    </row>
    <row r="87" customFormat="false" ht="18" hidden="false" customHeight="true" outlineLevel="0" collapsed="false">
      <c r="A87" s="36"/>
      <c r="B87" s="36"/>
      <c r="C87" s="48" t="str">
        <f aca="false">IF($B87="","",IFERROR(VLOOKUP($B87,项目清单!$B$4:$C$13,2,0)&amp;"","清单中未登记"))</f>
        <v/>
      </c>
      <c r="D87" s="37"/>
      <c r="E87" s="35"/>
      <c r="F87" s="25"/>
      <c r="G87" s="37"/>
      <c r="H87" s="35"/>
    </row>
    <row r="88" customFormat="false" ht="18" hidden="false" customHeight="true" outlineLevel="0" collapsed="false">
      <c r="A88" s="36"/>
      <c r="B88" s="36"/>
      <c r="C88" s="48" t="str">
        <f aca="false">IF($B88="","",IFERROR(VLOOKUP($B88,项目清单!$B$4:$C$13,2,0)&amp;"","清单中未登记"))</f>
        <v/>
      </c>
      <c r="D88" s="37"/>
      <c r="E88" s="35"/>
      <c r="F88" s="25"/>
      <c r="G88" s="37"/>
      <c r="H88" s="35"/>
    </row>
    <row r="89" customFormat="false" ht="18" hidden="false" customHeight="true" outlineLevel="0" collapsed="false">
      <c r="A89" s="36"/>
      <c r="B89" s="36"/>
      <c r="C89" s="48" t="str">
        <f aca="false">IF($B89="","",IFERROR(VLOOKUP($B89,项目清单!$B$4:$C$13,2,0)&amp;"","清单中未登记"))</f>
        <v/>
      </c>
      <c r="D89" s="37"/>
      <c r="E89" s="35"/>
      <c r="F89" s="25"/>
      <c r="G89" s="37"/>
      <c r="H89" s="35"/>
    </row>
    <row r="90" customFormat="false" ht="18" hidden="false" customHeight="true" outlineLevel="0" collapsed="false">
      <c r="A90" s="36"/>
      <c r="B90" s="36"/>
      <c r="C90" s="48" t="str">
        <f aca="false">IF($B90="","",IFERROR(VLOOKUP($B90,项目清单!$B$4:$C$13,2,0)&amp;"","清单中未登记"))</f>
        <v/>
      </c>
      <c r="D90" s="37"/>
      <c r="E90" s="35"/>
      <c r="F90" s="25"/>
      <c r="G90" s="37"/>
      <c r="H90" s="35"/>
    </row>
    <row r="91" customFormat="false" ht="18" hidden="false" customHeight="true" outlineLevel="0" collapsed="false">
      <c r="A91" s="36"/>
      <c r="B91" s="36"/>
      <c r="C91" s="48" t="str">
        <f aca="false">IF($B91="","",IFERROR(VLOOKUP($B91,项目清单!$B$4:$C$13,2,0)&amp;"","清单中未登记"))</f>
        <v/>
      </c>
      <c r="D91" s="37"/>
      <c r="E91" s="35"/>
      <c r="F91" s="25"/>
      <c r="G91" s="37"/>
      <c r="H91" s="35"/>
    </row>
    <row r="92" customFormat="false" ht="18" hidden="false" customHeight="true" outlineLevel="0" collapsed="false">
      <c r="A92" s="36"/>
      <c r="B92" s="36"/>
      <c r="C92" s="48" t="str">
        <f aca="false">IF($B92="","",IFERROR(VLOOKUP($B92,项目清单!$B$4:$C$13,2,0)&amp;"","清单中未登记"))</f>
        <v/>
      </c>
      <c r="D92" s="37"/>
      <c r="E92" s="35"/>
      <c r="F92" s="25"/>
      <c r="G92" s="37"/>
      <c r="H92" s="35"/>
    </row>
    <row r="93" customFormat="false" ht="18" hidden="false" customHeight="true" outlineLevel="0" collapsed="false">
      <c r="A93" s="36"/>
      <c r="B93" s="36"/>
      <c r="C93" s="48" t="str">
        <f aca="false">IF($B93="","",IFERROR(VLOOKUP($B93,项目清单!$B$4:$C$13,2,0)&amp;"","清单中未登记"))</f>
        <v/>
      </c>
      <c r="D93" s="37"/>
      <c r="E93" s="35"/>
      <c r="F93" s="25"/>
      <c r="G93" s="37"/>
      <c r="H93" s="35"/>
    </row>
    <row r="94" customFormat="false" ht="18" hidden="false" customHeight="true" outlineLevel="0" collapsed="false">
      <c r="A94" s="36"/>
      <c r="B94" s="36"/>
      <c r="C94" s="48" t="str">
        <f aca="false">IF($B94="","",IFERROR(VLOOKUP($B94,项目清单!$B$4:$C$13,2,0)&amp;"","清单中未登记"))</f>
        <v/>
      </c>
      <c r="D94" s="37"/>
      <c r="E94" s="35"/>
      <c r="F94" s="25"/>
      <c r="G94" s="37"/>
      <c r="H94" s="35"/>
    </row>
    <row r="95" customFormat="false" ht="18" hidden="false" customHeight="true" outlineLevel="0" collapsed="false">
      <c r="A95" s="36"/>
      <c r="B95" s="36"/>
      <c r="C95" s="48" t="str">
        <f aca="false">IF($B95="","",IFERROR(VLOOKUP($B95,项目清单!$B$4:$C$13,2,0)&amp;"","清单中未登记"))</f>
        <v/>
      </c>
      <c r="D95" s="37"/>
      <c r="E95" s="35"/>
      <c r="F95" s="25"/>
      <c r="G95" s="37"/>
      <c r="H95" s="35"/>
    </row>
    <row r="96" customFormat="false" ht="18" hidden="false" customHeight="true" outlineLevel="0" collapsed="false">
      <c r="A96" s="36"/>
      <c r="B96" s="36"/>
      <c r="C96" s="48" t="str">
        <f aca="false">IF($B96="","",IFERROR(VLOOKUP($B96,项目清单!$B$4:$C$13,2,0)&amp;"","清单中未登记"))</f>
        <v/>
      </c>
      <c r="D96" s="37"/>
      <c r="E96" s="35"/>
      <c r="F96" s="25"/>
      <c r="G96" s="37"/>
      <c r="H96" s="35"/>
    </row>
    <row r="97" customFormat="false" ht="18" hidden="false" customHeight="true" outlineLevel="0" collapsed="false">
      <c r="A97" s="36"/>
      <c r="B97" s="36"/>
      <c r="C97" s="48" t="str">
        <f aca="false">IF($B97="","",IFERROR(VLOOKUP($B97,项目清单!$B$4:$C$13,2,0)&amp;"","清单中未登记"))</f>
        <v/>
      </c>
      <c r="D97" s="37"/>
      <c r="E97" s="35"/>
      <c r="F97" s="25"/>
      <c r="G97" s="37"/>
      <c r="H97" s="35"/>
    </row>
    <row r="98" customFormat="false" ht="18" hidden="false" customHeight="true" outlineLevel="0" collapsed="false">
      <c r="A98" s="36"/>
      <c r="B98" s="36"/>
      <c r="C98" s="48" t="str">
        <f aca="false">IF($B98="","",IFERROR(VLOOKUP($B98,项目清单!$B$4:$C$13,2,0)&amp;"","清单中未登记"))</f>
        <v/>
      </c>
      <c r="D98" s="37"/>
      <c r="E98" s="35"/>
      <c r="F98" s="25"/>
      <c r="G98" s="37"/>
      <c r="H98" s="35"/>
    </row>
    <row r="99" customFormat="false" ht="18" hidden="false" customHeight="true" outlineLevel="0" collapsed="false">
      <c r="A99" s="36"/>
      <c r="B99" s="36"/>
      <c r="C99" s="48" t="str">
        <f aca="false">IF($B99="","",IFERROR(VLOOKUP($B99,项目清单!$B$4:$C$13,2,0)&amp;"","清单中未登记"))</f>
        <v/>
      </c>
      <c r="D99" s="37"/>
      <c r="E99" s="35"/>
      <c r="F99" s="25"/>
      <c r="G99" s="37"/>
      <c r="H99" s="35"/>
    </row>
    <row r="100" customFormat="false" ht="18" hidden="false" customHeight="true" outlineLevel="0" collapsed="false">
      <c r="A100" s="36"/>
      <c r="B100" s="36"/>
      <c r="C100" s="48" t="str">
        <f aca="false">IF($B100="","",IFERROR(VLOOKUP($B100,项目清单!$B$4:$C$13,2,0)&amp;"","清单中未登记"))</f>
        <v/>
      </c>
      <c r="D100" s="37"/>
      <c r="E100" s="35"/>
      <c r="F100" s="25"/>
      <c r="G100" s="37"/>
      <c r="H100" s="35"/>
    </row>
    <row r="101" customFormat="false" ht="18" hidden="false" customHeight="true" outlineLevel="0" collapsed="false">
      <c r="A101" s="36"/>
      <c r="B101" s="36"/>
      <c r="C101" s="48" t="str">
        <f aca="false">IF($B101="","",IFERROR(VLOOKUP($B101,项目清单!$B$4:$C$13,2,0)&amp;"","清单中未登记"))</f>
        <v/>
      </c>
      <c r="D101" s="37"/>
      <c r="E101" s="35"/>
      <c r="F101" s="25"/>
      <c r="G101" s="37"/>
      <c r="H101" s="35"/>
    </row>
    <row r="102" customFormat="false" ht="18" hidden="false" customHeight="true" outlineLevel="0" collapsed="false">
      <c r="A102" s="36"/>
      <c r="B102" s="36"/>
      <c r="C102" s="48" t="str">
        <f aca="false">IF($B102="","",IFERROR(VLOOKUP($B102,项目清单!$B$4:$C$13,2,0)&amp;"","清单中未登记"))</f>
        <v/>
      </c>
      <c r="D102" s="37"/>
      <c r="E102" s="35"/>
      <c r="F102" s="25"/>
      <c r="G102" s="37"/>
      <c r="H102" s="35"/>
    </row>
    <row r="103" customFormat="false" ht="18" hidden="false" customHeight="true" outlineLevel="0" collapsed="false">
      <c r="A103" s="36"/>
      <c r="B103" s="36"/>
      <c r="C103" s="48" t="str">
        <f aca="false">IF($B103="","",IFERROR(VLOOKUP($B103,项目清单!$B$4:$C$13,2,0)&amp;"","清单中未登记"))</f>
        <v/>
      </c>
      <c r="D103" s="37"/>
      <c r="E103" s="35"/>
      <c r="F103" s="25"/>
      <c r="G103" s="37"/>
      <c r="H103" s="35"/>
    </row>
    <row r="104" customFormat="false" ht="18" hidden="false" customHeight="true" outlineLevel="0" collapsed="false">
      <c r="A104" s="36"/>
      <c r="B104" s="36"/>
      <c r="C104" s="48" t="str">
        <f aca="false">IF($B104="","",IFERROR(VLOOKUP($B104,项目清单!$B$4:$C$13,2,0)&amp;"","清单中未登记"))</f>
        <v/>
      </c>
      <c r="D104" s="37"/>
      <c r="E104" s="35"/>
      <c r="F104" s="25"/>
      <c r="G104" s="37"/>
      <c r="H104" s="35"/>
    </row>
    <row r="105" customFormat="false" ht="18" hidden="false" customHeight="true" outlineLevel="0" collapsed="false">
      <c r="A105" s="36"/>
      <c r="B105" s="36"/>
      <c r="C105" s="48" t="str">
        <f aca="false">IF($B105="","",IFERROR(VLOOKUP($B105,项目清单!$B$4:$C$13,2,0)&amp;"","清单中未登记"))</f>
        <v/>
      </c>
      <c r="D105" s="37"/>
      <c r="E105" s="35"/>
      <c r="F105" s="25"/>
      <c r="G105" s="37"/>
      <c r="H105" s="35"/>
    </row>
    <row r="106" customFormat="false" ht="18" hidden="false" customHeight="true" outlineLevel="0" collapsed="false">
      <c r="A106" s="36"/>
      <c r="B106" s="36"/>
      <c r="C106" s="48" t="str">
        <f aca="false">IF($B106="","",IFERROR(VLOOKUP($B106,项目清单!$B$4:$C$13,2,0)&amp;"","清单中未登记"))</f>
        <v/>
      </c>
      <c r="D106" s="37"/>
      <c r="E106" s="35"/>
      <c r="F106" s="25"/>
      <c r="G106" s="37"/>
      <c r="H106" s="35"/>
    </row>
    <row r="107" customFormat="false" ht="18" hidden="false" customHeight="true" outlineLevel="0" collapsed="false">
      <c r="A107" s="36"/>
      <c r="B107" s="36"/>
      <c r="C107" s="48" t="str">
        <f aca="false">IF($B107="","",IFERROR(VLOOKUP($B107,项目清单!$B$4:$C$13,2,0)&amp;"","清单中未登记"))</f>
        <v/>
      </c>
      <c r="D107" s="37"/>
      <c r="E107" s="35"/>
      <c r="F107" s="25"/>
      <c r="G107" s="37"/>
      <c r="H107" s="35"/>
    </row>
    <row r="108" customFormat="false" ht="18" hidden="false" customHeight="true" outlineLevel="0" collapsed="false">
      <c r="A108" s="36"/>
      <c r="B108" s="36"/>
      <c r="C108" s="48" t="str">
        <f aca="false">IF($B108="","",IFERROR(VLOOKUP($B108,项目清单!$B$4:$C$13,2,0)&amp;"","清单中未登记"))</f>
        <v/>
      </c>
      <c r="D108" s="37"/>
      <c r="E108" s="35"/>
      <c r="F108" s="25"/>
      <c r="G108" s="37"/>
      <c r="H108" s="35"/>
    </row>
    <row r="109" customFormat="false" ht="18" hidden="false" customHeight="true" outlineLevel="0" collapsed="false">
      <c r="A109" s="36"/>
      <c r="B109" s="36"/>
      <c r="C109" s="48" t="str">
        <f aca="false">IF($B109="","",IFERROR(VLOOKUP($B109,项目清单!$B$4:$C$13,2,0)&amp;"","清单中未登记"))</f>
        <v/>
      </c>
      <c r="D109" s="37"/>
      <c r="E109" s="35"/>
      <c r="F109" s="25"/>
      <c r="G109" s="37"/>
      <c r="H109" s="35"/>
    </row>
    <row r="110" customFormat="false" ht="18" hidden="false" customHeight="true" outlineLevel="0" collapsed="false">
      <c r="A110" s="36"/>
      <c r="B110" s="36"/>
      <c r="C110" s="48" t="str">
        <f aca="false">IF($B110="","",IFERROR(VLOOKUP($B110,项目清单!$B$4:$C$13,2,0)&amp;"","清单中未登记"))</f>
        <v/>
      </c>
      <c r="D110" s="37"/>
      <c r="E110" s="35"/>
      <c r="F110" s="25"/>
      <c r="G110" s="37"/>
      <c r="H110" s="35"/>
    </row>
    <row r="111" customFormat="false" ht="18" hidden="false" customHeight="true" outlineLevel="0" collapsed="false">
      <c r="A111" s="36"/>
      <c r="B111" s="36"/>
      <c r="C111" s="48" t="str">
        <f aca="false">IF($B111="","",IFERROR(VLOOKUP($B111,项目清单!$B$4:$C$13,2,0)&amp;"","清单中未登记"))</f>
        <v/>
      </c>
      <c r="D111" s="37"/>
      <c r="E111" s="35"/>
      <c r="F111" s="25"/>
      <c r="G111" s="37"/>
      <c r="H111" s="35"/>
    </row>
    <row r="112" customFormat="false" ht="18" hidden="false" customHeight="true" outlineLevel="0" collapsed="false">
      <c r="A112" s="36"/>
      <c r="B112" s="36"/>
      <c r="C112" s="48" t="str">
        <f aca="false">IF($B112="","",IFERROR(VLOOKUP($B112,项目清单!$B$4:$C$13,2,0)&amp;"","清单中未登记"))</f>
        <v/>
      </c>
      <c r="D112" s="37"/>
      <c r="E112" s="35"/>
      <c r="F112" s="25"/>
      <c r="G112" s="37"/>
      <c r="H112" s="35"/>
    </row>
    <row r="113" customFormat="false" ht="18" hidden="false" customHeight="true" outlineLevel="0" collapsed="false">
      <c r="A113" s="36"/>
      <c r="B113" s="36"/>
      <c r="C113" s="48" t="str">
        <f aca="false">IF($B113="","",IFERROR(VLOOKUP($B113,项目清单!$B$4:$C$13,2,0)&amp;"","清单中未登记"))</f>
        <v/>
      </c>
      <c r="D113" s="37"/>
      <c r="E113" s="35"/>
      <c r="F113" s="25"/>
      <c r="G113" s="37"/>
      <c r="H113" s="35"/>
    </row>
    <row r="114" customFormat="false" ht="18" hidden="false" customHeight="true" outlineLevel="0" collapsed="false">
      <c r="A114" s="36"/>
      <c r="B114" s="36"/>
      <c r="C114" s="48" t="str">
        <f aca="false">IF($B114="","",IFERROR(VLOOKUP($B114,项目清单!$B$4:$C$13,2,0)&amp;"","清单中未登记"))</f>
        <v/>
      </c>
      <c r="D114" s="37"/>
      <c r="E114" s="35"/>
      <c r="F114" s="25"/>
      <c r="G114" s="37"/>
      <c r="H114" s="35"/>
    </row>
    <row r="115" customFormat="false" ht="18" hidden="false" customHeight="true" outlineLevel="0" collapsed="false">
      <c r="A115" s="36"/>
      <c r="B115" s="36"/>
      <c r="C115" s="48" t="str">
        <f aca="false">IF($B115="","",IFERROR(VLOOKUP($B115,项目清单!$B$4:$C$13,2,0)&amp;"","清单中未登记"))</f>
        <v/>
      </c>
      <c r="D115" s="37"/>
      <c r="E115" s="35"/>
      <c r="F115" s="25"/>
      <c r="G115" s="37"/>
      <c r="H115" s="35"/>
    </row>
    <row r="116" customFormat="false" ht="18" hidden="false" customHeight="true" outlineLevel="0" collapsed="false">
      <c r="A116" s="36"/>
      <c r="B116" s="36"/>
      <c r="C116" s="48" t="str">
        <f aca="false">IF($B116="","",IFERROR(VLOOKUP($B116,项目清单!$B$4:$C$13,2,0)&amp;"","清单中未登记"))</f>
        <v/>
      </c>
      <c r="D116" s="37"/>
      <c r="E116" s="35"/>
      <c r="F116" s="25"/>
      <c r="G116" s="37"/>
      <c r="H116" s="35"/>
    </row>
    <row r="117" customFormat="false" ht="18" hidden="false" customHeight="true" outlineLevel="0" collapsed="false">
      <c r="A117" s="36"/>
      <c r="B117" s="36"/>
      <c r="C117" s="48" t="str">
        <f aca="false">IF($B117="","",IFERROR(VLOOKUP($B117,项目清单!$B$4:$C$13,2,0)&amp;"","清单中未登记"))</f>
        <v/>
      </c>
      <c r="D117" s="37"/>
      <c r="E117" s="35"/>
      <c r="F117" s="25"/>
      <c r="G117" s="37"/>
      <c r="H117" s="35"/>
    </row>
    <row r="118" customFormat="false" ht="18" hidden="false" customHeight="true" outlineLevel="0" collapsed="false">
      <c r="A118" s="36"/>
      <c r="B118" s="36"/>
      <c r="C118" s="48" t="str">
        <f aca="false">IF($B118="","",IFERROR(VLOOKUP($B118,项目清单!$B$4:$C$13,2,0)&amp;"","清单中未登记"))</f>
        <v/>
      </c>
      <c r="D118" s="37"/>
      <c r="E118" s="35"/>
      <c r="F118" s="25"/>
      <c r="G118" s="37"/>
      <c r="H118" s="35"/>
    </row>
    <row r="119" customFormat="false" ht="18" hidden="false" customHeight="true" outlineLevel="0" collapsed="false">
      <c r="A119" s="36"/>
      <c r="B119" s="36"/>
      <c r="C119" s="48" t="str">
        <f aca="false">IF($B119="","",IFERROR(VLOOKUP($B119,项目清单!$B$4:$C$13,2,0)&amp;"","清单中未登记"))</f>
        <v/>
      </c>
      <c r="D119" s="37"/>
      <c r="E119" s="35"/>
      <c r="F119" s="25"/>
      <c r="G119" s="37"/>
      <c r="H119" s="35"/>
    </row>
    <row r="120" customFormat="false" ht="18" hidden="false" customHeight="true" outlineLevel="0" collapsed="false">
      <c r="A120" s="36"/>
      <c r="B120" s="36"/>
      <c r="C120" s="48" t="str">
        <f aca="false">IF($B120="","",IFERROR(VLOOKUP($B120,项目清单!$B$4:$C$13,2,0)&amp;"","清单中未登记"))</f>
        <v/>
      </c>
      <c r="D120" s="37"/>
      <c r="E120" s="35"/>
      <c r="F120" s="25"/>
      <c r="G120" s="37"/>
      <c r="H120" s="35"/>
    </row>
    <row r="121" customFormat="false" ht="18" hidden="false" customHeight="true" outlineLevel="0" collapsed="false">
      <c r="A121" s="36"/>
      <c r="B121" s="36"/>
      <c r="C121" s="48" t="str">
        <f aca="false">IF($B121="","",IFERROR(VLOOKUP($B121,项目清单!$B$4:$C$13,2,0)&amp;"","清单中未登记"))</f>
        <v/>
      </c>
      <c r="D121" s="37"/>
      <c r="E121" s="35"/>
      <c r="F121" s="25"/>
      <c r="G121" s="37"/>
      <c r="H121" s="35"/>
    </row>
    <row r="122" customFormat="false" ht="18" hidden="false" customHeight="true" outlineLevel="0" collapsed="false">
      <c r="A122" s="36"/>
      <c r="B122" s="36"/>
      <c r="C122" s="48" t="str">
        <f aca="false">IF($B122="","",IFERROR(VLOOKUP($B122,项目清单!$B$4:$C$13,2,0)&amp;"","清单中未登记"))</f>
        <v/>
      </c>
      <c r="D122" s="37"/>
      <c r="E122" s="35"/>
      <c r="F122" s="25"/>
      <c r="G122" s="37"/>
      <c r="H122" s="35"/>
    </row>
    <row r="123" customFormat="false" ht="18" hidden="false" customHeight="true" outlineLevel="0" collapsed="false">
      <c r="A123" s="36"/>
      <c r="B123" s="36"/>
      <c r="C123" s="48" t="str">
        <f aca="false">IF($B123="","",IFERROR(VLOOKUP($B123,项目清单!$B$4:$C$13,2,0)&amp;"","清单中未登记"))</f>
        <v/>
      </c>
      <c r="D123" s="37"/>
      <c r="E123" s="35"/>
      <c r="F123" s="25"/>
      <c r="G123" s="37"/>
      <c r="H123" s="35"/>
    </row>
    <row r="124" customFormat="false" ht="18" hidden="false" customHeight="true" outlineLevel="0" collapsed="false">
      <c r="A124" s="36"/>
      <c r="B124" s="36"/>
      <c r="C124" s="48" t="str">
        <f aca="false">IF($B124="","",IFERROR(VLOOKUP($B124,项目清单!$B$4:$C$13,2,0)&amp;"","清单中未登记"))</f>
        <v/>
      </c>
      <c r="D124" s="37"/>
      <c r="E124" s="35"/>
      <c r="F124" s="25"/>
      <c r="G124" s="37"/>
      <c r="H124" s="35"/>
    </row>
    <row r="125" customFormat="false" ht="18" hidden="false" customHeight="true" outlineLevel="0" collapsed="false">
      <c r="A125" s="36"/>
      <c r="B125" s="36"/>
      <c r="C125" s="48" t="str">
        <f aca="false">IF($B125="","",IFERROR(VLOOKUP($B125,项目清单!$B$4:$C$13,2,0)&amp;"","清单中未登记"))</f>
        <v/>
      </c>
      <c r="D125" s="37"/>
      <c r="E125" s="35"/>
      <c r="F125" s="25"/>
      <c r="G125" s="37"/>
      <c r="H125" s="35"/>
    </row>
    <row r="126" customFormat="false" ht="18" hidden="false" customHeight="true" outlineLevel="0" collapsed="false">
      <c r="A126" s="36"/>
      <c r="B126" s="36"/>
      <c r="C126" s="48" t="str">
        <f aca="false">IF($B126="","",IFERROR(VLOOKUP($B126,项目清单!$B$4:$C$13,2,0)&amp;"","清单中未登记"))</f>
        <v/>
      </c>
      <c r="D126" s="37"/>
      <c r="E126" s="35"/>
      <c r="F126" s="25"/>
      <c r="G126" s="37"/>
      <c r="H126" s="35"/>
    </row>
    <row r="127" customFormat="false" ht="18" hidden="false" customHeight="true" outlineLevel="0" collapsed="false">
      <c r="A127" s="36"/>
      <c r="B127" s="36"/>
      <c r="C127" s="48" t="str">
        <f aca="false">IF($B127="","",IFERROR(VLOOKUP($B127,项目清单!$B$4:$C$13,2,0)&amp;"","清单中未登记"))</f>
        <v/>
      </c>
      <c r="D127" s="37"/>
      <c r="E127" s="35"/>
      <c r="F127" s="25"/>
      <c r="G127" s="37"/>
      <c r="H127" s="35"/>
    </row>
    <row r="128" customFormat="false" ht="18" hidden="false" customHeight="true" outlineLevel="0" collapsed="false">
      <c r="A128" s="36"/>
      <c r="B128" s="36"/>
      <c r="C128" s="48" t="str">
        <f aca="false">IF($B128="","",IFERROR(VLOOKUP($B128,项目清单!$B$4:$C$13,2,0)&amp;"","清单中未登记"))</f>
        <v/>
      </c>
      <c r="D128" s="37"/>
      <c r="E128" s="35"/>
      <c r="F128" s="25"/>
      <c r="G128" s="37"/>
      <c r="H128" s="35"/>
    </row>
    <row r="129" customFormat="false" ht="18" hidden="false" customHeight="true" outlineLevel="0" collapsed="false">
      <c r="A129" s="36"/>
      <c r="B129" s="36"/>
      <c r="C129" s="48" t="str">
        <f aca="false">IF($B129="","",IFERROR(VLOOKUP($B129,项目清单!$B$4:$C$13,2,0)&amp;"","清单中未登记"))</f>
        <v/>
      </c>
      <c r="D129" s="37"/>
      <c r="E129" s="35"/>
      <c r="F129" s="25"/>
      <c r="G129" s="37"/>
      <c r="H129" s="35"/>
    </row>
    <row r="130" customFormat="false" ht="18" hidden="false" customHeight="true" outlineLevel="0" collapsed="false">
      <c r="A130" s="36"/>
      <c r="B130" s="36"/>
      <c r="C130" s="48" t="str">
        <f aca="false">IF($B130="","",IFERROR(VLOOKUP($B130,项目清单!$B$4:$C$13,2,0)&amp;"","清单中未登记"))</f>
        <v/>
      </c>
      <c r="D130" s="37"/>
      <c r="E130" s="35"/>
      <c r="F130" s="25"/>
      <c r="G130" s="37"/>
      <c r="H130" s="35"/>
    </row>
    <row r="131" customFormat="false" ht="18" hidden="false" customHeight="true" outlineLevel="0" collapsed="false">
      <c r="A131" s="36"/>
      <c r="B131" s="36"/>
      <c r="C131" s="48" t="str">
        <f aca="false">IF($B131="","",IFERROR(VLOOKUP($B131,项目清单!$B$4:$C$13,2,0)&amp;"","清单中未登记"))</f>
        <v/>
      </c>
      <c r="D131" s="37"/>
      <c r="E131" s="35"/>
      <c r="F131" s="25"/>
      <c r="G131" s="37"/>
      <c r="H131" s="35"/>
    </row>
    <row r="132" customFormat="false" ht="18" hidden="false" customHeight="true" outlineLevel="0" collapsed="false">
      <c r="A132" s="36"/>
      <c r="B132" s="36"/>
      <c r="C132" s="48" t="str">
        <f aca="false">IF($B132="","",IFERROR(VLOOKUP($B132,项目清单!$B$4:$C$13,2,0)&amp;"","清单中未登记"))</f>
        <v/>
      </c>
      <c r="D132" s="37"/>
      <c r="E132" s="35"/>
      <c r="F132" s="25"/>
      <c r="G132" s="37"/>
      <c r="H132" s="35"/>
    </row>
    <row r="133" customFormat="false" ht="18" hidden="false" customHeight="true" outlineLevel="0" collapsed="false">
      <c r="A133" s="36"/>
      <c r="B133" s="36"/>
      <c r="C133" s="48" t="str">
        <f aca="false">IF($B133="","",IFERROR(VLOOKUP($B133,项目清单!$B$4:$C$13,2,0)&amp;"","清单中未登记"))</f>
        <v/>
      </c>
      <c r="D133" s="37"/>
      <c r="E133" s="35"/>
      <c r="F133" s="25"/>
      <c r="G133" s="37"/>
      <c r="H133" s="35"/>
    </row>
    <row r="134" customFormat="false" ht="18" hidden="false" customHeight="true" outlineLevel="0" collapsed="false">
      <c r="A134" s="36"/>
      <c r="B134" s="36"/>
      <c r="C134" s="48" t="str">
        <f aca="false">IF($B134="","",IFERROR(VLOOKUP($B134,项目清单!$B$4:$C$13,2,0)&amp;"","清单中未登记"))</f>
        <v/>
      </c>
      <c r="D134" s="37"/>
      <c r="E134" s="35"/>
      <c r="F134" s="25"/>
      <c r="G134" s="37"/>
      <c r="H134" s="35"/>
    </row>
    <row r="135" customFormat="false" ht="18" hidden="false" customHeight="true" outlineLevel="0" collapsed="false">
      <c r="A135" s="36"/>
      <c r="B135" s="36"/>
      <c r="C135" s="48" t="str">
        <f aca="false">IF($B135="","",IFERROR(VLOOKUP($B135,项目清单!$B$4:$C$13,2,0)&amp;"","清单中未登记"))</f>
        <v/>
      </c>
      <c r="D135" s="37"/>
      <c r="E135" s="35"/>
      <c r="F135" s="25"/>
      <c r="G135" s="37"/>
      <c r="H135" s="35"/>
    </row>
    <row r="136" customFormat="false" ht="18" hidden="false" customHeight="true" outlineLevel="0" collapsed="false">
      <c r="A136" s="36"/>
      <c r="B136" s="36"/>
      <c r="C136" s="48" t="str">
        <f aca="false">IF($B136="","",IFERROR(VLOOKUP($B136,项目清单!$B$4:$C$13,2,0)&amp;"","清单中未登记"))</f>
        <v/>
      </c>
      <c r="D136" s="37"/>
      <c r="E136" s="35"/>
      <c r="F136" s="25"/>
      <c r="G136" s="37"/>
      <c r="H136" s="35"/>
    </row>
    <row r="137" customFormat="false" ht="18" hidden="false" customHeight="true" outlineLevel="0" collapsed="false">
      <c r="A137" s="36"/>
      <c r="B137" s="36"/>
      <c r="C137" s="48" t="str">
        <f aca="false">IF($B137="","",IFERROR(VLOOKUP($B137,项目清单!$B$4:$C$13,2,0)&amp;"","清单中未登记"))</f>
        <v/>
      </c>
      <c r="D137" s="37"/>
      <c r="E137" s="35"/>
      <c r="F137" s="25"/>
      <c r="G137" s="37"/>
      <c r="H137" s="35"/>
    </row>
    <row r="138" customFormat="false" ht="18" hidden="false" customHeight="true" outlineLevel="0" collapsed="false">
      <c r="A138" s="36"/>
      <c r="B138" s="36"/>
      <c r="C138" s="48" t="str">
        <f aca="false">IF($B138="","",IFERROR(VLOOKUP($B138,项目清单!$B$4:$C$13,2,0)&amp;"","清单中未登记"))</f>
        <v/>
      </c>
      <c r="D138" s="37"/>
      <c r="E138" s="35"/>
      <c r="F138" s="25"/>
      <c r="G138" s="37"/>
      <c r="H138" s="35"/>
    </row>
    <row r="139" customFormat="false" ht="18" hidden="false" customHeight="true" outlineLevel="0" collapsed="false">
      <c r="A139" s="36"/>
      <c r="B139" s="36"/>
      <c r="C139" s="48" t="str">
        <f aca="false">IF($B139="","",IFERROR(VLOOKUP($B139,项目清单!$B$4:$C$13,2,0)&amp;"","清单中未登记"))</f>
        <v/>
      </c>
      <c r="D139" s="37"/>
      <c r="E139" s="35"/>
      <c r="F139" s="25"/>
      <c r="G139" s="37"/>
      <c r="H139" s="35"/>
    </row>
    <row r="140" customFormat="false" ht="18" hidden="false" customHeight="true" outlineLevel="0" collapsed="false">
      <c r="A140" s="36"/>
      <c r="B140" s="36"/>
      <c r="C140" s="48" t="str">
        <f aca="false">IF($B140="","",IFERROR(VLOOKUP($B140,项目清单!$B$4:$C$13,2,0)&amp;"","清单中未登记"))</f>
        <v/>
      </c>
      <c r="D140" s="37"/>
      <c r="E140" s="35"/>
      <c r="F140" s="25"/>
      <c r="G140" s="37"/>
      <c r="H140" s="35"/>
    </row>
    <row r="141" customFormat="false" ht="18" hidden="false" customHeight="true" outlineLevel="0" collapsed="false">
      <c r="A141" s="36"/>
      <c r="B141" s="36"/>
      <c r="C141" s="48" t="str">
        <f aca="false">IF($B141="","",IFERROR(VLOOKUP($B141,项目清单!$B$4:$C$13,2,0)&amp;"","清单中未登记"))</f>
        <v/>
      </c>
      <c r="D141" s="37"/>
      <c r="E141" s="35"/>
      <c r="F141" s="25"/>
      <c r="G141" s="37"/>
      <c r="H141" s="35"/>
    </row>
    <row r="142" customFormat="false" ht="18" hidden="false" customHeight="true" outlineLevel="0" collapsed="false">
      <c r="A142" s="36"/>
      <c r="B142" s="36"/>
      <c r="C142" s="48" t="str">
        <f aca="false">IF($B142="","",IFERROR(VLOOKUP($B142,项目清单!$B$4:$C$13,2,0)&amp;"","清单中未登记"))</f>
        <v/>
      </c>
      <c r="D142" s="37"/>
      <c r="E142" s="35"/>
      <c r="F142" s="25"/>
      <c r="G142" s="37"/>
      <c r="H142" s="35"/>
    </row>
    <row r="143" customFormat="false" ht="18" hidden="false" customHeight="true" outlineLevel="0" collapsed="false">
      <c r="A143" s="36"/>
      <c r="B143" s="36"/>
      <c r="C143" s="48" t="str">
        <f aca="false">IF($B143="","",IFERROR(VLOOKUP($B143,项目清单!$B$4:$C$13,2,0)&amp;"","清单中未登记"))</f>
        <v/>
      </c>
      <c r="D143" s="37"/>
      <c r="E143" s="35"/>
      <c r="F143" s="25"/>
      <c r="G143" s="37"/>
      <c r="H143" s="35"/>
    </row>
    <row r="144" customFormat="false" ht="18" hidden="false" customHeight="true" outlineLevel="0" collapsed="false">
      <c r="A144" s="36"/>
      <c r="B144" s="36"/>
      <c r="C144" s="48" t="str">
        <f aca="false">IF($B144="","",IFERROR(VLOOKUP($B144,项目清单!$B$4:$C$13,2,0)&amp;"","清单中未登记"))</f>
        <v/>
      </c>
      <c r="D144" s="37"/>
      <c r="E144" s="35"/>
      <c r="F144" s="25"/>
      <c r="G144" s="37"/>
      <c r="H144" s="35"/>
    </row>
    <row r="145" customFormat="false" ht="18" hidden="false" customHeight="true" outlineLevel="0" collapsed="false">
      <c r="A145" s="36"/>
      <c r="B145" s="36"/>
      <c r="C145" s="48" t="str">
        <f aca="false">IF($B145="","",IFERROR(VLOOKUP($B145,项目清单!$B$4:$C$13,2,0)&amp;"","清单中未登记"))</f>
        <v/>
      </c>
      <c r="D145" s="37"/>
      <c r="E145" s="35"/>
      <c r="F145" s="25"/>
      <c r="G145" s="37"/>
      <c r="H145" s="35"/>
    </row>
    <row r="146" customFormat="false" ht="18" hidden="false" customHeight="true" outlineLevel="0" collapsed="false">
      <c r="A146" s="36"/>
      <c r="B146" s="36"/>
      <c r="C146" s="48" t="str">
        <f aca="false">IF($B146="","",IFERROR(VLOOKUP($B146,项目清单!$B$4:$C$13,2,0)&amp;"","清单中未登记"))</f>
        <v/>
      </c>
      <c r="D146" s="37"/>
      <c r="E146" s="35"/>
      <c r="F146" s="25"/>
      <c r="G146" s="37"/>
      <c r="H146" s="35"/>
    </row>
    <row r="147" customFormat="false" ht="18" hidden="false" customHeight="true" outlineLevel="0" collapsed="false">
      <c r="A147" s="36"/>
      <c r="B147" s="36"/>
      <c r="C147" s="48" t="str">
        <f aca="false">IF($B147="","",IFERROR(VLOOKUP($B147,项目清单!$B$4:$C$13,2,0)&amp;"","清单中未登记"))</f>
        <v/>
      </c>
      <c r="D147" s="37"/>
      <c r="E147" s="35"/>
      <c r="F147" s="25"/>
      <c r="G147" s="37"/>
      <c r="H147" s="35"/>
    </row>
    <row r="148" customFormat="false" ht="18" hidden="false" customHeight="true" outlineLevel="0" collapsed="false">
      <c r="A148" s="36"/>
      <c r="B148" s="36"/>
      <c r="C148" s="48" t="str">
        <f aca="false">IF($B148="","",IFERROR(VLOOKUP($B148,项目清单!$B$4:$C$13,2,0)&amp;"","清单中未登记"))</f>
        <v/>
      </c>
      <c r="D148" s="37"/>
      <c r="E148" s="35"/>
      <c r="F148" s="25"/>
      <c r="G148" s="37"/>
      <c r="H148" s="35"/>
    </row>
    <row r="149" customFormat="false" ht="18" hidden="false" customHeight="true" outlineLevel="0" collapsed="false">
      <c r="A149" s="36"/>
      <c r="B149" s="36"/>
      <c r="C149" s="48" t="str">
        <f aca="false">IF($B149="","",IFERROR(VLOOKUP($B149,项目清单!$B$4:$C$13,2,0)&amp;"","清单中未登记"))</f>
        <v/>
      </c>
      <c r="D149" s="37"/>
      <c r="E149" s="35"/>
      <c r="F149" s="25"/>
      <c r="G149" s="37"/>
      <c r="H149" s="35"/>
    </row>
    <row r="150" customFormat="false" ht="18" hidden="false" customHeight="true" outlineLevel="0" collapsed="false">
      <c r="A150" s="36"/>
      <c r="B150" s="36"/>
      <c r="C150" s="48" t="str">
        <f aca="false">IF($B150="","",IFERROR(VLOOKUP($B150,项目清单!$B$4:$C$13,2,0)&amp;"","清单中未登记"))</f>
        <v/>
      </c>
      <c r="D150" s="37"/>
      <c r="E150" s="35"/>
      <c r="F150" s="25"/>
      <c r="G150" s="37"/>
      <c r="H150" s="35"/>
    </row>
    <row r="151" customFormat="false" ht="18" hidden="false" customHeight="true" outlineLevel="0" collapsed="false">
      <c r="A151" s="36"/>
      <c r="B151" s="36"/>
      <c r="C151" s="48" t="str">
        <f aca="false">IF($B151="","",IFERROR(VLOOKUP($B151,项目清单!$B$4:$C$13,2,0)&amp;"","清单中未登记"))</f>
        <v/>
      </c>
      <c r="D151" s="37"/>
      <c r="E151" s="35"/>
      <c r="F151" s="25"/>
      <c r="G151" s="37"/>
      <c r="H151" s="35"/>
    </row>
    <row r="152" customFormat="false" ht="18" hidden="false" customHeight="true" outlineLevel="0" collapsed="false">
      <c r="A152" s="36"/>
      <c r="B152" s="36"/>
      <c r="C152" s="48" t="str">
        <f aca="false">IF($B152="","",IFERROR(VLOOKUP($B152,项目清单!$B$4:$C$13,2,0)&amp;"","清单中未登记"))</f>
        <v/>
      </c>
      <c r="D152" s="37"/>
      <c r="E152" s="35"/>
      <c r="F152" s="25"/>
      <c r="G152" s="37"/>
      <c r="H152" s="35"/>
    </row>
    <row r="153" customFormat="false" ht="18" hidden="false" customHeight="true" outlineLevel="0" collapsed="false">
      <c r="A153" s="36"/>
      <c r="B153" s="36"/>
      <c r="C153" s="48" t="str">
        <f aca="false">IF($B153="","",IFERROR(VLOOKUP($B153,项目清单!$B$4:$C$13,2,0)&amp;"","清单中未登记"))</f>
        <v/>
      </c>
      <c r="D153" s="37"/>
      <c r="E153" s="35"/>
      <c r="F153" s="25"/>
      <c r="G153" s="37"/>
      <c r="H153" s="35"/>
    </row>
  </sheetData>
  <autoFilter ref="A3:H153"/>
  <mergeCells count="3">
    <mergeCell ref="A1:B1"/>
    <mergeCell ref="C1:H1"/>
    <mergeCell ref="A2:H2"/>
  </mergeCells>
  <dataValidations count="3">
    <dataValidation allowBlank="true" errorStyle="stop" operator="between" showDropDown="false" showErrorMessage="false" showInputMessage="false" sqref="A4:A153" type="list">
      <formula1>"2026-01,2026-02,2026-03,2026-04,2026-05,2026-06,2026-07,2026-08,2026-09,2026-10,2026-11,2026-12"</formula1>
      <formula2>0</formula2>
    </dataValidation>
    <dataValidation allowBlank="true" errorStyle="stop" operator="between" showDropDown="false" showErrorMessage="false" showInputMessage="false" sqref="B4:B153" type="list">
      <formula1>项目编号列表</formula1>
      <formula2>0</formula2>
    </dataValidation>
    <dataValidation allowBlank="true" errorStyle="stop" operator="between" showDropDown="false" showErrorMessage="false" showInputMessage="false" sqref="D4:D153" type="list">
      <formula1>"直接投入费用,新产品设计费等,其他相关费用,委托外部研发费用"</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M1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2" min="1" style="0" width="11"/>
    <col collapsed="false" customWidth="true" hidden="false" outlineLevel="0" max="3" min="3" style="0" width="40"/>
    <col collapsed="false" customWidth="true" hidden="false" outlineLevel="0" max="4" min="4" style="0" width="15"/>
    <col collapsed="false" customWidth="true" hidden="false" outlineLevel="0" max="5" min="5" style="0" width="14"/>
    <col collapsed="false" customWidth="true" hidden="false" outlineLevel="0" max="6" min="6" style="0" width="15"/>
    <col collapsed="false" customWidth="true" hidden="false" outlineLevel="0" max="7" min="7" style="0" width="14"/>
    <col collapsed="false" customWidth="true" hidden="false" outlineLevel="0" max="8" min="8" style="0" width="15"/>
    <col collapsed="false" customWidth="true" hidden="false" outlineLevel="0" max="9" min="9" style="0" width="14"/>
    <col collapsed="false" customWidth="true" hidden="false" outlineLevel="0" max="11" min="10" style="0" width="16"/>
    <col collapsed="false" customWidth="true" hidden="false" outlineLevel="0" max="13" min="12" style="0" width="14"/>
  </cols>
  <sheetData>
    <row r="1" customFormat="false" ht="43.5" hidden="false" customHeight="true" outlineLevel="0" collapsed="false">
      <c r="A1" s="1" t="s">
        <v>0</v>
      </c>
      <c r="B1" s="1"/>
      <c r="C1" s="2" t="str">
        <f aca="false">IF(使用说明!$B$2="","",使用说明!$B$2&amp;"    ")&amp;"十二、研发费用月度归集汇总表（2026年度，按项目·按月）"</f>
        <v>十二、研发费用月度归集汇总表（2026年度，按项目·按月）</v>
      </c>
      <c r="D1" s="2"/>
      <c r="E1" s="2"/>
      <c r="F1" s="2"/>
      <c r="G1" s="2"/>
      <c r="H1" s="2"/>
      <c r="I1" s="2"/>
      <c r="J1" s="2"/>
      <c r="K1" s="2"/>
      <c r="L1" s="2"/>
      <c r="M1" s="2"/>
    </row>
    <row r="2" customFormat="false" ht="30" hidden="false" customHeight="true" outlineLevel="0" collapsed="false">
      <c r="A2" s="17" t="s">
        <v>286</v>
      </c>
      <c r="B2" s="17"/>
      <c r="C2" s="17"/>
      <c r="D2" s="17"/>
      <c r="E2" s="17"/>
      <c r="F2" s="17"/>
      <c r="G2" s="17"/>
      <c r="H2" s="17"/>
      <c r="I2" s="17"/>
      <c r="J2" s="17"/>
      <c r="K2" s="17"/>
      <c r="L2" s="17"/>
      <c r="M2" s="17"/>
    </row>
    <row r="3" customFormat="false" ht="33.75" hidden="false" customHeight="true" outlineLevel="0" collapsed="false">
      <c r="A3" s="18" t="s">
        <v>82</v>
      </c>
      <c r="B3" s="18" t="s">
        <v>108</v>
      </c>
      <c r="C3" s="18" t="s">
        <v>109</v>
      </c>
      <c r="D3" s="18" t="s">
        <v>287</v>
      </c>
      <c r="E3" s="18" t="s">
        <v>288</v>
      </c>
      <c r="F3" s="18" t="s">
        <v>289</v>
      </c>
      <c r="G3" s="18" t="s">
        <v>278</v>
      </c>
      <c r="H3" s="18" t="s">
        <v>290</v>
      </c>
      <c r="I3" s="18" t="s">
        <v>291</v>
      </c>
      <c r="J3" s="18" t="s">
        <v>281</v>
      </c>
      <c r="K3" s="18" t="s">
        <v>292</v>
      </c>
      <c r="L3" s="18" t="s">
        <v>293</v>
      </c>
      <c r="M3" s="18" t="s">
        <v>294</v>
      </c>
    </row>
    <row r="4" customFormat="false" ht="16.5" hidden="false" customHeight="true" outlineLevel="0" collapsed="false">
      <c r="A4" s="21" t="s">
        <v>92</v>
      </c>
      <c r="B4" s="43" t="str">
        <f aca="false">项目清单!$B$4</f>
        <v>RD01</v>
      </c>
      <c r="C4" s="48" t="str">
        <f aca="false">IF($B4="","",IFERROR(VLOOKUP($B4,项目清单!$B$4:$C$13,2,0)&amp;"",""))</f>
        <v>高回弹低压缩永久变形3C用聚氨酯泡棉开发</v>
      </c>
      <c r="D4" s="27" t="n">
        <f aca="false">SUMIFS(研发人员工时费用分配表!$N$6:$N$245,研发人员工时费用分配表!$A$6:$A$245,$A4)</f>
        <v>0</v>
      </c>
      <c r="E4" s="27" t="n">
        <f aca="false">SUMIFS(仪器设备工时费用分配表!$J$6:$J$245,仪器设备工时费用分配表!$A$6:$A$245,$A4,仪器设备工时费用分配表!$D$6:$D$245,"设备")</f>
        <v>0</v>
      </c>
      <c r="F4" s="27" t="n">
        <f aca="false">SUMIFS(无形资产费用分配表!$J$6:$J$125,无形资产费用分配表!$A$6:$A$125,$A4)</f>
        <v>0</v>
      </c>
      <c r="G4" s="27" t="n">
        <f aca="false">SUMIFS(其他研发费用!$F$4:$F$153,其他研发费用!$A$4:$A$153,$A4,其他研发费用!$B$4:$B$153,$B4,其他研发费用!$D$4:$D$153,"直接投入费用")</f>
        <v>0</v>
      </c>
      <c r="H4" s="27" t="n">
        <f aca="false">SUMIFS(其他研发费用!$F$4:$F$153,其他研发费用!$A$4:$A$153,$A4,其他研发费用!$B$4:$B$153,$B4,其他研发费用!$D$4:$D$153,"新产品设计费等")</f>
        <v>0</v>
      </c>
      <c r="I4" s="27" t="n">
        <f aca="false">SUMIFS(其他研发费用!$F$4:$F$153,其他研发费用!$A$4:$A$153,$A4,其他研发费用!$B$4:$B$153,$B4,其他研发费用!$D$4:$D$153,"其他相关费用")</f>
        <v>0</v>
      </c>
      <c r="J4" s="27" t="n">
        <f aca="false">SUMIFS(其他研发费用!$F$4:$F$153,其他研发费用!$A$4:$A$153,$A4,其他研发费用!$B$4:$B$153,$B4,其他研发费用!$D$4:$D$153,"委托外部研发费用")</f>
        <v>0</v>
      </c>
      <c r="K4" s="27" t="n">
        <f aca="false">ROUND(SUM(D4:J4),2)</f>
        <v>0</v>
      </c>
      <c r="L4" s="45" t="n">
        <f aca="false">SUMIFS(研发人员工时分配表!$H$6:$H$245,研发人员工时分配表!$A$6:$A$245,$A4)</f>
        <v>0</v>
      </c>
      <c r="M4" s="45" t="n">
        <f aca="false">SUMIFS(仪器设备工时分配表!$H$6:$H$245,仪器设备工时分配表!$A$6:$A$245,$A4)</f>
        <v>0</v>
      </c>
    </row>
    <row r="5" customFormat="false" ht="16.5" hidden="false" customHeight="true" outlineLevel="0" collapsed="false">
      <c r="A5" s="21" t="s">
        <v>92</v>
      </c>
      <c r="B5" s="43" t="str">
        <f aca="false">项目清单!$B$5</f>
        <v>RD02</v>
      </c>
      <c r="C5" s="48" t="str">
        <f aca="false">IF($B5="","",IFERROR(VLOOKUP($B5,项目清单!$B$4:$C$13,2,0)&amp;"",""))</f>
        <v>动力电池模组用高阻燃缓冲泡棉研发</v>
      </c>
      <c r="D5" s="27" t="n">
        <f aca="false">SUMIFS(研发人员工时费用分配表!$O$6:$O$245,研发人员工时费用分配表!$A$6:$A$245,$A5)</f>
        <v>0</v>
      </c>
      <c r="E5" s="27" t="n">
        <f aca="false">SUMIFS(仪器设备工时费用分配表!$K$6:$K$245,仪器设备工时费用分配表!$A$6:$A$245,$A5,仪器设备工时费用分配表!$D$6:$D$245,"设备")</f>
        <v>0</v>
      </c>
      <c r="F5" s="27" t="n">
        <f aca="false">SUMIFS(无形资产费用分配表!$K$6:$K$125,无形资产费用分配表!$A$6:$A$125,$A5)</f>
        <v>0</v>
      </c>
      <c r="G5" s="27" t="n">
        <f aca="false">SUMIFS(其他研发费用!$F$4:$F$153,其他研发费用!$A$4:$A$153,$A5,其他研发费用!$B$4:$B$153,$B5,其他研发费用!$D$4:$D$153,"直接投入费用")</f>
        <v>0</v>
      </c>
      <c r="H5" s="27" t="n">
        <f aca="false">SUMIFS(其他研发费用!$F$4:$F$153,其他研发费用!$A$4:$A$153,$A5,其他研发费用!$B$4:$B$153,$B5,其他研发费用!$D$4:$D$153,"新产品设计费等")</f>
        <v>0</v>
      </c>
      <c r="I5" s="27" t="n">
        <f aca="false">SUMIFS(其他研发费用!$F$4:$F$153,其他研发费用!$A$4:$A$153,$A5,其他研发费用!$B$4:$B$153,$B5,其他研发费用!$D$4:$D$153,"其他相关费用")</f>
        <v>0</v>
      </c>
      <c r="J5" s="27" t="n">
        <f aca="false">SUMIFS(其他研发费用!$F$4:$F$153,其他研发费用!$A$4:$A$153,$A5,其他研发费用!$B$4:$B$153,$B5,其他研发费用!$D$4:$D$153,"委托外部研发费用")</f>
        <v>0</v>
      </c>
      <c r="K5" s="27" t="n">
        <f aca="false">ROUND(SUM(D5:J5),2)</f>
        <v>0</v>
      </c>
      <c r="L5" s="45" t="n">
        <f aca="false">SUMIFS(研发人员工时分配表!$I$6:$I$245,研发人员工时分配表!$A$6:$A$245,$A5)</f>
        <v>0</v>
      </c>
      <c r="M5" s="45" t="n">
        <f aca="false">SUMIFS(仪器设备工时分配表!$I$6:$I$245,仪器设备工时分配表!$A$6:$A$245,$A5)</f>
        <v>0</v>
      </c>
    </row>
    <row r="6" customFormat="false" ht="16.5" hidden="false" customHeight="true" outlineLevel="0" collapsed="false">
      <c r="A6" s="21" t="s">
        <v>92</v>
      </c>
      <c r="B6" s="43" t="str">
        <f aca="false">项目清单!$B$6</f>
        <v>RD03</v>
      </c>
      <c r="C6" s="48" t="str">
        <f aca="false">IF($B6="","",IFERROR(VLOOKUP($B6,项目清单!$B$4:$C$13,2,0)&amp;"",""))</f>
        <v>泡棉与PET基材无溶剂贴合工艺开发</v>
      </c>
      <c r="D6" s="27" t="n">
        <f aca="false">SUMIFS(研发人员工时费用分配表!$P$6:$P$245,研发人员工时费用分配表!$A$6:$A$245,$A6)</f>
        <v>0</v>
      </c>
      <c r="E6" s="27" t="n">
        <f aca="false">SUMIFS(仪器设备工时费用分配表!$L$6:$L$245,仪器设备工时费用分配表!$A$6:$A$245,$A6,仪器设备工时费用分配表!$D$6:$D$245,"设备")</f>
        <v>0</v>
      </c>
      <c r="F6" s="27" t="n">
        <f aca="false">SUMIFS(无形资产费用分配表!$L$6:$L$125,无形资产费用分配表!$A$6:$A$125,$A6)</f>
        <v>0</v>
      </c>
      <c r="G6" s="27" t="n">
        <f aca="false">SUMIFS(其他研发费用!$F$4:$F$153,其他研发费用!$A$4:$A$153,$A6,其他研发费用!$B$4:$B$153,$B6,其他研发费用!$D$4:$D$153,"直接投入费用")</f>
        <v>0</v>
      </c>
      <c r="H6" s="27" t="n">
        <f aca="false">SUMIFS(其他研发费用!$F$4:$F$153,其他研发费用!$A$4:$A$153,$A6,其他研发费用!$B$4:$B$153,$B6,其他研发费用!$D$4:$D$153,"新产品设计费等")</f>
        <v>0</v>
      </c>
      <c r="I6" s="27" t="n">
        <f aca="false">SUMIFS(其他研发费用!$F$4:$F$153,其他研发费用!$A$4:$A$153,$A6,其他研发费用!$B$4:$B$153,$B6,其他研发费用!$D$4:$D$153,"其他相关费用")</f>
        <v>0</v>
      </c>
      <c r="J6" s="27" t="n">
        <f aca="false">SUMIFS(其他研发费用!$F$4:$F$153,其他研发费用!$A$4:$A$153,$A6,其他研发费用!$B$4:$B$153,$B6,其他研发费用!$D$4:$D$153,"委托外部研发费用")</f>
        <v>0</v>
      </c>
      <c r="K6" s="27" t="n">
        <f aca="false">ROUND(SUM(D6:J6),2)</f>
        <v>0</v>
      </c>
      <c r="L6" s="45" t="n">
        <f aca="false">SUMIFS(研发人员工时分配表!$J$6:$J$245,研发人员工时分配表!$A$6:$A$245,$A6)</f>
        <v>0</v>
      </c>
      <c r="M6" s="45" t="n">
        <f aca="false">SUMIFS(仪器设备工时分配表!$J$6:$J$245,仪器设备工时分配表!$A$6:$A$245,$A6)</f>
        <v>0</v>
      </c>
    </row>
    <row r="7" customFormat="false" ht="16.5" hidden="false" customHeight="true" outlineLevel="0" collapsed="false">
      <c r="A7" s="21" t="s">
        <v>92</v>
      </c>
      <c r="B7" s="43" t="str">
        <f aca="false">项目清单!$B$7</f>
        <v>RD04</v>
      </c>
      <c r="C7" s="48" t="str">
        <f aca="false">IF($B7="","",IFERROR(VLOOKUP($B7,项目清单!$B$4:$C$13,2,0)&amp;"",""))</f>
        <v>超薄泡棉高精度分切及毛边控制技术研究</v>
      </c>
      <c r="D7" s="27" t="n">
        <f aca="false">SUMIFS(研发人员工时费用分配表!$Q$6:$Q$245,研发人员工时费用分配表!$A$6:$A$245,$A7)</f>
        <v>0</v>
      </c>
      <c r="E7" s="27" t="n">
        <f aca="false">SUMIFS(仪器设备工时费用分配表!$M$6:$M$245,仪器设备工时费用分配表!$A$6:$A$245,$A7,仪器设备工时费用分配表!$D$6:$D$245,"设备")</f>
        <v>0</v>
      </c>
      <c r="F7" s="27" t="n">
        <f aca="false">SUMIFS(无形资产费用分配表!$M$6:$M$125,无形资产费用分配表!$A$6:$A$125,$A7)</f>
        <v>0</v>
      </c>
      <c r="G7" s="27" t="n">
        <f aca="false">SUMIFS(其他研发费用!$F$4:$F$153,其他研发费用!$A$4:$A$153,$A7,其他研发费用!$B$4:$B$153,$B7,其他研发费用!$D$4:$D$153,"直接投入费用")</f>
        <v>0</v>
      </c>
      <c r="H7" s="27" t="n">
        <f aca="false">SUMIFS(其他研发费用!$F$4:$F$153,其他研发费用!$A$4:$A$153,$A7,其他研发费用!$B$4:$B$153,$B7,其他研发费用!$D$4:$D$153,"新产品设计费等")</f>
        <v>0</v>
      </c>
      <c r="I7" s="27" t="n">
        <f aca="false">SUMIFS(其他研发费用!$F$4:$F$153,其他研发费用!$A$4:$A$153,$A7,其他研发费用!$B$4:$B$153,$B7,其他研发费用!$D$4:$D$153,"其他相关费用")</f>
        <v>0</v>
      </c>
      <c r="J7" s="27" t="n">
        <f aca="false">SUMIFS(其他研发费用!$F$4:$F$153,其他研发费用!$A$4:$A$153,$A7,其他研发费用!$B$4:$B$153,$B7,其他研发费用!$D$4:$D$153,"委托外部研发费用")</f>
        <v>0</v>
      </c>
      <c r="K7" s="27" t="n">
        <f aca="false">ROUND(SUM(D7:J7),2)</f>
        <v>0</v>
      </c>
      <c r="L7" s="45" t="n">
        <f aca="false">SUMIFS(研发人员工时分配表!$K$6:$K$245,研发人员工时分配表!$A$6:$A$245,$A7)</f>
        <v>0</v>
      </c>
      <c r="M7" s="45" t="n">
        <f aca="false">SUMIFS(仪器设备工时分配表!$K$6:$K$245,仪器设备工时分配表!$A$6:$A$245,$A7)</f>
        <v>0</v>
      </c>
    </row>
    <row r="8" customFormat="false" ht="16.5" hidden="false" customHeight="true" outlineLevel="0" collapsed="false">
      <c r="A8" s="21" t="s">
        <v>92</v>
      </c>
      <c r="B8" s="43" t="str">
        <f aca="false">项目清单!$B$8</f>
        <v>RD05</v>
      </c>
      <c r="C8" s="48" t="str">
        <f aca="false">IF($B8="","",IFERROR(VLOOKUP($B8,项目清单!$B$4:$C$13,2,0)&amp;"",""))</f>
        <v>新能源汽车电池包用导热缓冲复合材料开发</v>
      </c>
      <c r="D8" s="27" t="n">
        <f aca="false">SUMIFS(研发人员工时费用分配表!$R$6:$R$245,研发人员工时费用分配表!$A$6:$A$245,$A8)</f>
        <v>0</v>
      </c>
      <c r="E8" s="27" t="n">
        <f aca="false">SUMIFS(仪器设备工时费用分配表!$N$6:$N$245,仪器设备工时费用分配表!$A$6:$A$245,$A8,仪器设备工时费用分配表!$D$6:$D$245,"设备")</f>
        <v>0</v>
      </c>
      <c r="F8" s="27" t="n">
        <f aca="false">SUMIFS(无形资产费用分配表!$N$6:$N$125,无形资产费用分配表!$A$6:$A$125,$A8)</f>
        <v>0</v>
      </c>
      <c r="G8" s="27" t="n">
        <f aca="false">SUMIFS(其他研发费用!$F$4:$F$153,其他研发费用!$A$4:$A$153,$A8,其他研发费用!$B$4:$B$153,$B8,其他研发费用!$D$4:$D$153,"直接投入费用")</f>
        <v>0</v>
      </c>
      <c r="H8" s="27" t="n">
        <f aca="false">SUMIFS(其他研发费用!$F$4:$F$153,其他研发费用!$A$4:$A$153,$A8,其他研发费用!$B$4:$B$153,$B8,其他研发费用!$D$4:$D$153,"新产品设计费等")</f>
        <v>0</v>
      </c>
      <c r="I8" s="27" t="n">
        <f aca="false">SUMIFS(其他研发费用!$F$4:$F$153,其他研发费用!$A$4:$A$153,$A8,其他研发费用!$B$4:$B$153,$B8,其他研发费用!$D$4:$D$153,"其他相关费用")</f>
        <v>0</v>
      </c>
      <c r="J8" s="27" t="n">
        <f aca="false">SUMIFS(其他研发费用!$F$4:$F$153,其他研发费用!$A$4:$A$153,$A8,其他研发费用!$B$4:$B$153,$B8,其他研发费用!$D$4:$D$153,"委托外部研发费用")</f>
        <v>0</v>
      </c>
      <c r="K8" s="27" t="n">
        <f aca="false">ROUND(SUM(D8:J8),2)</f>
        <v>0</v>
      </c>
      <c r="L8" s="45" t="n">
        <f aca="false">SUMIFS(研发人员工时分配表!$L$6:$L$245,研发人员工时分配表!$A$6:$A$245,$A8)</f>
        <v>0</v>
      </c>
      <c r="M8" s="45" t="n">
        <f aca="false">SUMIFS(仪器设备工时分配表!$L$6:$L$245,仪器设备工时分配表!$A$6:$A$245,$A8)</f>
        <v>0</v>
      </c>
    </row>
    <row r="9" customFormat="false" ht="16.5" hidden="false" customHeight="true" outlineLevel="0" collapsed="false">
      <c r="A9" s="21" t="s">
        <v>92</v>
      </c>
      <c r="B9" s="43" t="str">
        <f aca="false">项目清单!$B$9</f>
        <v>RD06</v>
      </c>
      <c r="C9" s="48" t="str">
        <f aca="false">IF($B9="","",IFERROR(VLOOKUP($B9,项目清单!$B$4:$C$13,2,0)&amp;"",""))</f>
        <v>3C电子用超薄黑色遮光泡棉制备技术</v>
      </c>
      <c r="D9" s="27" t="n">
        <f aca="false">SUMIFS(研发人员工时费用分配表!$S$6:$S$245,研发人员工时费用分配表!$A$6:$A$245,$A9)</f>
        <v>0</v>
      </c>
      <c r="E9" s="27" t="n">
        <f aca="false">SUMIFS(仪器设备工时费用分配表!$O$6:$O$245,仪器设备工时费用分配表!$A$6:$A$245,$A9,仪器设备工时费用分配表!$D$6:$D$245,"设备")</f>
        <v>0</v>
      </c>
      <c r="F9" s="27" t="n">
        <f aca="false">SUMIFS(无形资产费用分配表!$O$6:$O$125,无形资产费用分配表!$A$6:$A$125,$A9)</f>
        <v>0</v>
      </c>
      <c r="G9" s="27" t="n">
        <f aca="false">SUMIFS(其他研发费用!$F$4:$F$153,其他研发费用!$A$4:$A$153,$A9,其他研发费用!$B$4:$B$153,$B9,其他研发费用!$D$4:$D$153,"直接投入费用")</f>
        <v>0</v>
      </c>
      <c r="H9" s="27" t="n">
        <f aca="false">SUMIFS(其他研发费用!$F$4:$F$153,其他研发费用!$A$4:$A$153,$A9,其他研发费用!$B$4:$B$153,$B9,其他研发费用!$D$4:$D$153,"新产品设计费等")</f>
        <v>0</v>
      </c>
      <c r="I9" s="27" t="n">
        <f aca="false">SUMIFS(其他研发费用!$F$4:$F$153,其他研发费用!$A$4:$A$153,$A9,其他研发费用!$B$4:$B$153,$B9,其他研发费用!$D$4:$D$153,"其他相关费用")</f>
        <v>0</v>
      </c>
      <c r="J9" s="27" t="n">
        <f aca="false">SUMIFS(其他研发费用!$F$4:$F$153,其他研发费用!$A$4:$A$153,$A9,其他研发费用!$B$4:$B$153,$B9,其他研发费用!$D$4:$D$153,"委托外部研发费用")</f>
        <v>0</v>
      </c>
      <c r="K9" s="27" t="n">
        <f aca="false">ROUND(SUM(D9:J9),2)</f>
        <v>0</v>
      </c>
      <c r="L9" s="45" t="n">
        <f aca="false">SUMIFS(研发人员工时分配表!$M$6:$M$245,研发人员工时分配表!$A$6:$A$245,$A9)</f>
        <v>0</v>
      </c>
      <c r="M9" s="45" t="n">
        <f aca="false">SUMIFS(仪器设备工时分配表!$M$6:$M$245,仪器设备工时分配表!$A$6:$A$245,$A9)</f>
        <v>0</v>
      </c>
    </row>
    <row r="10" customFormat="false" ht="16.5" hidden="false" customHeight="true" outlineLevel="0" collapsed="false">
      <c r="A10" s="21" t="s">
        <v>92</v>
      </c>
      <c r="B10" s="43" t="str">
        <f aca="false">项目清单!$B$10</f>
        <v>RD07</v>
      </c>
      <c r="C10" s="48" t="str">
        <f aca="false">IF($B10="","",IFERROR(VLOOKUP($B10,项目清单!$B$4:$C$13,2,0)&amp;"",""))</f>
        <v>环保型水性胶泡棉贴合技术开发</v>
      </c>
      <c r="D10" s="27" t="n">
        <f aca="false">SUMIFS(研发人员工时费用分配表!$T$6:$T$245,研发人员工时费用分配表!$A$6:$A$245,$A10)</f>
        <v>0</v>
      </c>
      <c r="E10" s="27" t="n">
        <f aca="false">SUMIFS(仪器设备工时费用分配表!$P$6:$P$245,仪器设备工时费用分配表!$A$6:$A$245,$A10,仪器设备工时费用分配表!$D$6:$D$245,"设备")</f>
        <v>0</v>
      </c>
      <c r="F10" s="27" t="n">
        <f aca="false">SUMIFS(无形资产费用分配表!$P$6:$P$125,无形资产费用分配表!$A$6:$A$125,$A10)</f>
        <v>0</v>
      </c>
      <c r="G10" s="27" t="n">
        <f aca="false">SUMIFS(其他研发费用!$F$4:$F$153,其他研发费用!$A$4:$A$153,$A10,其他研发费用!$B$4:$B$153,$B10,其他研发费用!$D$4:$D$153,"直接投入费用")</f>
        <v>0</v>
      </c>
      <c r="H10" s="27" t="n">
        <f aca="false">SUMIFS(其他研发费用!$F$4:$F$153,其他研发费用!$A$4:$A$153,$A10,其他研发费用!$B$4:$B$153,$B10,其他研发费用!$D$4:$D$153,"新产品设计费等")</f>
        <v>0</v>
      </c>
      <c r="I10" s="27" t="n">
        <f aca="false">SUMIFS(其他研发费用!$F$4:$F$153,其他研发费用!$A$4:$A$153,$A10,其他研发费用!$B$4:$B$153,$B10,其他研发费用!$D$4:$D$153,"其他相关费用")</f>
        <v>0</v>
      </c>
      <c r="J10" s="27" t="n">
        <f aca="false">SUMIFS(其他研发费用!$F$4:$F$153,其他研发费用!$A$4:$A$153,$A10,其他研发费用!$B$4:$B$153,$B10,其他研发费用!$D$4:$D$153,"委托外部研发费用")</f>
        <v>0</v>
      </c>
      <c r="K10" s="27" t="n">
        <f aca="false">ROUND(SUM(D10:J10),2)</f>
        <v>0</v>
      </c>
      <c r="L10" s="45" t="n">
        <f aca="false">SUMIFS(研发人员工时分配表!$N$6:$N$245,研发人员工时分配表!$A$6:$A$245,$A10)</f>
        <v>0</v>
      </c>
      <c r="M10" s="45" t="n">
        <f aca="false">SUMIFS(仪器设备工时分配表!$N$6:$N$245,仪器设备工时分配表!$A$6:$A$245,$A10)</f>
        <v>0</v>
      </c>
    </row>
    <row r="11" customFormat="false" ht="16.5" hidden="false" customHeight="true" outlineLevel="0" collapsed="false">
      <c r="A11" s="21" t="s">
        <v>92</v>
      </c>
      <c r="B11" s="43" t="str">
        <f aca="false">项目清单!$B$11</f>
        <v>RD08</v>
      </c>
      <c r="C11" s="48" t="str">
        <f aca="false">IF($B11="","",IFERROR(VLOOKUP($B11,项目清单!$B$4:$C$13,2,0)&amp;"",""))</f>
        <v>泡棉模切自动化在线检测技术研究</v>
      </c>
      <c r="D11" s="27" t="n">
        <f aca="false">SUMIFS(研发人员工时费用分配表!$U$6:$U$245,研发人员工时费用分配表!$A$6:$A$245,$A11)</f>
        <v>0</v>
      </c>
      <c r="E11" s="27" t="n">
        <f aca="false">SUMIFS(仪器设备工时费用分配表!$Q$6:$Q$245,仪器设备工时费用分配表!$A$6:$A$245,$A11,仪器设备工时费用分配表!$D$6:$D$245,"设备")</f>
        <v>0</v>
      </c>
      <c r="F11" s="27" t="n">
        <f aca="false">SUMIFS(无形资产费用分配表!$Q$6:$Q$125,无形资产费用分配表!$A$6:$A$125,$A11)</f>
        <v>0</v>
      </c>
      <c r="G11" s="27" t="n">
        <f aca="false">SUMIFS(其他研发费用!$F$4:$F$153,其他研发费用!$A$4:$A$153,$A11,其他研发费用!$B$4:$B$153,$B11,其他研发费用!$D$4:$D$153,"直接投入费用")</f>
        <v>0</v>
      </c>
      <c r="H11" s="27" t="n">
        <f aca="false">SUMIFS(其他研发费用!$F$4:$F$153,其他研发费用!$A$4:$A$153,$A11,其他研发费用!$B$4:$B$153,$B11,其他研发费用!$D$4:$D$153,"新产品设计费等")</f>
        <v>0</v>
      </c>
      <c r="I11" s="27" t="n">
        <f aca="false">SUMIFS(其他研发费用!$F$4:$F$153,其他研发费用!$A$4:$A$153,$A11,其他研发费用!$B$4:$B$153,$B11,其他研发费用!$D$4:$D$153,"其他相关费用")</f>
        <v>0</v>
      </c>
      <c r="J11" s="27" t="n">
        <f aca="false">SUMIFS(其他研发费用!$F$4:$F$153,其他研发费用!$A$4:$A$153,$A11,其他研发费用!$B$4:$B$153,$B11,其他研发费用!$D$4:$D$153,"委托外部研发费用")</f>
        <v>0</v>
      </c>
      <c r="K11" s="27" t="n">
        <f aca="false">ROUND(SUM(D11:J11),2)</f>
        <v>0</v>
      </c>
      <c r="L11" s="45" t="n">
        <f aca="false">SUMIFS(研发人员工时分配表!$O$6:$O$245,研发人员工时分配表!$A$6:$A$245,$A11)</f>
        <v>0</v>
      </c>
      <c r="M11" s="45" t="n">
        <f aca="false">SUMIFS(仪器设备工时分配表!$O$6:$O$245,仪器设备工时分配表!$A$6:$A$245,$A11)</f>
        <v>0</v>
      </c>
    </row>
    <row r="12" customFormat="false" ht="16.5" hidden="false" customHeight="true" outlineLevel="0" collapsed="false">
      <c r="A12" s="21" t="s">
        <v>92</v>
      </c>
      <c r="B12" s="43" t="str">
        <f aca="false">项目清单!$B$12</f>
        <v>RD09</v>
      </c>
      <c r="C12" s="48" t="str">
        <f aca="false">IF($B12="","",IFERROR(VLOOKUP($B12,项目清单!$B$4:$C$13,2,0)&amp;"",""))</f>
        <v/>
      </c>
      <c r="D12" s="27" t="n">
        <f aca="false">SUMIFS(研发人员工时费用分配表!$V$6:$V$245,研发人员工时费用分配表!$A$6:$A$245,$A12)</f>
        <v>0</v>
      </c>
      <c r="E12" s="27" t="n">
        <f aca="false">SUMIFS(仪器设备工时费用分配表!$R$6:$R$245,仪器设备工时费用分配表!$A$6:$A$245,$A12,仪器设备工时费用分配表!$D$6:$D$245,"设备")</f>
        <v>0</v>
      </c>
      <c r="F12" s="27" t="n">
        <f aca="false">SUMIFS(无形资产费用分配表!$R$6:$R$125,无形资产费用分配表!$A$6:$A$125,$A12)</f>
        <v>0</v>
      </c>
      <c r="G12" s="27" t="n">
        <f aca="false">SUMIFS(其他研发费用!$F$4:$F$153,其他研发费用!$A$4:$A$153,$A12,其他研发费用!$B$4:$B$153,$B12,其他研发费用!$D$4:$D$153,"直接投入费用")</f>
        <v>0</v>
      </c>
      <c r="H12" s="27" t="n">
        <f aca="false">SUMIFS(其他研发费用!$F$4:$F$153,其他研发费用!$A$4:$A$153,$A12,其他研发费用!$B$4:$B$153,$B12,其他研发费用!$D$4:$D$153,"新产品设计费等")</f>
        <v>0</v>
      </c>
      <c r="I12" s="27" t="n">
        <f aca="false">SUMIFS(其他研发费用!$F$4:$F$153,其他研发费用!$A$4:$A$153,$A12,其他研发费用!$B$4:$B$153,$B12,其他研发费用!$D$4:$D$153,"其他相关费用")</f>
        <v>0</v>
      </c>
      <c r="J12" s="27" t="n">
        <f aca="false">SUMIFS(其他研发费用!$F$4:$F$153,其他研发费用!$A$4:$A$153,$A12,其他研发费用!$B$4:$B$153,$B12,其他研发费用!$D$4:$D$153,"委托外部研发费用")</f>
        <v>0</v>
      </c>
      <c r="K12" s="27" t="n">
        <f aca="false">ROUND(SUM(D12:J12),2)</f>
        <v>0</v>
      </c>
      <c r="L12" s="45" t="n">
        <f aca="false">SUMIFS(研发人员工时分配表!$P$6:$P$245,研发人员工时分配表!$A$6:$A$245,$A12)</f>
        <v>0</v>
      </c>
      <c r="M12" s="45" t="n">
        <f aca="false">SUMIFS(仪器设备工时分配表!$P$6:$P$245,仪器设备工时分配表!$A$6:$A$245,$A12)</f>
        <v>0</v>
      </c>
    </row>
    <row r="13" customFormat="false" ht="16.5" hidden="false" customHeight="true" outlineLevel="0" collapsed="false">
      <c r="A13" s="21" t="s">
        <v>92</v>
      </c>
      <c r="B13" s="43" t="str">
        <f aca="false">项目清单!$B$13</f>
        <v>RD10</v>
      </c>
      <c r="C13" s="48" t="str">
        <f aca="false">IF($B13="","",IFERROR(VLOOKUP($B13,项目清单!$B$4:$C$13,2,0)&amp;"",""))</f>
        <v/>
      </c>
      <c r="D13" s="27" t="n">
        <f aca="false">SUMIFS(研发人员工时费用分配表!$W$6:$W$245,研发人员工时费用分配表!$A$6:$A$245,$A13)</f>
        <v>0</v>
      </c>
      <c r="E13" s="27" t="n">
        <f aca="false">SUMIFS(仪器设备工时费用分配表!$S$6:$S$245,仪器设备工时费用分配表!$A$6:$A$245,$A13,仪器设备工时费用分配表!$D$6:$D$245,"设备")</f>
        <v>0</v>
      </c>
      <c r="F13" s="27" t="n">
        <f aca="false">SUMIFS(无形资产费用分配表!$S$6:$S$125,无形资产费用分配表!$A$6:$A$125,$A13)</f>
        <v>0</v>
      </c>
      <c r="G13" s="27" t="n">
        <f aca="false">SUMIFS(其他研发费用!$F$4:$F$153,其他研发费用!$A$4:$A$153,$A13,其他研发费用!$B$4:$B$153,$B13,其他研发费用!$D$4:$D$153,"直接投入费用")</f>
        <v>0</v>
      </c>
      <c r="H13" s="27" t="n">
        <f aca="false">SUMIFS(其他研发费用!$F$4:$F$153,其他研发费用!$A$4:$A$153,$A13,其他研发费用!$B$4:$B$153,$B13,其他研发费用!$D$4:$D$153,"新产品设计费等")</f>
        <v>0</v>
      </c>
      <c r="I13" s="27" t="n">
        <f aca="false">SUMIFS(其他研发费用!$F$4:$F$153,其他研发费用!$A$4:$A$153,$A13,其他研发费用!$B$4:$B$153,$B13,其他研发费用!$D$4:$D$153,"其他相关费用")</f>
        <v>0</v>
      </c>
      <c r="J13" s="27" t="n">
        <f aca="false">SUMIFS(其他研发费用!$F$4:$F$153,其他研发费用!$A$4:$A$153,$A13,其他研发费用!$B$4:$B$153,$B13,其他研发费用!$D$4:$D$153,"委托外部研发费用")</f>
        <v>0</v>
      </c>
      <c r="K13" s="27" t="n">
        <f aca="false">ROUND(SUM(D13:J13),2)</f>
        <v>0</v>
      </c>
      <c r="L13" s="45" t="n">
        <f aca="false">SUMIFS(研发人员工时分配表!$Q$6:$Q$245,研发人员工时分配表!$A$6:$A$245,$A13)</f>
        <v>0</v>
      </c>
      <c r="M13" s="45" t="n">
        <f aca="false">SUMIFS(仪器设备工时分配表!$Q$6:$Q$245,仪器设备工时分配表!$A$6:$A$245,$A13)</f>
        <v>0</v>
      </c>
    </row>
    <row r="14" customFormat="false" ht="18" hidden="false" customHeight="true" outlineLevel="0" collapsed="false">
      <c r="A14" s="50" t="s">
        <v>92</v>
      </c>
      <c r="B14" s="30"/>
      <c r="C14" s="30" t="s">
        <v>295</v>
      </c>
      <c r="D14" s="31" t="n">
        <f aca="false">ROUND(SUM(D4:D13),2)</f>
        <v>0</v>
      </c>
      <c r="E14" s="31" t="n">
        <f aca="false">ROUND(SUM(E4:E13),2)</f>
        <v>0</v>
      </c>
      <c r="F14" s="31" t="n">
        <f aca="false">ROUND(SUM(F4:F13),2)</f>
        <v>0</v>
      </c>
      <c r="G14" s="31" t="n">
        <f aca="false">ROUND(SUM(G4:G13),2)</f>
        <v>0</v>
      </c>
      <c r="H14" s="31" t="n">
        <f aca="false">ROUND(SUM(H4:H13),2)</f>
        <v>0</v>
      </c>
      <c r="I14" s="31" t="n">
        <f aca="false">ROUND(SUM(I4:I13),2)</f>
        <v>0</v>
      </c>
      <c r="J14" s="31" t="n">
        <f aca="false">ROUND(SUM(J4:J13),2)</f>
        <v>0</v>
      </c>
      <c r="K14" s="31" t="n">
        <f aca="false">ROUND(SUM(K4:K13),2)</f>
        <v>0</v>
      </c>
      <c r="L14" s="51" t="n">
        <f aca="false">ROUND(SUM(L4:L13),2)</f>
        <v>0</v>
      </c>
      <c r="M14" s="51" t="n">
        <f aca="false">ROUND(SUM(M4:M13),2)</f>
        <v>0</v>
      </c>
    </row>
    <row r="15" customFormat="false" ht="16.5" hidden="false" customHeight="true" outlineLevel="0" collapsed="false">
      <c r="A15" s="21" t="s">
        <v>93</v>
      </c>
      <c r="B15" s="43" t="str">
        <f aca="false">项目清单!$B$4</f>
        <v>RD01</v>
      </c>
      <c r="C15" s="48" t="str">
        <f aca="false">IF($B15="","",IFERROR(VLOOKUP($B15,项目清单!$B$4:$C$13,2,0)&amp;"",""))</f>
        <v>高回弹低压缩永久变形3C用聚氨酯泡棉开发</v>
      </c>
      <c r="D15" s="27" t="n">
        <f aca="false">SUMIFS(研发人员工时费用分配表!$N$6:$N$245,研发人员工时费用分配表!$A$6:$A$245,$A15)</f>
        <v>0</v>
      </c>
      <c r="E15" s="27" t="n">
        <f aca="false">SUMIFS(仪器设备工时费用分配表!$J$6:$J$245,仪器设备工时费用分配表!$A$6:$A$245,$A15,仪器设备工时费用分配表!$D$6:$D$245,"设备")</f>
        <v>0</v>
      </c>
      <c r="F15" s="27" t="n">
        <f aca="false">SUMIFS(无形资产费用分配表!$J$6:$J$125,无形资产费用分配表!$A$6:$A$125,$A15)</f>
        <v>0</v>
      </c>
      <c r="G15" s="27" t="n">
        <f aca="false">SUMIFS(其他研发费用!$F$4:$F$153,其他研发费用!$A$4:$A$153,$A15,其他研发费用!$B$4:$B$153,$B15,其他研发费用!$D$4:$D$153,"直接投入费用")</f>
        <v>0</v>
      </c>
      <c r="H15" s="27" t="n">
        <f aca="false">SUMIFS(其他研发费用!$F$4:$F$153,其他研发费用!$A$4:$A$153,$A15,其他研发费用!$B$4:$B$153,$B15,其他研发费用!$D$4:$D$153,"新产品设计费等")</f>
        <v>0</v>
      </c>
      <c r="I15" s="27" t="n">
        <f aca="false">SUMIFS(其他研发费用!$F$4:$F$153,其他研发费用!$A$4:$A$153,$A15,其他研发费用!$B$4:$B$153,$B15,其他研发费用!$D$4:$D$153,"其他相关费用")</f>
        <v>0</v>
      </c>
      <c r="J15" s="27" t="n">
        <f aca="false">SUMIFS(其他研发费用!$F$4:$F$153,其他研发费用!$A$4:$A$153,$A15,其他研发费用!$B$4:$B$153,$B15,其他研发费用!$D$4:$D$153,"委托外部研发费用")</f>
        <v>0</v>
      </c>
      <c r="K15" s="27" t="n">
        <f aca="false">ROUND(SUM(D15:J15),2)</f>
        <v>0</v>
      </c>
      <c r="L15" s="45" t="n">
        <f aca="false">SUMIFS(研发人员工时分配表!$H$6:$H$245,研发人员工时分配表!$A$6:$A$245,$A15)</f>
        <v>0</v>
      </c>
      <c r="M15" s="45" t="n">
        <f aca="false">SUMIFS(仪器设备工时分配表!$H$6:$H$245,仪器设备工时分配表!$A$6:$A$245,$A15)</f>
        <v>0</v>
      </c>
    </row>
    <row r="16" customFormat="false" ht="16.5" hidden="false" customHeight="true" outlineLevel="0" collapsed="false">
      <c r="A16" s="21" t="s">
        <v>93</v>
      </c>
      <c r="B16" s="43" t="str">
        <f aca="false">项目清单!$B$5</f>
        <v>RD02</v>
      </c>
      <c r="C16" s="48" t="str">
        <f aca="false">IF($B16="","",IFERROR(VLOOKUP($B16,项目清单!$B$4:$C$13,2,0)&amp;"",""))</f>
        <v>动力电池模组用高阻燃缓冲泡棉研发</v>
      </c>
      <c r="D16" s="27" t="n">
        <f aca="false">SUMIFS(研发人员工时费用分配表!$O$6:$O$245,研发人员工时费用分配表!$A$6:$A$245,$A16)</f>
        <v>0</v>
      </c>
      <c r="E16" s="27" t="n">
        <f aca="false">SUMIFS(仪器设备工时费用分配表!$K$6:$K$245,仪器设备工时费用分配表!$A$6:$A$245,$A16,仪器设备工时费用分配表!$D$6:$D$245,"设备")</f>
        <v>0</v>
      </c>
      <c r="F16" s="27" t="n">
        <f aca="false">SUMIFS(无形资产费用分配表!$K$6:$K$125,无形资产费用分配表!$A$6:$A$125,$A16)</f>
        <v>0</v>
      </c>
      <c r="G16" s="27" t="n">
        <f aca="false">SUMIFS(其他研发费用!$F$4:$F$153,其他研发费用!$A$4:$A$153,$A16,其他研发费用!$B$4:$B$153,$B16,其他研发费用!$D$4:$D$153,"直接投入费用")</f>
        <v>0</v>
      </c>
      <c r="H16" s="27" t="n">
        <f aca="false">SUMIFS(其他研发费用!$F$4:$F$153,其他研发费用!$A$4:$A$153,$A16,其他研发费用!$B$4:$B$153,$B16,其他研发费用!$D$4:$D$153,"新产品设计费等")</f>
        <v>0</v>
      </c>
      <c r="I16" s="27" t="n">
        <f aca="false">SUMIFS(其他研发费用!$F$4:$F$153,其他研发费用!$A$4:$A$153,$A16,其他研发费用!$B$4:$B$153,$B16,其他研发费用!$D$4:$D$153,"其他相关费用")</f>
        <v>0</v>
      </c>
      <c r="J16" s="27" t="n">
        <f aca="false">SUMIFS(其他研发费用!$F$4:$F$153,其他研发费用!$A$4:$A$153,$A16,其他研发费用!$B$4:$B$153,$B16,其他研发费用!$D$4:$D$153,"委托外部研发费用")</f>
        <v>0</v>
      </c>
      <c r="K16" s="27" t="n">
        <f aca="false">ROUND(SUM(D16:J16),2)</f>
        <v>0</v>
      </c>
      <c r="L16" s="45" t="n">
        <f aca="false">SUMIFS(研发人员工时分配表!$I$6:$I$245,研发人员工时分配表!$A$6:$A$245,$A16)</f>
        <v>0</v>
      </c>
      <c r="M16" s="45" t="n">
        <f aca="false">SUMIFS(仪器设备工时分配表!$I$6:$I$245,仪器设备工时分配表!$A$6:$A$245,$A16)</f>
        <v>0</v>
      </c>
    </row>
    <row r="17" customFormat="false" ht="16.5" hidden="false" customHeight="true" outlineLevel="0" collapsed="false">
      <c r="A17" s="21" t="s">
        <v>93</v>
      </c>
      <c r="B17" s="43" t="str">
        <f aca="false">项目清单!$B$6</f>
        <v>RD03</v>
      </c>
      <c r="C17" s="48" t="str">
        <f aca="false">IF($B17="","",IFERROR(VLOOKUP($B17,项目清单!$B$4:$C$13,2,0)&amp;"",""))</f>
        <v>泡棉与PET基材无溶剂贴合工艺开发</v>
      </c>
      <c r="D17" s="27" t="n">
        <f aca="false">SUMIFS(研发人员工时费用分配表!$P$6:$P$245,研发人员工时费用分配表!$A$6:$A$245,$A17)</f>
        <v>0</v>
      </c>
      <c r="E17" s="27" t="n">
        <f aca="false">SUMIFS(仪器设备工时费用分配表!$L$6:$L$245,仪器设备工时费用分配表!$A$6:$A$245,$A17,仪器设备工时费用分配表!$D$6:$D$245,"设备")</f>
        <v>0</v>
      </c>
      <c r="F17" s="27" t="n">
        <f aca="false">SUMIFS(无形资产费用分配表!$L$6:$L$125,无形资产费用分配表!$A$6:$A$125,$A17)</f>
        <v>0</v>
      </c>
      <c r="G17" s="27" t="n">
        <f aca="false">SUMIFS(其他研发费用!$F$4:$F$153,其他研发费用!$A$4:$A$153,$A17,其他研发费用!$B$4:$B$153,$B17,其他研发费用!$D$4:$D$153,"直接投入费用")</f>
        <v>0</v>
      </c>
      <c r="H17" s="27" t="n">
        <f aca="false">SUMIFS(其他研发费用!$F$4:$F$153,其他研发费用!$A$4:$A$153,$A17,其他研发费用!$B$4:$B$153,$B17,其他研发费用!$D$4:$D$153,"新产品设计费等")</f>
        <v>0</v>
      </c>
      <c r="I17" s="27" t="n">
        <f aca="false">SUMIFS(其他研发费用!$F$4:$F$153,其他研发费用!$A$4:$A$153,$A17,其他研发费用!$B$4:$B$153,$B17,其他研发费用!$D$4:$D$153,"其他相关费用")</f>
        <v>0</v>
      </c>
      <c r="J17" s="27" t="n">
        <f aca="false">SUMIFS(其他研发费用!$F$4:$F$153,其他研发费用!$A$4:$A$153,$A17,其他研发费用!$B$4:$B$153,$B17,其他研发费用!$D$4:$D$153,"委托外部研发费用")</f>
        <v>0</v>
      </c>
      <c r="K17" s="27" t="n">
        <f aca="false">ROUND(SUM(D17:J17),2)</f>
        <v>0</v>
      </c>
      <c r="L17" s="45" t="n">
        <f aca="false">SUMIFS(研发人员工时分配表!$J$6:$J$245,研发人员工时分配表!$A$6:$A$245,$A17)</f>
        <v>0</v>
      </c>
      <c r="M17" s="45" t="n">
        <f aca="false">SUMIFS(仪器设备工时分配表!$J$6:$J$245,仪器设备工时分配表!$A$6:$A$245,$A17)</f>
        <v>0</v>
      </c>
    </row>
    <row r="18" customFormat="false" ht="16.5" hidden="false" customHeight="true" outlineLevel="0" collapsed="false">
      <c r="A18" s="21" t="s">
        <v>93</v>
      </c>
      <c r="B18" s="43" t="str">
        <f aca="false">项目清单!$B$7</f>
        <v>RD04</v>
      </c>
      <c r="C18" s="48" t="str">
        <f aca="false">IF($B18="","",IFERROR(VLOOKUP($B18,项目清单!$B$4:$C$13,2,0)&amp;"",""))</f>
        <v>超薄泡棉高精度分切及毛边控制技术研究</v>
      </c>
      <c r="D18" s="27" t="n">
        <f aca="false">SUMIFS(研发人员工时费用分配表!$Q$6:$Q$245,研发人员工时费用分配表!$A$6:$A$245,$A18)</f>
        <v>0</v>
      </c>
      <c r="E18" s="27" t="n">
        <f aca="false">SUMIFS(仪器设备工时费用分配表!$M$6:$M$245,仪器设备工时费用分配表!$A$6:$A$245,$A18,仪器设备工时费用分配表!$D$6:$D$245,"设备")</f>
        <v>0</v>
      </c>
      <c r="F18" s="27" t="n">
        <f aca="false">SUMIFS(无形资产费用分配表!$M$6:$M$125,无形资产费用分配表!$A$6:$A$125,$A18)</f>
        <v>0</v>
      </c>
      <c r="G18" s="27" t="n">
        <f aca="false">SUMIFS(其他研发费用!$F$4:$F$153,其他研发费用!$A$4:$A$153,$A18,其他研发费用!$B$4:$B$153,$B18,其他研发费用!$D$4:$D$153,"直接投入费用")</f>
        <v>0</v>
      </c>
      <c r="H18" s="27" t="n">
        <f aca="false">SUMIFS(其他研发费用!$F$4:$F$153,其他研发费用!$A$4:$A$153,$A18,其他研发费用!$B$4:$B$153,$B18,其他研发费用!$D$4:$D$153,"新产品设计费等")</f>
        <v>0</v>
      </c>
      <c r="I18" s="27" t="n">
        <f aca="false">SUMIFS(其他研发费用!$F$4:$F$153,其他研发费用!$A$4:$A$153,$A18,其他研发费用!$B$4:$B$153,$B18,其他研发费用!$D$4:$D$153,"其他相关费用")</f>
        <v>0</v>
      </c>
      <c r="J18" s="27" t="n">
        <f aca="false">SUMIFS(其他研发费用!$F$4:$F$153,其他研发费用!$A$4:$A$153,$A18,其他研发费用!$B$4:$B$153,$B18,其他研发费用!$D$4:$D$153,"委托外部研发费用")</f>
        <v>0</v>
      </c>
      <c r="K18" s="27" t="n">
        <f aca="false">ROUND(SUM(D18:J18),2)</f>
        <v>0</v>
      </c>
      <c r="L18" s="45" t="n">
        <f aca="false">SUMIFS(研发人员工时分配表!$K$6:$K$245,研发人员工时分配表!$A$6:$A$245,$A18)</f>
        <v>0</v>
      </c>
      <c r="M18" s="45" t="n">
        <f aca="false">SUMIFS(仪器设备工时分配表!$K$6:$K$245,仪器设备工时分配表!$A$6:$A$245,$A18)</f>
        <v>0</v>
      </c>
    </row>
    <row r="19" customFormat="false" ht="16.5" hidden="false" customHeight="true" outlineLevel="0" collapsed="false">
      <c r="A19" s="21" t="s">
        <v>93</v>
      </c>
      <c r="B19" s="43" t="str">
        <f aca="false">项目清单!$B$8</f>
        <v>RD05</v>
      </c>
      <c r="C19" s="48" t="str">
        <f aca="false">IF($B19="","",IFERROR(VLOOKUP($B19,项目清单!$B$4:$C$13,2,0)&amp;"",""))</f>
        <v>新能源汽车电池包用导热缓冲复合材料开发</v>
      </c>
      <c r="D19" s="27" t="n">
        <f aca="false">SUMIFS(研发人员工时费用分配表!$R$6:$R$245,研发人员工时费用分配表!$A$6:$A$245,$A19)</f>
        <v>0</v>
      </c>
      <c r="E19" s="27" t="n">
        <f aca="false">SUMIFS(仪器设备工时费用分配表!$N$6:$N$245,仪器设备工时费用分配表!$A$6:$A$245,$A19,仪器设备工时费用分配表!$D$6:$D$245,"设备")</f>
        <v>0</v>
      </c>
      <c r="F19" s="27" t="n">
        <f aca="false">SUMIFS(无形资产费用分配表!$N$6:$N$125,无形资产费用分配表!$A$6:$A$125,$A19)</f>
        <v>0</v>
      </c>
      <c r="G19" s="27" t="n">
        <f aca="false">SUMIFS(其他研发费用!$F$4:$F$153,其他研发费用!$A$4:$A$153,$A19,其他研发费用!$B$4:$B$153,$B19,其他研发费用!$D$4:$D$153,"直接投入费用")</f>
        <v>0</v>
      </c>
      <c r="H19" s="27" t="n">
        <f aca="false">SUMIFS(其他研发费用!$F$4:$F$153,其他研发费用!$A$4:$A$153,$A19,其他研发费用!$B$4:$B$153,$B19,其他研发费用!$D$4:$D$153,"新产品设计费等")</f>
        <v>0</v>
      </c>
      <c r="I19" s="27" t="n">
        <f aca="false">SUMIFS(其他研发费用!$F$4:$F$153,其他研发费用!$A$4:$A$153,$A19,其他研发费用!$B$4:$B$153,$B19,其他研发费用!$D$4:$D$153,"其他相关费用")</f>
        <v>0</v>
      </c>
      <c r="J19" s="27" t="n">
        <f aca="false">SUMIFS(其他研发费用!$F$4:$F$153,其他研发费用!$A$4:$A$153,$A19,其他研发费用!$B$4:$B$153,$B19,其他研发费用!$D$4:$D$153,"委托外部研发费用")</f>
        <v>0</v>
      </c>
      <c r="K19" s="27" t="n">
        <f aca="false">ROUND(SUM(D19:J19),2)</f>
        <v>0</v>
      </c>
      <c r="L19" s="45" t="n">
        <f aca="false">SUMIFS(研发人员工时分配表!$L$6:$L$245,研发人员工时分配表!$A$6:$A$245,$A19)</f>
        <v>0</v>
      </c>
      <c r="M19" s="45" t="n">
        <f aca="false">SUMIFS(仪器设备工时分配表!$L$6:$L$245,仪器设备工时分配表!$A$6:$A$245,$A19)</f>
        <v>0</v>
      </c>
    </row>
    <row r="20" customFormat="false" ht="16.5" hidden="false" customHeight="true" outlineLevel="0" collapsed="false">
      <c r="A20" s="21" t="s">
        <v>93</v>
      </c>
      <c r="B20" s="43" t="str">
        <f aca="false">项目清单!$B$9</f>
        <v>RD06</v>
      </c>
      <c r="C20" s="48" t="str">
        <f aca="false">IF($B20="","",IFERROR(VLOOKUP($B20,项目清单!$B$4:$C$13,2,0)&amp;"",""))</f>
        <v>3C电子用超薄黑色遮光泡棉制备技术</v>
      </c>
      <c r="D20" s="27" t="n">
        <f aca="false">SUMIFS(研发人员工时费用分配表!$S$6:$S$245,研发人员工时费用分配表!$A$6:$A$245,$A20)</f>
        <v>0</v>
      </c>
      <c r="E20" s="27" t="n">
        <f aca="false">SUMIFS(仪器设备工时费用分配表!$O$6:$O$245,仪器设备工时费用分配表!$A$6:$A$245,$A20,仪器设备工时费用分配表!$D$6:$D$245,"设备")</f>
        <v>0</v>
      </c>
      <c r="F20" s="27" t="n">
        <f aca="false">SUMIFS(无形资产费用分配表!$O$6:$O$125,无形资产费用分配表!$A$6:$A$125,$A20)</f>
        <v>0</v>
      </c>
      <c r="G20" s="27" t="n">
        <f aca="false">SUMIFS(其他研发费用!$F$4:$F$153,其他研发费用!$A$4:$A$153,$A20,其他研发费用!$B$4:$B$153,$B20,其他研发费用!$D$4:$D$153,"直接投入费用")</f>
        <v>0</v>
      </c>
      <c r="H20" s="27" t="n">
        <f aca="false">SUMIFS(其他研发费用!$F$4:$F$153,其他研发费用!$A$4:$A$153,$A20,其他研发费用!$B$4:$B$153,$B20,其他研发费用!$D$4:$D$153,"新产品设计费等")</f>
        <v>0</v>
      </c>
      <c r="I20" s="27" t="n">
        <f aca="false">SUMIFS(其他研发费用!$F$4:$F$153,其他研发费用!$A$4:$A$153,$A20,其他研发费用!$B$4:$B$153,$B20,其他研发费用!$D$4:$D$153,"其他相关费用")</f>
        <v>0</v>
      </c>
      <c r="J20" s="27" t="n">
        <f aca="false">SUMIFS(其他研发费用!$F$4:$F$153,其他研发费用!$A$4:$A$153,$A20,其他研发费用!$B$4:$B$153,$B20,其他研发费用!$D$4:$D$153,"委托外部研发费用")</f>
        <v>0</v>
      </c>
      <c r="K20" s="27" t="n">
        <f aca="false">ROUND(SUM(D20:J20),2)</f>
        <v>0</v>
      </c>
      <c r="L20" s="45" t="n">
        <f aca="false">SUMIFS(研发人员工时分配表!$M$6:$M$245,研发人员工时分配表!$A$6:$A$245,$A20)</f>
        <v>0</v>
      </c>
      <c r="M20" s="45" t="n">
        <f aca="false">SUMIFS(仪器设备工时分配表!$M$6:$M$245,仪器设备工时分配表!$A$6:$A$245,$A20)</f>
        <v>0</v>
      </c>
    </row>
    <row r="21" customFormat="false" ht="16.5" hidden="false" customHeight="true" outlineLevel="0" collapsed="false">
      <c r="A21" s="21" t="s">
        <v>93</v>
      </c>
      <c r="B21" s="43" t="str">
        <f aca="false">项目清单!$B$10</f>
        <v>RD07</v>
      </c>
      <c r="C21" s="48" t="str">
        <f aca="false">IF($B21="","",IFERROR(VLOOKUP($B21,项目清单!$B$4:$C$13,2,0)&amp;"",""))</f>
        <v>环保型水性胶泡棉贴合技术开发</v>
      </c>
      <c r="D21" s="27" t="n">
        <f aca="false">SUMIFS(研发人员工时费用分配表!$T$6:$T$245,研发人员工时费用分配表!$A$6:$A$245,$A21)</f>
        <v>0</v>
      </c>
      <c r="E21" s="27" t="n">
        <f aca="false">SUMIFS(仪器设备工时费用分配表!$P$6:$P$245,仪器设备工时费用分配表!$A$6:$A$245,$A21,仪器设备工时费用分配表!$D$6:$D$245,"设备")</f>
        <v>0</v>
      </c>
      <c r="F21" s="27" t="n">
        <f aca="false">SUMIFS(无形资产费用分配表!$P$6:$P$125,无形资产费用分配表!$A$6:$A$125,$A21)</f>
        <v>0</v>
      </c>
      <c r="G21" s="27" t="n">
        <f aca="false">SUMIFS(其他研发费用!$F$4:$F$153,其他研发费用!$A$4:$A$153,$A21,其他研发费用!$B$4:$B$153,$B21,其他研发费用!$D$4:$D$153,"直接投入费用")</f>
        <v>0</v>
      </c>
      <c r="H21" s="27" t="n">
        <f aca="false">SUMIFS(其他研发费用!$F$4:$F$153,其他研发费用!$A$4:$A$153,$A21,其他研发费用!$B$4:$B$153,$B21,其他研发费用!$D$4:$D$153,"新产品设计费等")</f>
        <v>0</v>
      </c>
      <c r="I21" s="27" t="n">
        <f aca="false">SUMIFS(其他研发费用!$F$4:$F$153,其他研发费用!$A$4:$A$153,$A21,其他研发费用!$B$4:$B$153,$B21,其他研发费用!$D$4:$D$153,"其他相关费用")</f>
        <v>0</v>
      </c>
      <c r="J21" s="27" t="n">
        <f aca="false">SUMIFS(其他研发费用!$F$4:$F$153,其他研发费用!$A$4:$A$153,$A21,其他研发费用!$B$4:$B$153,$B21,其他研发费用!$D$4:$D$153,"委托外部研发费用")</f>
        <v>0</v>
      </c>
      <c r="K21" s="27" t="n">
        <f aca="false">ROUND(SUM(D21:J21),2)</f>
        <v>0</v>
      </c>
      <c r="L21" s="45" t="n">
        <f aca="false">SUMIFS(研发人员工时分配表!$N$6:$N$245,研发人员工时分配表!$A$6:$A$245,$A21)</f>
        <v>0</v>
      </c>
      <c r="M21" s="45" t="n">
        <f aca="false">SUMIFS(仪器设备工时分配表!$N$6:$N$245,仪器设备工时分配表!$A$6:$A$245,$A21)</f>
        <v>0</v>
      </c>
    </row>
    <row r="22" customFormat="false" ht="16.5" hidden="false" customHeight="true" outlineLevel="0" collapsed="false">
      <c r="A22" s="21" t="s">
        <v>93</v>
      </c>
      <c r="B22" s="43" t="str">
        <f aca="false">项目清单!$B$11</f>
        <v>RD08</v>
      </c>
      <c r="C22" s="48" t="str">
        <f aca="false">IF($B22="","",IFERROR(VLOOKUP($B22,项目清单!$B$4:$C$13,2,0)&amp;"",""))</f>
        <v>泡棉模切自动化在线检测技术研究</v>
      </c>
      <c r="D22" s="27" t="n">
        <f aca="false">SUMIFS(研发人员工时费用分配表!$U$6:$U$245,研发人员工时费用分配表!$A$6:$A$245,$A22)</f>
        <v>0</v>
      </c>
      <c r="E22" s="27" t="n">
        <f aca="false">SUMIFS(仪器设备工时费用分配表!$Q$6:$Q$245,仪器设备工时费用分配表!$A$6:$A$245,$A22,仪器设备工时费用分配表!$D$6:$D$245,"设备")</f>
        <v>0</v>
      </c>
      <c r="F22" s="27" t="n">
        <f aca="false">SUMIFS(无形资产费用分配表!$Q$6:$Q$125,无形资产费用分配表!$A$6:$A$125,$A22)</f>
        <v>0</v>
      </c>
      <c r="G22" s="27" t="n">
        <f aca="false">SUMIFS(其他研发费用!$F$4:$F$153,其他研发费用!$A$4:$A$153,$A22,其他研发费用!$B$4:$B$153,$B22,其他研发费用!$D$4:$D$153,"直接投入费用")</f>
        <v>0</v>
      </c>
      <c r="H22" s="27" t="n">
        <f aca="false">SUMIFS(其他研发费用!$F$4:$F$153,其他研发费用!$A$4:$A$153,$A22,其他研发费用!$B$4:$B$153,$B22,其他研发费用!$D$4:$D$153,"新产品设计费等")</f>
        <v>0</v>
      </c>
      <c r="I22" s="27" t="n">
        <f aca="false">SUMIFS(其他研发费用!$F$4:$F$153,其他研发费用!$A$4:$A$153,$A22,其他研发费用!$B$4:$B$153,$B22,其他研发费用!$D$4:$D$153,"其他相关费用")</f>
        <v>0</v>
      </c>
      <c r="J22" s="27" t="n">
        <f aca="false">SUMIFS(其他研发费用!$F$4:$F$153,其他研发费用!$A$4:$A$153,$A22,其他研发费用!$B$4:$B$153,$B22,其他研发费用!$D$4:$D$153,"委托外部研发费用")</f>
        <v>0</v>
      </c>
      <c r="K22" s="27" t="n">
        <f aca="false">ROUND(SUM(D22:J22),2)</f>
        <v>0</v>
      </c>
      <c r="L22" s="45" t="n">
        <f aca="false">SUMIFS(研发人员工时分配表!$O$6:$O$245,研发人员工时分配表!$A$6:$A$245,$A22)</f>
        <v>0</v>
      </c>
      <c r="M22" s="45" t="n">
        <f aca="false">SUMIFS(仪器设备工时分配表!$O$6:$O$245,仪器设备工时分配表!$A$6:$A$245,$A22)</f>
        <v>0</v>
      </c>
    </row>
    <row r="23" customFormat="false" ht="16.5" hidden="false" customHeight="true" outlineLevel="0" collapsed="false">
      <c r="A23" s="21" t="s">
        <v>93</v>
      </c>
      <c r="B23" s="43" t="str">
        <f aca="false">项目清单!$B$12</f>
        <v>RD09</v>
      </c>
      <c r="C23" s="48" t="str">
        <f aca="false">IF($B23="","",IFERROR(VLOOKUP($B23,项目清单!$B$4:$C$13,2,0)&amp;"",""))</f>
        <v/>
      </c>
      <c r="D23" s="27" t="n">
        <f aca="false">SUMIFS(研发人员工时费用分配表!$V$6:$V$245,研发人员工时费用分配表!$A$6:$A$245,$A23)</f>
        <v>0</v>
      </c>
      <c r="E23" s="27" t="n">
        <f aca="false">SUMIFS(仪器设备工时费用分配表!$R$6:$R$245,仪器设备工时费用分配表!$A$6:$A$245,$A23,仪器设备工时费用分配表!$D$6:$D$245,"设备")</f>
        <v>0</v>
      </c>
      <c r="F23" s="27" t="n">
        <f aca="false">SUMIFS(无形资产费用分配表!$R$6:$R$125,无形资产费用分配表!$A$6:$A$125,$A23)</f>
        <v>0</v>
      </c>
      <c r="G23" s="27" t="n">
        <f aca="false">SUMIFS(其他研发费用!$F$4:$F$153,其他研发费用!$A$4:$A$153,$A23,其他研发费用!$B$4:$B$153,$B23,其他研发费用!$D$4:$D$153,"直接投入费用")</f>
        <v>0</v>
      </c>
      <c r="H23" s="27" t="n">
        <f aca="false">SUMIFS(其他研发费用!$F$4:$F$153,其他研发费用!$A$4:$A$153,$A23,其他研发费用!$B$4:$B$153,$B23,其他研发费用!$D$4:$D$153,"新产品设计费等")</f>
        <v>0</v>
      </c>
      <c r="I23" s="27" t="n">
        <f aca="false">SUMIFS(其他研发费用!$F$4:$F$153,其他研发费用!$A$4:$A$153,$A23,其他研发费用!$B$4:$B$153,$B23,其他研发费用!$D$4:$D$153,"其他相关费用")</f>
        <v>0</v>
      </c>
      <c r="J23" s="27" t="n">
        <f aca="false">SUMIFS(其他研发费用!$F$4:$F$153,其他研发费用!$A$4:$A$153,$A23,其他研发费用!$B$4:$B$153,$B23,其他研发费用!$D$4:$D$153,"委托外部研发费用")</f>
        <v>0</v>
      </c>
      <c r="K23" s="27" t="n">
        <f aca="false">ROUND(SUM(D23:J23),2)</f>
        <v>0</v>
      </c>
      <c r="L23" s="45" t="n">
        <f aca="false">SUMIFS(研发人员工时分配表!$P$6:$P$245,研发人员工时分配表!$A$6:$A$245,$A23)</f>
        <v>0</v>
      </c>
      <c r="M23" s="45" t="n">
        <f aca="false">SUMIFS(仪器设备工时分配表!$P$6:$P$245,仪器设备工时分配表!$A$6:$A$245,$A23)</f>
        <v>0</v>
      </c>
    </row>
    <row r="24" customFormat="false" ht="16.5" hidden="false" customHeight="true" outlineLevel="0" collapsed="false">
      <c r="A24" s="21" t="s">
        <v>93</v>
      </c>
      <c r="B24" s="43" t="str">
        <f aca="false">项目清单!$B$13</f>
        <v>RD10</v>
      </c>
      <c r="C24" s="48" t="str">
        <f aca="false">IF($B24="","",IFERROR(VLOOKUP($B24,项目清单!$B$4:$C$13,2,0)&amp;"",""))</f>
        <v/>
      </c>
      <c r="D24" s="27" t="n">
        <f aca="false">SUMIFS(研发人员工时费用分配表!$W$6:$W$245,研发人员工时费用分配表!$A$6:$A$245,$A24)</f>
        <v>0</v>
      </c>
      <c r="E24" s="27" t="n">
        <f aca="false">SUMIFS(仪器设备工时费用分配表!$S$6:$S$245,仪器设备工时费用分配表!$A$6:$A$245,$A24,仪器设备工时费用分配表!$D$6:$D$245,"设备")</f>
        <v>0</v>
      </c>
      <c r="F24" s="27" t="n">
        <f aca="false">SUMIFS(无形资产费用分配表!$S$6:$S$125,无形资产费用分配表!$A$6:$A$125,$A24)</f>
        <v>0</v>
      </c>
      <c r="G24" s="27" t="n">
        <f aca="false">SUMIFS(其他研发费用!$F$4:$F$153,其他研发费用!$A$4:$A$153,$A24,其他研发费用!$B$4:$B$153,$B24,其他研发费用!$D$4:$D$153,"直接投入费用")</f>
        <v>0</v>
      </c>
      <c r="H24" s="27" t="n">
        <f aca="false">SUMIFS(其他研发费用!$F$4:$F$153,其他研发费用!$A$4:$A$153,$A24,其他研发费用!$B$4:$B$153,$B24,其他研发费用!$D$4:$D$153,"新产品设计费等")</f>
        <v>0</v>
      </c>
      <c r="I24" s="27" t="n">
        <f aca="false">SUMIFS(其他研发费用!$F$4:$F$153,其他研发费用!$A$4:$A$153,$A24,其他研发费用!$B$4:$B$153,$B24,其他研发费用!$D$4:$D$153,"其他相关费用")</f>
        <v>0</v>
      </c>
      <c r="J24" s="27" t="n">
        <f aca="false">SUMIFS(其他研发费用!$F$4:$F$153,其他研发费用!$A$4:$A$153,$A24,其他研发费用!$B$4:$B$153,$B24,其他研发费用!$D$4:$D$153,"委托外部研发费用")</f>
        <v>0</v>
      </c>
      <c r="K24" s="27" t="n">
        <f aca="false">ROUND(SUM(D24:J24),2)</f>
        <v>0</v>
      </c>
      <c r="L24" s="45" t="n">
        <f aca="false">SUMIFS(研发人员工时分配表!$Q$6:$Q$245,研发人员工时分配表!$A$6:$A$245,$A24)</f>
        <v>0</v>
      </c>
      <c r="M24" s="45" t="n">
        <f aca="false">SUMIFS(仪器设备工时分配表!$Q$6:$Q$245,仪器设备工时分配表!$A$6:$A$245,$A24)</f>
        <v>0</v>
      </c>
    </row>
    <row r="25" customFormat="false" ht="18" hidden="false" customHeight="true" outlineLevel="0" collapsed="false">
      <c r="A25" s="50" t="s">
        <v>93</v>
      </c>
      <c r="B25" s="30"/>
      <c r="C25" s="30" t="s">
        <v>295</v>
      </c>
      <c r="D25" s="31" t="n">
        <f aca="false">ROUND(SUM(D15:D24),2)</f>
        <v>0</v>
      </c>
      <c r="E25" s="31" t="n">
        <f aca="false">ROUND(SUM(E15:E24),2)</f>
        <v>0</v>
      </c>
      <c r="F25" s="31" t="n">
        <f aca="false">ROUND(SUM(F15:F24),2)</f>
        <v>0</v>
      </c>
      <c r="G25" s="31" t="n">
        <f aca="false">ROUND(SUM(G15:G24),2)</f>
        <v>0</v>
      </c>
      <c r="H25" s="31" t="n">
        <f aca="false">ROUND(SUM(H15:H24),2)</f>
        <v>0</v>
      </c>
      <c r="I25" s="31" t="n">
        <f aca="false">ROUND(SUM(I15:I24),2)</f>
        <v>0</v>
      </c>
      <c r="J25" s="31" t="n">
        <f aca="false">ROUND(SUM(J15:J24),2)</f>
        <v>0</v>
      </c>
      <c r="K25" s="31" t="n">
        <f aca="false">ROUND(SUM(K15:K24),2)</f>
        <v>0</v>
      </c>
      <c r="L25" s="51" t="n">
        <f aca="false">ROUND(SUM(L15:L24),2)</f>
        <v>0</v>
      </c>
      <c r="M25" s="51" t="n">
        <f aca="false">ROUND(SUM(M15:M24),2)</f>
        <v>0</v>
      </c>
    </row>
    <row r="26" customFormat="false" ht="16.5" hidden="false" customHeight="true" outlineLevel="0" collapsed="false">
      <c r="A26" s="21" t="s">
        <v>94</v>
      </c>
      <c r="B26" s="43" t="str">
        <f aca="false">项目清单!$B$4</f>
        <v>RD01</v>
      </c>
      <c r="C26" s="48" t="str">
        <f aca="false">IF($B26="","",IFERROR(VLOOKUP($B26,项目清单!$B$4:$C$13,2,0)&amp;"",""))</f>
        <v>高回弹低压缩永久变形3C用聚氨酯泡棉开发</v>
      </c>
      <c r="D26" s="27" t="n">
        <f aca="false">SUMIFS(研发人员工时费用分配表!$N$6:$N$245,研发人员工时费用分配表!$A$6:$A$245,$A26)</f>
        <v>0</v>
      </c>
      <c r="E26" s="27" t="n">
        <f aca="false">SUMIFS(仪器设备工时费用分配表!$J$6:$J$245,仪器设备工时费用分配表!$A$6:$A$245,$A26,仪器设备工时费用分配表!$D$6:$D$245,"设备")</f>
        <v>0</v>
      </c>
      <c r="F26" s="27" t="n">
        <f aca="false">SUMIFS(无形资产费用分配表!$J$6:$J$125,无形资产费用分配表!$A$6:$A$125,$A26)</f>
        <v>0</v>
      </c>
      <c r="G26" s="27" t="n">
        <f aca="false">SUMIFS(其他研发费用!$F$4:$F$153,其他研发费用!$A$4:$A$153,$A26,其他研发费用!$B$4:$B$153,$B26,其他研发费用!$D$4:$D$153,"直接投入费用")</f>
        <v>0</v>
      </c>
      <c r="H26" s="27" t="n">
        <f aca="false">SUMIFS(其他研发费用!$F$4:$F$153,其他研发费用!$A$4:$A$153,$A26,其他研发费用!$B$4:$B$153,$B26,其他研发费用!$D$4:$D$153,"新产品设计费等")</f>
        <v>0</v>
      </c>
      <c r="I26" s="27" t="n">
        <f aca="false">SUMIFS(其他研发费用!$F$4:$F$153,其他研发费用!$A$4:$A$153,$A26,其他研发费用!$B$4:$B$153,$B26,其他研发费用!$D$4:$D$153,"其他相关费用")</f>
        <v>0</v>
      </c>
      <c r="J26" s="27" t="n">
        <f aca="false">SUMIFS(其他研发费用!$F$4:$F$153,其他研发费用!$A$4:$A$153,$A26,其他研发费用!$B$4:$B$153,$B26,其他研发费用!$D$4:$D$153,"委托外部研发费用")</f>
        <v>0</v>
      </c>
      <c r="K26" s="27" t="n">
        <f aca="false">ROUND(SUM(D26:J26),2)</f>
        <v>0</v>
      </c>
      <c r="L26" s="45" t="n">
        <f aca="false">SUMIFS(研发人员工时分配表!$H$6:$H$245,研发人员工时分配表!$A$6:$A$245,$A26)</f>
        <v>0</v>
      </c>
      <c r="M26" s="45" t="n">
        <f aca="false">SUMIFS(仪器设备工时分配表!$H$6:$H$245,仪器设备工时分配表!$A$6:$A$245,$A26)</f>
        <v>0</v>
      </c>
    </row>
    <row r="27" customFormat="false" ht="16.5" hidden="false" customHeight="true" outlineLevel="0" collapsed="false">
      <c r="A27" s="21" t="s">
        <v>94</v>
      </c>
      <c r="B27" s="43" t="str">
        <f aca="false">项目清单!$B$5</f>
        <v>RD02</v>
      </c>
      <c r="C27" s="48" t="str">
        <f aca="false">IF($B27="","",IFERROR(VLOOKUP($B27,项目清单!$B$4:$C$13,2,0)&amp;"",""))</f>
        <v>动力电池模组用高阻燃缓冲泡棉研发</v>
      </c>
      <c r="D27" s="27" t="n">
        <f aca="false">SUMIFS(研发人员工时费用分配表!$O$6:$O$245,研发人员工时费用分配表!$A$6:$A$245,$A27)</f>
        <v>0</v>
      </c>
      <c r="E27" s="27" t="n">
        <f aca="false">SUMIFS(仪器设备工时费用分配表!$K$6:$K$245,仪器设备工时费用分配表!$A$6:$A$245,$A27,仪器设备工时费用分配表!$D$6:$D$245,"设备")</f>
        <v>0</v>
      </c>
      <c r="F27" s="27" t="n">
        <f aca="false">SUMIFS(无形资产费用分配表!$K$6:$K$125,无形资产费用分配表!$A$6:$A$125,$A27)</f>
        <v>0</v>
      </c>
      <c r="G27" s="27" t="n">
        <f aca="false">SUMIFS(其他研发费用!$F$4:$F$153,其他研发费用!$A$4:$A$153,$A27,其他研发费用!$B$4:$B$153,$B27,其他研发费用!$D$4:$D$153,"直接投入费用")</f>
        <v>0</v>
      </c>
      <c r="H27" s="27" t="n">
        <f aca="false">SUMIFS(其他研发费用!$F$4:$F$153,其他研发费用!$A$4:$A$153,$A27,其他研发费用!$B$4:$B$153,$B27,其他研发费用!$D$4:$D$153,"新产品设计费等")</f>
        <v>0</v>
      </c>
      <c r="I27" s="27" t="n">
        <f aca="false">SUMIFS(其他研发费用!$F$4:$F$153,其他研发费用!$A$4:$A$153,$A27,其他研发费用!$B$4:$B$153,$B27,其他研发费用!$D$4:$D$153,"其他相关费用")</f>
        <v>0</v>
      </c>
      <c r="J27" s="27" t="n">
        <f aca="false">SUMIFS(其他研发费用!$F$4:$F$153,其他研发费用!$A$4:$A$153,$A27,其他研发费用!$B$4:$B$153,$B27,其他研发费用!$D$4:$D$153,"委托外部研发费用")</f>
        <v>0</v>
      </c>
      <c r="K27" s="27" t="n">
        <f aca="false">ROUND(SUM(D27:J27),2)</f>
        <v>0</v>
      </c>
      <c r="L27" s="45" t="n">
        <f aca="false">SUMIFS(研发人员工时分配表!$I$6:$I$245,研发人员工时分配表!$A$6:$A$245,$A27)</f>
        <v>0</v>
      </c>
      <c r="M27" s="45" t="n">
        <f aca="false">SUMIFS(仪器设备工时分配表!$I$6:$I$245,仪器设备工时分配表!$A$6:$A$245,$A27)</f>
        <v>0</v>
      </c>
    </row>
    <row r="28" customFormat="false" ht="16.5" hidden="false" customHeight="true" outlineLevel="0" collapsed="false">
      <c r="A28" s="21" t="s">
        <v>94</v>
      </c>
      <c r="B28" s="43" t="str">
        <f aca="false">项目清单!$B$6</f>
        <v>RD03</v>
      </c>
      <c r="C28" s="48" t="str">
        <f aca="false">IF($B28="","",IFERROR(VLOOKUP($B28,项目清单!$B$4:$C$13,2,0)&amp;"",""))</f>
        <v>泡棉与PET基材无溶剂贴合工艺开发</v>
      </c>
      <c r="D28" s="27" t="n">
        <f aca="false">SUMIFS(研发人员工时费用分配表!$P$6:$P$245,研发人员工时费用分配表!$A$6:$A$245,$A28)</f>
        <v>0</v>
      </c>
      <c r="E28" s="27" t="n">
        <f aca="false">SUMIFS(仪器设备工时费用分配表!$L$6:$L$245,仪器设备工时费用分配表!$A$6:$A$245,$A28,仪器设备工时费用分配表!$D$6:$D$245,"设备")</f>
        <v>0</v>
      </c>
      <c r="F28" s="27" t="n">
        <f aca="false">SUMIFS(无形资产费用分配表!$L$6:$L$125,无形资产费用分配表!$A$6:$A$125,$A28)</f>
        <v>0</v>
      </c>
      <c r="G28" s="27" t="n">
        <f aca="false">SUMIFS(其他研发费用!$F$4:$F$153,其他研发费用!$A$4:$A$153,$A28,其他研发费用!$B$4:$B$153,$B28,其他研发费用!$D$4:$D$153,"直接投入费用")</f>
        <v>0</v>
      </c>
      <c r="H28" s="27" t="n">
        <f aca="false">SUMIFS(其他研发费用!$F$4:$F$153,其他研发费用!$A$4:$A$153,$A28,其他研发费用!$B$4:$B$153,$B28,其他研发费用!$D$4:$D$153,"新产品设计费等")</f>
        <v>0</v>
      </c>
      <c r="I28" s="27" t="n">
        <f aca="false">SUMIFS(其他研发费用!$F$4:$F$153,其他研发费用!$A$4:$A$153,$A28,其他研发费用!$B$4:$B$153,$B28,其他研发费用!$D$4:$D$153,"其他相关费用")</f>
        <v>0</v>
      </c>
      <c r="J28" s="27" t="n">
        <f aca="false">SUMIFS(其他研发费用!$F$4:$F$153,其他研发费用!$A$4:$A$153,$A28,其他研发费用!$B$4:$B$153,$B28,其他研发费用!$D$4:$D$153,"委托外部研发费用")</f>
        <v>0</v>
      </c>
      <c r="K28" s="27" t="n">
        <f aca="false">ROUND(SUM(D28:J28),2)</f>
        <v>0</v>
      </c>
      <c r="L28" s="45" t="n">
        <f aca="false">SUMIFS(研发人员工时分配表!$J$6:$J$245,研发人员工时分配表!$A$6:$A$245,$A28)</f>
        <v>0</v>
      </c>
      <c r="M28" s="45" t="n">
        <f aca="false">SUMIFS(仪器设备工时分配表!$J$6:$J$245,仪器设备工时分配表!$A$6:$A$245,$A28)</f>
        <v>0</v>
      </c>
    </row>
    <row r="29" customFormat="false" ht="16.5" hidden="false" customHeight="true" outlineLevel="0" collapsed="false">
      <c r="A29" s="21" t="s">
        <v>94</v>
      </c>
      <c r="B29" s="43" t="str">
        <f aca="false">项目清单!$B$7</f>
        <v>RD04</v>
      </c>
      <c r="C29" s="48" t="str">
        <f aca="false">IF($B29="","",IFERROR(VLOOKUP($B29,项目清单!$B$4:$C$13,2,0)&amp;"",""))</f>
        <v>超薄泡棉高精度分切及毛边控制技术研究</v>
      </c>
      <c r="D29" s="27" t="n">
        <f aca="false">SUMIFS(研发人员工时费用分配表!$Q$6:$Q$245,研发人员工时费用分配表!$A$6:$A$245,$A29)</f>
        <v>0</v>
      </c>
      <c r="E29" s="27" t="n">
        <f aca="false">SUMIFS(仪器设备工时费用分配表!$M$6:$M$245,仪器设备工时费用分配表!$A$6:$A$245,$A29,仪器设备工时费用分配表!$D$6:$D$245,"设备")</f>
        <v>0</v>
      </c>
      <c r="F29" s="27" t="n">
        <f aca="false">SUMIFS(无形资产费用分配表!$M$6:$M$125,无形资产费用分配表!$A$6:$A$125,$A29)</f>
        <v>0</v>
      </c>
      <c r="G29" s="27" t="n">
        <f aca="false">SUMIFS(其他研发费用!$F$4:$F$153,其他研发费用!$A$4:$A$153,$A29,其他研发费用!$B$4:$B$153,$B29,其他研发费用!$D$4:$D$153,"直接投入费用")</f>
        <v>0</v>
      </c>
      <c r="H29" s="27" t="n">
        <f aca="false">SUMIFS(其他研发费用!$F$4:$F$153,其他研发费用!$A$4:$A$153,$A29,其他研发费用!$B$4:$B$153,$B29,其他研发费用!$D$4:$D$153,"新产品设计费等")</f>
        <v>0</v>
      </c>
      <c r="I29" s="27" t="n">
        <f aca="false">SUMIFS(其他研发费用!$F$4:$F$153,其他研发费用!$A$4:$A$153,$A29,其他研发费用!$B$4:$B$153,$B29,其他研发费用!$D$4:$D$153,"其他相关费用")</f>
        <v>0</v>
      </c>
      <c r="J29" s="27" t="n">
        <f aca="false">SUMIFS(其他研发费用!$F$4:$F$153,其他研发费用!$A$4:$A$153,$A29,其他研发费用!$B$4:$B$153,$B29,其他研发费用!$D$4:$D$153,"委托外部研发费用")</f>
        <v>0</v>
      </c>
      <c r="K29" s="27" t="n">
        <f aca="false">ROUND(SUM(D29:J29),2)</f>
        <v>0</v>
      </c>
      <c r="L29" s="45" t="n">
        <f aca="false">SUMIFS(研发人员工时分配表!$K$6:$K$245,研发人员工时分配表!$A$6:$A$245,$A29)</f>
        <v>0</v>
      </c>
      <c r="M29" s="45" t="n">
        <f aca="false">SUMIFS(仪器设备工时分配表!$K$6:$K$245,仪器设备工时分配表!$A$6:$A$245,$A29)</f>
        <v>0</v>
      </c>
    </row>
    <row r="30" customFormat="false" ht="16.5" hidden="false" customHeight="true" outlineLevel="0" collapsed="false">
      <c r="A30" s="21" t="s">
        <v>94</v>
      </c>
      <c r="B30" s="43" t="str">
        <f aca="false">项目清单!$B$8</f>
        <v>RD05</v>
      </c>
      <c r="C30" s="48" t="str">
        <f aca="false">IF($B30="","",IFERROR(VLOOKUP($B30,项目清单!$B$4:$C$13,2,0)&amp;"",""))</f>
        <v>新能源汽车电池包用导热缓冲复合材料开发</v>
      </c>
      <c r="D30" s="27" t="n">
        <f aca="false">SUMIFS(研发人员工时费用分配表!$R$6:$R$245,研发人员工时费用分配表!$A$6:$A$245,$A30)</f>
        <v>0</v>
      </c>
      <c r="E30" s="27" t="n">
        <f aca="false">SUMIFS(仪器设备工时费用分配表!$N$6:$N$245,仪器设备工时费用分配表!$A$6:$A$245,$A30,仪器设备工时费用分配表!$D$6:$D$245,"设备")</f>
        <v>0</v>
      </c>
      <c r="F30" s="27" t="n">
        <f aca="false">SUMIFS(无形资产费用分配表!$N$6:$N$125,无形资产费用分配表!$A$6:$A$125,$A30)</f>
        <v>0</v>
      </c>
      <c r="G30" s="27" t="n">
        <f aca="false">SUMIFS(其他研发费用!$F$4:$F$153,其他研发费用!$A$4:$A$153,$A30,其他研发费用!$B$4:$B$153,$B30,其他研发费用!$D$4:$D$153,"直接投入费用")</f>
        <v>0</v>
      </c>
      <c r="H30" s="27" t="n">
        <f aca="false">SUMIFS(其他研发费用!$F$4:$F$153,其他研发费用!$A$4:$A$153,$A30,其他研发费用!$B$4:$B$153,$B30,其他研发费用!$D$4:$D$153,"新产品设计费等")</f>
        <v>0</v>
      </c>
      <c r="I30" s="27" t="n">
        <f aca="false">SUMIFS(其他研发费用!$F$4:$F$153,其他研发费用!$A$4:$A$153,$A30,其他研发费用!$B$4:$B$153,$B30,其他研发费用!$D$4:$D$153,"其他相关费用")</f>
        <v>0</v>
      </c>
      <c r="J30" s="27" t="n">
        <f aca="false">SUMIFS(其他研发费用!$F$4:$F$153,其他研发费用!$A$4:$A$153,$A30,其他研发费用!$B$4:$B$153,$B30,其他研发费用!$D$4:$D$153,"委托外部研发费用")</f>
        <v>0</v>
      </c>
      <c r="K30" s="27" t="n">
        <f aca="false">ROUND(SUM(D30:J30),2)</f>
        <v>0</v>
      </c>
      <c r="L30" s="45" t="n">
        <f aca="false">SUMIFS(研发人员工时分配表!$L$6:$L$245,研发人员工时分配表!$A$6:$A$245,$A30)</f>
        <v>0</v>
      </c>
      <c r="M30" s="45" t="n">
        <f aca="false">SUMIFS(仪器设备工时分配表!$L$6:$L$245,仪器设备工时分配表!$A$6:$A$245,$A30)</f>
        <v>0</v>
      </c>
    </row>
    <row r="31" customFormat="false" ht="16.5" hidden="false" customHeight="true" outlineLevel="0" collapsed="false">
      <c r="A31" s="21" t="s">
        <v>94</v>
      </c>
      <c r="B31" s="43" t="str">
        <f aca="false">项目清单!$B$9</f>
        <v>RD06</v>
      </c>
      <c r="C31" s="48" t="str">
        <f aca="false">IF($B31="","",IFERROR(VLOOKUP($B31,项目清单!$B$4:$C$13,2,0)&amp;"",""))</f>
        <v>3C电子用超薄黑色遮光泡棉制备技术</v>
      </c>
      <c r="D31" s="27" t="n">
        <f aca="false">SUMIFS(研发人员工时费用分配表!$S$6:$S$245,研发人员工时费用分配表!$A$6:$A$245,$A31)</f>
        <v>0</v>
      </c>
      <c r="E31" s="27" t="n">
        <f aca="false">SUMIFS(仪器设备工时费用分配表!$O$6:$O$245,仪器设备工时费用分配表!$A$6:$A$245,$A31,仪器设备工时费用分配表!$D$6:$D$245,"设备")</f>
        <v>0</v>
      </c>
      <c r="F31" s="27" t="n">
        <f aca="false">SUMIFS(无形资产费用分配表!$O$6:$O$125,无形资产费用分配表!$A$6:$A$125,$A31)</f>
        <v>0</v>
      </c>
      <c r="G31" s="27" t="n">
        <f aca="false">SUMIFS(其他研发费用!$F$4:$F$153,其他研发费用!$A$4:$A$153,$A31,其他研发费用!$B$4:$B$153,$B31,其他研发费用!$D$4:$D$153,"直接投入费用")</f>
        <v>0</v>
      </c>
      <c r="H31" s="27" t="n">
        <f aca="false">SUMIFS(其他研发费用!$F$4:$F$153,其他研发费用!$A$4:$A$153,$A31,其他研发费用!$B$4:$B$153,$B31,其他研发费用!$D$4:$D$153,"新产品设计费等")</f>
        <v>0</v>
      </c>
      <c r="I31" s="27" t="n">
        <f aca="false">SUMIFS(其他研发费用!$F$4:$F$153,其他研发费用!$A$4:$A$153,$A31,其他研发费用!$B$4:$B$153,$B31,其他研发费用!$D$4:$D$153,"其他相关费用")</f>
        <v>0</v>
      </c>
      <c r="J31" s="27" t="n">
        <f aca="false">SUMIFS(其他研发费用!$F$4:$F$153,其他研发费用!$A$4:$A$153,$A31,其他研发费用!$B$4:$B$153,$B31,其他研发费用!$D$4:$D$153,"委托外部研发费用")</f>
        <v>0</v>
      </c>
      <c r="K31" s="27" t="n">
        <f aca="false">ROUND(SUM(D31:J31),2)</f>
        <v>0</v>
      </c>
      <c r="L31" s="45" t="n">
        <f aca="false">SUMIFS(研发人员工时分配表!$M$6:$M$245,研发人员工时分配表!$A$6:$A$245,$A31)</f>
        <v>0</v>
      </c>
      <c r="M31" s="45" t="n">
        <f aca="false">SUMIFS(仪器设备工时分配表!$M$6:$M$245,仪器设备工时分配表!$A$6:$A$245,$A31)</f>
        <v>0</v>
      </c>
    </row>
    <row r="32" customFormat="false" ht="16.5" hidden="false" customHeight="true" outlineLevel="0" collapsed="false">
      <c r="A32" s="21" t="s">
        <v>94</v>
      </c>
      <c r="B32" s="43" t="str">
        <f aca="false">项目清单!$B$10</f>
        <v>RD07</v>
      </c>
      <c r="C32" s="48" t="str">
        <f aca="false">IF($B32="","",IFERROR(VLOOKUP($B32,项目清单!$B$4:$C$13,2,0)&amp;"",""))</f>
        <v>环保型水性胶泡棉贴合技术开发</v>
      </c>
      <c r="D32" s="27" t="n">
        <f aca="false">SUMIFS(研发人员工时费用分配表!$T$6:$T$245,研发人员工时费用分配表!$A$6:$A$245,$A32)</f>
        <v>0</v>
      </c>
      <c r="E32" s="27" t="n">
        <f aca="false">SUMIFS(仪器设备工时费用分配表!$P$6:$P$245,仪器设备工时费用分配表!$A$6:$A$245,$A32,仪器设备工时费用分配表!$D$6:$D$245,"设备")</f>
        <v>0</v>
      </c>
      <c r="F32" s="27" t="n">
        <f aca="false">SUMIFS(无形资产费用分配表!$P$6:$P$125,无形资产费用分配表!$A$6:$A$125,$A32)</f>
        <v>0</v>
      </c>
      <c r="G32" s="27" t="n">
        <f aca="false">SUMIFS(其他研发费用!$F$4:$F$153,其他研发费用!$A$4:$A$153,$A32,其他研发费用!$B$4:$B$153,$B32,其他研发费用!$D$4:$D$153,"直接投入费用")</f>
        <v>0</v>
      </c>
      <c r="H32" s="27" t="n">
        <f aca="false">SUMIFS(其他研发费用!$F$4:$F$153,其他研发费用!$A$4:$A$153,$A32,其他研发费用!$B$4:$B$153,$B32,其他研发费用!$D$4:$D$153,"新产品设计费等")</f>
        <v>0</v>
      </c>
      <c r="I32" s="27" t="n">
        <f aca="false">SUMIFS(其他研发费用!$F$4:$F$153,其他研发费用!$A$4:$A$153,$A32,其他研发费用!$B$4:$B$153,$B32,其他研发费用!$D$4:$D$153,"其他相关费用")</f>
        <v>0</v>
      </c>
      <c r="J32" s="27" t="n">
        <f aca="false">SUMIFS(其他研发费用!$F$4:$F$153,其他研发费用!$A$4:$A$153,$A32,其他研发费用!$B$4:$B$153,$B32,其他研发费用!$D$4:$D$153,"委托外部研发费用")</f>
        <v>0</v>
      </c>
      <c r="K32" s="27" t="n">
        <f aca="false">ROUND(SUM(D32:J32),2)</f>
        <v>0</v>
      </c>
      <c r="L32" s="45" t="n">
        <f aca="false">SUMIFS(研发人员工时分配表!$N$6:$N$245,研发人员工时分配表!$A$6:$A$245,$A32)</f>
        <v>0</v>
      </c>
      <c r="M32" s="45" t="n">
        <f aca="false">SUMIFS(仪器设备工时分配表!$N$6:$N$245,仪器设备工时分配表!$A$6:$A$245,$A32)</f>
        <v>0</v>
      </c>
    </row>
    <row r="33" customFormat="false" ht="16.5" hidden="false" customHeight="true" outlineLevel="0" collapsed="false">
      <c r="A33" s="21" t="s">
        <v>94</v>
      </c>
      <c r="B33" s="43" t="str">
        <f aca="false">项目清单!$B$11</f>
        <v>RD08</v>
      </c>
      <c r="C33" s="48" t="str">
        <f aca="false">IF($B33="","",IFERROR(VLOOKUP($B33,项目清单!$B$4:$C$13,2,0)&amp;"",""))</f>
        <v>泡棉模切自动化在线检测技术研究</v>
      </c>
      <c r="D33" s="27" t="n">
        <f aca="false">SUMIFS(研发人员工时费用分配表!$U$6:$U$245,研发人员工时费用分配表!$A$6:$A$245,$A33)</f>
        <v>0</v>
      </c>
      <c r="E33" s="27" t="n">
        <f aca="false">SUMIFS(仪器设备工时费用分配表!$Q$6:$Q$245,仪器设备工时费用分配表!$A$6:$A$245,$A33,仪器设备工时费用分配表!$D$6:$D$245,"设备")</f>
        <v>0</v>
      </c>
      <c r="F33" s="27" t="n">
        <f aca="false">SUMIFS(无形资产费用分配表!$Q$6:$Q$125,无形资产费用分配表!$A$6:$A$125,$A33)</f>
        <v>0</v>
      </c>
      <c r="G33" s="27" t="n">
        <f aca="false">SUMIFS(其他研发费用!$F$4:$F$153,其他研发费用!$A$4:$A$153,$A33,其他研发费用!$B$4:$B$153,$B33,其他研发费用!$D$4:$D$153,"直接投入费用")</f>
        <v>0</v>
      </c>
      <c r="H33" s="27" t="n">
        <f aca="false">SUMIFS(其他研发费用!$F$4:$F$153,其他研发费用!$A$4:$A$153,$A33,其他研发费用!$B$4:$B$153,$B33,其他研发费用!$D$4:$D$153,"新产品设计费等")</f>
        <v>0</v>
      </c>
      <c r="I33" s="27" t="n">
        <f aca="false">SUMIFS(其他研发费用!$F$4:$F$153,其他研发费用!$A$4:$A$153,$A33,其他研发费用!$B$4:$B$153,$B33,其他研发费用!$D$4:$D$153,"其他相关费用")</f>
        <v>0</v>
      </c>
      <c r="J33" s="27" t="n">
        <f aca="false">SUMIFS(其他研发费用!$F$4:$F$153,其他研发费用!$A$4:$A$153,$A33,其他研发费用!$B$4:$B$153,$B33,其他研发费用!$D$4:$D$153,"委托外部研发费用")</f>
        <v>0</v>
      </c>
      <c r="K33" s="27" t="n">
        <f aca="false">ROUND(SUM(D33:J33),2)</f>
        <v>0</v>
      </c>
      <c r="L33" s="45" t="n">
        <f aca="false">SUMIFS(研发人员工时分配表!$O$6:$O$245,研发人员工时分配表!$A$6:$A$245,$A33)</f>
        <v>0</v>
      </c>
      <c r="M33" s="45" t="n">
        <f aca="false">SUMIFS(仪器设备工时分配表!$O$6:$O$245,仪器设备工时分配表!$A$6:$A$245,$A33)</f>
        <v>0</v>
      </c>
    </row>
    <row r="34" customFormat="false" ht="16.5" hidden="false" customHeight="true" outlineLevel="0" collapsed="false">
      <c r="A34" s="21" t="s">
        <v>94</v>
      </c>
      <c r="B34" s="43" t="str">
        <f aca="false">项目清单!$B$12</f>
        <v>RD09</v>
      </c>
      <c r="C34" s="48" t="str">
        <f aca="false">IF($B34="","",IFERROR(VLOOKUP($B34,项目清单!$B$4:$C$13,2,0)&amp;"",""))</f>
        <v/>
      </c>
      <c r="D34" s="27" t="n">
        <f aca="false">SUMIFS(研发人员工时费用分配表!$V$6:$V$245,研发人员工时费用分配表!$A$6:$A$245,$A34)</f>
        <v>0</v>
      </c>
      <c r="E34" s="27" t="n">
        <f aca="false">SUMIFS(仪器设备工时费用分配表!$R$6:$R$245,仪器设备工时费用分配表!$A$6:$A$245,$A34,仪器设备工时费用分配表!$D$6:$D$245,"设备")</f>
        <v>0</v>
      </c>
      <c r="F34" s="27" t="n">
        <f aca="false">SUMIFS(无形资产费用分配表!$R$6:$R$125,无形资产费用分配表!$A$6:$A$125,$A34)</f>
        <v>0</v>
      </c>
      <c r="G34" s="27" t="n">
        <f aca="false">SUMIFS(其他研发费用!$F$4:$F$153,其他研发费用!$A$4:$A$153,$A34,其他研发费用!$B$4:$B$153,$B34,其他研发费用!$D$4:$D$153,"直接投入费用")</f>
        <v>0</v>
      </c>
      <c r="H34" s="27" t="n">
        <f aca="false">SUMIFS(其他研发费用!$F$4:$F$153,其他研发费用!$A$4:$A$153,$A34,其他研发费用!$B$4:$B$153,$B34,其他研发费用!$D$4:$D$153,"新产品设计费等")</f>
        <v>0</v>
      </c>
      <c r="I34" s="27" t="n">
        <f aca="false">SUMIFS(其他研发费用!$F$4:$F$153,其他研发费用!$A$4:$A$153,$A34,其他研发费用!$B$4:$B$153,$B34,其他研发费用!$D$4:$D$153,"其他相关费用")</f>
        <v>0</v>
      </c>
      <c r="J34" s="27" t="n">
        <f aca="false">SUMIFS(其他研发费用!$F$4:$F$153,其他研发费用!$A$4:$A$153,$A34,其他研发费用!$B$4:$B$153,$B34,其他研发费用!$D$4:$D$153,"委托外部研发费用")</f>
        <v>0</v>
      </c>
      <c r="K34" s="27" t="n">
        <f aca="false">ROUND(SUM(D34:J34),2)</f>
        <v>0</v>
      </c>
      <c r="L34" s="45" t="n">
        <f aca="false">SUMIFS(研发人员工时分配表!$P$6:$P$245,研发人员工时分配表!$A$6:$A$245,$A34)</f>
        <v>0</v>
      </c>
      <c r="M34" s="45" t="n">
        <f aca="false">SUMIFS(仪器设备工时分配表!$P$6:$P$245,仪器设备工时分配表!$A$6:$A$245,$A34)</f>
        <v>0</v>
      </c>
    </row>
    <row r="35" customFormat="false" ht="16.5" hidden="false" customHeight="true" outlineLevel="0" collapsed="false">
      <c r="A35" s="21" t="s">
        <v>94</v>
      </c>
      <c r="B35" s="43" t="str">
        <f aca="false">项目清单!$B$13</f>
        <v>RD10</v>
      </c>
      <c r="C35" s="48" t="str">
        <f aca="false">IF($B35="","",IFERROR(VLOOKUP($B35,项目清单!$B$4:$C$13,2,0)&amp;"",""))</f>
        <v/>
      </c>
      <c r="D35" s="27" t="n">
        <f aca="false">SUMIFS(研发人员工时费用分配表!$W$6:$W$245,研发人员工时费用分配表!$A$6:$A$245,$A35)</f>
        <v>0</v>
      </c>
      <c r="E35" s="27" t="n">
        <f aca="false">SUMIFS(仪器设备工时费用分配表!$S$6:$S$245,仪器设备工时费用分配表!$A$6:$A$245,$A35,仪器设备工时费用分配表!$D$6:$D$245,"设备")</f>
        <v>0</v>
      </c>
      <c r="F35" s="27" t="n">
        <f aca="false">SUMIFS(无形资产费用分配表!$S$6:$S$125,无形资产费用分配表!$A$6:$A$125,$A35)</f>
        <v>0</v>
      </c>
      <c r="G35" s="27" t="n">
        <f aca="false">SUMIFS(其他研发费用!$F$4:$F$153,其他研发费用!$A$4:$A$153,$A35,其他研发费用!$B$4:$B$153,$B35,其他研发费用!$D$4:$D$153,"直接投入费用")</f>
        <v>0</v>
      </c>
      <c r="H35" s="27" t="n">
        <f aca="false">SUMIFS(其他研发费用!$F$4:$F$153,其他研发费用!$A$4:$A$153,$A35,其他研发费用!$B$4:$B$153,$B35,其他研发费用!$D$4:$D$153,"新产品设计费等")</f>
        <v>0</v>
      </c>
      <c r="I35" s="27" t="n">
        <f aca="false">SUMIFS(其他研发费用!$F$4:$F$153,其他研发费用!$A$4:$A$153,$A35,其他研发费用!$B$4:$B$153,$B35,其他研发费用!$D$4:$D$153,"其他相关费用")</f>
        <v>0</v>
      </c>
      <c r="J35" s="27" t="n">
        <f aca="false">SUMIFS(其他研发费用!$F$4:$F$153,其他研发费用!$A$4:$A$153,$A35,其他研发费用!$B$4:$B$153,$B35,其他研发费用!$D$4:$D$153,"委托外部研发费用")</f>
        <v>0</v>
      </c>
      <c r="K35" s="27" t="n">
        <f aca="false">ROUND(SUM(D35:J35),2)</f>
        <v>0</v>
      </c>
      <c r="L35" s="45" t="n">
        <f aca="false">SUMIFS(研发人员工时分配表!$Q$6:$Q$245,研发人员工时分配表!$A$6:$A$245,$A35)</f>
        <v>0</v>
      </c>
      <c r="M35" s="45" t="n">
        <f aca="false">SUMIFS(仪器设备工时分配表!$Q$6:$Q$245,仪器设备工时分配表!$A$6:$A$245,$A35)</f>
        <v>0</v>
      </c>
    </row>
    <row r="36" customFormat="false" ht="18" hidden="false" customHeight="true" outlineLevel="0" collapsed="false">
      <c r="A36" s="50" t="s">
        <v>94</v>
      </c>
      <c r="B36" s="30"/>
      <c r="C36" s="30" t="s">
        <v>295</v>
      </c>
      <c r="D36" s="31" t="n">
        <f aca="false">ROUND(SUM(D26:D35),2)</f>
        <v>0</v>
      </c>
      <c r="E36" s="31" t="n">
        <f aca="false">ROUND(SUM(E26:E35),2)</f>
        <v>0</v>
      </c>
      <c r="F36" s="31" t="n">
        <f aca="false">ROUND(SUM(F26:F35),2)</f>
        <v>0</v>
      </c>
      <c r="G36" s="31" t="n">
        <f aca="false">ROUND(SUM(G26:G35),2)</f>
        <v>0</v>
      </c>
      <c r="H36" s="31" t="n">
        <f aca="false">ROUND(SUM(H26:H35),2)</f>
        <v>0</v>
      </c>
      <c r="I36" s="31" t="n">
        <f aca="false">ROUND(SUM(I26:I35),2)</f>
        <v>0</v>
      </c>
      <c r="J36" s="31" t="n">
        <f aca="false">ROUND(SUM(J26:J35),2)</f>
        <v>0</v>
      </c>
      <c r="K36" s="31" t="n">
        <f aca="false">ROUND(SUM(K26:K35),2)</f>
        <v>0</v>
      </c>
      <c r="L36" s="51" t="n">
        <f aca="false">ROUND(SUM(L26:L35),2)</f>
        <v>0</v>
      </c>
      <c r="M36" s="51" t="n">
        <f aca="false">ROUND(SUM(M26:M35),2)</f>
        <v>0</v>
      </c>
    </row>
    <row r="37" customFormat="false" ht="16.5" hidden="false" customHeight="true" outlineLevel="0" collapsed="false">
      <c r="A37" s="21" t="s">
        <v>95</v>
      </c>
      <c r="B37" s="43" t="str">
        <f aca="false">项目清单!$B$4</f>
        <v>RD01</v>
      </c>
      <c r="C37" s="48" t="str">
        <f aca="false">IF($B37="","",IFERROR(VLOOKUP($B37,项目清单!$B$4:$C$13,2,0)&amp;"",""))</f>
        <v>高回弹低压缩永久变形3C用聚氨酯泡棉开发</v>
      </c>
      <c r="D37" s="27" t="n">
        <f aca="false">SUMIFS(研发人员工时费用分配表!$N$6:$N$245,研发人员工时费用分配表!$A$6:$A$245,$A37)</f>
        <v>0</v>
      </c>
      <c r="E37" s="27" t="n">
        <f aca="false">SUMIFS(仪器设备工时费用分配表!$J$6:$J$245,仪器设备工时费用分配表!$A$6:$A$245,$A37,仪器设备工时费用分配表!$D$6:$D$245,"设备")</f>
        <v>0</v>
      </c>
      <c r="F37" s="27" t="n">
        <f aca="false">SUMIFS(无形资产费用分配表!$J$6:$J$125,无形资产费用分配表!$A$6:$A$125,$A37)</f>
        <v>0</v>
      </c>
      <c r="G37" s="27" t="n">
        <f aca="false">SUMIFS(其他研发费用!$F$4:$F$153,其他研发费用!$A$4:$A$153,$A37,其他研发费用!$B$4:$B$153,$B37,其他研发费用!$D$4:$D$153,"直接投入费用")</f>
        <v>0</v>
      </c>
      <c r="H37" s="27" t="n">
        <f aca="false">SUMIFS(其他研发费用!$F$4:$F$153,其他研发费用!$A$4:$A$153,$A37,其他研发费用!$B$4:$B$153,$B37,其他研发费用!$D$4:$D$153,"新产品设计费等")</f>
        <v>0</v>
      </c>
      <c r="I37" s="27" t="n">
        <f aca="false">SUMIFS(其他研发费用!$F$4:$F$153,其他研发费用!$A$4:$A$153,$A37,其他研发费用!$B$4:$B$153,$B37,其他研发费用!$D$4:$D$153,"其他相关费用")</f>
        <v>0</v>
      </c>
      <c r="J37" s="27" t="n">
        <f aca="false">SUMIFS(其他研发费用!$F$4:$F$153,其他研发费用!$A$4:$A$153,$A37,其他研发费用!$B$4:$B$153,$B37,其他研发费用!$D$4:$D$153,"委托外部研发费用")</f>
        <v>0</v>
      </c>
      <c r="K37" s="27" t="n">
        <f aca="false">ROUND(SUM(D37:J37),2)</f>
        <v>0</v>
      </c>
      <c r="L37" s="45" t="n">
        <f aca="false">SUMIFS(研发人员工时分配表!$H$6:$H$245,研发人员工时分配表!$A$6:$A$245,$A37)</f>
        <v>0</v>
      </c>
      <c r="M37" s="45" t="n">
        <f aca="false">SUMIFS(仪器设备工时分配表!$H$6:$H$245,仪器设备工时分配表!$A$6:$A$245,$A37)</f>
        <v>0</v>
      </c>
    </row>
    <row r="38" customFormat="false" ht="16.5" hidden="false" customHeight="true" outlineLevel="0" collapsed="false">
      <c r="A38" s="21" t="s">
        <v>95</v>
      </c>
      <c r="B38" s="43" t="str">
        <f aca="false">项目清单!$B$5</f>
        <v>RD02</v>
      </c>
      <c r="C38" s="48" t="str">
        <f aca="false">IF($B38="","",IFERROR(VLOOKUP($B38,项目清单!$B$4:$C$13,2,0)&amp;"",""))</f>
        <v>动力电池模组用高阻燃缓冲泡棉研发</v>
      </c>
      <c r="D38" s="27" t="n">
        <f aca="false">SUMIFS(研发人员工时费用分配表!$O$6:$O$245,研发人员工时费用分配表!$A$6:$A$245,$A38)</f>
        <v>0</v>
      </c>
      <c r="E38" s="27" t="n">
        <f aca="false">SUMIFS(仪器设备工时费用分配表!$K$6:$K$245,仪器设备工时费用分配表!$A$6:$A$245,$A38,仪器设备工时费用分配表!$D$6:$D$245,"设备")</f>
        <v>0</v>
      </c>
      <c r="F38" s="27" t="n">
        <f aca="false">SUMIFS(无形资产费用分配表!$K$6:$K$125,无形资产费用分配表!$A$6:$A$125,$A38)</f>
        <v>0</v>
      </c>
      <c r="G38" s="27" t="n">
        <f aca="false">SUMIFS(其他研发费用!$F$4:$F$153,其他研发费用!$A$4:$A$153,$A38,其他研发费用!$B$4:$B$153,$B38,其他研发费用!$D$4:$D$153,"直接投入费用")</f>
        <v>0</v>
      </c>
      <c r="H38" s="27" t="n">
        <f aca="false">SUMIFS(其他研发费用!$F$4:$F$153,其他研发费用!$A$4:$A$153,$A38,其他研发费用!$B$4:$B$153,$B38,其他研发费用!$D$4:$D$153,"新产品设计费等")</f>
        <v>0</v>
      </c>
      <c r="I38" s="27" t="n">
        <f aca="false">SUMIFS(其他研发费用!$F$4:$F$153,其他研发费用!$A$4:$A$153,$A38,其他研发费用!$B$4:$B$153,$B38,其他研发费用!$D$4:$D$153,"其他相关费用")</f>
        <v>0</v>
      </c>
      <c r="J38" s="27" t="n">
        <f aca="false">SUMIFS(其他研发费用!$F$4:$F$153,其他研发费用!$A$4:$A$153,$A38,其他研发费用!$B$4:$B$153,$B38,其他研发费用!$D$4:$D$153,"委托外部研发费用")</f>
        <v>0</v>
      </c>
      <c r="K38" s="27" t="n">
        <f aca="false">ROUND(SUM(D38:J38),2)</f>
        <v>0</v>
      </c>
      <c r="L38" s="45" t="n">
        <f aca="false">SUMIFS(研发人员工时分配表!$I$6:$I$245,研发人员工时分配表!$A$6:$A$245,$A38)</f>
        <v>0</v>
      </c>
      <c r="M38" s="45" t="n">
        <f aca="false">SUMIFS(仪器设备工时分配表!$I$6:$I$245,仪器设备工时分配表!$A$6:$A$245,$A38)</f>
        <v>0</v>
      </c>
    </row>
    <row r="39" customFormat="false" ht="16.5" hidden="false" customHeight="true" outlineLevel="0" collapsed="false">
      <c r="A39" s="21" t="s">
        <v>95</v>
      </c>
      <c r="B39" s="43" t="str">
        <f aca="false">项目清单!$B$6</f>
        <v>RD03</v>
      </c>
      <c r="C39" s="48" t="str">
        <f aca="false">IF($B39="","",IFERROR(VLOOKUP($B39,项目清单!$B$4:$C$13,2,0)&amp;"",""))</f>
        <v>泡棉与PET基材无溶剂贴合工艺开发</v>
      </c>
      <c r="D39" s="27" t="n">
        <f aca="false">SUMIFS(研发人员工时费用分配表!$P$6:$P$245,研发人员工时费用分配表!$A$6:$A$245,$A39)</f>
        <v>0</v>
      </c>
      <c r="E39" s="27" t="n">
        <f aca="false">SUMIFS(仪器设备工时费用分配表!$L$6:$L$245,仪器设备工时费用分配表!$A$6:$A$245,$A39,仪器设备工时费用分配表!$D$6:$D$245,"设备")</f>
        <v>0</v>
      </c>
      <c r="F39" s="27" t="n">
        <f aca="false">SUMIFS(无形资产费用分配表!$L$6:$L$125,无形资产费用分配表!$A$6:$A$125,$A39)</f>
        <v>0</v>
      </c>
      <c r="G39" s="27" t="n">
        <f aca="false">SUMIFS(其他研发费用!$F$4:$F$153,其他研发费用!$A$4:$A$153,$A39,其他研发费用!$B$4:$B$153,$B39,其他研发费用!$D$4:$D$153,"直接投入费用")</f>
        <v>0</v>
      </c>
      <c r="H39" s="27" t="n">
        <f aca="false">SUMIFS(其他研发费用!$F$4:$F$153,其他研发费用!$A$4:$A$153,$A39,其他研发费用!$B$4:$B$153,$B39,其他研发费用!$D$4:$D$153,"新产品设计费等")</f>
        <v>0</v>
      </c>
      <c r="I39" s="27" t="n">
        <f aca="false">SUMIFS(其他研发费用!$F$4:$F$153,其他研发费用!$A$4:$A$153,$A39,其他研发费用!$B$4:$B$153,$B39,其他研发费用!$D$4:$D$153,"其他相关费用")</f>
        <v>0</v>
      </c>
      <c r="J39" s="27" t="n">
        <f aca="false">SUMIFS(其他研发费用!$F$4:$F$153,其他研发费用!$A$4:$A$153,$A39,其他研发费用!$B$4:$B$153,$B39,其他研发费用!$D$4:$D$153,"委托外部研发费用")</f>
        <v>0</v>
      </c>
      <c r="K39" s="27" t="n">
        <f aca="false">ROUND(SUM(D39:J39),2)</f>
        <v>0</v>
      </c>
      <c r="L39" s="45" t="n">
        <f aca="false">SUMIFS(研发人员工时分配表!$J$6:$J$245,研发人员工时分配表!$A$6:$A$245,$A39)</f>
        <v>0</v>
      </c>
      <c r="M39" s="45" t="n">
        <f aca="false">SUMIFS(仪器设备工时分配表!$J$6:$J$245,仪器设备工时分配表!$A$6:$A$245,$A39)</f>
        <v>0</v>
      </c>
    </row>
    <row r="40" customFormat="false" ht="16.5" hidden="false" customHeight="true" outlineLevel="0" collapsed="false">
      <c r="A40" s="21" t="s">
        <v>95</v>
      </c>
      <c r="B40" s="43" t="str">
        <f aca="false">项目清单!$B$7</f>
        <v>RD04</v>
      </c>
      <c r="C40" s="48" t="str">
        <f aca="false">IF($B40="","",IFERROR(VLOOKUP($B40,项目清单!$B$4:$C$13,2,0)&amp;"",""))</f>
        <v>超薄泡棉高精度分切及毛边控制技术研究</v>
      </c>
      <c r="D40" s="27" t="n">
        <f aca="false">SUMIFS(研发人员工时费用分配表!$Q$6:$Q$245,研发人员工时费用分配表!$A$6:$A$245,$A40)</f>
        <v>0</v>
      </c>
      <c r="E40" s="27" t="n">
        <f aca="false">SUMIFS(仪器设备工时费用分配表!$M$6:$M$245,仪器设备工时费用分配表!$A$6:$A$245,$A40,仪器设备工时费用分配表!$D$6:$D$245,"设备")</f>
        <v>0</v>
      </c>
      <c r="F40" s="27" t="n">
        <f aca="false">SUMIFS(无形资产费用分配表!$M$6:$M$125,无形资产费用分配表!$A$6:$A$125,$A40)</f>
        <v>0</v>
      </c>
      <c r="G40" s="27" t="n">
        <f aca="false">SUMIFS(其他研发费用!$F$4:$F$153,其他研发费用!$A$4:$A$153,$A40,其他研发费用!$B$4:$B$153,$B40,其他研发费用!$D$4:$D$153,"直接投入费用")</f>
        <v>0</v>
      </c>
      <c r="H40" s="27" t="n">
        <f aca="false">SUMIFS(其他研发费用!$F$4:$F$153,其他研发费用!$A$4:$A$153,$A40,其他研发费用!$B$4:$B$153,$B40,其他研发费用!$D$4:$D$153,"新产品设计费等")</f>
        <v>0</v>
      </c>
      <c r="I40" s="27" t="n">
        <f aca="false">SUMIFS(其他研发费用!$F$4:$F$153,其他研发费用!$A$4:$A$153,$A40,其他研发费用!$B$4:$B$153,$B40,其他研发费用!$D$4:$D$153,"其他相关费用")</f>
        <v>0</v>
      </c>
      <c r="J40" s="27" t="n">
        <f aca="false">SUMIFS(其他研发费用!$F$4:$F$153,其他研发费用!$A$4:$A$153,$A40,其他研发费用!$B$4:$B$153,$B40,其他研发费用!$D$4:$D$153,"委托外部研发费用")</f>
        <v>0</v>
      </c>
      <c r="K40" s="27" t="n">
        <f aca="false">ROUND(SUM(D40:J40),2)</f>
        <v>0</v>
      </c>
      <c r="L40" s="45" t="n">
        <f aca="false">SUMIFS(研发人员工时分配表!$K$6:$K$245,研发人员工时分配表!$A$6:$A$245,$A40)</f>
        <v>0</v>
      </c>
      <c r="M40" s="45" t="n">
        <f aca="false">SUMIFS(仪器设备工时分配表!$K$6:$K$245,仪器设备工时分配表!$A$6:$A$245,$A40)</f>
        <v>0</v>
      </c>
    </row>
    <row r="41" customFormat="false" ht="16.5" hidden="false" customHeight="true" outlineLevel="0" collapsed="false">
      <c r="A41" s="21" t="s">
        <v>95</v>
      </c>
      <c r="B41" s="43" t="str">
        <f aca="false">项目清单!$B$8</f>
        <v>RD05</v>
      </c>
      <c r="C41" s="48" t="str">
        <f aca="false">IF($B41="","",IFERROR(VLOOKUP($B41,项目清单!$B$4:$C$13,2,0)&amp;"",""))</f>
        <v>新能源汽车电池包用导热缓冲复合材料开发</v>
      </c>
      <c r="D41" s="27" t="n">
        <f aca="false">SUMIFS(研发人员工时费用分配表!$R$6:$R$245,研发人员工时费用分配表!$A$6:$A$245,$A41)</f>
        <v>0</v>
      </c>
      <c r="E41" s="27" t="n">
        <f aca="false">SUMIFS(仪器设备工时费用分配表!$N$6:$N$245,仪器设备工时费用分配表!$A$6:$A$245,$A41,仪器设备工时费用分配表!$D$6:$D$245,"设备")</f>
        <v>0</v>
      </c>
      <c r="F41" s="27" t="n">
        <f aca="false">SUMIFS(无形资产费用分配表!$N$6:$N$125,无形资产费用分配表!$A$6:$A$125,$A41)</f>
        <v>0</v>
      </c>
      <c r="G41" s="27" t="n">
        <f aca="false">SUMIFS(其他研发费用!$F$4:$F$153,其他研发费用!$A$4:$A$153,$A41,其他研发费用!$B$4:$B$153,$B41,其他研发费用!$D$4:$D$153,"直接投入费用")</f>
        <v>0</v>
      </c>
      <c r="H41" s="27" t="n">
        <f aca="false">SUMIFS(其他研发费用!$F$4:$F$153,其他研发费用!$A$4:$A$153,$A41,其他研发费用!$B$4:$B$153,$B41,其他研发费用!$D$4:$D$153,"新产品设计费等")</f>
        <v>0</v>
      </c>
      <c r="I41" s="27" t="n">
        <f aca="false">SUMIFS(其他研发费用!$F$4:$F$153,其他研发费用!$A$4:$A$153,$A41,其他研发费用!$B$4:$B$153,$B41,其他研发费用!$D$4:$D$153,"其他相关费用")</f>
        <v>0</v>
      </c>
      <c r="J41" s="27" t="n">
        <f aca="false">SUMIFS(其他研发费用!$F$4:$F$153,其他研发费用!$A$4:$A$153,$A41,其他研发费用!$B$4:$B$153,$B41,其他研发费用!$D$4:$D$153,"委托外部研发费用")</f>
        <v>0</v>
      </c>
      <c r="K41" s="27" t="n">
        <f aca="false">ROUND(SUM(D41:J41),2)</f>
        <v>0</v>
      </c>
      <c r="L41" s="45" t="n">
        <f aca="false">SUMIFS(研发人员工时分配表!$L$6:$L$245,研发人员工时分配表!$A$6:$A$245,$A41)</f>
        <v>0</v>
      </c>
      <c r="M41" s="45" t="n">
        <f aca="false">SUMIFS(仪器设备工时分配表!$L$6:$L$245,仪器设备工时分配表!$A$6:$A$245,$A41)</f>
        <v>0</v>
      </c>
    </row>
    <row r="42" customFormat="false" ht="16.5" hidden="false" customHeight="true" outlineLevel="0" collapsed="false">
      <c r="A42" s="21" t="s">
        <v>95</v>
      </c>
      <c r="B42" s="43" t="str">
        <f aca="false">项目清单!$B$9</f>
        <v>RD06</v>
      </c>
      <c r="C42" s="48" t="str">
        <f aca="false">IF($B42="","",IFERROR(VLOOKUP($B42,项目清单!$B$4:$C$13,2,0)&amp;"",""))</f>
        <v>3C电子用超薄黑色遮光泡棉制备技术</v>
      </c>
      <c r="D42" s="27" t="n">
        <f aca="false">SUMIFS(研发人员工时费用分配表!$S$6:$S$245,研发人员工时费用分配表!$A$6:$A$245,$A42)</f>
        <v>0</v>
      </c>
      <c r="E42" s="27" t="n">
        <f aca="false">SUMIFS(仪器设备工时费用分配表!$O$6:$O$245,仪器设备工时费用分配表!$A$6:$A$245,$A42,仪器设备工时费用分配表!$D$6:$D$245,"设备")</f>
        <v>0</v>
      </c>
      <c r="F42" s="27" t="n">
        <f aca="false">SUMIFS(无形资产费用分配表!$O$6:$O$125,无形资产费用分配表!$A$6:$A$125,$A42)</f>
        <v>0</v>
      </c>
      <c r="G42" s="27" t="n">
        <f aca="false">SUMIFS(其他研发费用!$F$4:$F$153,其他研发费用!$A$4:$A$153,$A42,其他研发费用!$B$4:$B$153,$B42,其他研发费用!$D$4:$D$153,"直接投入费用")</f>
        <v>0</v>
      </c>
      <c r="H42" s="27" t="n">
        <f aca="false">SUMIFS(其他研发费用!$F$4:$F$153,其他研发费用!$A$4:$A$153,$A42,其他研发费用!$B$4:$B$153,$B42,其他研发费用!$D$4:$D$153,"新产品设计费等")</f>
        <v>0</v>
      </c>
      <c r="I42" s="27" t="n">
        <f aca="false">SUMIFS(其他研发费用!$F$4:$F$153,其他研发费用!$A$4:$A$153,$A42,其他研发费用!$B$4:$B$153,$B42,其他研发费用!$D$4:$D$153,"其他相关费用")</f>
        <v>0</v>
      </c>
      <c r="J42" s="27" t="n">
        <f aca="false">SUMIFS(其他研发费用!$F$4:$F$153,其他研发费用!$A$4:$A$153,$A42,其他研发费用!$B$4:$B$153,$B42,其他研发费用!$D$4:$D$153,"委托外部研发费用")</f>
        <v>0</v>
      </c>
      <c r="K42" s="27" t="n">
        <f aca="false">ROUND(SUM(D42:J42),2)</f>
        <v>0</v>
      </c>
      <c r="L42" s="45" t="n">
        <f aca="false">SUMIFS(研发人员工时分配表!$M$6:$M$245,研发人员工时分配表!$A$6:$A$245,$A42)</f>
        <v>0</v>
      </c>
      <c r="M42" s="45" t="n">
        <f aca="false">SUMIFS(仪器设备工时分配表!$M$6:$M$245,仪器设备工时分配表!$A$6:$A$245,$A42)</f>
        <v>0</v>
      </c>
    </row>
    <row r="43" customFormat="false" ht="16.5" hidden="false" customHeight="true" outlineLevel="0" collapsed="false">
      <c r="A43" s="21" t="s">
        <v>95</v>
      </c>
      <c r="B43" s="43" t="str">
        <f aca="false">项目清单!$B$10</f>
        <v>RD07</v>
      </c>
      <c r="C43" s="48" t="str">
        <f aca="false">IF($B43="","",IFERROR(VLOOKUP($B43,项目清单!$B$4:$C$13,2,0)&amp;"",""))</f>
        <v>环保型水性胶泡棉贴合技术开发</v>
      </c>
      <c r="D43" s="27" t="n">
        <f aca="false">SUMIFS(研发人员工时费用分配表!$T$6:$T$245,研发人员工时费用分配表!$A$6:$A$245,$A43)</f>
        <v>0</v>
      </c>
      <c r="E43" s="27" t="n">
        <f aca="false">SUMIFS(仪器设备工时费用分配表!$P$6:$P$245,仪器设备工时费用分配表!$A$6:$A$245,$A43,仪器设备工时费用分配表!$D$6:$D$245,"设备")</f>
        <v>0</v>
      </c>
      <c r="F43" s="27" t="n">
        <f aca="false">SUMIFS(无形资产费用分配表!$P$6:$P$125,无形资产费用分配表!$A$6:$A$125,$A43)</f>
        <v>0</v>
      </c>
      <c r="G43" s="27" t="n">
        <f aca="false">SUMIFS(其他研发费用!$F$4:$F$153,其他研发费用!$A$4:$A$153,$A43,其他研发费用!$B$4:$B$153,$B43,其他研发费用!$D$4:$D$153,"直接投入费用")</f>
        <v>0</v>
      </c>
      <c r="H43" s="27" t="n">
        <f aca="false">SUMIFS(其他研发费用!$F$4:$F$153,其他研发费用!$A$4:$A$153,$A43,其他研发费用!$B$4:$B$153,$B43,其他研发费用!$D$4:$D$153,"新产品设计费等")</f>
        <v>0</v>
      </c>
      <c r="I43" s="27" t="n">
        <f aca="false">SUMIFS(其他研发费用!$F$4:$F$153,其他研发费用!$A$4:$A$153,$A43,其他研发费用!$B$4:$B$153,$B43,其他研发费用!$D$4:$D$153,"其他相关费用")</f>
        <v>0</v>
      </c>
      <c r="J43" s="27" t="n">
        <f aca="false">SUMIFS(其他研发费用!$F$4:$F$153,其他研发费用!$A$4:$A$153,$A43,其他研发费用!$B$4:$B$153,$B43,其他研发费用!$D$4:$D$153,"委托外部研发费用")</f>
        <v>0</v>
      </c>
      <c r="K43" s="27" t="n">
        <f aca="false">ROUND(SUM(D43:J43),2)</f>
        <v>0</v>
      </c>
      <c r="L43" s="45" t="n">
        <f aca="false">SUMIFS(研发人员工时分配表!$N$6:$N$245,研发人员工时分配表!$A$6:$A$245,$A43)</f>
        <v>0</v>
      </c>
      <c r="M43" s="45" t="n">
        <f aca="false">SUMIFS(仪器设备工时分配表!$N$6:$N$245,仪器设备工时分配表!$A$6:$A$245,$A43)</f>
        <v>0</v>
      </c>
    </row>
    <row r="44" customFormat="false" ht="16.5" hidden="false" customHeight="true" outlineLevel="0" collapsed="false">
      <c r="A44" s="21" t="s">
        <v>95</v>
      </c>
      <c r="B44" s="43" t="str">
        <f aca="false">项目清单!$B$11</f>
        <v>RD08</v>
      </c>
      <c r="C44" s="48" t="str">
        <f aca="false">IF($B44="","",IFERROR(VLOOKUP($B44,项目清单!$B$4:$C$13,2,0)&amp;"",""))</f>
        <v>泡棉模切自动化在线检测技术研究</v>
      </c>
      <c r="D44" s="27" t="n">
        <f aca="false">SUMIFS(研发人员工时费用分配表!$U$6:$U$245,研发人员工时费用分配表!$A$6:$A$245,$A44)</f>
        <v>0</v>
      </c>
      <c r="E44" s="27" t="n">
        <f aca="false">SUMIFS(仪器设备工时费用分配表!$Q$6:$Q$245,仪器设备工时费用分配表!$A$6:$A$245,$A44,仪器设备工时费用分配表!$D$6:$D$245,"设备")</f>
        <v>0</v>
      </c>
      <c r="F44" s="27" t="n">
        <f aca="false">SUMIFS(无形资产费用分配表!$Q$6:$Q$125,无形资产费用分配表!$A$6:$A$125,$A44)</f>
        <v>0</v>
      </c>
      <c r="G44" s="27" t="n">
        <f aca="false">SUMIFS(其他研发费用!$F$4:$F$153,其他研发费用!$A$4:$A$153,$A44,其他研发费用!$B$4:$B$153,$B44,其他研发费用!$D$4:$D$153,"直接投入费用")</f>
        <v>0</v>
      </c>
      <c r="H44" s="27" t="n">
        <f aca="false">SUMIFS(其他研发费用!$F$4:$F$153,其他研发费用!$A$4:$A$153,$A44,其他研发费用!$B$4:$B$153,$B44,其他研发费用!$D$4:$D$153,"新产品设计费等")</f>
        <v>0</v>
      </c>
      <c r="I44" s="27" t="n">
        <f aca="false">SUMIFS(其他研发费用!$F$4:$F$153,其他研发费用!$A$4:$A$153,$A44,其他研发费用!$B$4:$B$153,$B44,其他研发费用!$D$4:$D$153,"其他相关费用")</f>
        <v>0</v>
      </c>
      <c r="J44" s="27" t="n">
        <f aca="false">SUMIFS(其他研发费用!$F$4:$F$153,其他研发费用!$A$4:$A$153,$A44,其他研发费用!$B$4:$B$153,$B44,其他研发费用!$D$4:$D$153,"委托外部研发费用")</f>
        <v>0</v>
      </c>
      <c r="K44" s="27" t="n">
        <f aca="false">ROUND(SUM(D44:J44),2)</f>
        <v>0</v>
      </c>
      <c r="L44" s="45" t="n">
        <f aca="false">SUMIFS(研发人员工时分配表!$O$6:$O$245,研发人员工时分配表!$A$6:$A$245,$A44)</f>
        <v>0</v>
      </c>
      <c r="M44" s="45" t="n">
        <f aca="false">SUMIFS(仪器设备工时分配表!$O$6:$O$245,仪器设备工时分配表!$A$6:$A$245,$A44)</f>
        <v>0</v>
      </c>
    </row>
    <row r="45" customFormat="false" ht="16.5" hidden="false" customHeight="true" outlineLevel="0" collapsed="false">
      <c r="A45" s="21" t="s">
        <v>95</v>
      </c>
      <c r="B45" s="43" t="str">
        <f aca="false">项目清单!$B$12</f>
        <v>RD09</v>
      </c>
      <c r="C45" s="48" t="str">
        <f aca="false">IF($B45="","",IFERROR(VLOOKUP($B45,项目清单!$B$4:$C$13,2,0)&amp;"",""))</f>
        <v/>
      </c>
      <c r="D45" s="27" t="n">
        <f aca="false">SUMIFS(研发人员工时费用分配表!$V$6:$V$245,研发人员工时费用分配表!$A$6:$A$245,$A45)</f>
        <v>0</v>
      </c>
      <c r="E45" s="27" t="n">
        <f aca="false">SUMIFS(仪器设备工时费用分配表!$R$6:$R$245,仪器设备工时费用分配表!$A$6:$A$245,$A45,仪器设备工时费用分配表!$D$6:$D$245,"设备")</f>
        <v>0</v>
      </c>
      <c r="F45" s="27" t="n">
        <f aca="false">SUMIFS(无形资产费用分配表!$R$6:$R$125,无形资产费用分配表!$A$6:$A$125,$A45)</f>
        <v>0</v>
      </c>
      <c r="G45" s="27" t="n">
        <f aca="false">SUMIFS(其他研发费用!$F$4:$F$153,其他研发费用!$A$4:$A$153,$A45,其他研发费用!$B$4:$B$153,$B45,其他研发费用!$D$4:$D$153,"直接投入费用")</f>
        <v>0</v>
      </c>
      <c r="H45" s="27" t="n">
        <f aca="false">SUMIFS(其他研发费用!$F$4:$F$153,其他研发费用!$A$4:$A$153,$A45,其他研发费用!$B$4:$B$153,$B45,其他研发费用!$D$4:$D$153,"新产品设计费等")</f>
        <v>0</v>
      </c>
      <c r="I45" s="27" t="n">
        <f aca="false">SUMIFS(其他研发费用!$F$4:$F$153,其他研发费用!$A$4:$A$153,$A45,其他研发费用!$B$4:$B$153,$B45,其他研发费用!$D$4:$D$153,"其他相关费用")</f>
        <v>0</v>
      </c>
      <c r="J45" s="27" t="n">
        <f aca="false">SUMIFS(其他研发费用!$F$4:$F$153,其他研发费用!$A$4:$A$153,$A45,其他研发费用!$B$4:$B$153,$B45,其他研发费用!$D$4:$D$153,"委托外部研发费用")</f>
        <v>0</v>
      </c>
      <c r="K45" s="27" t="n">
        <f aca="false">ROUND(SUM(D45:J45),2)</f>
        <v>0</v>
      </c>
      <c r="L45" s="45" t="n">
        <f aca="false">SUMIFS(研发人员工时分配表!$P$6:$P$245,研发人员工时分配表!$A$6:$A$245,$A45)</f>
        <v>0</v>
      </c>
      <c r="M45" s="45" t="n">
        <f aca="false">SUMIFS(仪器设备工时分配表!$P$6:$P$245,仪器设备工时分配表!$A$6:$A$245,$A45)</f>
        <v>0</v>
      </c>
    </row>
    <row r="46" customFormat="false" ht="16.5" hidden="false" customHeight="true" outlineLevel="0" collapsed="false">
      <c r="A46" s="21" t="s">
        <v>95</v>
      </c>
      <c r="B46" s="43" t="str">
        <f aca="false">项目清单!$B$13</f>
        <v>RD10</v>
      </c>
      <c r="C46" s="48" t="str">
        <f aca="false">IF($B46="","",IFERROR(VLOOKUP($B46,项目清单!$B$4:$C$13,2,0)&amp;"",""))</f>
        <v/>
      </c>
      <c r="D46" s="27" t="n">
        <f aca="false">SUMIFS(研发人员工时费用分配表!$W$6:$W$245,研发人员工时费用分配表!$A$6:$A$245,$A46)</f>
        <v>0</v>
      </c>
      <c r="E46" s="27" t="n">
        <f aca="false">SUMIFS(仪器设备工时费用分配表!$S$6:$S$245,仪器设备工时费用分配表!$A$6:$A$245,$A46,仪器设备工时费用分配表!$D$6:$D$245,"设备")</f>
        <v>0</v>
      </c>
      <c r="F46" s="27" t="n">
        <f aca="false">SUMIFS(无形资产费用分配表!$S$6:$S$125,无形资产费用分配表!$A$6:$A$125,$A46)</f>
        <v>0</v>
      </c>
      <c r="G46" s="27" t="n">
        <f aca="false">SUMIFS(其他研发费用!$F$4:$F$153,其他研发费用!$A$4:$A$153,$A46,其他研发费用!$B$4:$B$153,$B46,其他研发费用!$D$4:$D$153,"直接投入费用")</f>
        <v>0</v>
      </c>
      <c r="H46" s="27" t="n">
        <f aca="false">SUMIFS(其他研发费用!$F$4:$F$153,其他研发费用!$A$4:$A$153,$A46,其他研发费用!$B$4:$B$153,$B46,其他研发费用!$D$4:$D$153,"新产品设计费等")</f>
        <v>0</v>
      </c>
      <c r="I46" s="27" t="n">
        <f aca="false">SUMIFS(其他研发费用!$F$4:$F$153,其他研发费用!$A$4:$A$153,$A46,其他研发费用!$B$4:$B$153,$B46,其他研发费用!$D$4:$D$153,"其他相关费用")</f>
        <v>0</v>
      </c>
      <c r="J46" s="27" t="n">
        <f aca="false">SUMIFS(其他研发费用!$F$4:$F$153,其他研发费用!$A$4:$A$153,$A46,其他研发费用!$B$4:$B$153,$B46,其他研发费用!$D$4:$D$153,"委托外部研发费用")</f>
        <v>0</v>
      </c>
      <c r="K46" s="27" t="n">
        <f aca="false">ROUND(SUM(D46:J46),2)</f>
        <v>0</v>
      </c>
      <c r="L46" s="45" t="n">
        <f aca="false">SUMIFS(研发人员工时分配表!$Q$6:$Q$245,研发人员工时分配表!$A$6:$A$245,$A46)</f>
        <v>0</v>
      </c>
      <c r="M46" s="45" t="n">
        <f aca="false">SUMIFS(仪器设备工时分配表!$Q$6:$Q$245,仪器设备工时分配表!$A$6:$A$245,$A46)</f>
        <v>0</v>
      </c>
    </row>
    <row r="47" customFormat="false" ht="18" hidden="false" customHeight="true" outlineLevel="0" collapsed="false">
      <c r="A47" s="50" t="s">
        <v>95</v>
      </c>
      <c r="B47" s="30"/>
      <c r="C47" s="30" t="s">
        <v>295</v>
      </c>
      <c r="D47" s="31" t="n">
        <f aca="false">ROUND(SUM(D37:D46),2)</f>
        <v>0</v>
      </c>
      <c r="E47" s="31" t="n">
        <f aca="false">ROUND(SUM(E37:E46),2)</f>
        <v>0</v>
      </c>
      <c r="F47" s="31" t="n">
        <f aca="false">ROUND(SUM(F37:F46),2)</f>
        <v>0</v>
      </c>
      <c r="G47" s="31" t="n">
        <f aca="false">ROUND(SUM(G37:G46),2)</f>
        <v>0</v>
      </c>
      <c r="H47" s="31" t="n">
        <f aca="false">ROUND(SUM(H37:H46),2)</f>
        <v>0</v>
      </c>
      <c r="I47" s="31" t="n">
        <f aca="false">ROUND(SUM(I37:I46),2)</f>
        <v>0</v>
      </c>
      <c r="J47" s="31" t="n">
        <f aca="false">ROUND(SUM(J37:J46),2)</f>
        <v>0</v>
      </c>
      <c r="K47" s="31" t="n">
        <f aca="false">ROUND(SUM(K37:K46),2)</f>
        <v>0</v>
      </c>
      <c r="L47" s="51" t="n">
        <f aca="false">ROUND(SUM(L37:L46),2)</f>
        <v>0</v>
      </c>
      <c r="M47" s="51" t="n">
        <f aca="false">ROUND(SUM(M37:M46),2)</f>
        <v>0</v>
      </c>
    </row>
    <row r="48" customFormat="false" ht="16.5" hidden="false" customHeight="true" outlineLevel="0" collapsed="false">
      <c r="A48" s="21" t="s">
        <v>96</v>
      </c>
      <c r="B48" s="43" t="str">
        <f aca="false">项目清单!$B$4</f>
        <v>RD01</v>
      </c>
      <c r="C48" s="48" t="str">
        <f aca="false">IF($B48="","",IFERROR(VLOOKUP($B48,项目清单!$B$4:$C$13,2,0)&amp;"",""))</f>
        <v>高回弹低压缩永久变形3C用聚氨酯泡棉开发</v>
      </c>
      <c r="D48" s="27" t="n">
        <f aca="false">SUMIFS(研发人员工时费用分配表!$N$6:$N$245,研发人员工时费用分配表!$A$6:$A$245,$A48)</f>
        <v>0</v>
      </c>
      <c r="E48" s="27" t="n">
        <f aca="false">SUMIFS(仪器设备工时费用分配表!$J$6:$J$245,仪器设备工时费用分配表!$A$6:$A$245,$A48,仪器设备工时费用分配表!$D$6:$D$245,"设备")</f>
        <v>0</v>
      </c>
      <c r="F48" s="27" t="n">
        <f aca="false">SUMIFS(无形资产费用分配表!$J$6:$J$125,无形资产费用分配表!$A$6:$A$125,$A48)</f>
        <v>0</v>
      </c>
      <c r="G48" s="27" t="n">
        <f aca="false">SUMIFS(其他研发费用!$F$4:$F$153,其他研发费用!$A$4:$A$153,$A48,其他研发费用!$B$4:$B$153,$B48,其他研发费用!$D$4:$D$153,"直接投入费用")</f>
        <v>0</v>
      </c>
      <c r="H48" s="27" t="n">
        <f aca="false">SUMIFS(其他研发费用!$F$4:$F$153,其他研发费用!$A$4:$A$153,$A48,其他研发费用!$B$4:$B$153,$B48,其他研发费用!$D$4:$D$153,"新产品设计费等")</f>
        <v>0</v>
      </c>
      <c r="I48" s="27" t="n">
        <f aca="false">SUMIFS(其他研发费用!$F$4:$F$153,其他研发费用!$A$4:$A$153,$A48,其他研发费用!$B$4:$B$153,$B48,其他研发费用!$D$4:$D$153,"其他相关费用")</f>
        <v>0</v>
      </c>
      <c r="J48" s="27" t="n">
        <f aca="false">SUMIFS(其他研发费用!$F$4:$F$153,其他研发费用!$A$4:$A$153,$A48,其他研发费用!$B$4:$B$153,$B48,其他研发费用!$D$4:$D$153,"委托外部研发费用")</f>
        <v>0</v>
      </c>
      <c r="K48" s="27" t="n">
        <f aca="false">ROUND(SUM(D48:J48),2)</f>
        <v>0</v>
      </c>
      <c r="L48" s="45" t="n">
        <f aca="false">SUMIFS(研发人员工时分配表!$H$6:$H$245,研发人员工时分配表!$A$6:$A$245,$A48)</f>
        <v>0</v>
      </c>
      <c r="M48" s="45" t="n">
        <f aca="false">SUMIFS(仪器设备工时分配表!$H$6:$H$245,仪器设备工时分配表!$A$6:$A$245,$A48)</f>
        <v>0</v>
      </c>
    </row>
    <row r="49" customFormat="false" ht="16.5" hidden="false" customHeight="true" outlineLevel="0" collapsed="false">
      <c r="A49" s="21" t="s">
        <v>96</v>
      </c>
      <c r="B49" s="43" t="str">
        <f aca="false">项目清单!$B$5</f>
        <v>RD02</v>
      </c>
      <c r="C49" s="48" t="str">
        <f aca="false">IF($B49="","",IFERROR(VLOOKUP($B49,项目清单!$B$4:$C$13,2,0)&amp;"",""))</f>
        <v>动力电池模组用高阻燃缓冲泡棉研发</v>
      </c>
      <c r="D49" s="27" t="n">
        <f aca="false">SUMIFS(研发人员工时费用分配表!$O$6:$O$245,研发人员工时费用分配表!$A$6:$A$245,$A49)</f>
        <v>0</v>
      </c>
      <c r="E49" s="27" t="n">
        <f aca="false">SUMIFS(仪器设备工时费用分配表!$K$6:$K$245,仪器设备工时费用分配表!$A$6:$A$245,$A49,仪器设备工时费用分配表!$D$6:$D$245,"设备")</f>
        <v>0</v>
      </c>
      <c r="F49" s="27" t="n">
        <f aca="false">SUMIFS(无形资产费用分配表!$K$6:$K$125,无形资产费用分配表!$A$6:$A$125,$A49)</f>
        <v>0</v>
      </c>
      <c r="G49" s="27" t="n">
        <f aca="false">SUMIFS(其他研发费用!$F$4:$F$153,其他研发费用!$A$4:$A$153,$A49,其他研发费用!$B$4:$B$153,$B49,其他研发费用!$D$4:$D$153,"直接投入费用")</f>
        <v>0</v>
      </c>
      <c r="H49" s="27" t="n">
        <f aca="false">SUMIFS(其他研发费用!$F$4:$F$153,其他研发费用!$A$4:$A$153,$A49,其他研发费用!$B$4:$B$153,$B49,其他研发费用!$D$4:$D$153,"新产品设计费等")</f>
        <v>0</v>
      </c>
      <c r="I49" s="27" t="n">
        <f aca="false">SUMIFS(其他研发费用!$F$4:$F$153,其他研发费用!$A$4:$A$153,$A49,其他研发费用!$B$4:$B$153,$B49,其他研发费用!$D$4:$D$153,"其他相关费用")</f>
        <v>0</v>
      </c>
      <c r="J49" s="27" t="n">
        <f aca="false">SUMIFS(其他研发费用!$F$4:$F$153,其他研发费用!$A$4:$A$153,$A49,其他研发费用!$B$4:$B$153,$B49,其他研发费用!$D$4:$D$153,"委托外部研发费用")</f>
        <v>0</v>
      </c>
      <c r="K49" s="27" t="n">
        <f aca="false">ROUND(SUM(D49:J49),2)</f>
        <v>0</v>
      </c>
      <c r="L49" s="45" t="n">
        <f aca="false">SUMIFS(研发人员工时分配表!$I$6:$I$245,研发人员工时分配表!$A$6:$A$245,$A49)</f>
        <v>0</v>
      </c>
      <c r="M49" s="45" t="n">
        <f aca="false">SUMIFS(仪器设备工时分配表!$I$6:$I$245,仪器设备工时分配表!$A$6:$A$245,$A49)</f>
        <v>0</v>
      </c>
    </row>
    <row r="50" customFormat="false" ht="16.5" hidden="false" customHeight="true" outlineLevel="0" collapsed="false">
      <c r="A50" s="21" t="s">
        <v>96</v>
      </c>
      <c r="B50" s="43" t="str">
        <f aca="false">项目清单!$B$6</f>
        <v>RD03</v>
      </c>
      <c r="C50" s="48" t="str">
        <f aca="false">IF($B50="","",IFERROR(VLOOKUP($B50,项目清单!$B$4:$C$13,2,0)&amp;"",""))</f>
        <v>泡棉与PET基材无溶剂贴合工艺开发</v>
      </c>
      <c r="D50" s="27" t="n">
        <f aca="false">SUMIFS(研发人员工时费用分配表!$P$6:$P$245,研发人员工时费用分配表!$A$6:$A$245,$A50)</f>
        <v>0</v>
      </c>
      <c r="E50" s="27" t="n">
        <f aca="false">SUMIFS(仪器设备工时费用分配表!$L$6:$L$245,仪器设备工时费用分配表!$A$6:$A$245,$A50,仪器设备工时费用分配表!$D$6:$D$245,"设备")</f>
        <v>0</v>
      </c>
      <c r="F50" s="27" t="n">
        <f aca="false">SUMIFS(无形资产费用分配表!$L$6:$L$125,无形资产费用分配表!$A$6:$A$125,$A50)</f>
        <v>0</v>
      </c>
      <c r="G50" s="27" t="n">
        <f aca="false">SUMIFS(其他研发费用!$F$4:$F$153,其他研发费用!$A$4:$A$153,$A50,其他研发费用!$B$4:$B$153,$B50,其他研发费用!$D$4:$D$153,"直接投入费用")</f>
        <v>0</v>
      </c>
      <c r="H50" s="27" t="n">
        <f aca="false">SUMIFS(其他研发费用!$F$4:$F$153,其他研发费用!$A$4:$A$153,$A50,其他研发费用!$B$4:$B$153,$B50,其他研发费用!$D$4:$D$153,"新产品设计费等")</f>
        <v>0</v>
      </c>
      <c r="I50" s="27" t="n">
        <f aca="false">SUMIFS(其他研发费用!$F$4:$F$153,其他研发费用!$A$4:$A$153,$A50,其他研发费用!$B$4:$B$153,$B50,其他研发费用!$D$4:$D$153,"其他相关费用")</f>
        <v>0</v>
      </c>
      <c r="J50" s="27" t="n">
        <f aca="false">SUMIFS(其他研发费用!$F$4:$F$153,其他研发费用!$A$4:$A$153,$A50,其他研发费用!$B$4:$B$153,$B50,其他研发费用!$D$4:$D$153,"委托外部研发费用")</f>
        <v>0</v>
      </c>
      <c r="K50" s="27" t="n">
        <f aca="false">ROUND(SUM(D50:J50),2)</f>
        <v>0</v>
      </c>
      <c r="L50" s="45" t="n">
        <f aca="false">SUMIFS(研发人员工时分配表!$J$6:$J$245,研发人员工时分配表!$A$6:$A$245,$A50)</f>
        <v>0</v>
      </c>
      <c r="M50" s="45" t="n">
        <f aca="false">SUMIFS(仪器设备工时分配表!$J$6:$J$245,仪器设备工时分配表!$A$6:$A$245,$A50)</f>
        <v>0</v>
      </c>
    </row>
    <row r="51" customFormat="false" ht="16.5" hidden="false" customHeight="true" outlineLevel="0" collapsed="false">
      <c r="A51" s="21" t="s">
        <v>96</v>
      </c>
      <c r="B51" s="43" t="str">
        <f aca="false">项目清单!$B$7</f>
        <v>RD04</v>
      </c>
      <c r="C51" s="48" t="str">
        <f aca="false">IF($B51="","",IFERROR(VLOOKUP($B51,项目清单!$B$4:$C$13,2,0)&amp;"",""))</f>
        <v>超薄泡棉高精度分切及毛边控制技术研究</v>
      </c>
      <c r="D51" s="27" t="n">
        <f aca="false">SUMIFS(研发人员工时费用分配表!$Q$6:$Q$245,研发人员工时费用分配表!$A$6:$A$245,$A51)</f>
        <v>0</v>
      </c>
      <c r="E51" s="27" t="n">
        <f aca="false">SUMIFS(仪器设备工时费用分配表!$M$6:$M$245,仪器设备工时费用分配表!$A$6:$A$245,$A51,仪器设备工时费用分配表!$D$6:$D$245,"设备")</f>
        <v>0</v>
      </c>
      <c r="F51" s="27" t="n">
        <f aca="false">SUMIFS(无形资产费用分配表!$M$6:$M$125,无形资产费用分配表!$A$6:$A$125,$A51)</f>
        <v>0</v>
      </c>
      <c r="G51" s="27" t="n">
        <f aca="false">SUMIFS(其他研发费用!$F$4:$F$153,其他研发费用!$A$4:$A$153,$A51,其他研发费用!$B$4:$B$153,$B51,其他研发费用!$D$4:$D$153,"直接投入费用")</f>
        <v>0</v>
      </c>
      <c r="H51" s="27" t="n">
        <f aca="false">SUMIFS(其他研发费用!$F$4:$F$153,其他研发费用!$A$4:$A$153,$A51,其他研发费用!$B$4:$B$153,$B51,其他研发费用!$D$4:$D$153,"新产品设计费等")</f>
        <v>0</v>
      </c>
      <c r="I51" s="27" t="n">
        <f aca="false">SUMIFS(其他研发费用!$F$4:$F$153,其他研发费用!$A$4:$A$153,$A51,其他研发费用!$B$4:$B$153,$B51,其他研发费用!$D$4:$D$153,"其他相关费用")</f>
        <v>0</v>
      </c>
      <c r="J51" s="27" t="n">
        <f aca="false">SUMIFS(其他研发费用!$F$4:$F$153,其他研发费用!$A$4:$A$153,$A51,其他研发费用!$B$4:$B$153,$B51,其他研发费用!$D$4:$D$153,"委托外部研发费用")</f>
        <v>0</v>
      </c>
      <c r="K51" s="27" t="n">
        <f aca="false">ROUND(SUM(D51:J51),2)</f>
        <v>0</v>
      </c>
      <c r="L51" s="45" t="n">
        <f aca="false">SUMIFS(研发人员工时分配表!$K$6:$K$245,研发人员工时分配表!$A$6:$A$245,$A51)</f>
        <v>0</v>
      </c>
      <c r="M51" s="45" t="n">
        <f aca="false">SUMIFS(仪器设备工时分配表!$K$6:$K$245,仪器设备工时分配表!$A$6:$A$245,$A51)</f>
        <v>0</v>
      </c>
    </row>
    <row r="52" customFormat="false" ht="16.5" hidden="false" customHeight="true" outlineLevel="0" collapsed="false">
      <c r="A52" s="21" t="s">
        <v>96</v>
      </c>
      <c r="B52" s="43" t="str">
        <f aca="false">项目清单!$B$8</f>
        <v>RD05</v>
      </c>
      <c r="C52" s="48" t="str">
        <f aca="false">IF($B52="","",IFERROR(VLOOKUP($B52,项目清单!$B$4:$C$13,2,0)&amp;"",""))</f>
        <v>新能源汽车电池包用导热缓冲复合材料开发</v>
      </c>
      <c r="D52" s="27" t="n">
        <f aca="false">SUMIFS(研发人员工时费用分配表!$R$6:$R$245,研发人员工时费用分配表!$A$6:$A$245,$A52)</f>
        <v>0</v>
      </c>
      <c r="E52" s="27" t="n">
        <f aca="false">SUMIFS(仪器设备工时费用分配表!$N$6:$N$245,仪器设备工时费用分配表!$A$6:$A$245,$A52,仪器设备工时费用分配表!$D$6:$D$245,"设备")</f>
        <v>0</v>
      </c>
      <c r="F52" s="27" t="n">
        <f aca="false">SUMIFS(无形资产费用分配表!$N$6:$N$125,无形资产费用分配表!$A$6:$A$125,$A52)</f>
        <v>0</v>
      </c>
      <c r="G52" s="27" t="n">
        <f aca="false">SUMIFS(其他研发费用!$F$4:$F$153,其他研发费用!$A$4:$A$153,$A52,其他研发费用!$B$4:$B$153,$B52,其他研发费用!$D$4:$D$153,"直接投入费用")</f>
        <v>0</v>
      </c>
      <c r="H52" s="27" t="n">
        <f aca="false">SUMIFS(其他研发费用!$F$4:$F$153,其他研发费用!$A$4:$A$153,$A52,其他研发费用!$B$4:$B$153,$B52,其他研发费用!$D$4:$D$153,"新产品设计费等")</f>
        <v>0</v>
      </c>
      <c r="I52" s="27" t="n">
        <f aca="false">SUMIFS(其他研发费用!$F$4:$F$153,其他研发费用!$A$4:$A$153,$A52,其他研发费用!$B$4:$B$153,$B52,其他研发费用!$D$4:$D$153,"其他相关费用")</f>
        <v>0</v>
      </c>
      <c r="J52" s="27" t="n">
        <f aca="false">SUMIFS(其他研发费用!$F$4:$F$153,其他研发费用!$A$4:$A$153,$A52,其他研发费用!$B$4:$B$153,$B52,其他研发费用!$D$4:$D$153,"委托外部研发费用")</f>
        <v>0</v>
      </c>
      <c r="K52" s="27" t="n">
        <f aca="false">ROUND(SUM(D52:J52),2)</f>
        <v>0</v>
      </c>
      <c r="L52" s="45" t="n">
        <f aca="false">SUMIFS(研发人员工时分配表!$L$6:$L$245,研发人员工时分配表!$A$6:$A$245,$A52)</f>
        <v>0</v>
      </c>
      <c r="M52" s="45" t="n">
        <f aca="false">SUMIFS(仪器设备工时分配表!$L$6:$L$245,仪器设备工时分配表!$A$6:$A$245,$A52)</f>
        <v>0</v>
      </c>
    </row>
    <row r="53" customFormat="false" ht="16.5" hidden="false" customHeight="true" outlineLevel="0" collapsed="false">
      <c r="A53" s="21" t="s">
        <v>96</v>
      </c>
      <c r="B53" s="43" t="str">
        <f aca="false">项目清单!$B$9</f>
        <v>RD06</v>
      </c>
      <c r="C53" s="48" t="str">
        <f aca="false">IF($B53="","",IFERROR(VLOOKUP($B53,项目清单!$B$4:$C$13,2,0)&amp;"",""))</f>
        <v>3C电子用超薄黑色遮光泡棉制备技术</v>
      </c>
      <c r="D53" s="27" t="n">
        <f aca="false">SUMIFS(研发人员工时费用分配表!$S$6:$S$245,研发人员工时费用分配表!$A$6:$A$245,$A53)</f>
        <v>0</v>
      </c>
      <c r="E53" s="27" t="n">
        <f aca="false">SUMIFS(仪器设备工时费用分配表!$O$6:$O$245,仪器设备工时费用分配表!$A$6:$A$245,$A53,仪器设备工时费用分配表!$D$6:$D$245,"设备")</f>
        <v>0</v>
      </c>
      <c r="F53" s="27" t="n">
        <f aca="false">SUMIFS(无形资产费用分配表!$O$6:$O$125,无形资产费用分配表!$A$6:$A$125,$A53)</f>
        <v>0</v>
      </c>
      <c r="G53" s="27" t="n">
        <f aca="false">SUMIFS(其他研发费用!$F$4:$F$153,其他研发费用!$A$4:$A$153,$A53,其他研发费用!$B$4:$B$153,$B53,其他研发费用!$D$4:$D$153,"直接投入费用")</f>
        <v>0</v>
      </c>
      <c r="H53" s="27" t="n">
        <f aca="false">SUMIFS(其他研发费用!$F$4:$F$153,其他研发费用!$A$4:$A$153,$A53,其他研发费用!$B$4:$B$153,$B53,其他研发费用!$D$4:$D$153,"新产品设计费等")</f>
        <v>0</v>
      </c>
      <c r="I53" s="27" t="n">
        <f aca="false">SUMIFS(其他研发费用!$F$4:$F$153,其他研发费用!$A$4:$A$153,$A53,其他研发费用!$B$4:$B$153,$B53,其他研发费用!$D$4:$D$153,"其他相关费用")</f>
        <v>0</v>
      </c>
      <c r="J53" s="27" t="n">
        <f aca="false">SUMIFS(其他研发费用!$F$4:$F$153,其他研发费用!$A$4:$A$153,$A53,其他研发费用!$B$4:$B$153,$B53,其他研发费用!$D$4:$D$153,"委托外部研发费用")</f>
        <v>0</v>
      </c>
      <c r="K53" s="27" t="n">
        <f aca="false">ROUND(SUM(D53:J53),2)</f>
        <v>0</v>
      </c>
      <c r="L53" s="45" t="n">
        <f aca="false">SUMIFS(研发人员工时分配表!$M$6:$M$245,研发人员工时分配表!$A$6:$A$245,$A53)</f>
        <v>0</v>
      </c>
      <c r="M53" s="45" t="n">
        <f aca="false">SUMIFS(仪器设备工时分配表!$M$6:$M$245,仪器设备工时分配表!$A$6:$A$245,$A53)</f>
        <v>0</v>
      </c>
    </row>
    <row r="54" customFormat="false" ht="16.5" hidden="false" customHeight="true" outlineLevel="0" collapsed="false">
      <c r="A54" s="21" t="s">
        <v>96</v>
      </c>
      <c r="B54" s="43" t="str">
        <f aca="false">项目清单!$B$10</f>
        <v>RD07</v>
      </c>
      <c r="C54" s="48" t="str">
        <f aca="false">IF($B54="","",IFERROR(VLOOKUP($B54,项目清单!$B$4:$C$13,2,0)&amp;"",""))</f>
        <v>环保型水性胶泡棉贴合技术开发</v>
      </c>
      <c r="D54" s="27" t="n">
        <f aca="false">SUMIFS(研发人员工时费用分配表!$T$6:$T$245,研发人员工时费用分配表!$A$6:$A$245,$A54)</f>
        <v>0</v>
      </c>
      <c r="E54" s="27" t="n">
        <f aca="false">SUMIFS(仪器设备工时费用分配表!$P$6:$P$245,仪器设备工时费用分配表!$A$6:$A$245,$A54,仪器设备工时费用分配表!$D$6:$D$245,"设备")</f>
        <v>0</v>
      </c>
      <c r="F54" s="27" t="n">
        <f aca="false">SUMIFS(无形资产费用分配表!$P$6:$P$125,无形资产费用分配表!$A$6:$A$125,$A54)</f>
        <v>0</v>
      </c>
      <c r="G54" s="27" t="n">
        <f aca="false">SUMIFS(其他研发费用!$F$4:$F$153,其他研发费用!$A$4:$A$153,$A54,其他研发费用!$B$4:$B$153,$B54,其他研发费用!$D$4:$D$153,"直接投入费用")</f>
        <v>0</v>
      </c>
      <c r="H54" s="27" t="n">
        <f aca="false">SUMIFS(其他研发费用!$F$4:$F$153,其他研发费用!$A$4:$A$153,$A54,其他研发费用!$B$4:$B$153,$B54,其他研发费用!$D$4:$D$153,"新产品设计费等")</f>
        <v>0</v>
      </c>
      <c r="I54" s="27" t="n">
        <f aca="false">SUMIFS(其他研发费用!$F$4:$F$153,其他研发费用!$A$4:$A$153,$A54,其他研发费用!$B$4:$B$153,$B54,其他研发费用!$D$4:$D$153,"其他相关费用")</f>
        <v>0</v>
      </c>
      <c r="J54" s="27" t="n">
        <f aca="false">SUMIFS(其他研发费用!$F$4:$F$153,其他研发费用!$A$4:$A$153,$A54,其他研发费用!$B$4:$B$153,$B54,其他研发费用!$D$4:$D$153,"委托外部研发费用")</f>
        <v>0</v>
      </c>
      <c r="K54" s="27" t="n">
        <f aca="false">ROUND(SUM(D54:J54),2)</f>
        <v>0</v>
      </c>
      <c r="L54" s="45" t="n">
        <f aca="false">SUMIFS(研发人员工时分配表!$N$6:$N$245,研发人员工时分配表!$A$6:$A$245,$A54)</f>
        <v>0</v>
      </c>
      <c r="M54" s="45" t="n">
        <f aca="false">SUMIFS(仪器设备工时分配表!$N$6:$N$245,仪器设备工时分配表!$A$6:$A$245,$A54)</f>
        <v>0</v>
      </c>
    </row>
    <row r="55" customFormat="false" ht="16.5" hidden="false" customHeight="true" outlineLevel="0" collapsed="false">
      <c r="A55" s="21" t="s">
        <v>96</v>
      </c>
      <c r="B55" s="43" t="str">
        <f aca="false">项目清单!$B$11</f>
        <v>RD08</v>
      </c>
      <c r="C55" s="48" t="str">
        <f aca="false">IF($B55="","",IFERROR(VLOOKUP($B55,项目清单!$B$4:$C$13,2,0)&amp;"",""))</f>
        <v>泡棉模切自动化在线检测技术研究</v>
      </c>
      <c r="D55" s="27" t="n">
        <f aca="false">SUMIFS(研发人员工时费用分配表!$U$6:$U$245,研发人员工时费用分配表!$A$6:$A$245,$A55)</f>
        <v>0</v>
      </c>
      <c r="E55" s="27" t="n">
        <f aca="false">SUMIFS(仪器设备工时费用分配表!$Q$6:$Q$245,仪器设备工时费用分配表!$A$6:$A$245,$A55,仪器设备工时费用分配表!$D$6:$D$245,"设备")</f>
        <v>0</v>
      </c>
      <c r="F55" s="27" t="n">
        <f aca="false">SUMIFS(无形资产费用分配表!$Q$6:$Q$125,无形资产费用分配表!$A$6:$A$125,$A55)</f>
        <v>0</v>
      </c>
      <c r="G55" s="27" t="n">
        <f aca="false">SUMIFS(其他研发费用!$F$4:$F$153,其他研发费用!$A$4:$A$153,$A55,其他研发费用!$B$4:$B$153,$B55,其他研发费用!$D$4:$D$153,"直接投入费用")</f>
        <v>0</v>
      </c>
      <c r="H55" s="27" t="n">
        <f aca="false">SUMIFS(其他研发费用!$F$4:$F$153,其他研发费用!$A$4:$A$153,$A55,其他研发费用!$B$4:$B$153,$B55,其他研发费用!$D$4:$D$153,"新产品设计费等")</f>
        <v>0</v>
      </c>
      <c r="I55" s="27" t="n">
        <f aca="false">SUMIFS(其他研发费用!$F$4:$F$153,其他研发费用!$A$4:$A$153,$A55,其他研发费用!$B$4:$B$153,$B55,其他研发费用!$D$4:$D$153,"其他相关费用")</f>
        <v>0</v>
      </c>
      <c r="J55" s="27" t="n">
        <f aca="false">SUMIFS(其他研发费用!$F$4:$F$153,其他研发费用!$A$4:$A$153,$A55,其他研发费用!$B$4:$B$153,$B55,其他研发费用!$D$4:$D$153,"委托外部研发费用")</f>
        <v>0</v>
      </c>
      <c r="K55" s="27" t="n">
        <f aca="false">ROUND(SUM(D55:J55),2)</f>
        <v>0</v>
      </c>
      <c r="L55" s="45" t="n">
        <f aca="false">SUMIFS(研发人员工时分配表!$O$6:$O$245,研发人员工时分配表!$A$6:$A$245,$A55)</f>
        <v>0</v>
      </c>
      <c r="M55" s="45" t="n">
        <f aca="false">SUMIFS(仪器设备工时分配表!$O$6:$O$245,仪器设备工时分配表!$A$6:$A$245,$A55)</f>
        <v>0</v>
      </c>
    </row>
    <row r="56" customFormat="false" ht="16.5" hidden="false" customHeight="true" outlineLevel="0" collapsed="false">
      <c r="A56" s="21" t="s">
        <v>96</v>
      </c>
      <c r="B56" s="43" t="str">
        <f aca="false">项目清单!$B$12</f>
        <v>RD09</v>
      </c>
      <c r="C56" s="48" t="str">
        <f aca="false">IF($B56="","",IFERROR(VLOOKUP($B56,项目清单!$B$4:$C$13,2,0)&amp;"",""))</f>
        <v/>
      </c>
      <c r="D56" s="27" t="n">
        <f aca="false">SUMIFS(研发人员工时费用分配表!$V$6:$V$245,研发人员工时费用分配表!$A$6:$A$245,$A56)</f>
        <v>0</v>
      </c>
      <c r="E56" s="27" t="n">
        <f aca="false">SUMIFS(仪器设备工时费用分配表!$R$6:$R$245,仪器设备工时费用分配表!$A$6:$A$245,$A56,仪器设备工时费用分配表!$D$6:$D$245,"设备")</f>
        <v>0</v>
      </c>
      <c r="F56" s="27" t="n">
        <f aca="false">SUMIFS(无形资产费用分配表!$R$6:$R$125,无形资产费用分配表!$A$6:$A$125,$A56)</f>
        <v>0</v>
      </c>
      <c r="G56" s="27" t="n">
        <f aca="false">SUMIFS(其他研发费用!$F$4:$F$153,其他研发费用!$A$4:$A$153,$A56,其他研发费用!$B$4:$B$153,$B56,其他研发费用!$D$4:$D$153,"直接投入费用")</f>
        <v>0</v>
      </c>
      <c r="H56" s="27" t="n">
        <f aca="false">SUMIFS(其他研发费用!$F$4:$F$153,其他研发费用!$A$4:$A$153,$A56,其他研发费用!$B$4:$B$153,$B56,其他研发费用!$D$4:$D$153,"新产品设计费等")</f>
        <v>0</v>
      </c>
      <c r="I56" s="27" t="n">
        <f aca="false">SUMIFS(其他研发费用!$F$4:$F$153,其他研发费用!$A$4:$A$153,$A56,其他研发费用!$B$4:$B$153,$B56,其他研发费用!$D$4:$D$153,"其他相关费用")</f>
        <v>0</v>
      </c>
      <c r="J56" s="27" t="n">
        <f aca="false">SUMIFS(其他研发费用!$F$4:$F$153,其他研发费用!$A$4:$A$153,$A56,其他研发费用!$B$4:$B$153,$B56,其他研发费用!$D$4:$D$153,"委托外部研发费用")</f>
        <v>0</v>
      </c>
      <c r="K56" s="27" t="n">
        <f aca="false">ROUND(SUM(D56:J56),2)</f>
        <v>0</v>
      </c>
      <c r="L56" s="45" t="n">
        <f aca="false">SUMIFS(研发人员工时分配表!$P$6:$P$245,研发人员工时分配表!$A$6:$A$245,$A56)</f>
        <v>0</v>
      </c>
      <c r="M56" s="45" t="n">
        <f aca="false">SUMIFS(仪器设备工时分配表!$P$6:$P$245,仪器设备工时分配表!$A$6:$A$245,$A56)</f>
        <v>0</v>
      </c>
    </row>
    <row r="57" customFormat="false" ht="16.5" hidden="false" customHeight="true" outlineLevel="0" collapsed="false">
      <c r="A57" s="21" t="s">
        <v>96</v>
      </c>
      <c r="B57" s="43" t="str">
        <f aca="false">项目清单!$B$13</f>
        <v>RD10</v>
      </c>
      <c r="C57" s="48" t="str">
        <f aca="false">IF($B57="","",IFERROR(VLOOKUP($B57,项目清单!$B$4:$C$13,2,0)&amp;"",""))</f>
        <v/>
      </c>
      <c r="D57" s="27" t="n">
        <f aca="false">SUMIFS(研发人员工时费用分配表!$W$6:$W$245,研发人员工时费用分配表!$A$6:$A$245,$A57)</f>
        <v>0</v>
      </c>
      <c r="E57" s="27" t="n">
        <f aca="false">SUMIFS(仪器设备工时费用分配表!$S$6:$S$245,仪器设备工时费用分配表!$A$6:$A$245,$A57,仪器设备工时费用分配表!$D$6:$D$245,"设备")</f>
        <v>0</v>
      </c>
      <c r="F57" s="27" t="n">
        <f aca="false">SUMIFS(无形资产费用分配表!$S$6:$S$125,无形资产费用分配表!$A$6:$A$125,$A57)</f>
        <v>0</v>
      </c>
      <c r="G57" s="27" t="n">
        <f aca="false">SUMIFS(其他研发费用!$F$4:$F$153,其他研发费用!$A$4:$A$153,$A57,其他研发费用!$B$4:$B$153,$B57,其他研发费用!$D$4:$D$153,"直接投入费用")</f>
        <v>0</v>
      </c>
      <c r="H57" s="27" t="n">
        <f aca="false">SUMIFS(其他研发费用!$F$4:$F$153,其他研发费用!$A$4:$A$153,$A57,其他研发费用!$B$4:$B$153,$B57,其他研发费用!$D$4:$D$153,"新产品设计费等")</f>
        <v>0</v>
      </c>
      <c r="I57" s="27" t="n">
        <f aca="false">SUMIFS(其他研发费用!$F$4:$F$153,其他研发费用!$A$4:$A$153,$A57,其他研发费用!$B$4:$B$153,$B57,其他研发费用!$D$4:$D$153,"其他相关费用")</f>
        <v>0</v>
      </c>
      <c r="J57" s="27" t="n">
        <f aca="false">SUMIFS(其他研发费用!$F$4:$F$153,其他研发费用!$A$4:$A$153,$A57,其他研发费用!$B$4:$B$153,$B57,其他研发费用!$D$4:$D$153,"委托外部研发费用")</f>
        <v>0</v>
      </c>
      <c r="K57" s="27" t="n">
        <f aca="false">ROUND(SUM(D57:J57),2)</f>
        <v>0</v>
      </c>
      <c r="L57" s="45" t="n">
        <f aca="false">SUMIFS(研发人员工时分配表!$Q$6:$Q$245,研发人员工时分配表!$A$6:$A$245,$A57)</f>
        <v>0</v>
      </c>
      <c r="M57" s="45" t="n">
        <f aca="false">SUMIFS(仪器设备工时分配表!$Q$6:$Q$245,仪器设备工时分配表!$A$6:$A$245,$A57)</f>
        <v>0</v>
      </c>
    </row>
    <row r="58" customFormat="false" ht="18" hidden="false" customHeight="true" outlineLevel="0" collapsed="false">
      <c r="A58" s="50" t="s">
        <v>96</v>
      </c>
      <c r="B58" s="30"/>
      <c r="C58" s="30" t="s">
        <v>295</v>
      </c>
      <c r="D58" s="31" t="n">
        <f aca="false">ROUND(SUM(D48:D57),2)</f>
        <v>0</v>
      </c>
      <c r="E58" s="31" t="n">
        <f aca="false">ROUND(SUM(E48:E57),2)</f>
        <v>0</v>
      </c>
      <c r="F58" s="31" t="n">
        <f aca="false">ROUND(SUM(F48:F57),2)</f>
        <v>0</v>
      </c>
      <c r="G58" s="31" t="n">
        <f aca="false">ROUND(SUM(G48:G57),2)</f>
        <v>0</v>
      </c>
      <c r="H58" s="31" t="n">
        <f aca="false">ROUND(SUM(H48:H57),2)</f>
        <v>0</v>
      </c>
      <c r="I58" s="31" t="n">
        <f aca="false">ROUND(SUM(I48:I57),2)</f>
        <v>0</v>
      </c>
      <c r="J58" s="31" t="n">
        <f aca="false">ROUND(SUM(J48:J57),2)</f>
        <v>0</v>
      </c>
      <c r="K58" s="31" t="n">
        <f aca="false">ROUND(SUM(K48:K57),2)</f>
        <v>0</v>
      </c>
      <c r="L58" s="51" t="n">
        <f aca="false">ROUND(SUM(L48:L57),2)</f>
        <v>0</v>
      </c>
      <c r="M58" s="51" t="n">
        <f aca="false">ROUND(SUM(M48:M57),2)</f>
        <v>0</v>
      </c>
    </row>
    <row r="59" customFormat="false" ht="16.5" hidden="false" customHeight="true" outlineLevel="0" collapsed="false">
      <c r="A59" s="21" t="s">
        <v>97</v>
      </c>
      <c r="B59" s="43" t="str">
        <f aca="false">项目清单!$B$4</f>
        <v>RD01</v>
      </c>
      <c r="C59" s="48" t="str">
        <f aca="false">IF($B59="","",IFERROR(VLOOKUP($B59,项目清单!$B$4:$C$13,2,0)&amp;"",""))</f>
        <v>高回弹低压缩永久变形3C用聚氨酯泡棉开发</v>
      </c>
      <c r="D59" s="27" t="n">
        <f aca="false">SUMIFS(研发人员工时费用分配表!$N$6:$N$245,研发人员工时费用分配表!$A$6:$A$245,$A59)</f>
        <v>0</v>
      </c>
      <c r="E59" s="27" t="n">
        <f aca="false">SUMIFS(仪器设备工时费用分配表!$J$6:$J$245,仪器设备工时费用分配表!$A$6:$A$245,$A59,仪器设备工时费用分配表!$D$6:$D$245,"设备")</f>
        <v>0</v>
      </c>
      <c r="F59" s="27" t="n">
        <f aca="false">SUMIFS(无形资产费用分配表!$J$6:$J$125,无形资产费用分配表!$A$6:$A$125,$A59)</f>
        <v>0</v>
      </c>
      <c r="G59" s="27" t="n">
        <f aca="false">SUMIFS(其他研发费用!$F$4:$F$153,其他研发费用!$A$4:$A$153,$A59,其他研发费用!$B$4:$B$153,$B59,其他研发费用!$D$4:$D$153,"直接投入费用")</f>
        <v>0</v>
      </c>
      <c r="H59" s="27" t="n">
        <f aca="false">SUMIFS(其他研发费用!$F$4:$F$153,其他研发费用!$A$4:$A$153,$A59,其他研发费用!$B$4:$B$153,$B59,其他研发费用!$D$4:$D$153,"新产品设计费等")</f>
        <v>0</v>
      </c>
      <c r="I59" s="27" t="n">
        <f aca="false">SUMIFS(其他研发费用!$F$4:$F$153,其他研发费用!$A$4:$A$153,$A59,其他研发费用!$B$4:$B$153,$B59,其他研发费用!$D$4:$D$153,"其他相关费用")</f>
        <v>0</v>
      </c>
      <c r="J59" s="27" t="n">
        <f aca="false">SUMIFS(其他研发费用!$F$4:$F$153,其他研发费用!$A$4:$A$153,$A59,其他研发费用!$B$4:$B$153,$B59,其他研发费用!$D$4:$D$153,"委托外部研发费用")</f>
        <v>0</v>
      </c>
      <c r="K59" s="27" t="n">
        <f aca="false">ROUND(SUM(D59:J59),2)</f>
        <v>0</v>
      </c>
      <c r="L59" s="45" t="n">
        <f aca="false">SUMIFS(研发人员工时分配表!$H$6:$H$245,研发人员工时分配表!$A$6:$A$245,$A59)</f>
        <v>0</v>
      </c>
      <c r="M59" s="45" t="n">
        <f aca="false">SUMIFS(仪器设备工时分配表!$H$6:$H$245,仪器设备工时分配表!$A$6:$A$245,$A59)</f>
        <v>0</v>
      </c>
    </row>
    <row r="60" customFormat="false" ht="16.5" hidden="false" customHeight="true" outlineLevel="0" collapsed="false">
      <c r="A60" s="21" t="s">
        <v>97</v>
      </c>
      <c r="B60" s="43" t="str">
        <f aca="false">项目清单!$B$5</f>
        <v>RD02</v>
      </c>
      <c r="C60" s="48" t="str">
        <f aca="false">IF($B60="","",IFERROR(VLOOKUP($B60,项目清单!$B$4:$C$13,2,0)&amp;"",""))</f>
        <v>动力电池模组用高阻燃缓冲泡棉研发</v>
      </c>
      <c r="D60" s="27" t="n">
        <f aca="false">SUMIFS(研发人员工时费用分配表!$O$6:$O$245,研发人员工时费用分配表!$A$6:$A$245,$A60)</f>
        <v>0</v>
      </c>
      <c r="E60" s="27" t="n">
        <f aca="false">SUMIFS(仪器设备工时费用分配表!$K$6:$K$245,仪器设备工时费用分配表!$A$6:$A$245,$A60,仪器设备工时费用分配表!$D$6:$D$245,"设备")</f>
        <v>0</v>
      </c>
      <c r="F60" s="27" t="n">
        <f aca="false">SUMIFS(无形资产费用分配表!$K$6:$K$125,无形资产费用分配表!$A$6:$A$125,$A60)</f>
        <v>0</v>
      </c>
      <c r="G60" s="27" t="n">
        <f aca="false">SUMIFS(其他研发费用!$F$4:$F$153,其他研发费用!$A$4:$A$153,$A60,其他研发费用!$B$4:$B$153,$B60,其他研发费用!$D$4:$D$153,"直接投入费用")</f>
        <v>0</v>
      </c>
      <c r="H60" s="27" t="n">
        <f aca="false">SUMIFS(其他研发费用!$F$4:$F$153,其他研发费用!$A$4:$A$153,$A60,其他研发费用!$B$4:$B$153,$B60,其他研发费用!$D$4:$D$153,"新产品设计费等")</f>
        <v>0</v>
      </c>
      <c r="I60" s="27" t="n">
        <f aca="false">SUMIFS(其他研发费用!$F$4:$F$153,其他研发费用!$A$4:$A$153,$A60,其他研发费用!$B$4:$B$153,$B60,其他研发费用!$D$4:$D$153,"其他相关费用")</f>
        <v>0</v>
      </c>
      <c r="J60" s="27" t="n">
        <f aca="false">SUMIFS(其他研发费用!$F$4:$F$153,其他研发费用!$A$4:$A$153,$A60,其他研发费用!$B$4:$B$153,$B60,其他研发费用!$D$4:$D$153,"委托外部研发费用")</f>
        <v>0</v>
      </c>
      <c r="K60" s="27" t="n">
        <f aca="false">ROUND(SUM(D60:J60),2)</f>
        <v>0</v>
      </c>
      <c r="L60" s="45" t="n">
        <f aca="false">SUMIFS(研发人员工时分配表!$I$6:$I$245,研发人员工时分配表!$A$6:$A$245,$A60)</f>
        <v>0</v>
      </c>
      <c r="M60" s="45" t="n">
        <f aca="false">SUMIFS(仪器设备工时分配表!$I$6:$I$245,仪器设备工时分配表!$A$6:$A$245,$A60)</f>
        <v>0</v>
      </c>
    </row>
    <row r="61" customFormat="false" ht="16.5" hidden="false" customHeight="true" outlineLevel="0" collapsed="false">
      <c r="A61" s="21" t="s">
        <v>97</v>
      </c>
      <c r="B61" s="43" t="str">
        <f aca="false">项目清单!$B$6</f>
        <v>RD03</v>
      </c>
      <c r="C61" s="48" t="str">
        <f aca="false">IF($B61="","",IFERROR(VLOOKUP($B61,项目清单!$B$4:$C$13,2,0)&amp;"",""))</f>
        <v>泡棉与PET基材无溶剂贴合工艺开发</v>
      </c>
      <c r="D61" s="27" t="n">
        <f aca="false">SUMIFS(研发人员工时费用分配表!$P$6:$P$245,研发人员工时费用分配表!$A$6:$A$245,$A61)</f>
        <v>0</v>
      </c>
      <c r="E61" s="27" t="n">
        <f aca="false">SUMIFS(仪器设备工时费用分配表!$L$6:$L$245,仪器设备工时费用分配表!$A$6:$A$245,$A61,仪器设备工时费用分配表!$D$6:$D$245,"设备")</f>
        <v>0</v>
      </c>
      <c r="F61" s="27" t="n">
        <f aca="false">SUMIFS(无形资产费用分配表!$L$6:$L$125,无形资产费用分配表!$A$6:$A$125,$A61)</f>
        <v>0</v>
      </c>
      <c r="G61" s="27" t="n">
        <f aca="false">SUMIFS(其他研发费用!$F$4:$F$153,其他研发费用!$A$4:$A$153,$A61,其他研发费用!$B$4:$B$153,$B61,其他研发费用!$D$4:$D$153,"直接投入费用")</f>
        <v>0</v>
      </c>
      <c r="H61" s="27" t="n">
        <f aca="false">SUMIFS(其他研发费用!$F$4:$F$153,其他研发费用!$A$4:$A$153,$A61,其他研发费用!$B$4:$B$153,$B61,其他研发费用!$D$4:$D$153,"新产品设计费等")</f>
        <v>0</v>
      </c>
      <c r="I61" s="27" t="n">
        <f aca="false">SUMIFS(其他研发费用!$F$4:$F$153,其他研发费用!$A$4:$A$153,$A61,其他研发费用!$B$4:$B$153,$B61,其他研发费用!$D$4:$D$153,"其他相关费用")</f>
        <v>0</v>
      </c>
      <c r="J61" s="27" t="n">
        <f aca="false">SUMIFS(其他研发费用!$F$4:$F$153,其他研发费用!$A$4:$A$153,$A61,其他研发费用!$B$4:$B$153,$B61,其他研发费用!$D$4:$D$153,"委托外部研发费用")</f>
        <v>0</v>
      </c>
      <c r="K61" s="27" t="n">
        <f aca="false">ROUND(SUM(D61:J61),2)</f>
        <v>0</v>
      </c>
      <c r="L61" s="45" t="n">
        <f aca="false">SUMIFS(研发人员工时分配表!$J$6:$J$245,研发人员工时分配表!$A$6:$A$245,$A61)</f>
        <v>0</v>
      </c>
      <c r="M61" s="45" t="n">
        <f aca="false">SUMIFS(仪器设备工时分配表!$J$6:$J$245,仪器设备工时分配表!$A$6:$A$245,$A61)</f>
        <v>0</v>
      </c>
    </row>
    <row r="62" customFormat="false" ht="16.5" hidden="false" customHeight="true" outlineLevel="0" collapsed="false">
      <c r="A62" s="21" t="s">
        <v>97</v>
      </c>
      <c r="B62" s="43" t="str">
        <f aca="false">项目清单!$B$7</f>
        <v>RD04</v>
      </c>
      <c r="C62" s="48" t="str">
        <f aca="false">IF($B62="","",IFERROR(VLOOKUP($B62,项目清单!$B$4:$C$13,2,0)&amp;"",""))</f>
        <v>超薄泡棉高精度分切及毛边控制技术研究</v>
      </c>
      <c r="D62" s="27" t="n">
        <f aca="false">SUMIFS(研发人员工时费用分配表!$Q$6:$Q$245,研发人员工时费用分配表!$A$6:$A$245,$A62)</f>
        <v>0</v>
      </c>
      <c r="E62" s="27" t="n">
        <f aca="false">SUMIFS(仪器设备工时费用分配表!$M$6:$M$245,仪器设备工时费用分配表!$A$6:$A$245,$A62,仪器设备工时费用分配表!$D$6:$D$245,"设备")</f>
        <v>0</v>
      </c>
      <c r="F62" s="27" t="n">
        <f aca="false">SUMIFS(无形资产费用分配表!$M$6:$M$125,无形资产费用分配表!$A$6:$A$125,$A62)</f>
        <v>0</v>
      </c>
      <c r="G62" s="27" t="n">
        <f aca="false">SUMIFS(其他研发费用!$F$4:$F$153,其他研发费用!$A$4:$A$153,$A62,其他研发费用!$B$4:$B$153,$B62,其他研发费用!$D$4:$D$153,"直接投入费用")</f>
        <v>0</v>
      </c>
      <c r="H62" s="27" t="n">
        <f aca="false">SUMIFS(其他研发费用!$F$4:$F$153,其他研发费用!$A$4:$A$153,$A62,其他研发费用!$B$4:$B$153,$B62,其他研发费用!$D$4:$D$153,"新产品设计费等")</f>
        <v>0</v>
      </c>
      <c r="I62" s="27" t="n">
        <f aca="false">SUMIFS(其他研发费用!$F$4:$F$153,其他研发费用!$A$4:$A$153,$A62,其他研发费用!$B$4:$B$153,$B62,其他研发费用!$D$4:$D$153,"其他相关费用")</f>
        <v>0</v>
      </c>
      <c r="J62" s="27" t="n">
        <f aca="false">SUMIFS(其他研发费用!$F$4:$F$153,其他研发费用!$A$4:$A$153,$A62,其他研发费用!$B$4:$B$153,$B62,其他研发费用!$D$4:$D$153,"委托外部研发费用")</f>
        <v>0</v>
      </c>
      <c r="K62" s="27" t="n">
        <f aca="false">ROUND(SUM(D62:J62),2)</f>
        <v>0</v>
      </c>
      <c r="L62" s="45" t="n">
        <f aca="false">SUMIFS(研发人员工时分配表!$K$6:$K$245,研发人员工时分配表!$A$6:$A$245,$A62)</f>
        <v>0</v>
      </c>
      <c r="M62" s="45" t="n">
        <f aca="false">SUMIFS(仪器设备工时分配表!$K$6:$K$245,仪器设备工时分配表!$A$6:$A$245,$A62)</f>
        <v>0</v>
      </c>
    </row>
    <row r="63" customFormat="false" ht="16.5" hidden="false" customHeight="true" outlineLevel="0" collapsed="false">
      <c r="A63" s="21" t="s">
        <v>97</v>
      </c>
      <c r="B63" s="43" t="str">
        <f aca="false">项目清单!$B$8</f>
        <v>RD05</v>
      </c>
      <c r="C63" s="48" t="str">
        <f aca="false">IF($B63="","",IFERROR(VLOOKUP($B63,项目清单!$B$4:$C$13,2,0)&amp;"",""))</f>
        <v>新能源汽车电池包用导热缓冲复合材料开发</v>
      </c>
      <c r="D63" s="27" t="n">
        <f aca="false">SUMIFS(研发人员工时费用分配表!$R$6:$R$245,研发人员工时费用分配表!$A$6:$A$245,$A63)</f>
        <v>0</v>
      </c>
      <c r="E63" s="27" t="n">
        <f aca="false">SUMIFS(仪器设备工时费用分配表!$N$6:$N$245,仪器设备工时费用分配表!$A$6:$A$245,$A63,仪器设备工时费用分配表!$D$6:$D$245,"设备")</f>
        <v>0</v>
      </c>
      <c r="F63" s="27" t="n">
        <f aca="false">SUMIFS(无形资产费用分配表!$N$6:$N$125,无形资产费用分配表!$A$6:$A$125,$A63)</f>
        <v>0</v>
      </c>
      <c r="G63" s="27" t="n">
        <f aca="false">SUMIFS(其他研发费用!$F$4:$F$153,其他研发费用!$A$4:$A$153,$A63,其他研发费用!$B$4:$B$153,$B63,其他研发费用!$D$4:$D$153,"直接投入费用")</f>
        <v>0</v>
      </c>
      <c r="H63" s="27" t="n">
        <f aca="false">SUMIFS(其他研发费用!$F$4:$F$153,其他研发费用!$A$4:$A$153,$A63,其他研发费用!$B$4:$B$153,$B63,其他研发费用!$D$4:$D$153,"新产品设计费等")</f>
        <v>0</v>
      </c>
      <c r="I63" s="27" t="n">
        <f aca="false">SUMIFS(其他研发费用!$F$4:$F$153,其他研发费用!$A$4:$A$153,$A63,其他研发费用!$B$4:$B$153,$B63,其他研发费用!$D$4:$D$153,"其他相关费用")</f>
        <v>0</v>
      </c>
      <c r="J63" s="27" t="n">
        <f aca="false">SUMIFS(其他研发费用!$F$4:$F$153,其他研发费用!$A$4:$A$153,$A63,其他研发费用!$B$4:$B$153,$B63,其他研发费用!$D$4:$D$153,"委托外部研发费用")</f>
        <v>0</v>
      </c>
      <c r="K63" s="27" t="n">
        <f aca="false">ROUND(SUM(D63:J63),2)</f>
        <v>0</v>
      </c>
      <c r="L63" s="45" t="n">
        <f aca="false">SUMIFS(研发人员工时分配表!$L$6:$L$245,研发人员工时分配表!$A$6:$A$245,$A63)</f>
        <v>0</v>
      </c>
      <c r="M63" s="45" t="n">
        <f aca="false">SUMIFS(仪器设备工时分配表!$L$6:$L$245,仪器设备工时分配表!$A$6:$A$245,$A63)</f>
        <v>0</v>
      </c>
    </row>
    <row r="64" customFormat="false" ht="16.5" hidden="false" customHeight="true" outlineLevel="0" collapsed="false">
      <c r="A64" s="21" t="s">
        <v>97</v>
      </c>
      <c r="B64" s="43" t="str">
        <f aca="false">项目清单!$B$9</f>
        <v>RD06</v>
      </c>
      <c r="C64" s="48" t="str">
        <f aca="false">IF($B64="","",IFERROR(VLOOKUP($B64,项目清单!$B$4:$C$13,2,0)&amp;"",""))</f>
        <v>3C电子用超薄黑色遮光泡棉制备技术</v>
      </c>
      <c r="D64" s="27" t="n">
        <f aca="false">SUMIFS(研发人员工时费用分配表!$S$6:$S$245,研发人员工时费用分配表!$A$6:$A$245,$A64)</f>
        <v>0</v>
      </c>
      <c r="E64" s="27" t="n">
        <f aca="false">SUMIFS(仪器设备工时费用分配表!$O$6:$O$245,仪器设备工时费用分配表!$A$6:$A$245,$A64,仪器设备工时费用分配表!$D$6:$D$245,"设备")</f>
        <v>0</v>
      </c>
      <c r="F64" s="27" t="n">
        <f aca="false">SUMIFS(无形资产费用分配表!$O$6:$O$125,无形资产费用分配表!$A$6:$A$125,$A64)</f>
        <v>0</v>
      </c>
      <c r="G64" s="27" t="n">
        <f aca="false">SUMIFS(其他研发费用!$F$4:$F$153,其他研发费用!$A$4:$A$153,$A64,其他研发费用!$B$4:$B$153,$B64,其他研发费用!$D$4:$D$153,"直接投入费用")</f>
        <v>0</v>
      </c>
      <c r="H64" s="27" t="n">
        <f aca="false">SUMIFS(其他研发费用!$F$4:$F$153,其他研发费用!$A$4:$A$153,$A64,其他研发费用!$B$4:$B$153,$B64,其他研发费用!$D$4:$D$153,"新产品设计费等")</f>
        <v>0</v>
      </c>
      <c r="I64" s="27" t="n">
        <f aca="false">SUMIFS(其他研发费用!$F$4:$F$153,其他研发费用!$A$4:$A$153,$A64,其他研发费用!$B$4:$B$153,$B64,其他研发费用!$D$4:$D$153,"其他相关费用")</f>
        <v>0</v>
      </c>
      <c r="J64" s="27" t="n">
        <f aca="false">SUMIFS(其他研发费用!$F$4:$F$153,其他研发费用!$A$4:$A$153,$A64,其他研发费用!$B$4:$B$153,$B64,其他研发费用!$D$4:$D$153,"委托外部研发费用")</f>
        <v>0</v>
      </c>
      <c r="K64" s="27" t="n">
        <f aca="false">ROUND(SUM(D64:J64),2)</f>
        <v>0</v>
      </c>
      <c r="L64" s="45" t="n">
        <f aca="false">SUMIFS(研发人员工时分配表!$M$6:$M$245,研发人员工时分配表!$A$6:$A$245,$A64)</f>
        <v>0</v>
      </c>
      <c r="M64" s="45" t="n">
        <f aca="false">SUMIFS(仪器设备工时分配表!$M$6:$M$245,仪器设备工时分配表!$A$6:$A$245,$A64)</f>
        <v>0</v>
      </c>
    </row>
    <row r="65" customFormat="false" ht="16.5" hidden="false" customHeight="true" outlineLevel="0" collapsed="false">
      <c r="A65" s="21" t="s">
        <v>97</v>
      </c>
      <c r="B65" s="43" t="str">
        <f aca="false">项目清单!$B$10</f>
        <v>RD07</v>
      </c>
      <c r="C65" s="48" t="str">
        <f aca="false">IF($B65="","",IFERROR(VLOOKUP($B65,项目清单!$B$4:$C$13,2,0)&amp;"",""))</f>
        <v>环保型水性胶泡棉贴合技术开发</v>
      </c>
      <c r="D65" s="27" t="n">
        <f aca="false">SUMIFS(研发人员工时费用分配表!$T$6:$T$245,研发人员工时费用分配表!$A$6:$A$245,$A65)</f>
        <v>0</v>
      </c>
      <c r="E65" s="27" t="n">
        <f aca="false">SUMIFS(仪器设备工时费用分配表!$P$6:$P$245,仪器设备工时费用分配表!$A$6:$A$245,$A65,仪器设备工时费用分配表!$D$6:$D$245,"设备")</f>
        <v>0</v>
      </c>
      <c r="F65" s="27" t="n">
        <f aca="false">SUMIFS(无形资产费用分配表!$P$6:$P$125,无形资产费用分配表!$A$6:$A$125,$A65)</f>
        <v>0</v>
      </c>
      <c r="G65" s="27" t="n">
        <f aca="false">SUMIFS(其他研发费用!$F$4:$F$153,其他研发费用!$A$4:$A$153,$A65,其他研发费用!$B$4:$B$153,$B65,其他研发费用!$D$4:$D$153,"直接投入费用")</f>
        <v>0</v>
      </c>
      <c r="H65" s="27" t="n">
        <f aca="false">SUMIFS(其他研发费用!$F$4:$F$153,其他研发费用!$A$4:$A$153,$A65,其他研发费用!$B$4:$B$153,$B65,其他研发费用!$D$4:$D$153,"新产品设计费等")</f>
        <v>0</v>
      </c>
      <c r="I65" s="27" t="n">
        <f aca="false">SUMIFS(其他研发费用!$F$4:$F$153,其他研发费用!$A$4:$A$153,$A65,其他研发费用!$B$4:$B$153,$B65,其他研发费用!$D$4:$D$153,"其他相关费用")</f>
        <v>0</v>
      </c>
      <c r="J65" s="27" t="n">
        <f aca="false">SUMIFS(其他研发费用!$F$4:$F$153,其他研发费用!$A$4:$A$153,$A65,其他研发费用!$B$4:$B$153,$B65,其他研发费用!$D$4:$D$153,"委托外部研发费用")</f>
        <v>0</v>
      </c>
      <c r="K65" s="27" t="n">
        <f aca="false">ROUND(SUM(D65:J65),2)</f>
        <v>0</v>
      </c>
      <c r="L65" s="45" t="n">
        <f aca="false">SUMIFS(研发人员工时分配表!$N$6:$N$245,研发人员工时分配表!$A$6:$A$245,$A65)</f>
        <v>0</v>
      </c>
      <c r="M65" s="45" t="n">
        <f aca="false">SUMIFS(仪器设备工时分配表!$N$6:$N$245,仪器设备工时分配表!$A$6:$A$245,$A65)</f>
        <v>0</v>
      </c>
    </row>
    <row r="66" customFormat="false" ht="16.5" hidden="false" customHeight="true" outlineLevel="0" collapsed="false">
      <c r="A66" s="21" t="s">
        <v>97</v>
      </c>
      <c r="B66" s="43" t="str">
        <f aca="false">项目清单!$B$11</f>
        <v>RD08</v>
      </c>
      <c r="C66" s="48" t="str">
        <f aca="false">IF($B66="","",IFERROR(VLOOKUP($B66,项目清单!$B$4:$C$13,2,0)&amp;"",""))</f>
        <v>泡棉模切自动化在线检测技术研究</v>
      </c>
      <c r="D66" s="27" t="n">
        <f aca="false">SUMIFS(研发人员工时费用分配表!$U$6:$U$245,研发人员工时费用分配表!$A$6:$A$245,$A66)</f>
        <v>0</v>
      </c>
      <c r="E66" s="27" t="n">
        <f aca="false">SUMIFS(仪器设备工时费用分配表!$Q$6:$Q$245,仪器设备工时费用分配表!$A$6:$A$245,$A66,仪器设备工时费用分配表!$D$6:$D$245,"设备")</f>
        <v>0</v>
      </c>
      <c r="F66" s="27" t="n">
        <f aca="false">SUMIFS(无形资产费用分配表!$Q$6:$Q$125,无形资产费用分配表!$A$6:$A$125,$A66)</f>
        <v>0</v>
      </c>
      <c r="G66" s="27" t="n">
        <f aca="false">SUMIFS(其他研发费用!$F$4:$F$153,其他研发费用!$A$4:$A$153,$A66,其他研发费用!$B$4:$B$153,$B66,其他研发费用!$D$4:$D$153,"直接投入费用")</f>
        <v>0</v>
      </c>
      <c r="H66" s="27" t="n">
        <f aca="false">SUMIFS(其他研发费用!$F$4:$F$153,其他研发费用!$A$4:$A$153,$A66,其他研发费用!$B$4:$B$153,$B66,其他研发费用!$D$4:$D$153,"新产品设计费等")</f>
        <v>0</v>
      </c>
      <c r="I66" s="27" t="n">
        <f aca="false">SUMIFS(其他研发费用!$F$4:$F$153,其他研发费用!$A$4:$A$153,$A66,其他研发费用!$B$4:$B$153,$B66,其他研发费用!$D$4:$D$153,"其他相关费用")</f>
        <v>0</v>
      </c>
      <c r="J66" s="27" t="n">
        <f aca="false">SUMIFS(其他研发费用!$F$4:$F$153,其他研发费用!$A$4:$A$153,$A66,其他研发费用!$B$4:$B$153,$B66,其他研发费用!$D$4:$D$153,"委托外部研发费用")</f>
        <v>0</v>
      </c>
      <c r="K66" s="27" t="n">
        <f aca="false">ROUND(SUM(D66:J66),2)</f>
        <v>0</v>
      </c>
      <c r="L66" s="45" t="n">
        <f aca="false">SUMIFS(研发人员工时分配表!$O$6:$O$245,研发人员工时分配表!$A$6:$A$245,$A66)</f>
        <v>0</v>
      </c>
      <c r="M66" s="45" t="n">
        <f aca="false">SUMIFS(仪器设备工时分配表!$O$6:$O$245,仪器设备工时分配表!$A$6:$A$245,$A66)</f>
        <v>0</v>
      </c>
    </row>
    <row r="67" customFormat="false" ht="16.5" hidden="false" customHeight="true" outlineLevel="0" collapsed="false">
      <c r="A67" s="21" t="s">
        <v>97</v>
      </c>
      <c r="B67" s="43" t="str">
        <f aca="false">项目清单!$B$12</f>
        <v>RD09</v>
      </c>
      <c r="C67" s="48" t="str">
        <f aca="false">IF($B67="","",IFERROR(VLOOKUP($B67,项目清单!$B$4:$C$13,2,0)&amp;"",""))</f>
        <v/>
      </c>
      <c r="D67" s="27" t="n">
        <f aca="false">SUMIFS(研发人员工时费用分配表!$V$6:$V$245,研发人员工时费用分配表!$A$6:$A$245,$A67)</f>
        <v>0</v>
      </c>
      <c r="E67" s="27" t="n">
        <f aca="false">SUMIFS(仪器设备工时费用分配表!$R$6:$R$245,仪器设备工时费用分配表!$A$6:$A$245,$A67,仪器设备工时费用分配表!$D$6:$D$245,"设备")</f>
        <v>0</v>
      </c>
      <c r="F67" s="27" t="n">
        <f aca="false">SUMIFS(无形资产费用分配表!$R$6:$R$125,无形资产费用分配表!$A$6:$A$125,$A67)</f>
        <v>0</v>
      </c>
      <c r="G67" s="27" t="n">
        <f aca="false">SUMIFS(其他研发费用!$F$4:$F$153,其他研发费用!$A$4:$A$153,$A67,其他研发费用!$B$4:$B$153,$B67,其他研发费用!$D$4:$D$153,"直接投入费用")</f>
        <v>0</v>
      </c>
      <c r="H67" s="27" t="n">
        <f aca="false">SUMIFS(其他研发费用!$F$4:$F$153,其他研发费用!$A$4:$A$153,$A67,其他研发费用!$B$4:$B$153,$B67,其他研发费用!$D$4:$D$153,"新产品设计费等")</f>
        <v>0</v>
      </c>
      <c r="I67" s="27" t="n">
        <f aca="false">SUMIFS(其他研发费用!$F$4:$F$153,其他研发费用!$A$4:$A$153,$A67,其他研发费用!$B$4:$B$153,$B67,其他研发费用!$D$4:$D$153,"其他相关费用")</f>
        <v>0</v>
      </c>
      <c r="J67" s="27" t="n">
        <f aca="false">SUMIFS(其他研发费用!$F$4:$F$153,其他研发费用!$A$4:$A$153,$A67,其他研发费用!$B$4:$B$153,$B67,其他研发费用!$D$4:$D$153,"委托外部研发费用")</f>
        <v>0</v>
      </c>
      <c r="K67" s="27" t="n">
        <f aca="false">ROUND(SUM(D67:J67),2)</f>
        <v>0</v>
      </c>
      <c r="L67" s="45" t="n">
        <f aca="false">SUMIFS(研发人员工时分配表!$P$6:$P$245,研发人员工时分配表!$A$6:$A$245,$A67)</f>
        <v>0</v>
      </c>
      <c r="M67" s="45" t="n">
        <f aca="false">SUMIFS(仪器设备工时分配表!$P$6:$P$245,仪器设备工时分配表!$A$6:$A$245,$A67)</f>
        <v>0</v>
      </c>
    </row>
    <row r="68" customFormat="false" ht="16.5" hidden="false" customHeight="true" outlineLevel="0" collapsed="false">
      <c r="A68" s="21" t="s">
        <v>97</v>
      </c>
      <c r="B68" s="43" t="str">
        <f aca="false">项目清单!$B$13</f>
        <v>RD10</v>
      </c>
      <c r="C68" s="48" t="str">
        <f aca="false">IF($B68="","",IFERROR(VLOOKUP($B68,项目清单!$B$4:$C$13,2,0)&amp;"",""))</f>
        <v/>
      </c>
      <c r="D68" s="27" t="n">
        <f aca="false">SUMIFS(研发人员工时费用分配表!$W$6:$W$245,研发人员工时费用分配表!$A$6:$A$245,$A68)</f>
        <v>0</v>
      </c>
      <c r="E68" s="27" t="n">
        <f aca="false">SUMIFS(仪器设备工时费用分配表!$S$6:$S$245,仪器设备工时费用分配表!$A$6:$A$245,$A68,仪器设备工时费用分配表!$D$6:$D$245,"设备")</f>
        <v>0</v>
      </c>
      <c r="F68" s="27" t="n">
        <f aca="false">SUMIFS(无形资产费用分配表!$S$6:$S$125,无形资产费用分配表!$A$6:$A$125,$A68)</f>
        <v>0</v>
      </c>
      <c r="G68" s="27" t="n">
        <f aca="false">SUMIFS(其他研发费用!$F$4:$F$153,其他研发费用!$A$4:$A$153,$A68,其他研发费用!$B$4:$B$153,$B68,其他研发费用!$D$4:$D$153,"直接投入费用")</f>
        <v>0</v>
      </c>
      <c r="H68" s="27" t="n">
        <f aca="false">SUMIFS(其他研发费用!$F$4:$F$153,其他研发费用!$A$4:$A$153,$A68,其他研发费用!$B$4:$B$153,$B68,其他研发费用!$D$4:$D$153,"新产品设计费等")</f>
        <v>0</v>
      </c>
      <c r="I68" s="27" t="n">
        <f aca="false">SUMIFS(其他研发费用!$F$4:$F$153,其他研发费用!$A$4:$A$153,$A68,其他研发费用!$B$4:$B$153,$B68,其他研发费用!$D$4:$D$153,"其他相关费用")</f>
        <v>0</v>
      </c>
      <c r="J68" s="27" t="n">
        <f aca="false">SUMIFS(其他研发费用!$F$4:$F$153,其他研发费用!$A$4:$A$153,$A68,其他研发费用!$B$4:$B$153,$B68,其他研发费用!$D$4:$D$153,"委托外部研发费用")</f>
        <v>0</v>
      </c>
      <c r="K68" s="27" t="n">
        <f aca="false">ROUND(SUM(D68:J68),2)</f>
        <v>0</v>
      </c>
      <c r="L68" s="45" t="n">
        <f aca="false">SUMIFS(研发人员工时分配表!$Q$6:$Q$245,研发人员工时分配表!$A$6:$A$245,$A68)</f>
        <v>0</v>
      </c>
      <c r="M68" s="45" t="n">
        <f aca="false">SUMIFS(仪器设备工时分配表!$Q$6:$Q$245,仪器设备工时分配表!$A$6:$A$245,$A68)</f>
        <v>0</v>
      </c>
    </row>
    <row r="69" customFormat="false" ht="18" hidden="false" customHeight="true" outlineLevel="0" collapsed="false">
      <c r="A69" s="50" t="s">
        <v>97</v>
      </c>
      <c r="B69" s="30"/>
      <c r="C69" s="30" t="s">
        <v>295</v>
      </c>
      <c r="D69" s="31" t="n">
        <f aca="false">ROUND(SUM(D59:D68),2)</f>
        <v>0</v>
      </c>
      <c r="E69" s="31" t="n">
        <f aca="false">ROUND(SUM(E59:E68),2)</f>
        <v>0</v>
      </c>
      <c r="F69" s="31" t="n">
        <f aca="false">ROUND(SUM(F59:F68),2)</f>
        <v>0</v>
      </c>
      <c r="G69" s="31" t="n">
        <f aca="false">ROUND(SUM(G59:G68),2)</f>
        <v>0</v>
      </c>
      <c r="H69" s="31" t="n">
        <f aca="false">ROUND(SUM(H59:H68),2)</f>
        <v>0</v>
      </c>
      <c r="I69" s="31" t="n">
        <f aca="false">ROUND(SUM(I59:I68),2)</f>
        <v>0</v>
      </c>
      <c r="J69" s="31" t="n">
        <f aca="false">ROUND(SUM(J59:J68),2)</f>
        <v>0</v>
      </c>
      <c r="K69" s="31" t="n">
        <f aca="false">ROUND(SUM(K59:K68),2)</f>
        <v>0</v>
      </c>
      <c r="L69" s="51" t="n">
        <f aca="false">ROUND(SUM(L59:L68),2)</f>
        <v>0</v>
      </c>
      <c r="M69" s="51" t="n">
        <f aca="false">ROUND(SUM(M59:M68),2)</f>
        <v>0</v>
      </c>
    </row>
    <row r="70" customFormat="false" ht="16.5" hidden="false" customHeight="true" outlineLevel="0" collapsed="false">
      <c r="A70" s="21" t="s">
        <v>98</v>
      </c>
      <c r="B70" s="43" t="str">
        <f aca="false">项目清单!$B$4</f>
        <v>RD01</v>
      </c>
      <c r="C70" s="48" t="str">
        <f aca="false">IF($B70="","",IFERROR(VLOOKUP($B70,项目清单!$B$4:$C$13,2,0)&amp;"",""))</f>
        <v>高回弹低压缩永久变形3C用聚氨酯泡棉开发</v>
      </c>
      <c r="D70" s="27" t="n">
        <f aca="false">SUMIFS(研发人员工时费用分配表!$N$6:$N$245,研发人员工时费用分配表!$A$6:$A$245,$A70)</f>
        <v>0</v>
      </c>
      <c r="E70" s="27" t="n">
        <f aca="false">SUMIFS(仪器设备工时费用分配表!$J$6:$J$245,仪器设备工时费用分配表!$A$6:$A$245,$A70,仪器设备工时费用分配表!$D$6:$D$245,"设备")</f>
        <v>0</v>
      </c>
      <c r="F70" s="27" t="n">
        <f aca="false">SUMIFS(无形资产费用分配表!$J$6:$J$125,无形资产费用分配表!$A$6:$A$125,$A70)</f>
        <v>0</v>
      </c>
      <c r="G70" s="27" t="n">
        <f aca="false">SUMIFS(其他研发费用!$F$4:$F$153,其他研发费用!$A$4:$A$153,$A70,其他研发费用!$B$4:$B$153,$B70,其他研发费用!$D$4:$D$153,"直接投入费用")</f>
        <v>0</v>
      </c>
      <c r="H70" s="27" t="n">
        <f aca="false">SUMIFS(其他研发费用!$F$4:$F$153,其他研发费用!$A$4:$A$153,$A70,其他研发费用!$B$4:$B$153,$B70,其他研发费用!$D$4:$D$153,"新产品设计费等")</f>
        <v>0</v>
      </c>
      <c r="I70" s="27" t="n">
        <f aca="false">SUMIFS(其他研发费用!$F$4:$F$153,其他研发费用!$A$4:$A$153,$A70,其他研发费用!$B$4:$B$153,$B70,其他研发费用!$D$4:$D$153,"其他相关费用")</f>
        <v>0</v>
      </c>
      <c r="J70" s="27" t="n">
        <f aca="false">SUMIFS(其他研发费用!$F$4:$F$153,其他研发费用!$A$4:$A$153,$A70,其他研发费用!$B$4:$B$153,$B70,其他研发费用!$D$4:$D$153,"委托外部研发费用")</f>
        <v>0</v>
      </c>
      <c r="K70" s="27" t="n">
        <f aca="false">ROUND(SUM(D70:J70),2)</f>
        <v>0</v>
      </c>
      <c r="L70" s="45" t="n">
        <f aca="false">SUMIFS(研发人员工时分配表!$H$6:$H$245,研发人员工时分配表!$A$6:$A$245,$A70)</f>
        <v>0</v>
      </c>
      <c r="M70" s="45" t="n">
        <f aca="false">SUMIFS(仪器设备工时分配表!$H$6:$H$245,仪器设备工时分配表!$A$6:$A$245,$A70)</f>
        <v>0</v>
      </c>
    </row>
    <row r="71" customFormat="false" ht="16.5" hidden="false" customHeight="true" outlineLevel="0" collapsed="false">
      <c r="A71" s="21" t="s">
        <v>98</v>
      </c>
      <c r="B71" s="43" t="str">
        <f aca="false">项目清单!$B$5</f>
        <v>RD02</v>
      </c>
      <c r="C71" s="48" t="str">
        <f aca="false">IF($B71="","",IFERROR(VLOOKUP($B71,项目清单!$B$4:$C$13,2,0)&amp;"",""))</f>
        <v>动力电池模组用高阻燃缓冲泡棉研发</v>
      </c>
      <c r="D71" s="27" t="n">
        <f aca="false">SUMIFS(研发人员工时费用分配表!$O$6:$O$245,研发人员工时费用分配表!$A$6:$A$245,$A71)</f>
        <v>0</v>
      </c>
      <c r="E71" s="27" t="n">
        <f aca="false">SUMIFS(仪器设备工时费用分配表!$K$6:$K$245,仪器设备工时费用分配表!$A$6:$A$245,$A71,仪器设备工时费用分配表!$D$6:$D$245,"设备")</f>
        <v>0</v>
      </c>
      <c r="F71" s="27" t="n">
        <f aca="false">SUMIFS(无形资产费用分配表!$K$6:$K$125,无形资产费用分配表!$A$6:$A$125,$A71)</f>
        <v>0</v>
      </c>
      <c r="G71" s="27" t="n">
        <f aca="false">SUMIFS(其他研发费用!$F$4:$F$153,其他研发费用!$A$4:$A$153,$A71,其他研发费用!$B$4:$B$153,$B71,其他研发费用!$D$4:$D$153,"直接投入费用")</f>
        <v>0</v>
      </c>
      <c r="H71" s="27" t="n">
        <f aca="false">SUMIFS(其他研发费用!$F$4:$F$153,其他研发费用!$A$4:$A$153,$A71,其他研发费用!$B$4:$B$153,$B71,其他研发费用!$D$4:$D$153,"新产品设计费等")</f>
        <v>0</v>
      </c>
      <c r="I71" s="27" t="n">
        <f aca="false">SUMIFS(其他研发费用!$F$4:$F$153,其他研发费用!$A$4:$A$153,$A71,其他研发费用!$B$4:$B$153,$B71,其他研发费用!$D$4:$D$153,"其他相关费用")</f>
        <v>0</v>
      </c>
      <c r="J71" s="27" t="n">
        <f aca="false">SUMIFS(其他研发费用!$F$4:$F$153,其他研发费用!$A$4:$A$153,$A71,其他研发费用!$B$4:$B$153,$B71,其他研发费用!$D$4:$D$153,"委托外部研发费用")</f>
        <v>0</v>
      </c>
      <c r="K71" s="27" t="n">
        <f aca="false">ROUND(SUM(D71:J71),2)</f>
        <v>0</v>
      </c>
      <c r="L71" s="45" t="n">
        <f aca="false">SUMIFS(研发人员工时分配表!$I$6:$I$245,研发人员工时分配表!$A$6:$A$245,$A71)</f>
        <v>0</v>
      </c>
      <c r="M71" s="45" t="n">
        <f aca="false">SUMIFS(仪器设备工时分配表!$I$6:$I$245,仪器设备工时分配表!$A$6:$A$245,$A71)</f>
        <v>0</v>
      </c>
    </row>
    <row r="72" customFormat="false" ht="16.5" hidden="false" customHeight="true" outlineLevel="0" collapsed="false">
      <c r="A72" s="21" t="s">
        <v>98</v>
      </c>
      <c r="B72" s="43" t="str">
        <f aca="false">项目清单!$B$6</f>
        <v>RD03</v>
      </c>
      <c r="C72" s="48" t="str">
        <f aca="false">IF($B72="","",IFERROR(VLOOKUP($B72,项目清单!$B$4:$C$13,2,0)&amp;"",""))</f>
        <v>泡棉与PET基材无溶剂贴合工艺开发</v>
      </c>
      <c r="D72" s="27" t="n">
        <f aca="false">SUMIFS(研发人员工时费用分配表!$P$6:$P$245,研发人员工时费用分配表!$A$6:$A$245,$A72)</f>
        <v>0</v>
      </c>
      <c r="E72" s="27" t="n">
        <f aca="false">SUMIFS(仪器设备工时费用分配表!$L$6:$L$245,仪器设备工时费用分配表!$A$6:$A$245,$A72,仪器设备工时费用分配表!$D$6:$D$245,"设备")</f>
        <v>0</v>
      </c>
      <c r="F72" s="27" t="n">
        <f aca="false">SUMIFS(无形资产费用分配表!$L$6:$L$125,无形资产费用分配表!$A$6:$A$125,$A72)</f>
        <v>0</v>
      </c>
      <c r="G72" s="27" t="n">
        <f aca="false">SUMIFS(其他研发费用!$F$4:$F$153,其他研发费用!$A$4:$A$153,$A72,其他研发费用!$B$4:$B$153,$B72,其他研发费用!$D$4:$D$153,"直接投入费用")</f>
        <v>0</v>
      </c>
      <c r="H72" s="27" t="n">
        <f aca="false">SUMIFS(其他研发费用!$F$4:$F$153,其他研发费用!$A$4:$A$153,$A72,其他研发费用!$B$4:$B$153,$B72,其他研发费用!$D$4:$D$153,"新产品设计费等")</f>
        <v>0</v>
      </c>
      <c r="I72" s="27" t="n">
        <f aca="false">SUMIFS(其他研发费用!$F$4:$F$153,其他研发费用!$A$4:$A$153,$A72,其他研发费用!$B$4:$B$153,$B72,其他研发费用!$D$4:$D$153,"其他相关费用")</f>
        <v>0</v>
      </c>
      <c r="J72" s="27" t="n">
        <f aca="false">SUMIFS(其他研发费用!$F$4:$F$153,其他研发费用!$A$4:$A$153,$A72,其他研发费用!$B$4:$B$153,$B72,其他研发费用!$D$4:$D$153,"委托外部研发费用")</f>
        <v>0</v>
      </c>
      <c r="K72" s="27" t="n">
        <f aca="false">ROUND(SUM(D72:J72),2)</f>
        <v>0</v>
      </c>
      <c r="L72" s="45" t="n">
        <f aca="false">SUMIFS(研发人员工时分配表!$J$6:$J$245,研发人员工时分配表!$A$6:$A$245,$A72)</f>
        <v>0</v>
      </c>
      <c r="M72" s="45" t="n">
        <f aca="false">SUMIFS(仪器设备工时分配表!$J$6:$J$245,仪器设备工时分配表!$A$6:$A$245,$A72)</f>
        <v>0</v>
      </c>
    </row>
    <row r="73" customFormat="false" ht="16.5" hidden="false" customHeight="true" outlineLevel="0" collapsed="false">
      <c r="A73" s="21" t="s">
        <v>98</v>
      </c>
      <c r="B73" s="43" t="str">
        <f aca="false">项目清单!$B$7</f>
        <v>RD04</v>
      </c>
      <c r="C73" s="48" t="str">
        <f aca="false">IF($B73="","",IFERROR(VLOOKUP($B73,项目清单!$B$4:$C$13,2,0)&amp;"",""))</f>
        <v>超薄泡棉高精度分切及毛边控制技术研究</v>
      </c>
      <c r="D73" s="27" t="n">
        <f aca="false">SUMIFS(研发人员工时费用分配表!$Q$6:$Q$245,研发人员工时费用分配表!$A$6:$A$245,$A73)</f>
        <v>0</v>
      </c>
      <c r="E73" s="27" t="n">
        <f aca="false">SUMIFS(仪器设备工时费用分配表!$M$6:$M$245,仪器设备工时费用分配表!$A$6:$A$245,$A73,仪器设备工时费用分配表!$D$6:$D$245,"设备")</f>
        <v>0</v>
      </c>
      <c r="F73" s="27" t="n">
        <f aca="false">SUMIFS(无形资产费用分配表!$M$6:$M$125,无形资产费用分配表!$A$6:$A$125,$A73)</f>
        <v>0</v>
      </c>
      <c r="G73" s="27" t="n">
        <f aca="false">SUMIFS(其他研发费用!$F$4:$F$153,其他研发费用!$A$4:$A$153,$A73,其他研发费用!$B$4:$B$153,$B73,其他研发费用!$D$4:$D$153,"直接投入费用")</f>
        <v>0</v>
      </c>
      <c r="H73" s="27" t="n">
        <f aca="false">SUMIFS(其他研发费用!$F$4:$F$153,其他研发费用!$A$4:$A$153,$A73,其他研发费用!$B$4:$B$153,$B73,其他研发费用!$D$4:$D$153,"新产品设计费等")</f>
        <v>0</v>
      </c>
      <c r="I73" s="27" t="n">
        <f aca="false">SUMIFS(其他研发费用!$F$4:$F$153,其他研发费用!$A$4:$A$153,$A73,其他研发费用!$B$4:$B$153,$B73,其他研发费用!$D$4:$D$153,"其他相关费用")</f>
        <v>0</v>
      </c>
      <c r="J73" s="27" t="n">
        <f aca="false">SUMIFS(其他研发费用!$F$4:$F$153,其他研发费用!$A$4:$A$153,$A73,其他研发费用!$B$4:$B$153,$B73,其他研发费用!$D$4:$D$153,"委托外部研发费用")</f>
        <v>0</v>
      </c>
      <c r="K73" s="27" t="n">
        <f aca="false">ROUND(SUM(D73:J73),2)</f>
        <v>0</v>
      </c>
      <c r="L73" s="45" t="n">
        <f aca="false">SUMIFS(研发人员工时分配表!$K$6:$K$245,研发人员工时分配表!$A$6:$A$245,$A73)</f>
        <v>0</v>
      </c>
      <c r="M73" s="45" t="n">
        <f aca="false">SUMIFS(仪器设备工时分配表!$K$6:$K$245,仪器设备工时分配表!$A$6:$A$245,$A73)</f>
        <v>0</v>
      </c>
    </row>
    <row r="74" customFormat="false" ht="16.5" hidden="false" customHeight="true" outlineLevel="0" collapsed="false">
      <c r="A74" s="21" t="s">
        <v>98</v>
      </c>
      <c r="B74" s="43" t="str">
        <f aca="false">项目清单!$B$8</f>
        <v>RD05</v>
      </c>
      <c r="C74" s="48" t="str">
        <f aca="false">IF($B74="","",IFERROR(VLOOKUP($B74,项目清单!$B$4:$C$13,2,0)&amp;"",""))</f>
        <v>新能源汽车电池包用导热缓冲复合材料开发</v>
      </c>
      <c r="D74" s="27" t="n">
        <f aca="false">SUMIFS(研发人员工时费用分配表!$R$6:$R$245,研发人员工时费用分配表!$A$6:$A$245,$A74)</f>
        <v>0</v>
      </c>
      <c r="E74" s="27" t="n">
        <f aca="false">SUMIFS(仪器设备工时费用分配表!$N$6:$N$245,仪器设备工时费用分配表!$A$6:$A$245,$A74,仪器设备工时费用分配表!$D$6:$D$245,"设备")</f>
        <v>0</v>
      </c>
      <c r="F74" s="27" t="n">
        <f aca="false">SUMIFS(无形资产费用分配表!$N$6:$N$125,无形资产费用分配表!$A$6:$A$125,$A74)</f>
        <v>0</v>
      </c>
      <c r="G74" s="27" t="n">
        <f aca="false">SUMIFS(其他研发费用!$F$4:$F$153,其他研发费用!$A$4:$A$153,$A74,其他研发费用!$B$4:$B$153,$B74,其他研发费用!$D$4:$D$153,"直接投入费用")</f>
        <v>0</v>
      </c>
      <c r="H74" s="27" t="n">
        <f aca="false">SUMIFS(其他研发费用!$F$4:$F$153,其他研发费用!$A$4:$A$153,$A74,其他研发费用!$B$4:$B$153,$B74,其他研发费用!$D$4:$D$153,"新产品设计费等")</f>
        <v>0</v>
      </c>
      <c r="I74" s="27" t="n">
        <f aca="false">SUMIFS(其他研发费用!$F$4:$F$153,其他研发费用!$A$4:$A$153,$A74,其他研发费用!$B$4:$B$153,$B74,其他研发费用!$D$4:$D$153,"其他相关费用")</f>
        <v>0</v>
      </c>
      <c r="J74" s="27" t="n">
        <f aca="false">SUMIFS(其他研发费用!$F$4:$F$153,其他研发费用!$A$4:$A$153,$A74,其他研发费用!$B$4:$B$153,$B74,其他研发费用!$D$4:$D$153,"委托外部研发费用")</f>
        <v>0</v>
      </c>
      <c r="K74" s="27" t="n">
        <f aca="false">ROUND(SUM(D74:J74),2)</f>
        <v>0</v>
      </c>
      <c r="L74" s="45" t="n">
        <f aca="false">SUMIFS(研发人员工时分配表!$L$6:$L$245,研发人员工时分配表!$A$6:$A$245,$A74)</f>
        <v>0</v>
      </c>
      <c r="M74" s="45" t="n">
        <f aca="false">SUMIFS(仪器设备工时分配表!$L$6:$L$245,仪器设备工时分配表!$A$6:$A$245,$A74)</f>
        <v>0</v>
      </c>
    </row>
    <row r="75" customFormat="false" ht="16.5" hidden="false" customHeight="true" outlineLevel="0" collapsed="false">
      <c r="A75" s="21" t="s">
        <v>98</v>
      </c>
      <c r="B75" s="43" t="str">
        <f aca="false">项目清单!$B$9</f>
        <v>RD06</v>
      </c>
      <c r="C75" s="48" t="str">
        <f aca="false">IF($B75="","",IFERROR(VLOOKUP($B75,项目清单!$B$4:$C$13,2,0)&amp;"",""))</f>
        <v>3C电子用超薄黑色遮光泡棉制备技术</v>
      </c>
      <c r="D75" s="27" t="n">
        <f aca="false">SUMIFS(研发人员工时费用分配表!$S$6:$S$245,研发人员工时费用分配表!$A$6:$A$245,$A75)</f>
        <v>0</v>
      </c>
      <c r="E75" s="27" t="n">
        <f aca="false">SUMIFS(仪器设备工时费用分配表!$O$6:$O$245,仪器设备工时费用分配表!$A$6:$A$245,$A75,仪器设备工时费用分配表!$D$6:$D$245,"设备")</f>
        <v>0</v>
      </c>
      <c r="F75" s="27" t="n">
        <f aca="false">SUMIFS(无形资产费用分配表!$O$6:$O$125,无形资产费用分配表!$A$6:$A$125,$A75)</f>
        <v>0</v>
      </c>
      <c r="G75" s="27" t="n">
        <f aca="false">SUMIFS(其他研发费用!$F$4:$F$153,其他研发费用!$A$4:$A$153,$A75,其他研发费用!$B$4:$B$153,$B75,其他研发费用!$D$4:$D$153,"直接投入费用")</f>
        <v>0</v>
      </c>
      <c r="H75" s="27" t="n">
        <f aca="false">SUMIFS(其他研发费用!$F$4:$F$153,其他研发费用!$A$4:$A$153,$A75,其他研发费用!$B$4:$B$153,$B75,其他研发费用!$D$4:$D$153,"新产品设计费等")</f>
        <v>0</v>
      </c>
      <c r="I75" s="27" t="n">
        <f aca="false">SUMIFS(其他研发费用!$F$4:$F$153,其他研发费用!$A$4:$A$153,$A75,其他研发费用!$B$4:$B$153,$B75,其他研发费用!$D$4:$D$153,"其他相关费用")</f>
        <v>0</v>
      </c>
      <c r="J75" s="27" t="n">
        <f aca="false">SUMIFS(其他研发费用!$F$4:$F$153,其他研发费用!$A$4:$A$153,$A75,其他研发费用!$B$4:$B$153,$B75,其他研发费用!$D$4:$D$153,"委托外部研发费用")</f>
        <v>0</v>
      </c>
      <c r="K75" s="27" t="n">
        <f aca="false">ROUND(SUM(D75:J75),2)</f>
        <v>0</v>
      </c>
      <c r="L75" s="45" t="n">
        <f aca="false">SUMIFS(研发人员工时分配表!$M$6:$M$245,研发人员工时分配表!$A$6:$A$245,$A75)</f>
        <v>0</v>
      </c>
      <c r="M75" s="45" t="n">
        <f aca="false">SUMIFS(仪器设备工时分配表!$M$6:$M$245,仪器设备工时分配表!$A$6:$A$245,$A75)</f>
        <v>0</v>
      </c>
    </row>
    <row r="76" customFormat="false" ht="16.5" hidden="false" customHeight="true" outlineLevel="0" collapsed="false">
      <c r="A76" s="21" t="s">
        <v>98</v>
      </c>
      <c r="B76" s="43" t="str">
        <f aca="false">项目清单!$B$10</f>
        <v>RD07</v>
      </c>
      <c r="C76" s="48" t="str">
        <f aca="false">IF($B76="","",IFERROR(VLOOKUP($B76,项目清单!$B$4:$C$13,2,0)&amp;"",""))</f>
        <v>环保型水性胶泡棉贴合技术开发</v>
      </c>
      <c r="D76" s="27" t="n">
        <f aca="false">SUMIFS(研发人员工时费用分配表!$T$6:$T$245,研发人员工时费用分配表!$A$6:$A$245,$A76)</f>
        <v>0</v>
      </c>
      <c r="E76" s="27" t="n">
        <f aca="false">SUMIFS(仪器设备工时费用分配表!$P$6:$P$245,仪器设备工时费用分配表!$A$6:$A$245,$A76,仪器设备工时费用分配表!$D$6:$D$245,"设备")</f>
        <v>0</v>
      </c>
      <c r="F76" s="27" t="n">
        <f aca="false">SUMIFS(无形资产费用分配表!$P$6:$P$125,无形资产费用分配表!$A$6:$A$125,$A76)</f>
        <v>0</v>
      </c>
      <c r="G76" s="27" t="n">
        <f aca="false">SUMIFS(其他研发费用!$F$4:$F$153,其他研发费用!$A$4:$A$153,$A76,其他研发费用!$B$4:$B$153,$B76,其他研发费用!$D$4:$D$153,"直接投入费用")</f>
        <v>0</v>
      </c>
      <c r="H76" s="27" t="n">
        <f aca="false">SUMIFS(其他研发费用!$F$4:$F$153,其他研发费用!$A$4:$A$153,$A76,其他研发费用!$B$4:$B$153,$B76,其他研发费用!$D$4:$D$153,"新产品设计费等")</f>
        <v>0</v>
      </c>
      <c r="I76" s="27" t="n">
        <f aca="false">SUMIFS(其他研发费用!$F$4:$F$153,其他研发费用!$A$4:$A$153,$A76,其他研发费用!$B$4:$B$153,$B76,其他研发费用!$D$4:$D$153,"其他相关费用")</f>
        <v>0</v>
      </c>
      <c r="J76" s="27" t="n">
        <f aca="false">SUMIFS(其他研发费用!$F$4:$F$153,其他研发费用!$A$4:$A$153,$A76,其他研发费用!$B$4:$B$153,$B76,其他研发费用!$D$4:$D$153,"委托外部研发费用")</f>
        <v>0</v>
      </c>
      <c r="K76" s="27" t="n">
        <f aca="false">ROUND(SUM(D76:J76),2)</f>
        <v>0</v>
      </c>
      <c r="L76" s="45" t="n">
        <f aca="false">SUMIFS(研发人员工时分配表!$N$6:$N$245,研发人员工时分配表!$A$6:$A$245,$A76)</f>
        <v>0</v>
      </c>
      <c r="M76" s="45" t="n">
        <f aca="false">SUMIFS(仪器设备工时分配表!$N$6:$N$245,仪器设备工时分配表!$A$6:$A$245,$A76)</f>
        <v>0</v>
      </c>
    </row>
    <row r="77" customFormat="false" ht="16.5" hidden="false" customHeight="true" outlineLevel="0" collapsed="false">
      <c r="A77" s="21" t="s">
        <v>98</v>
      </c>
      <c r="B77" s="43" t="str">
        <f aca="false">项目清单!$B$11</f>
        <v>RD08</v>
      </c>
      <c r="C77" s="48" t="str">
        <f aca="false">IF($B77="","",IFERROR(VLOOKUP($B77,项目清单!$B$4:$C$13,2,0)&amp;"",""))</f>
        <v>泡棉模切自动化在线检测技术研究</v>
      </c>
      <c r="D77" s="27" t="n">
        <f aca="false">SUMIFS(研发人员工时费用分配表!$U$6:$U$245,研发人员工时费用分配表!$A$6:$A$245,$A77)</f>
        <v>0</v>
      </c>
      <c r="E77" s="27" t="n">
        <f aca="false">SUMIFS(仪器设备工时费用分配表!$Q$6:$Q$245,仪器设备工时费用分配表!$A$6:$A$245,$A77,仪器设备工时费用分配表!$D$6:$D$245,"设备")</f>
        <v>0</v>
      </c>
      <c r="F77" s="27" t="n">
        <f aca="false">SUMIFS(无形资产费用分配表!$Q$6:$Q$125,无形资产费用分配表!$A$6:$A$125,$A77)</f>
        <v>0</v>
      </c>
      <c r="G77" s="27" t="n">
        <f aca="false">SUMIFS(其他研发费用!$F$4:$F$153,其他研发费用!$A$4:$A$153,$A77,其他研发费用!$B$4:$B$153,$B77,其他研发费用!$D$4:$D$153,"直接投入费用")</f>
        <v>0</v>
      </c>
      <c r="H77" s="27" t="n">
        <f aca="false">SUMIFS(其他研发费用!$F$4:$F$153,其他研发费用!$A$4:$A$153,$A77,其他研发费用!$B$4:$B$153,$B77,其他研发费用!$D$4:$D$153,"新产品设计费等")</f>
        <v>0</v>
      </c>
      <c r="I77" s="27" t="n">
        <f aca="false">SUMIFS(其他研发费用!$F$4:$F$153,其他研发费用!$A$4:$A$153,$A77,其他研发费用!$B$4:$B$153,$B77,其他研发费用!$D$4:$D$153,"其他相关费用")</f>
        <v>0</v>
      </c>
      <c r="J77" s="27" t="n">
        <f aca="false">SUMIFS(其他研发费用!$F$4:$F$153,其他研发费用!$A$4:$A$153,$A77,其他研发费用!$B$4:$B$153,$B77,其他研发费用!$D$4:$D$153,"委托外部研发费用")</f>
        <v>0</v>
      </c>
      <c r="K77" s="27" t="n">
        <f aca="false">ROUND(SUM(D77:J77),2)</f>
        <v>0</v>
      </c>
      <c r="L77" s="45" t="n">
        <f aca="false">SUMIFS(研发人员工时分配表!$O$6:$O$245,研发人员工时分配表!$A$6:$A$245,$A77)</f>
        <v>0</v>
      </c>
      <c r="M77" s="45" t="n">
        <f aca="false">SUMIFS(仪器设备工时分配表!$O$6:$O$245,仪器设备工时分配表!$A$6:$A$245,$A77)</f>
        <v>0</v>
      </c>
    </row>
    <row r="78" customFormat="false" ht="16.5" hidden="false" customHeight="true" outlineLevel="0" collapsed="false">
      <c r="A78" s="21" t="s">
        <v>98</v>
      </c>
      <c r="B78" s="43" t="str">
        <f aca="false">项目清单!$B$12</f>
        <v>RD09</v>
      </c>
      <c r="C78" s="48" t="str">
        <f aca="false">IF($B78="","",IFERROR(VLOOKUP($B78,项目清单!$B$4:$C$13,2,0)&amp;"",""))</f>
        <v/>
      </c>
      <c r="D78" s="27" t="n">
        <f aca="false">SUMIFS(研发人员工时费用分配表!$V$6:$V$245,研发人员工时费用分配表!$A$6:$A$245,$A78)</f>
        <v>0</v>
      </c>
      <c r="E78" s="27" t="n">
        <f aca="false">SUMIFS(仪器设备工时费用分配表!$R$6:$R$245,仪器设备工时费用分配表!$A$6:$A$245,$A78,仪器设备工时费用分配表!$D$6:$D$245,"设备")</f>
        <v>0</v>
      </c>
      <c r="F78" s="27" t="n">
        <f aca="false">SUMIFS(无形资产费用分配表!$R$6:$R$125,无形资产费用分配表!$A$6:$A$125,$A78)</f>
        <v>0</v>
      </c>
      <c r="G78" s="27" t="n">
        <f aca="false">SUMIFS(其他研发费用!$F$4:$F$153,其他研发费用!$A$4:$A$153,$A78,其他研发费用!$B$4:$B$153,$B78,其他研发费用!$D$4:$D$153,"直接投入费用")</f>
        <v>0</v>
      </c>
      <c r="H78" s="27" t="n">
        <f aca="false">SUMIFS(其他研发费用!$F$4:$F$153,其他研发费用!$A$4:$A$153,$A78,其他研发费用!$B$4:$B$153,$B78,其他研发费用!$D$4:$D$153,"新产品设计费等")</f>
        <v>0</v>
      </c>
      <c r="I78" s="27" t="n">
        <f aca="false">SUMIFS(其他研发费用!$F$4:$F$153,其他研发费用!$A$4:$A$153,$A78,其他研发费用!$B$4:$B$153,$B78,其他研发费用!$D$4:$D$153,"其他相关费用")</f>
        <v>0</v>
      </c>
      <c r="J78" s="27" t="n">
        <f aca="false">SUMIFS(其他研发费用!$F$4:$F$153,其他研发费用!$A$4:$A$153,$A78,其他研发费用!$B$4:$B$153,$B78,其他研发费用!$D$4:$D$153,"委托外部研发费用")</f>
        <v>0</v>
      </c>
      <c r="K78" s="27" t="n">
        <f aca="false">ROUND(SUM(D78:J78),2)</f>
        <v>0</v>
      </c>
      <c r="L78" s="45" t="n">
        <f aca="false">SUMIFS(研发人员工时分配表!$P$6:$P$245,研发人员工时分配表!$A$6:$A$245,$A78)</f>
        <v>0</v>
      </c>
      <c r="M78" s="45" t="n">
        <f aca="false">SUMIFS(仪器设备工时分配表!$P$6:$P$245,仪器设备工时分配表!$A$6:$A$245,$A78)</f>
        <v>0</v>
      </c>
    </row>
    <row r="79" customFormat="false" ht="16.5" hidden="false" customHeight="true" outlineLevel="0" collapsed="false">
      <c r="A79" s="21" t="s">
        <v>98</v>
      </c>
      <c r="B79" s="43" t="str">
        <f aca="false">项目清单!$B$13</f>
        <v>RD10</v>
      </c>
      <c r="C79" s="48" t="str">
        <f aca="false">IF($B79="","",IFERROR(VLOOKUP($B79,项目清单!$B$4:$C$13,2,0)&amp;"",""))</f>
        <v/>
      </c>
      <c r="D79" s="27" t="n">
        <f aca="false">SUMIFS(研发人员工时费用分配表!$W$6:$W$245,研发人员工时费用分配表!$A$6:$A$245,$A79)</f>
        <v>0</v>
      </c>
      <c r="E79" s="27" t="n">
        <f aca="false">SUMIFS(仪器设备工时费用分配表!$S$6:$S$245,仪器设备工时费用分配表!$A$6:$A$245,$A79,仪器设备工时费用分配表!$D$6:$D$245,"设备")</f>
        <v>0</v>
      </c>
      <c r="F79" s="27" t="n">
        <f aca="false">SUMIFS(无形资产费用分配表!$S$6:$S$125,无形资产费用分配表!$A$6:$A$125,$A79)</f>
        <v>0</v>
      </c>
      <c r="G79" s="27" t="n">
        <f aca="false">SUMIFS(其他研发费用!$F$4:$F$153,其他研发费用!$A$4:$A$153,$A79,其他研发费用!$B$4:$B$153,$B79,其他研发费用!$D$4:$D$153,"直接投入费用")</f>
        <v>0</v>
      </c>
      <c r="H79" s="27" t="n">
        <f aca="false">SUMIFS(其他研发费用!$F$4:$F$153,其他研发费用!$A$4:$A$153,$A79,其他研发费用!$B$4:$B$153,$B79,其他研发费用!$D$4:$D$153,"新产品设计费等")</f>
        <v>0</v>
      </c>
      <c r="I79" s="27" t="n">
        <f aca="false">SUMIFS(其他研发费用!$F$4:$F$153,其他研发费用!$A$4:$A$153,$A79,其他研发费用!$B$4:$B$153,$B79,其他研发费用!$D$4:$D$153,"其他相关费用")</f>
        <v>0</v>
      </c>
      <c r="J79" s="27" t="n">
        <f aca="false">SUMIFS(其他研发费用!$F$4:$F$153,其他研发费用!$A$4:$A$153,$A79,其他研发费用!$B$4:$B$153,$B79,其他研发费用!$D$4:$D$153,"委托外部研发费用")</f>
        <v>0</v>
      </c>
      <c r="K79" s="27" t="n">
        <f aca="false">ROUND(SUM(D79:J79),2)</f>
        <v>0</v>
      </c>
      <c r="L79" s="45" t="n">
        <f aca="false">SUMIFS(研发人员工时分配表!$Q$6:$Q$245,研发人员工时分配表!$A$6:$A$245,$A79)</f>
        <v>0</v>
      </c>
      <c r="M79" s="45" t="n">
        <f aca="false">SUMIFS(仪器设备工时分配表!$Q$6:$Q$245,仪器设备工时分配表!$A$6:$A$245,$A79)</f>
        <v>0</v>
      </c>
    </row>
    <row r="80" customFormat="false" ht="18" hidden="false" customHeight="true" outlineLevel="0" collapsed="false">
      <c r="A80" s="50" t="s">
        <v>98</v>
      </c>
      <c r="B80" s="30"/>
      <c r="C80" s="30" t="s">
        <v>295</v>
      </c>
      <c r="D80" s="31" t="n">
        <f aca="false">ROUND(SUM(D70:D79),2)</f>
        <v>0</v>
      </c>
      <c r="E80" s="31" t="n">
        <f aca="false">ROUND(SUM(E70:E79),2)</f>
        <v>0</v>
      </c>
      <c r="F80" s="31" t="n">
        <f aca="false">ROUND(SUM(F70:F79),2)</f>
        <v>0</v>
      </c>
      <c r="G80" s="31" t="n">
        <f aca="false">ROUND(SUM(G70:G79),2)</f>
        <v>0</v>
      </c>
      <c r="H80" s="31" t="n">
        <f aca="false">ROUND(SUM(H70:H79),2)</f>
        <v>0</v>
      </c>
      <c r="I80" s="31" t="n">
        <f aca="false">ROUND(SUM(I70:I79),2)</f>
        <v>0</v>
      </c>
      <c r="J80" s="31" t="n">
        <f aca="false">ROUND(SUM(J70:J79),2)</f>
        <v>0</v>
      </c>
      <c r="K80" s="31" t="n">
        <f aca="false">ROUND(SUM(K70:K79),2)</f>
        <v>0</v>
      </c>
      <c r="L80" s="51" t="n">
        <f aca="false">ROUND(SUM(L70:L79),2)</f>
        <v>0</v>
      </c>
      <c r="M80" s="51" t="n">
        <f aca="false">ROUND(SUM(M70:M79),2)</f>
        <v>0</v>
      </c>
    </row>
    <row r="81" customFormat="false" ht="16.5" hidden="false" customHeight="true" outlineLevel="0" collapsed="false">
      <c r="A81" s="21" t="s">
        <v>99</v>
      </c>
      <c r="B81" s="43" t="str">
        <f aca="false">项目清单!$B$4</f>
        <v>RD01</v>
      </c>
      <c r="C81" s="48" t="str">
        <f aca="false">IF($B81="","",IFERROR(VLOOKUP($B81,项目清单!$B$4:$C$13,2,0)&amp;"",""))</f>
        <v>高回弹低压缩永久变形3C用聚氨酯泡棉开发</v>
      </c>
      <c r="D81" s="27" t="n">
        <f aca="false">SUMIFS(研发人员工时费用分配表!$N$6:$N$245,研发人员工时费用分配表!$A$6:$A$245,$A81)</f>
        <v>0</v>
      </c>
      <c r="E81" s="27" t="n">
        <f aca="false">SUMIFS(仪器设备工时费用分配表!$J$6:$J$245,仪器设备工时费用分配表!$A$6:$A$245,$A81,仪器设备工时费用分配表!$D$6:$D$245,"设备")</f>
        <v>0</v>
      </c>
      <c r="F81" s="27" t="n">
        <f aca="false">SUMIFS(无形资产费用分配表!$J$6:$J$125,无形资产费用分配表!$A$6:$A$125,$A81)</f>
        <v>0</v>
      </c>
      <c r="G81" s="27" t="n">
        <f aca="false">SUMIFS(其他研发费用!$F$4:$F$153,其他研发费用!$A$4:$A$153,$A81,其他研发费用!$B$4:$B$153,$B81,其他研发费用!$D$4:$D$153,"直接投入费用")</f>
        <v>0</v>
      </c>
      <c r="H81" s="27" t="n">
        <f aca="false">SUMIFS(其他研发费用!$F$4:$F$153,其他研发费用!$A$4:$A$153,$A81,其他研发费用!$B$4:$B$153,$B81,其他研发费用!$D$4:$D$153,"新产品设计费等")</f>
        <v>0</v>
      </c>
      <c r="I81" s="27" t="n">
        <f aca="false">SUMIFS(其他研发费用!$F$4:$F$153,其他研发费用!$A$4:$A$153,$A81,其他研发费用!$B$4:$B$153,$B81,其他研发费用!$D$4:$D$153,"其他相关费用")</f>
        <v>0</v>
      </c>
      <c r="J81" s="27" t="n">
        <f aca="false">SUMIFS(其他研发费用!$F$4:$F$153,其他研发费用!$A$4:$A$153,$A81,其他研发费用!$B$4:$B$153,$B81,其他研发费用!$D$4:$D$153,"委托外部研发费用")</f>
        <v>0</v>
      </c>
      <c r="K81" s="27" t="n">
        <f aca="false">ROUND(SUM(D81:J81),2)</f>
        <v>0</v>
      </c>
      <c r="L81" s="45" t="n">
        <f aca="false">SUMIFS(研发人员工时分配表!$H$6:$H$245,研发人员工时分配表!$A$6:$A$245,$A81)</f>
        <v>0</v>
      </c>
      <c r="M81" s="45" t="n">
        <f aca="false">SUMIFS(仪器设备工时分配表!$H$6:$H$245,仪器设备工时分配表!$A$6:$A$245,$A81)</f>
        <v>0</v>
      </c>
    </row>
    <row r="82" customFormat="false" ht="16.5" hidden="false" customHeight="true" outlineLevel="0" collapsed="false">
      <c r="A82" s="21" t="s">
        <v>99</v>
      </c>
      <c r="B82" s="43" t="str">
        <f aca="false">项目清单!$B$5</f>
        <v>RD02</v>
      </c>
      <c r="C82" s="48" t="str">
        <f aca="false">IF($B82="","",IFERROR(VLOOKUP($B82,项目清单!$B$4:$C$13,2,0)&amp;"",""))</f>
        <v>动力电池模组用高阻燃缓冲泡棉研发</v>
      </c>
      <c r="D82" s="27" t="n">
        <f aca="false">SUMIFS(研发人员工时费用分配表!$O$6:$O$245,研发人员工时费用分配表!$A$6:$A$245,$A82)</f>
        <v>0</v>
      </c>
      <c r="E82" s="27" t="n">
        <f aca="false">SUMIFS(仪器设备工时费用分配表!$K$6:$K$245,仪器设备工时费用分配表!$A$6:$A$245,$A82,仪器设备工时费用分配表!$D$6:$D$245,"设备")</f>
        <v>0</v>
      </c>
      <c r="F82" s="27" t="n">
        <f aca="false">SUMIFS(无形资产费用分配表!$K$6:$K$125,无形资产费用分配表!$A$6:$A$125,$A82)</f>
        <v>0</v>
      </c>
      <c r="G82" s="27" t="n">
        <f aca="false">SUMIFS(其他研发费用!$F$4:$F$153,其他研发费用!$A$4:$A$153,$A82,其他研发费用!$B$4:$B$153,$B82,其他研发费用!$D$4:$D$153,"直接投入费用")</f>
        <v>0</v>
      </c>
      <c r="H82" s="27" t="n">
        <f aca="false">SUMIFS(其他研发费用!$F$4:$F$153,其他研发费用!$A$4:$A$153,$A82,其他研发费用!$B$4:$B$153,$B82,其他研发费用!$D$4:$D$153,"新产品设计费等")</f>
        <v>0</v>
      </c>
      <c r="I82" s="27" t="n">
        <f aca="false">SUMIFS(其他研发费用!$F$4:$F$153,其他研发费用!$A$4:$A$153,$A82,其他研发费用!$B$4:$B$153,$B82,其他研发费用!$D$4:$D$153,"其他相关费用")</f>
        <v>0</v>
      </c>
      <c r="J82" s="27" t="n">
        <f aca="false">SUMIFS(其他研发费用!$F$4:$F$153,其他研发费用!$A$4:$A$153,$A82,其他研发费用!$B$4:$B$153,$B82,其他研发费用!$D$4:$D$153,"委托外部研发费用")</f>
        <v>0</v>
      </c>
      <c r="K82" s="27" t="n">
        <f aca="false">ROUND(SUM(D82:J82),2)</f>
        <v>0</v>
      </c>
      <c r="L82" s="45" t="n">
        <f aca="false">SUMIFS(研发人员工时分配表!$I$6:$I$245,研发人员工时分配表!$A$6:$A$245,$A82)</f>
        <v>0</v>
      </c>
      <c r="M82" s="45" t="n">
        <f aca="false">SUMIFS(仪器设备工时分配表!$I$6:$I$245,仪器设备工时分配表!$A$6:$A$245,$A82)</f>
        <v>0</v>
      </c>
    </row>
    <row r="83" customFormat="false" ht="16.5" hidden="false" customHeight="true" outlineLevel="0" collapsed="false">
      <c r="A83" s="21" t="s">
        <v>99</v>
      </c>
      <c r="B83" s="43" t="str">
        <f aca="false">项目清单!$B$6</f>
        <v>RD03</v>
      </c>
      <c r="C83" s="48" t="str">
        <f aca="false">IF($B83="","",IFERROR(VLOOKUP($B83,项目清单!$B$4:$C$13,2,0)&amp;"",""))</f>
        <v>泡棉与PET基材无溶剂贴合工艺开发</v>
      </c>
      <c r="D83" s="27" t="n">
        <f aca="false">SUMIFS(研发人员工时费用分配表!$P$6:$P$245,研发人员工时费用分配表!$A$6:$A$245,$A83)</f>
        <v>0</v>
      </c>
      <c r="E83" s="27" t="n">
        <f aca="false">SUMIFS(仪器设备工时费用分配表!$L$6:$L$245,仪器设备工时费用分配表!$A$6:$A$245,$A83,仪器设备工时费用分配表!$D$6:$D$245,"设备")</f>
        <v>0</v>
      </c>
      <c r="F83" s="27" t="n">
        <f aca="false">SUMIFS(无形资产费用分配表!$L$6:$L$125,无形资产费用分配表!$A$6:$A$125,$A83)</f>
        <v>0</v>
      </c>
      <c r="G83" s="27" t="n">
        <f aca="false">SUMIFS(其他研发费用!$F$4:$F$153,其他研发费用!$A$4:$A$153,$A83,其他研发费用!$B$4:$B$153,$B83,其他研发费用!$D$4:$D$153,"直接投入费用")</f>
        <v>0</v>
      </c>
      <c r="H83" s="27" t="n">
        <f aca="false">SUMIFS(其他研发费用!$F$4:$F$153,其他研发费用!$A$4:$A$153,$A83,其他研发费用!$B$4:$B$153,$B83,其他研发费用!$D$4:$D$153,"新产品设计费等")</f>
        <v>0</v>
      </c>
      <c r="I83" s="27" t="n">
        <f aca="false">SUMIFS(其他研发费用!$F$4:$F$153,其他研发费用!$A$4:$A$153,$A83,其他研发费用!$B$4:$B$153,$B83,其他研发费用!$D$4:$D$153,"其他相关费用")</f>
        <v>0</v>
      </c>
      <c r="J83" s="27" t="n">
        <f aca="false">SUMIFS(其他研发费用!$F$4:$F$153,其他研发费用!$A$4:$A$153,$A83,其他研发费用!$B$4:$B$153,$B83,其他研发费用!$D$4:$D$153,"委托外部研发费用")</f>
        <v>0</v>
      </c>
      <c r="K83" s="27" t="n">
        <f aca="false">ROUND(SUM(D83:J83),2)</f>
        <v>0</v>
      </c>
      <c r="L83" s="45" t="n">
        <f aca="false">SUMIFS(研发人员工时分配表!$J$6:$J$245,研发人员工时分配表!$A$6:$A$245,$A83)</f>
        <v>0</v>
      </c>
      <c r="M83" s="45" t="n">
        <f aca="false">SUMIFS(仪器设备工时分配表!$J$6:$J$245,仪器设备工时分配表!$A$6:$A$245,$A83)</f>
        <v>0</v>
      </c>
    </row>
    <row r="84" customFormat="false" ht="16.5" hidden="false" customHeight="true" outlineLevel="0" collapsed="false">
      <c r="A84" s="21" t="s">
        <v>99</v>
      </c>
      <c r="B84" s="43" t="str">
        <f aca="false">项目清单!$B$7</f>
        <v>RD04</v>
      </c>
      <c r="C84" s="48" t="str">
        <f aca="false">IF($B84="","",IFERROR(VLOOKUP($B84,项目清单!$B$4:$C$13,2,0)&amp;"",""))</f>
        <v>超薄泡棉高精度分切及毛边控制技术研究</v>
      </c>
      <c r="D84" s="27" t="n">
        <f aca="false">SUMIFS(研发人员工时费用分配表!$Q$6:$Q$245,研发人员工时费用分配表!$A$6:$A$245,$A84)</f>
        <v>0</v>
      </c>
      <c r="E84" s="27" t="n">
        <f aca="false">SUMIFS(仪器设备工时费用分配表!$M$6:$M$245,仪器设备工时费用分配表!$A$6:$A$245,$A84,仪器设备工时费用分配表!$D$6:$D$245,"设备")</f>
        <v>0</v>
      </c>
      <c r="F84" s="27" t="n">
        <f aca="false">SUMIFS(无形资产费用分配表!$M$6:$M$125,无形资产费用分配表!$A$6:$A$125,$A84)</f>
        <v>0</v>
      </c>
      <c r="G84" s="27" t="n">
        <f aca="false">SUMIFS(其他研发费用!$F$4:$F$153,其他研发费用!$A$4:$A$153,$A84,其他研发费用!$B$4:$B$153,$B84,其他研发费用!$D$4:$D$153,"直接投入费用")</f>
        <v>0</v>
      </c>
      <c r="H84" s="27" t="n">
        <f aca="false">SUMIFS(其他研发费用!$F$4:$F$153,其他研发费用!$A$4:$A$153,$A84,其他研发费用!$B$4:$B$153,$B84,其他研发费用!$D$4:$D$153,"新产品设计费等")</f>
        <v>0</v>
      </c>
      <c r="I84" s="27" t="n">
        <f aca="false">SUMIFS(其他研发费用!$F$4:$F$153,其他研发费用!$A$4:$A$153,$A84,其他研发费用!$B$4:$B$153,$B84,其他研发费用!$D$4:$D$153,"其他相关费用")</f>
        <v>0</v>
      </c>
      <c r="J84" s="27" t="n">
        <f aca="false">SUMIFS(其他研发费用!$F$4:$F$153,其他研发费用!$A$4:$A$153,$A84,其他研发费用!$B$4:$B$153,$B84,其他研发费用!$D$4:$D$153,"委托外部研发费用")</f>
        <v>0</v>
      </c>
      <c r="K84" s="27" t="n">
        <f aca="false">ROUND(SUM(D84:J84),2)</f>
        <v>0</v>
      </c>
      <c r="L84" s="45" t="n">
        <f aca="false">SUMIFS(研发人员工时分配表!$K$6:$K$245,研发人员工时分配表!$A$6:$A$245,$A84)</f>
        <v>0</v>
      </c>
      <c r="M84" s="45" t="n">
        <f aca="false">SUMIFS(仪器设备工时分配表!$K$6:$K$245,仪器设备工时分配表!$A$6:$A$245,$A84)</f>
        <v>0</v>
      </c>
    </row>
    <row r="85" customFormat="false" ht="16.5" hidden="false" customHeight="true" outlineLevel="0" collapsed="false">
      <c r="A85" s="21" t="s">
        <v>99</v>
      </c>
      <c r="B85" s="43" t="str">
        <f aca="false">项目清单!$B$8</f>
        <v>RD05</v>
      </c>
      <c r="C85" s="48" t="str">
        <f aca="false">IF($B85="","",IFERROR(VLOOKUP($B85,项目清单!$B$4:$C$13,2,0)&amp;"",""))</f>
        <v>新能源汽车电池包用导热缓冲复合材料开发</v>
      </c>
      <c r="D85" s="27" t="n">
        <f aca="false">SUMIFS(研发人员工时费用分配表!$R$6:$R$245,研发人员工时费用分配表!$A$6:$A$245,$A85)</f>
        <v>0</v>
      </c>
      <c r="E85" s="27" t="n">
        <f aca="false">SUMIFS(仪器设备工时费用分配表!$N$6:$N$245,仪器设备工时费用分配表!$A$6:$A$245,$A85,仪器设备工时费用分配表!$D$6:$D$245,"设备")</f>
        <v>0</v>
      </c>
      <c r="F85" s="27" t="n">
        <f aca="false">SUMIFS(无形资产费用分配表!$N$6:$N$125,无形资产费用分配表!$A$6:$A$125,$A85)</f>
        <v>0</v>
      </c>
      <c r="G85" s="27" t="n">
        <f aca="false">SUMIFS(其他研发费用!$F$4:$F$153,其他研发费用!$A$4:$A$153,$A85,其他研发费用!$B$4:$B$153,$B85,其他研发费用!$D$4:$D$153,"直接投入费用")</f>
        <v>0</v>
      </c>
      <c r="H85" s="27" t="n">
        <f aca="false">SUMIFS(其他研发费用!$F$4:$F$153,其他研发费用!$A$4:$A$153,$A85,其他研发费用!$B$4:$B$153,$B85,其他研发费用!$D$4:$D$153,"新产品设计费等")</f>
        <v>0</v>
      </c>
      <c r="I85" s="27" t="n">
        <f aca="false">SUMIFS(其他研发费用!$F$4:$F$153,其他研发费用!$A$4:$A$153,$A85,其他研发费用!$B$4:$B$153,$B85,其他研发费用!$D$4:$D$153,"其他相关费用")</f>
        <v>0</v>
      </c>
      <c r="J85" s="27" t="n">
        <f aca="false">SUMIFS(其他研发费用!$F$4:$F$153,其他研发费用!$A$4:$A$153,$A85,其他研发费用!$B$4:$B$153,$B85,其他研发费用!$D$4:$D$153,"委托外部研发费用")</f>
        <v>0</v>
      </c>
      <c r="K85" s="27" t="n">
        <f aca="false">ROUND(SUM(D85:J85),2)</f>
        <v>0</v>
      </c>
      <c r="L85" s="45" t="n">
        <f aca="false">SUMIFS(研发人员工时分配表!$L$6:$L$245,研发人员工时分配表!$A$6:$A$245,$A85)</f>
        <v>0</v>
      </c>
      <c r="M85" s="45" t="n">
        <f aca="false">SUMIFS(仪器设备工时分配表!$L$6:$L$245,仪器设备工时分配表!$A$6:$A$245,$A85)</f>
        <v>0</v>
      </c>
    </row>
    <row r="86" customFormat="false" ht="16.5" hidden="false" customHeight="true" outlineLevel="0" collapsed="false">
      <c r="A86" s="21" t="s">
        <v>99</v>
      </c>
      <c r="B86" s="43" t="str">
        <f aca="false">项目清单!$B$9</f>
        <v>RD06</v>
      </c>
      <c r="C86" s="48" t="str">
        <f aca="false">IF($B86="","",IFERROR(VLOOKUP($B86,项目清单!$B$4:$C$13,2,0)&amp;"",""))</f>
        <v>3C电子用超薄黑色遮光泡棉制备技术</v>
      </c>
      <c r="D86" s="27" t="n">
        <f aca="false">SUMIFS(研发人员工时费用分配表!$S$6:$S$245,研发人员工时费用分配表!$A$6:$A$245,$A86)</f>
        <v>0</v>
      </c>
      <c r="E86" s="27" t="n">
        <f aca="false">SUMIFS(仪器设备工时费用分配表!$O$6:$O$245,仪器设备工时费用分配表!$A$6:$A$245,$A86,仪器设备工时费用分配表!$D$6:$D$245,"设备")</f>
        <v>0</v>
      </c>
      <c r="F86" s="27" t="n">
        <f aca="false">SUMIFS(无形资产费用分配表!$O$6:$O$125,无形资产费用分配表!$A$6:$A$125,$A86)</f>
        <v>0</v>
      </c>
      <c r="G86" s="27" t="n">
        <f aca="false">SUMIFS(其他研发费用!$F$4:$F$153,其他研发费用!$A$4:$A$153,$A86,其他研发费用!$B$4:$B$153,$B86,其他研发费用!$D$4:$D$153,"直接投入费用")</f>
        <v>0</v>
      </c>
      <c r="H86" s="27" t="n">
        <f aca="false">SUMIFS(其他研发费用!$F$4:$F$153,其他研发费用!$A$4:$A$153,$A86,其他研发费用!$B$4:$B$153,$B86,其他研发费用!$D$4:$D$153,"新产品设计费等")</f>
        <v>0</v>
      </c>
      <c r="I86" s="27" t="n">
        <f aca="false">SUMIFS(其他研发费用!$F$4:$F$153,其他研发费用!$A$4:$A$153,$A86,其他研发费用!$B$4:$B$153,$B86,其他研发费用!$D$4:$D$153,"其他相关费用")</f>
        <v>0</v>
      </c>
      <c r="J86" s="27" t="n">
        <f aca="false">SUMIFS(其他研发费用!$F$4:$F$153,其他研发费用!$A$4:$A$153,$A86,其他研发费用!$B$4:$B$153,$B86,其他研发费用!$D$4:$D$153,"委托外部研发费用")</f>
        <v>0</v>
      </c>
      <c r="K86" s="27" t="n">
        <f aca="false">ROUND(SUM(D86:J86),2)</f>
        <v>0</v>
      </c>
      <c r="L86" s="45" t="n">
        <f aca="false">SUMIFS(研发人员工时分配表!$M$6:$M$245,研发人员工时分配表!$A$6:$A$245,$A86)</f>
        <v>0</v>
      </c>
      <c r="M86" s="45" t="n">
        <f aca="false">SUMIFS(仪器设备工时分配表!$M$6:$M$245,仪器设备工时分配表!$A$6:$A$245,$A86)</f>
        <v>0</v>
      </c>
    </row>
    <row r="87" customFormat="false" ht="16.5" hidden="false" customHeight="true" outlineLevel="0" collapsed="false">
      <c r="A87" s="21" t="s">
        <v>99</v>
      </c>
      <c r="B87" s="43" t="str">
        <f aca="false">项目清单!$B$10</f>
        <v>RD07</v>
      </c>
      <c r="C87" s="48" t="str">
        <f aca="false">IF($B87="","",IFERROR(VLOOKUP($B87,项目清单!$B$4:$C$13,2,0)&amp;"",""))</f>
        <v>环保型水性胶泡棉贴合技术开发</v>
      </c>
      <c r="D87" s="27" t="n">
        <f aca="false">SUMIFS(研发人员工时费用分配表!$T$6:$T$245,研发人员工时费用分配表!$A$6:$A$245,$A87)</f>
        <v>0</v>
      </c>
      <c r="E87" s="27" t="n">
        <f aca="false">SUMIFS(仪器设备工时费用分配表!$P$6:$P$245,仪器设备工时费用分配表!$A$6:$A$245,$A87,仪器设备工时费用分配表!$D$6:$D$245,"设备")</f>
        <v>0</v>
      </c>
      <c r="F87" s="27" t="n">
        <f aca="false">SUMIFS(无形资产费用分配表!$P$6:$P$125,无形资产费用分配表!$A$6:$A$125,$A87)</f>
        <v>0</v>
      </c>
      <c r="G87" s="27" t="n">
        <f aca="false">SUMIFS(其他研发费用!$F$4:$F$153,其他研发费用!$A$4:$A$153,$A87,其他研发费用!$B$4:$B$153,$B87,其他研发费用!$D$4:$D$153,"直接投入费用")</f>
        <v>0</v>
      </c>
      <c r="H87" s="27" t="n">
        <f aca="false">SUMIFS(其他研发费用!$F$4:$F$153,其他研发费用!$A$4:$A$153,$A87,其他研发费用!$B$4:$B$153,$B87,其他研发费用!$D$4:$D$153,"新产品设计费等")</f>
        <v>0</v>
      </c>
      <c r="I87" s="27" t="n">
        <f aca="false">SUMIFS(其他研发费用!$F$4:$F$153,其他研发费用!$A$4:$A$153,$A87,其他研发费用!$B$4:$B$153,$B87,其他研发费用!$D$4:$D$153,"其他相关费用")</f>
        <v>0</v>
      </c>
      <c r="J87" s="27" t="n">
        <f aca="false">SUMIFS(其他研发费用!$F$4:$F$153,其他研发费用!$A$4:$A$153,$A87,其他研发费用!$B$4:$B$153,$B87,其他研发费用!$D$4:$D$153,"委托外部研发费用")</f>
        <v>0</v>
      </c>
      <c r="K87" s="27" t="n">
        <f aca="false">ROUND(SUM(D87:J87),2)</f>
        <v>0</v>
      </c>
      <c r="L87" s="45" t="n">
        <f aca="false">SUMIFS(研发人员工时分配表!$N$6:$N$245,研发人员工时分配表!$A$6:$A$245,$A87)</f>
        <v>0</v>
      </c>
      <c r="M87" s="45" t="n">
        <f aca="false">SUMIFS(仪器设备工时分配表!$N$6:$N$245,仪器设备工时分配表!$A$6:$A$245,$A87)</f>
        <v>0</v>
      </c>
    </row>
    <row r="88" customFormat="false" ht="16.5" hidden="false" customHeight="true" outlineLevel="0" collapsed="false">
      <c r="A88" s="21" t="s">
        <v>99</v>
      </c>
      <c r="B88" s="43" t="str">
        <f aca="false">项目清单!$B$11</f>
        <v>RD08</v>
      </c>
      <c r="C88" s="48" t="str">
        <f aca="false">IF($B88="","",IFERROR(VLOOKUP($B88,项目清单!$B$4:$C$13,2,0)&amp;"",""))</f>
        <v>泡棉模切自动化在线检测技术研究</v>
      </c>
      <c r="D88" s="27" t="n">
        <f aca="false">SUMIFS(研发人员工时费用分配表!$U$6:$U$245,研发人员工时费用分配表!$A$6:$A$245,$A88)</f>
        <v>0</v>
      </c>
      <c r="E88" s="27" t="n">
        <f aca="false">SUMIFS(仪器设备工时费用分配表!$Q$6:$Q$245,仪器设备工时费用分配表!$A$6:$A$245,$A88,仪器设备工时费用分配表!$D$6:$D$245,"设备")</f>
        <v>0</v>
      </c>
      <c r="F88" s="27" t="n">
        <f aca="false">SUMIFS(无形资产费用分配表!$Q$6:$Q$125,无形资产费用分配表!$A$6:$A$125,$A88)</f>
        <v>0</v>
      </c>
      <c r="G88" s="27" t="n">
        <f aca="false">SUMIFS(其他研发费用!$F$4:$F$153,其他研发费用!$A$4:$A$153,$A88,其他研发费用!$B$4:$B$153,$B88,其他研发费用!$D$4:$D$153,"直接投入费用")</f>
        <v>0</v>
      </c>
      <c r="H88" s="27" t="n">
        <f aca="false">SUMIFS(其他研发费用!$F$4:$F$153,其他研发费用!$A$4:$A$153,$A88,其他研发费用!$B$4:$B$153,$B88,其他研发费用!$D$4:$D$153,"新产品设计费等")</f>
        <v>0</v>
      </c>
      <c r="I88" s="27" t="n">
        <f aca="false">SUMIFS(其他研发费用!$F$4:$F$153,其他研发费用!$A$4:$A$153,$A88,其他研发费用!$B$4:$B$153,$B88,其他研发费用!$D$4:$D$153,"其他相关费用")</f>
        <v>0</v>
      </c>
      <c r="J88" s="27" t="n">
        <f aca="false">SUMIFS(其他研发费用!$F$4:$F$153,其他研发费用!$A$4:$A$153,$A88,其他研发费用!$B$4:$B$153,$B88,其他研发费用!$D$4:$D$153,"委托外部研发费用")</f>
        <v>0</v>
      </c>
      <c r="K88" s="27" t="n">
        <f aca="false">ROUND(SUM(D88:J88),2)</f>
        <v>0</v>
      </c>
      <c r="L88" s="45" t="n">
        <f aca="false">SUMIFS(研发人员工时分配表!$O$6:$O$245,研发人员工时分配表!$A$6:$A$245,$A88)</f>
        <v>0</v>
      </c>
      <c r="M88" s="45" t="n">
        <f aca="false">SUMIFS(仪器设备工时分配表!$O$6:$O$245,仪器设备工时分配表!$A$6:$A$245,$A88)</f>
        <v>0</v>
      </c>
    </row>
    <row r="89" customFormat="false" ht="16.5" hidden="false" customHeight="true" outlineLevel="0" collapsed="false">
      <c r="A89" s="21" t="s">
        <v>99</v>
      </c>
      <c r="B89" s="43" t="str">
        <f aca="false">项目清单!$B$12</f>
        <v>RD09</v>
      </c>
      <c r="C89" s="48" t="str">
        <f aca="false">IF($B89="","",IFERROR(VLOOKUP($B89,项目清单!$B$4:$C$13,2,0)&amp;"",""))</f>
        <v/>
      </c>
      <c r="D89" s="27" t="n">
        <f aca="false">SUMIFS(研发人员工时费用分配表!$V$6:$V$245,研发人员工时费用分配表!$A$6:$A$245,$A89)</f>
        <v>0</v>
      </c>
      <c r="E89" s="27" t="n">
        <f aca="false">SUMIFS(仪器设备工时费用分配表!$R$6:$R$245,仪器设备工时费用分配表!$A$6:$A$245,$A89,仪器设备工时费用分配表!$D$6:$D$245,"设备")</f>
        <v>0</v>
      </c>
      <c r="F89" s="27" t="n">
        <f aca="false">SUMIFS(无形资产费用分配表!$R$6:$R$125,无形资产费用分配表!$A$6:$A$125,$A89)</f>
        <v>0</v>
      </c>
      <c r="G89" s="27" t="n">
        <f aca="false">SUMIFS(其他研发费用!$F$4:$F$153,其他研发费用!$A$4:$A$153,$A89,其他研发费用!$B$4:$B$153,$B89,其他研发费用!$D$4:$D$153,"直接投入费用")</f>
        <v>0</v>
      </c>
      <c r="H89" s="27" t="n">
        <f aca="false">SUMIFS(其他研发费用!$F$4:$F$153,其他研发费用!$A$4:$A$153,$A89,其他研发费用!$B$4:$B$153,$B89,其他研发费用!$D$4:$D$153,"新产品设计费等")</f>
        <v>0</v>
      </c>
      <c r="I89" s="27" t="n">
        <f aca="false">SUMIFS(其他研发费用!$F$4:$F$153,其他研发费用!$A$4:$A$153,$A89,其他研发费用!$B$4:$B$153,$B89,其他研发费用!$D$4:$D$153,"其他相关费用")</f>
        <v>0</v>
      </c>
      <c r="J89" s="27" t="n">
        <f aca="false">SUMIFS(其他研发费用!$F$4:$F$153,其他研发费用!$A$4:$A$153,$A89,其他研发费用!$B$4:$B$153,$B89,其他研发费用!$D$4:$D$153,"委托外部研发费用")</f>
        <v>0</v>
      </c>
      <c r="K89" s="27" t="n">
        <f aca="false">ROUND(SUM(D89:J89),2)</f>
        <v>0</v>
      </c>
      <c r="L89" s="45" t="n">
        <f aca="false">SUMIFS(研发人员工时分配表!$P$6:$P$245,研发人员工时分配表!$A$6:$A$245,$A89)</f>
        <v>0</v>
      </c>
      <c r="M89" s="45" t="n">
        <f aca="false">SUMIFS(仪器设备工时分配表!$P$6:$P$245,仪器设备工时分配表!$A$6:$A$245,$A89)</f>
        <v>0</v>
      </c>
    </row>
    <row r="90" customFormat="false" ht="16.5" hidden="false" customHeight="true" outlineLevel="0" collapsed="false">
      <c r="A90" s="21" t="s">
        <v>99</v>
      </c>
      <c r="B90" s="43" t="str">
        <f aca="false">项目清单!$B$13</f>
        <v>RD10</v>
      </c>
      <c r="C90" s="48" t="str">
        <f aca="false">IF($B90="","",IFERROR(VLOOKUP($B90,项目清单!$B$4:$C$13,2,0)&amp;"",""))</f>
        <v/>
      </c>
      <c r="D90" s="27" t="n">
        <f aca="false">SUMIFS(研发人员工时费用分配表!$W$6:$W$245,研发人员工时费用分配表!$A$6:$A$245,$A90)</f>
        <v>0</v>
      </c>
      <c r="E90" s="27" t="n">
        <f aca="false">SUMIFS(仪器设备工时费用分配表!$S$6:$S$245,仪器设备工时费用分配表!$A$6:$A$245,$A90,仪器设备工时费用分配表!$D$6:$D$245,"设备")</f>
        <v>0</v>
      </c>
      <c r="F90" s="27" t="n">
        <f aca="false">SUMIFS(无形资产费用分配表!$S$6:$S$125,无形资产费用分配表!$A$6:$A$125,$A90)</f>
        <v>0</v>
      </c>
      <c r="G90" s="27" t="n">
        <f aca="false">SUMIFS(其他研发费用!$F$4:$F$153,其他研发费用!$A$4:$A$153,$A90,其他研发费用!$B$4:$B$153,$B90,其他研发费用!$D$4:$D$153,"直接投入费用")</f>
        <v>0</v>
      </c>
      <c r="H90" s="27" t="n">
        <f aca="false">SUMIFS(其他研发费用!$F$4:$F$153,其他研发费用!$A$4:$A$153,$A90,其他研发费用!$B$4:$B$153,$B90,其他研发费用!$D$4:$D$153,"新产品设计费等")</f>
        <v>0</v>
      </c>
      <c r="I90" s="27" t="n">
        <f aca="false">SUMIFS(其他研发费用!$F$4:$F$153,其他研发费用!$A$4:$A$153,$A90,其他研发费用!$B$4:$B$153,$B90,其他研发费用!$D$4:$D$153,"其他相关费用")</f>
        <v>0</v>
      </c>
      <c r="J90" s="27" t="n">
        <f aca="false">SUMIFS(其他研发费用!$F$4:$F$153,其他研发费用!$A$4:$A$153,$A90,其他研发费用!$B$4:$B$153,$B90,其他研发费用!$D$4:$D$153,"委托外部研发费用")</f>
        <v>0</v>
      </c>
      <c r="K90" s="27" t="n">
        <f aca="false">ROUND(SUM(D90:J90),2)</f>
        <v>0</v>
      </c>
      <c r="L90" s="45" t="n">
        <f aca="false">SUMIFS(研发人员工时分配表!$Q$6:$Q$245,研发人员工时分配表!$A$6:$A$245,$A90)</f>
        <v>0</v>
      </c>
      <c r="M90" s="45" t="n">
        <f aca="false">SUMIFS(仪器设备工时分配表!$Q$6:$Q$245,仪器设备工时分配表!$A$6:$A$245,$A90)</f>
        <v>0</v>
      </c>
    </row>
    <row r="91" customFormat="false" ht="18" hidden="false" customHeight="true" outlineLevel="0" collapsed="false">
      <c r="A91" s="50" t="s">
        <v>99</v>
      </c>
      <c r="B91" s="30"/>
      <c r="C91" s="30" t="s">
        <v>295</v>
      </c>
      <c r="D91" s="31" t="n">
        <f aca="false">ROUND(SUM(D81:D90),2)</f>
        <v>0</v>
      </c>
      <c r="E91" s="31" t="n">
        <f aca="false">ROUND(SUM(E81:E90),2)</f>
        <v>0</v>
      </c>
      <c r="F91" s="31" t="n">
        <f aca="false">ROUND(SUM(F81:F90),2)</f>
        <v>0</v>
      </c>
      <c r="G91" s="31" t="n">
        <f aca="false">ROUND(SUM(G81:G90),2)</f>
        <v>0</v>
      </c>
      <c r="H91" s="31" t="n">
        <f aca="false">ROUND(SUM(H81:H90),2)</f>
        <v>0</v>
      </c>
      <c r="I91" s="31" t="n">
        <f aca="false">ROUND(SUM(I81:I90),2)</f>
        <v>0</v>
      </c>
      <c r="J91" s="31" t="n">
        <f aca="false">ROUND(SUM(J81:J90),2)</f>
        <v>0</v>
      </c>
      <c r="K91" s="31" t="n">
        <f aca="false">ROUND(SUM(K81:K90),2)</f>
        <v>0</v>
      </c>
      <c r="L91" s="51" t="n">
        <f aca="false">ROUND(SUM(L81:L90),2)</f>
        <v>0</v>
      </c>
      <c r="M91" s="51" t="n">
        <f aca="false">ROUND(SUM(M81:M90),2)</f>
        <v>0</v>
      </c>
    </row>
    <row r="92" customFormat="false" ht="16.5" hidden="false" customHeight="true" outlineLevel="0" collapsed="false">
      <c r="A92" s="21" t="s">
        <v>100</v>
      </c>
      <c r="B92" s="43" t="str">
        <f aca="false">项目清单!$B$4</f>
        <v>RD01</v>
      </c>
      <c r="C92" s="48" t="str">
        <f aca="false">IF($B92="","",IFERROR(VLOOKUP($B92,项目清单!$B$4:$C$13,2,0)&amp;"",""))</f>
        <v>高回弹低压缩永久变形3C用聚氨酯泡棉开发</v>
      </c>
      <c r="D92" s="27" t="n">
        <f aca="false">SUMIFS(研发人员工时费用分配表!$N$6:$N$245,研发人员工时费用分配表!$A$6:$A$245,$A92)</f>
        <v>12443.18</v>
      </c>
      <c r="E92" s="27" t="n">
        <f aca="false">SUMIFS(仪器设备工时费用分配表!$J$6:$J$245,仪器设备工时费用分配表!$A$6:$A$245,$A92,仪器设备工时费用分配表!$D$6:$D$245,"设备")</f>
        <v>1875</v>
      </c>
      <c r="F92" s="27" t="n">
        <f aca="false">SUMIFS(无形资产费用分配表!$J$6:$J$125,无形资产费用分配表!$A$6:$A$125,$A92)</f>
        <v>1500</v>
      </c>
      <c r="G92" s="27" t="n">
        <f aca="false">SUMIFS(其他研发费用!$F$4:$F$153,其他研发费用!$A$4:$A$153,$A92,其他研发费用!$B$4:$B$153,$B92,其他研发费用!$D$4:$D$153,"直接投入费用")</f>
        <v>0</v>
      </c>
      <c r="H92" s="27" t="n">
        <f aca="false">SUMIFS(其他研发费用!$F$4:$F$153,其他研发费用!$A$4:$A$153,$A92,其他研发费用!$B$4:$B$153,$B92,其他研发费用!$D$4:$D$153,"新产品设计费等")</f>
        <v>0</v>
      </c>
      <c r="I92" s="27" t="n">
        <f aca="false">SUMIFS(其他研发费用!$F$4:$F$153,其他研发费用!$A$4:$A$153,$A92,其他研发费用!$B$4:$B$153,$B92,其他研发费用!$D$4:$D$153,"其他相关费用")</f>
        <v>0</v>
      </c>
      <c r="J92" s="27" t="n">
        <f aca="false">SUMIFS(其他研发费用!$F$4:$F$153,其他研发费用!$A$4:$A$153,$A92,其他研发费用!$B$4:$B$153,$B92,其他研发费用!$D$4:$D$153,"委托外部研发费用")</f>
        <v>0</v>
      </c>
      <c r="K92" s="27" t="n">
        <f aca="false">ROUND(SUM(D92:J92),2)</f>
        <v>15818.18</v>
      </c>
      <c r="L92" s="45" t="n">
        <f aca="false">SUMIFS(研发人员工时分配表!$H$6:$H$245,研发人员工时分配表!$A$6:$A$245,$A92)</f>
        <v>100</v>
      </c>
      <c r="M92" s="45" t="n">
        <f aca="false">SUMIFS(仪器设备工时分配表!$H$6:$H$245,仪器设备工时分配表!$A$6:$A$245,$A92)</f>
        <v>40</v>
      </c>
    </row>
    <row r="93" customFormat="false" ht="16.5" hidden="false" customHeight="true" outlineLevel="0" collapsed="false">
      <c r="A93" s="21" t="s">
        <v>100</v>
      </c>
      <c r="B93" s="43" t="str">
        <f aca="false">项目清单!$B$5</f>
        <v>RD02</v>
      </c>
      <c r="C93" s="48" t="str">
        <f aca="false">IF($B93="","",IFERROR(VLOOKUP($B93,项目清单!$B$4:$C$13,2,0)&amp;"",""))</f>
        <v>动力电池模组用高阻燃缓冲泡棉研发</v>
      </c>
      <c r="D93" s="27" t="n">
        <f aca="false">SUMIFS(研发人员工时费用分配表!$O$6:$O$245,研发人员工时费用分配表!$A$6:$A$245,$A93)</f>
        <v>26215.91</v>
      </c>
      <c r="E93" s="27" t="n">
        <f aca="false">SUMIFS(仪器设备工时费用分配表!$K$6:$K$245,仪器设备工时费用分配表!$A$6:$A$245,$A93,仪器设备工时费用分配表!$D$6:$D$245,"设备")</f>
        <v>7937.5</v>
      </c>
      <c r="F93" s="27" t="n">
        <f aca="false">SUMIFS(无形资产费用分配表!$K$6:$K$125,无形资产费用分配表!$A$6:$A$125,$A93)</f>
        <v>1500</v>
      </c>
      <c r="G93" s="27" t="n">
        <f aca="false">SUMIFS(其他研发费用!$F$4:$F$153,其他研发费用!$A$4:$A$153,$A93,其他研发费用!$B$4:$B$153,$B93,其他研发费用!$D$4:$D$153,"直接投入费用")</f>
        <v>12600</v>
      </c>
      <c r="H93" s="27" t="n">
        <f aca="false">SUMIFS(其他研发费用!$F$4:$F$153,其他研发费用!$A$4:$A$153,$A93,其他研发费用!$B$4:$B$153,$B93,其他研发费用!$D$4:$D$153,"新产品设计费等")</f>
        <v>0</v>
      </c>
      <c r="I93" s="27" t="n">
        <f aca="false">SUMIFS(其他研发费用!$F$4:$F$153,其他研发费用!$A$4:$A$153,$A93,其他研发费用!$B$4:$B$153,$B93,其他研发费用!$D$4:$D$153,"其他相关费用")</f>
        <v>0</v>
      </c>
      <c r="J93" s="27" t="n">
        <f aca="false">SUMIFS(其他研发费用!$F$4:$F$153,其他研发费用!$A$4:$A$153,$A93,其他研发费用!$B$4:$B$153,$B93,其他研发费用!$D$4:$D$153,"委托外部研发费用")</f>
        <v>0</v>
      </c>
      <c r="K93" s="27" t="n">
        <f aca="false">ROUND(SUM(D93:J93),2)</f>
        <v>48253.41</v>
      </c>
      <c r="L93" s="45" t="n">
        <f aca="false">SUMIFS(研发人员工时分配表!$I$6:$I$245,研发人员工时分配表!$A$6:$A$245,$A93)</f>
        <v>110</v>
      </c>
      <c r="M93" s="45" t="n">
        <f aca="false">SUMIFS(仪器设备工时分配表!$I$6:$I$245,仪器设备工时分配表!$A$6:$A$245,$A93)</f>
        <v>90</v>
      </c>
    </row>
    <row r="94" customFormat="false" ht="16.5" hidden="false" customHeight="true" outlineLevel="0" collapsed="false">
      <c r="A94" s="21" t="s">
        <v>100</v>
      </c>
      <c r="B94" s="43" t="str">
        <f aca="false">项目清单!$B$6</f>
        <v>RD03</v>
      </c>
      <c r="C94" s="48" t="str">
        <f aca="false">IF($B94="","",IFERROR(VLOOKUP($B94,项目清单!$B$4:$C$13,2,0)&amp;"",""))</f>
        <v>泡棉与PET基材无溶剂贴合工艺开发</v>
      </c>
      <c r="D94" s="27" t="n">
        <f aca="false">SUMIFS(研发人员工时费用分配表!$P$6:$P$245,研发人员工时费用分配表!$A$6:$A$245,$A94)</f>
        <v>2663.18</v>
      </c>
      <c r="E94" s="27" t="n">
        <f aca="false">SUMIFS(仪器设备工时费用分配表!$L$6:$L$245,仪器设备工时费用分配表!$A$6:$A$245,$A94,仪器设备工时费用分配表!$D$6:$D$245,"设备")</f>
        <v>1066.67</v>
      </c>
      <c r="F94" s="27" t="n">
        <f aca="false">SUMIFS(无形资产费用分配表!$L$6:$L$125,无形资产费用分配表!$A$6:$A$125,$A94)</f>
        <v>0</v>
      </c>
      <c r="G94" s="27" t="n">
        <f aca="false">SUMIFS(其他研发费用!$F$4:$F$153,其他研发费用!$A$4:$A$153,$A94,其他研发费用!$B$4:$B$153,$B94,其他研发费用!$D$4:$D$153,"直接投入费用")</f>
        <v>0</v>
      </c>
      <c r="H94" s="27" t="n">
        <f aca="false">SUMIFS(其他研发费用!$F$4:$F$153,其他研发费用!$A$4:$A$153,$A94,其他研发费用!$B$4:$B$153,$B94,其他研发费用!$D$4:$D$153,"新产品设计费等")</f>
        <v>0</v>
      </c>
      <c r="I94" s="27" t="n">
        <f aca="false">SUMIFS(其他研发费用!$F$4:$F$153,其他研发费用!$A$4:$A$153,$A94,其他研发费用!$B$4:$B$153,$B94,其他研发费用!$D$4:$D$153,"其他相关费用")</f>
        <v>0</v>
      </c>
      <c r="J94" s="27" t="n">
        <f aca="false">SUMIFS(其他研发费用!$F$4:$F$153,其他研发费用!$A$4:$A$153,$A94,其他研发费用!$B$4:$B$153,$B94,其他研发费用!$D$4:$D$153,"委托外部研发费用")</f>
        <v>30000</v>
      </c>
      <c r="K94" s="27" t="n">
        <f aca="false">ROUND(SUM(D94:J94),2)</f>
        <v>33729.85</v>
      </c>
      <c r="L94" s="45" t="n">
        <f aca="false">SUMIFS(研发人员工时分配表!$J$6:$J$245,研发人员工时分配表!$A$6:$A$245,$A94)</f>
        <v>36</v>
      </c>
      <c r="M94" s="45" t="n">
        <f aca="false">SUMIFS(仪器设备工时分配表!$J$6:$J$245,仪器设备工时分配表!$A$6:$A$245,$A94)</f>
        <v>40</v>
      </c>
    </row>
    <row r="95" customFormat="false" ht="16.5" hidden="false" customHeight="true" outlineLevel="0" collapsed="false">
      <c r="A95" s="21" t="s">
        <v>100</v>
      </c>
      <c r="B95" s="43" t="str">
        <f aca="false">项目清单!$B$7</f>
        <v>RD04</v>
      </c>
      <c r="C95" s="48" t="str">
        <f aca="false">IF($B95="","",IFERROR(VLOOKUP($B95,项目清单!$B$4:$C$13,2,0)&amp;"",""))</f>
        <v>超薄泡棉高精度分切及毛边控制技术研究</v>
      </c>
      <c r="D95" s="27" t="n">
        <f aca="false">SUMIFS(研发人员工时费用分配表!$Q$6:$Q$245,研发人员工时费用分配表!$A$6:$A$245,$A95)</f>
        <v>0</v>
      </c>
      <c r="E95" s="27" t="n">
        <f aca="false">SUMIFS(仪器设备工时费用分配表!$M$6:$M$245,仪器设备工时费用分配表!$A$6:$A$245,$A95,仪器设备工时费用分配表!$D$6:$D$245,"设备")</f>
        <v>553.57</v>
      </c>
      <c r="F95" s="27" t="n">
        <f aca="false">SUMIFS(无形资产费用分配表!$M$6:$M$125,无形资产费用分配表!$A$6:$A$125,$A95)</f>
        <v>0</v>
      </c>
      <c r="G95" s="27" t="n">
        <f aca="false">SUMIFS(其他研发费用!$F$4:$F$153,其他研发费用!$A$4:$A$153,$A95,其他研发费用!$B$4:$B$153,$B95,其他研发费用!$D$4:$D$153,"直接投入费用")</f>
        <v>8450</v>
      </c>
      <c r="H95" s="27" t="n">
        <f aca="false">SUMIFS(其他研发费用!$F$4:$F$153,其他研发费用!$A$4:$A$153,$A95,其他研发费用!$B$4:$B$153,$B95,其他研发费用!$D$4:$D$153,"新产品设计费等")</f>
        <v>0</v>
      </c>
      <c r="I95" s="27" t="n">
        <f aca="false">SUMIFS(其他研发费用!$F$4:$F$153,其他研发费用!$A$4:$A$153,$A95,其他研发费用!$B$4:$B$153,$B95,其他研发费用!$D$4:$D$153,"其他相关费用")</f>
        <v>0</v>
      </c>
      <c r="J95" s="27" t="n">
        <f aca="false">SUMIFS(其他研发费用!$F$4:$F$153,其他研发费用!$A$4:$A$153,$A95,其他研发费用!$B$4:$B$153,$B95,其他研发费用!$D$4:$D$153,"委托外部研发费用")</f>
        <v>0</v>
      </c>
      <c r="K95" s="27" t="n">
        <f aca="false">ROUND(SUM(D95:J95),2)</f>
        <v>9003.57</v>
      </c>
      <c r="L95" s="45" t="n">
        <f aca="false">SUMIFS(研发人员工时分配表!$K$6:$K$245,研发人员工时分配表!$A$6:$A$245,$A95)</f>
        <v>0</v>
      </c>
      <c r="M95" s="45" t="n">
        <f aca="false">SUMIFS(仪器设备工时分配表!$K$6:$K$245,仪器设备工时分配表!$A$6:$A$245,$A95)</f>
        <v>30</v>
      </c>
    </row>
    <row r="96" customFormat="false" ht="16.5" hidden="false" customHeight="true" outlineLevel="0" collapsed="false">
      <c r="A96" s="21" t="s">
        <v>100</v>
      </c>
      <c r="B96" s="43" t="str">
        <f aca="false">项目清单!$B$8</f>
        <v>RD05</v>
      </c>
      <c r="C96" s="48" t="str">
        <f aca="false">IF($B96="","",IFERROR(VLOOKUP($B96,项目清单!$B$4:$C$13,2,0)&amp;"",""))</f>
        <v>新能源汽车电池包用导热缓冲复合材料开发</v>
      </c>
      <c r="D96" s="27" t="n">
        <f aca="false">SUMIFS(研发人员工时费用分配表!$R$6:$R$245,研发人员工时费用分配表!$A$6:$A$245,$A96)</f>
        <v>12729.55</v>
      </c>
      <c r="E96" s="27" t="n">
        <f aca="false">SUMIFS(仪器设备工时费用分配表!$N$6:$N$245,仪器设备工时费用分配表!$A$6:$A$245,$A96,仪器设备工时费用分配表!$D$6:$D$245,"设备")</f>
        <v>5533.33</v>
      </c>
      <c r="F96" s="27" t="n">
        <f aca="false">SUMIFS(无形资产费用分配表!$N$6:$N$125,无形资产费用分配表!$A$6:$A$125,$A96)</f>
        <v>1000</v>
      </c>
      <c r="G96" s="27" t="n">
        <f aca="false">SUMIFS(其他研发费用!$F$4:$F$153,其他研发费用!$A$4:$A$153,$A96,其他研发费用!$B$4:$B$153,$B96,其他研发费用!$D$4:$D$153,"直接投入费用")</f>
        <v>0</v>
      </c>
      <c r="H96" s="27" t="n">
        <f aca="false">SUMIFS(其他研发费用!$F$4:$F$153,其他研发费用!$A$4:$A$153,$A96,其他研发费用!$B$4:$B$153,$B96,其他研发费用!$D$4:$D$153,"新产品设计费等")</f>
        <v>0</v>
      </c>
      <c r="I96" s="27" t="n">
        <f aca="false">SUMIFS(其他研发费用!$F$4:$F$153,其他研发费用!$A$4:$A$153,$A96,其他研发费用!$B$4:$B$153,$B96,其他研发费用!$D$4:$D$153,"其他相关费用")</f>
        <v>0</v>
      </c>
      <c r="J96" s="27" t="n">
        <f aca="false">SUMIFS(其他研发费用!$F$4:$F$153,其他研发费用!$A$4:$A$153,$A96,其他研发费用!$B$4:$B$153,$B96,其他研发费用!$D$4:$D$153,"委托外部研发费用")</f>
        <v>0</v>
      </c>
      <c r="K96" s="27" t="n">
        <f aca="false">ROUND(SUM(D96:J96),2)</f>
        <v>19262.88</v>
      </c>
      <c r="L96" s="45" t="n">
        <f aca="false">SUMIFS(研发人员工时分配表!$L$6:$L$245,研发人员工时分配表!$A$6:$A$245,$A96)</f>
        <v>50</v>
      </c>
      <c r="M96" s="45" t="n">
        <f aca="false">SUMIFS(仪器设备工时分配表!$L$6:$L$245,仪器设备工时分配表!$A$6:$A$245,$A96)</f>
        <v>70</v>
      </c>
    </row>
    <row r="97" customFormat="false" ht="16.5" hidden="false" customHeight="true" outlineLevel="0" collapsed="false">
      <c r="A97" s="21" t="s">
        <v>100</v>
      </c>
      <c r="B97" s="43" t="str">
        <f aca="false">项目清单!$B$9</f>
        <v>RD06</v>
      </c>
      <c r="C97" s="48" t="str">
        <f aca="false">IF($B97="","",IFERROR(VLOOKUP($B97,项目清单!$B$4:$C$13,2,0)&amp;"",""))</f>
        <v>3C电子用超薄黑色遮光泡棉制备技术</v>
      </c>
      <c r="D97" s="27" t="n">
        <f aca="false">SUMIFS(研发人员工时费用分配表!$S$6:$S$245,研发人员工时费用分配表!$A$6:$A$245,$A97)</f>
        <v>0</v>
      </c>
      <c r="E97" s="27" t="n">
        <f aca="false">SUMIFS(仪器设备工时费用分配表!$O$6:$O$245,仪器设备工时费用分配表!$A$6:$A$245,$A97,仪器设备工时费用分配表!$D$6:$D$245,"设备")</f>
        <v>0</v>
      </c>
      <c r="F97" s="27" t="n">
        <f aca="false">SUMIFS(无形资产费用分配表!$O$6:$O$125,无形资产费用分配表!$A$6:$A$125,$A97)</f>
        <v>0</v>
      </c>
      <c r="G97" s="27" t="n">
        <f aca="false">SUMIFS(其他研发费用!$F$4:$F$153,其他研发费用!$A$4:$A$153,$A97,其他研发费用!$B$4:$B$153,$B97,其他研发费用!$D$4:$D$153,"直接投入费用")</f>
        <v>0</v>
      </c>
      <c r="H97" s="27" t="n">
        <f aca="false">SUMIFS(其他研发费用!$F$4:$F$153,其他研发费用!$A$4:$A$153,$A97,其他研发费用!$B$4:$B$153,$B97,其他研发费用!$D$4:$D$153,"新产品设计费等")</f>
        <v>0</v>
      </c>
      <c r="I97" s="27" t="n">
        <f aca="false">SUMIFS(其他研发费用!$F$4:$F$153,其他研发费用!$A$4:$A$153,$A97,其他研发费用!$B$4:$B$153,$B97,其他研发费用!$D$4:$D$153,"其他相关费用")</f>
        <v>0</v>
      </c>
      <c r="J97" s="27" t="n">
        <f aca="false">SUMIFS(其他研发费用!$F$4:$F$153,其他研发费用!$A$4:$A$153,$A97,其他研发费用!$B$4:$B$153,$B97,其他研发费用!$D$4:$D$153,"委托外部研发费用")</f>
        <v>0</v>
      </c>
      <c r="K97" s="27" t="n">
        <f aca="false">ROUND(SUM(D97:J97),2)</f>
        <v>0</v>
      </c>
      <c r="L97" s="45" t="n">
        <f aca="false">SUMIFS(研发人员工时分配表!$M$6:$M$245,研发人员工时分配表!$A$6:$A$245,$A97)</f>
        <v>0</v>
      </c>
      <c r="M97" s="45" t="n">
        <f aca="false">SUMIFS(仪器设备工时分配表!$M$6:$M$245,仪器设备工时分配表!$A$6:$A$245,$A97)</f>
        <v>0</v>
      </c>
    </row>
    <row r="98" customFormat="false" ht="16.5" hidden="false" customHeight="true" outlineLevel="0" collapsed="false">
      <c r="A98" s="21" t="s">
        <v>100</v>
      </c>
      <c r="B98" s="43" t="str">
        <f aca="false">项目清单!$B$10</f>
        <v>RD07</v>
      </c>
      <c r="C98" s="48" t="str">
        <f aca="false">IF($B98="","",IFERROR(VLOOKUP($B98,项目清单!$B$4:$C$13,2,0)&amp;"",""))</f>
        <v>环保型水性胶泡棉贴合技术开发</v>
      </c>
      <c r="D98" s="27" t="n">
        <f aca="false">SUMIFS(研发人员工时费用分配表!$T$6:$T$245,研发人员工时费用分配表!$A$6:$A$245,$A98)</f>
        <v>0</v>
      </c>
      <c r="E98" s="27" t="n">
        <f aca="false">SUMIFS(仪器设备工时费用分配表!$P$6:$P$245,仪器设备工时费用分配表!$A$6:$A$245,$A98,仪器设备工时费用分配表!$D$6:$D$245,"设备")</f>
        <v>0</v>
      </c>
      <c r="F98" s="27" t="n">
        <f aca="false">SUMIFS(无形资产费用分配表!$P$6:$P$125,无形资产费用分配表!$A$6:$A$125,$A98)</f>
        <v>0</v>
      </c>
      <c r="G98" s="27" t="n">
        <f aca="false">SUMIFS(其他研发费用!$F$4:$F$153,其他研发费用!$A$4:$A$153,$A98,其他研发费用!$B$4:$B$153,$B98,其他研发费用!$D$4:$D$153,"直接投入费用")</f>
        <v>0</v>
      </c>
      <c r="H98" s="27" t="n">
        <f aca="false">SUMIFS(其他研发费用!$F$4:$F$153,其他研发费用!$A$4:$A$153,$A98,其他研发费用!$B$4:$B$153,$B98,其他研发费用!$D$4:$D$153,"新产品设计费等")</f>
        <v>0</v>
      </c>
      <c r="I98" s="27" t="n">
        <f aca="false">SUMIFS(其他研发费用!$F$4:$F$153,其他研发费用!$A$4:$A$153,$A98,其他研发费用!$B$4:$B$153,$B98,其他研发费用!$D$4:$D$153,"其他相关费用")</f>
        <v>0</v>
      </c>
      <c r="J98" s="27" t="n">
        <f aca="false">SUMIFS(其他研发费用!$F$4:$F$153,其他研发费用!$A$4:$A$153,$A98,其他研发费用!$B$4:$B$153,$B98,其他研发费用!$D$4:$D$153,"委托外部研发费用")</f>
        <v>0</v>
      </c>
      <c r="K98" s="27" t="n">
        <f aca="false">ROUND(SUM(D98:J98),2)</f>
        <v>0</v>
      </c>
      <c r="L98" s="45" t="n">
        <f aca="false">SUMIFS(研发人员工时分配表!$N$6:$N$245,研发人员工时分配表!$A$6:$A$245,$A98)</f>
        <v>0</v>
      </c>
      <c r="M98" s="45" t="n">
        <f aca="false">SUMIFS(仪器设备工时分配表!$N$6:$N$245,仪器设备工时分配表!$A$6:$A$245,$A98)</f>
        <v>0</v>
      </c>
    </row>
    <row r="99" customFormat="false" ht="16.5" hidden="false" customHeight="true" outlineLevel="0" collapsed="false">
      <c r="A99" s="21" t="s">
        <v>100</v>
      </c>
      <c r="B99" s="43" t="str">
        <f aca="false">项目清单!$B$11</f>
        <v>RD08</v>
      </c>
      <c r="C99" s="48" t="str">
        <f aca="false">IF($B99="","",IFERROR(VLOOKUP($B99,项目清单!$B$4:$C$13,2,0)&amp;"",""))</f>
        <v>泡棉模切自动化在线检测技术研究</v>
      </c>
      <c r="D99" s="27" t="n">
        <f aca="false">SUMIFS(研发人员工时费用分配表!$U$6:$U$245,研发人员工时费用分配表!$A$6:$A$245,$A99)</f>
        <v>0</v>
      </c>
      <c r="E99" s="27" t="n">
        <f aca="false">SUMIFS(仪器设备工时费用分配表!$Q$6:$Q$245,仪器设备工时费用分配表!$A$6:$A$245,$A99,仪器设备工时费用分配表!$D$6:$D$245,"设备")</f>
        <v>0</v>
      </c>
      <c r="F99" s="27" t="n">
        <f aca="false">SUMIFS(无形资产费用分配表!$Q$6:$Q$125,无形资产费用分配表!$A$6:$A$125,$A99)</f>
        <v>0</v>
      </c>
      <c r="G99" s="27" t="n">
        <f aca="false">SUMIFS(其他研发费用!$F$4:$F$153,其他研发费用!$A$4:$A$153,$A99,其他研发费用!$B$4:$B$153,$B99,其他研发费用!$D$4:$D$153,"直接投入费用")</f>
        <v>0</v>
      </c>
      <c r="H99" s="27" t="n">
        <f aca="false">SUMIFS(其他研发费用!$F$4:$F$153,其他研发费用!$A$4:$A$153,$A99,其他研发费用!$B$4:$B$153,$B99,其他研发费用!$D$4:$D$153,"新产品设计费等")</f>
        <v>0</v>
      </c>
      <c r="I99" s="27" t="n">
        <f aca="false">SUMIFS(其他研发费用!$F$4:$F$153,其他研发费用!$A$4:$A$153,$A99,其他研发费用!$B$4:$B$153,$B99,其他研发费用!$D$4:$D$153,"其他相关费用")</f>
        <v>0</v>
      </c>
      <c r="J99" s="27" t="n">
        <f aca="false">SUMIFS(其他研发费用!$F$4:$F$153,其他研发费用!$A$4:$A$153,$A99,其他研发费用!$B$4:$B$153,$B99,其他研发费用!$D$4:$D$153,"委托外部研发费用")</f>
        <v>0</v>
      </c>
      <c r="K99" s="27" t="n">
        <f aca="false">ROUND(SUM(D99:J99),2)</f>
        <v>0</v>
      </c>
      <c r="L99" s="45" t="n">
        <f aca="false">SUMIFS(研发人员工时分配表!$O$6:$O$245,研发人员工时分配表!$A$6:$A$245,$A99)</f>
        <v>0</v>
      </c>
      <c r="M99" s="45" t="n">
        <f aca="false">SUMIFS(仪器设备工时分配表!$O$6:$O$245,仪器设备工时分配表!$A$6:$A$245,$A99)</f>
        <v>0</v>
      </c>
    </row>
    <row r="100" customFormat="false" ht="16.5" hidden="false" customHeight="true" outlineLevel="0" collapsed="false">
      <c r="A100" s="21" t="s">
        <v>100</v>
      </c>
      <c r="B100" s="43" t="str">
        <f aca="false">项目清单!$B$12</f>
        <v>RD09</v>
      </c>
      <c r="C100" s="48" t="str">
        <f aca="false">IF($B100="","",IFERROR(VLOOKUP($B100,项目清单!$B$4:$C$13,2,0)&amp;"",""))</f>
        <v/>
      </c>
      <c r="D100" s="27" t="n">
        <f aca="false">SUMIFS(研发人员工时费用分配表!$V$6:$V$245,研发人员工时费用分配表!$A$6:$A$245,$A100)</f>
        <v>0</v>
      </c>
      <c r="E100" s="27" t="n">
        <f aca="false">SUMIFS(仪器设备工时费用分配表!$R$6:$R$245,仪器设备工时费用分配表!$A$6:$A$245,$A100,仪器设备工时费用分配表!$D$6:$D$245,"设备")</f>
        <v>0</v>
      </c>
      <c r="F100" s="27" t="n">
        <f aca="false">SUMIFS(无形资产费用分配表!$R$6:$R$125,无形资产费用分配表!$A$6:$A$125,$A100)</f>
        <v>0</v>
      </c>
      <c r="G100" s="27" t="n">
        <f aca="false">SUMIFS(其他研发费用!$F$4:$F$153,其他研发费用!$A$4:$A$153,$A100,其他研发费用!$B$4:$B$153,$B100,其他研发费用!$D$4:$D$153,"直接投入费用")</f>
        <v>0</v>
      </c>
      <c r="H100" s="27" t="n">
        <f aca="false">SUMIFS(其他研发费用!$F$4:$F$153,其他研发费用!$A$4:$A$153,$A100,其他研发费用!$B$4:$B$153,$B100,其他研发费用!$D$4:$D$153,"新产品设计费等")</f>
        <v>0</v>
      </c>
      <c r="I100" s="27" t="n">
        <f aca="false">SUMIFS(其他研发费用!$F$4:$F$153,其他研发费用!$A$4:$A$153,$A100,其他研发费用!$B$4:$B$153,$B100,其他研发费用!$D$4:$D$153,"其他相关费用")</f>
        <v>0</v>
      </c>
      <c r="J100" s="27" t="n">
        <f aca="false">SUMIFS(其他研发费用!$F$4:$F$153,其他研发费用!$A$4:$A$153,$A100,其他研发费用!$B$4:$B$153,$B100,其他研发费用!$D$4:$D$153,"委托外部研发费用")</f>
        <v>0</v>
      </c>
      <c r="K100" s="27" t="n">
        <f aca="false">ROUND(SUM(D100:J100),2)</f>
        <v>0</v>
      </c>
      <c r="L100" s="45" t="n">
        <f aca="false">SUMIFS(研发人员工时分配表!$P$6:$P$245,研发人员工时分配表!$A$6:$A$245,$A100)</f>
        <v>0</v>
      </c>
      <c r="M100" s="45" t="n">
        <f aca="false">SUMIFS(仪器设备工时分配表!$P$6:$P$245,仪器设备工时分配表!$A$6:$A$245,$A100)</f>
        <v>0</v>
      </c>
    </row>
    <row r="101" customFormat="false" ht="16.5" hidden="false" customHeight="true" outlineLevel="0" collapsed="false">
      <c r="A101" s="21" t="s">
        <v>100</v>
      </c>
      <c r="B101" s="43" t="str">
        <f aca="false">项目清单!$B$13</f>
        <v>RD10</v>
      </c>
      <c r="C101" s="48" t="str">
        <f aca="false">IF($B101="","",IFERROR(VLOOKUP($B101,项目清单!$B$4:$C$13,2,0)&amp;"",""))</f>
        <v/>
      </c>
      <c r="D101" s="27" t="n">
        <f aca="false">SUMIFS(研发人员工时费用分配表!$W$6:$W$245,研发人员工时费用分配表!$A$6:$A$245,$A101)</f>
        <v>0</v>
      </c>
      <c r="E101" s="27" t="n">
        <f aca="false">SUMIFS(仪器设备工时费用分配表!$S$6:$S$245,仪器设备工时费用分配表!$A$6:$A$245,$A101,仪器设备工时费用分配表!$D$6:$D$245,"设备")</f>
        <v>0</v>
      </c>
      <c r="F101" s="27" t="n">
        <f aca="false">SUMIFS(无形资产费用分配表!$S$6:$S$125,无形资产费用分配表!$A$6:$A$125,$A101)</f>
        <v>0</v>
      </c>
      <c r="G101" s="27" t="n">
        <f aca="false">SUMIFS(其他研发费用!$F$4:$F$153,其他研发费用!$A$4:$A$153,$A101,其他研发费用!$B$4:$B$153,$B101,其他研发费用!$D$4:$D$153,"直接投入费用")</f>
        <v>0</v>
      </c>
      <c r="H101" s="27" t="n">
        <f aca="false">SUMIFS(其他研发费用!$F$4:$F$153,其他研发费用!$A$4:$A$153,$A101,其他研发费用!$B$4:$B$153,$B101,其他研发费用!$D$4:$D$153,"新产品设计费等")</f>
        <v>0</v>
      </c>
      <c r="I101" s="27" t="n">
        <f aca="false">SUMIFS(其他研发费用!$F$4:$F$153,其他研发费用!$A$4:$A$153,$A101,其他研发费用!$B$4:$B$153,$B101,其他研发费用!$D$4:$D$153,"其他相关费用")</f>
        <v>0</v>
      </c>
      <c r="J101" s="27" t="n">
        <f aca="false">SUMIFS(其他研发费用!$F$4:$F$153,其他研发费用!$A$4:$A$153,$A101,其他研发费用!$B$4:$B$153,$B101,其他研发费用!$D$4:$D$153,"委托外部研发费用")</f>
        <v>0</v>
      </c>
      <c r="K101" s="27" t="n">
        <f aca="false">ROUND(SUM(D101:J101),2)</f>
        <v>0</v>
      </c>
      <c r="L101" s="45" t="n">
        <f aca="false">SUMIFS(研发人员工时分配表!$Q$6:$Q$245,研发人员工时分配表!$A$6:$A$245,$A101)</f>
        <v>0</v>
      </c>
      <c r="M101" s="45" t="n">
        <f aca="false">SUMIFS(仪器设备工时分配表!$Q$6:$Q$245,仪器设备工时分配表!$A$6:$A$245,$A101)</f>
        <v>0</v>
      </c>
    </row>
    <row r="102" customFormat="false" ht="18" hidden="false" customHeight="true" outlineLevel="0" collapsed="false">
      <c r="A102" s="50" t="s">
        <v>100</v>
      </c>
      <c r="B102" s="30"/>
      <c r="C102" s="30" t="s">
        <v>295</v>
      </c>
      <c r="D102" s="31" t="n">
        <f aca="false">ROUND(SUM(D92:D101),2)</f>
        <v>54051.82</v>
      </c>
      <c r="E102" s="31" t="n">
        <f aca="false">ROUND(SUM(E92:E101),2)</f>
        <v>16966.07</v>
      </c>
      <c r="F102" s="31" t="n">
        <f aca="false">ROUND(SUM(F92:F101),2)</f>
        <v>4000</v>
      </c>
      <c r="G102" s="31" t="n">
        <f aca="false">ROUND(SUM(G92:G101),2)</f>
        <v>21050</v>
      </c>
      <c r="H102" s="31" t="n">
        <f aca="false">ROUND(SUM(H92:H101),2)</f>
        <v>0</v>
      </c>
      <c r="I102" s="31" t="n">
        <f aca="false">ROUND(SUM(I92:I101),2)</f>
        <v>0</v>
      </c>
      <c r="J102" s="31" t="n">
        <f aca="false">ROUND(SUM(J92:J101),2)</f>
        <v>30000</v>
      </c>
      <c r="K102" s="31" t="n">
        <f aca="false">ROUND(SUM(K92:K101),2)</f>
        <v>126067.89</v>
      </c>
      <c r="L102" s="51" t="n">
        <f aca="false">ROUND(SUM(L92:L101),2)</f>
        <v>296</v>
      </c>
      <c r="M102" s="51" t="n">
        <f aca="false">ROUND(SUM(M92:M101),2)</f>
        <v>270</v>
      </c>
    </row>
    <row r="103" customFormat="false" ht="16.5" hidden="false" customHeight="true" outlineLevel="0" collapsed="false">
      <c r="A103" s="21" t="s">
        <v>101</v>
      </c>
      <c r="B103" s="43" t="str">
        <f aca="false">项目清单!$B$4</f>
        <v>RD01</v>
      </c>
      <c r="C103" s="48" t="str">
        <f aca="false">IF($B103="","",IFERROR(VLOOKUP($B103,项目清单!$B$4:$C$13,2,0)&amp;"",""))</f>
        <v>高回弹低压缩永久变形3C用聚氨酯泡棉开发</v>
      </c>
      <c r="D103" s="27" t="n">
        <f aca="false">SUMIFS(研发人员工时费用分配表!$N$6:$N$245,研发人员工时费用分配表!$A$6:$A$245,$A103)</f>
        <v>0</v>
      </c>
      <c r="E103" s="27" t="n">
        <f aca="false">SUMIFS(仪器设备工时费用分配表!$J$6:$J$245,仪器设备工时费用分配表!$A$6:$A$245,$A103,仪器设备工时费用分配表!$D$6:$D$245,"设备")</f>
        <v>0</v>
      </c>
      <c r="F103" s="27" t="n">
        <f aca="false">SUMIFS(无形资产费用分配表!$J$6:$J$125,无形资产费用分配表!$A$6:$A$125,$A103)</f>
        <v>0</v>
      </c>
      <c r="G103" s="27" t="n">
        <f aca="false">SUMIFS(其他研发费用!$F$4:$F$153,其他研发费用!$A$4:$A$153,$A103,其他研发费用!$B$4:$B$153,$B103,其他研发费用!$D$4:$D$153,"直接投入费用")</f>
        <v>0</v>
      </c>
      <c r="H103" s="27" t="n">
        <f aca="false">SUMIFS(其他研发费用!$F$4:$F$153,其他研发费用!$A$4:$A$153,$A103,其他研发费用!$B$4:$B$153,$B103,其他研发费用!$D$4:$D$153,"新产品设计费等")</f>
        <v>0</v>
      </c>
      <c r="I103" s="27" t="n">
        <f aca="false">SUMIFS(其他研发费用!$F$4:$F$153,其他研发费用!$A$4:$A$153,$A103,其他研发费用!$B$4:$B$153,$B103,其他研发费用!$D$4:$D$153,"其他相关费用")</f>
        <v>0</v>
      </c>
      <c r="J103" s="27" t="n">
        <f aca="false">SUMIFS(其他研发费用!$F$4:$F$153,其他研发费用!$A$4:$A$153,$A103,其他研发费用!$B$4:$B$153,$B103,其他研发费用!$D$4:$D$153,"委托外部研发费用")</f>
        <v>0</v>
      </c>
      <c r="K103" s="27" t="n">
        <f aca="false">ROUND(SUM(D103:J103),2)</f>
        <v>0</v>
      </c>
      <c r="L103" s="45" t="n">
        <f aca="false">SUMIFS(研发人员工时分配表!$H$6:$H$245,研发人员工时分配表!$A$6:$A$245,$A103)</f>
        <v>0</v>
      </c>
      <c r="M103" s="45" t="n">
        <f aca="false">SUMIFS(仪器设备工时分配表!$H$6:$H$245,仪器设备工时分配表!$A$6:$A$245,$A103)</f>
        <v>0</v>
      </c>
    </row>
    <row r="104" customFormat="false" ht="16.5" hidden="false" customHeight="true" outlineLevel="0" collapsed="false">
      <c r="A104" s="21" t="s">
        <v>101</v>
      </c>
      <c r="B104" s="43" t="str">
        <f aca="false">项目清单!$B$5</f>
        <v>RD02</v>
      </c>
      <c r="C104" s="48" t="str">
        <f aca="false">IF($B104="","",IFERROR(VLOOKUP($B104,项目清单!$B$4:$C$13,2,0)&amp;"",""))</f>
        <v>动力电池模组用高阻燃缓冲泡棉研发</v>
      </c>
      <c r="D104" s="27" t="n">
        <f aca="false">SUMIFS(研发人员工时费用分配表!$O$6:$O$245,研发人员工时费用分配表!$A$6:$A$245,$A104)</f>
        <v>0</v>
      </c>
      <c r="E104" s="27" t="n">
        <f aca="false">SUMIFS(仪器设备工时费用分配表!$K$6:$K$245,仪器设备工时费用分配表!$A$6:$A$245,$A104,仪器设备工时费用分配表!$D$6:$D$245,"设备")</f>
        <v>0</v>
      </c>
      <c r="F104" s="27" t="n">
        <f aca="false">SUMIFS(无形资产费用分配表!$K$6:$K$125,无形资产费用分配表!$A$6:$A$125,$A104)</f>
        <v>0</v>
      </c>
      <c r="G104" s="27" t="n">
        <f aca="false">SUMIFS(其他研发费用!$F$4:$F$153,其他研发费用!$A$4:$A$153,$A104,其他研发费用!$B$4:$B$153,$B104,其他研发费用!$D$4:$D$153,"直接投入费用")</f>
        <v>0</v>
      </c>
      <c r="H104" s="27" t="n">
        <f aca="false">SUMIFS(其他研发费用!$F$4:$F$153,其他研发费用!$A$4:$A$153,$A104,其他研发费用!$B$4:$B$153,$B104,其他研发费用!$D$4:$D$153,"新产品设计费等")</f>
        <v>0</v>
      </c>
      <c r="I104" s="27" t="n">
        <f aca="false">SUMIFS(其他研发费用!$F$4:$F$153,其他研发费用!$A$4:$A$153,$A104,其他研发费用!$B$4:$B$153,$B104,其他研发费用!$D$4:$D$153,"其他相关费用")</f>
        <v>0</v>
      </c>
      <c r="J104" s="27" t="n">
        <f aca="false">SUMIFS(其他研发费用!$F$4:$F$153,其他研发费用!$A$4:$A$153,$A104,其他研发费用!$B$4:$B$153,$B104,其他研发费用!$D$4:$D$153,"委托外部研发费用")</f>
        <v>0</v>
      </c>
      <c r="K104" s="27" t="n">
        <f aca="false">ROUND(SUM(D104:J104),2)</f>
        <v>0</v>
      </c>
      <c r="L104" s="45" t="n">
        <f aca="false">SUMIFS(研发人员工时分配表!$I$6:$I$245,研发人员工时分配表!$A$6:$A$245,$A104)</f>
        <v>0</v>
      </c>
      <c r="M104" s="45" t="n">
        <f aca="false">SUMIFS(仪器设备工时分配表!$I$6:$I$245,仪器设备工时分配表!$A$6:$A$245,$A104)</f>
        <v>0</v>
      </c>
    </row>
    <row r="105" customFormat="false" ht="16.5" hidden="false" customHeight="true" outlineLevel="0" collapsed="false">
      <c r="A105" s="21" t="s">
        <v>101</v>
      </c>
      <c r="B105" s="43" t="str">
        <f aca="false">项目清单!$B$6</f>
        <v>RD03</v>
      </c>
      <c r="C105" s="48" t="str">
        <f aca="false">IF($B105="","",IFERROR(VLOOKUP($B105,项目清单!$B$4:$C$13,2,0)&amp;"",""))</f>
        <v>泡棉与PET基材无溶剂贴合工艺开发</v>
      </c>
      <c r="D105" s="27" t="n">
        <f aca="false">SUMIFS(研发人员工时费用分配表!$P$6:$P$245,研发人员工时费用分配表!$A$6:$A$245,$A105)</f>
        <v>0</v>
      </c>
      <c r="E105" s="27" t="n">
        <f aca="false">SUMIFS(仪器设备工时费用分配表!$L$6:$L$245,仪器设备工时费用分配表!$A$6:$A$245,$A105,仪器设备工时费用分配表!$D$6:$D$245,"设备")</f>
        <v>0</v>
      </c>
      <c r="F105" s="27" t="n">
        <f aca="false">SUMIFS(无形资产费用分配表!$L$6:$L$125,无形资产费用分配表!$A$6:$A$125,$A105)</f>
        <v>0</v>
      </c>
      <c r="G105" s="27" t="n">
        <f aca="false">SUMIFS(其他研发费用!$F$4:$F$153,其他研发费用!$A$4:$A$153,$A105,其他研发费用!$B$4:$B$153,$B105,其他研发费用!$D$4:$D$153,"直接投入费用")</f>
        <v>0</v>
      </c>
      <c r="H105" s="27" t="n">
        <f aca="false">SUMIFS(其他研发费用!$F$4:$F$153,其他研发费用!$A$4:$A$153,$A105,其他研发费用!$B$4:$B$153,$B105,其他研发费用!$D$4:$D$153,"新产品设计费等")</f>
        <v>0</v>
      </c>
      <c r="I105" s="27" t="n">
        <f aca="false">SUMIFS(其他研发费用!$F$4:$F$153,其他研发费用!$A$4:$A$153,$A105,其他研发费用!$B$4:$B$153,$B105,其他研发费用!$D$4:$D$153,"其他相关费用")</f>
        <v>0</v>
      </c>
      <c r="J105" s="27" t="n">
        <f aca="false">SUMIFS(其他研发费用!$F$4:$F$153,其他研发费用!$A$4:$A$153,$A105,其他研发费用!$B$4:$B$153,$B105,其他研发费用!$D$4:$D$153,"委托外部研发费用")</f>
        <v>0</v>
      </c>
      <c r="K105" s="27" t="n">
        <f aca="false">ROUND(SUM(D105:J105),2)</f>
        <v>0</v>
      </c>
      <c r="L105" s="45" t="n">
        <f aca="false">SUMIFS(研发人员工时分配表!$J$6:$J$245,研发人员工时分配表!$A$6:$A$245,$A105)</f>
        <v>0</v>
      </c>
      <c r="M105" s="45" t="n">
        <f aca="false">SUMIFS(仪器设备工时分配表!$J$6:$J$245,仪器设备工时分配表!$A$6:$A$245,$A105)</f>
        <v>0</v>
      </c>
    </row>
    <row r="106" customFormat="false" ht="16.5" hidden="false" customHeight="true" outlineLevel="0" collapsed="false">
      <c r="A106" s="21" t="s">
        <v>101</v>
      </c>
      <c r="B106" s="43" t="str">
        <f aca="false">项目清单!$B$7</f>
        <v>RD04</v>
      </c>
      <c r="C106" s="48" t="str">
        <f aca="false">IF($B106="","",IFERROR(VLOOKUP($B106,项目清单!$B$4:$C$13,2,0)&amp;"",""))</f>
        <v>超薄泡棉高精度分切及毛边控制技术研究</v>
      </c>
      <c r="D106" s="27" t="n">
        <f aca="false">SUMIFS(研发人员工时费用分配表!$Q$6:$Q$245,研发人员工时费用分配表!$A$6:$A$245,$A106)</f>
        <v>0</v>
      </c>
      <c r="E106" s="27" t="n">
        <f aca="false">SUMIFS(仪器设备工时费用分配表!$M$6:$M$245,仪器设备工时费用分配表!$A$6:$A$245,$A106,仪器设备工时费用分配表!$D$6:$D$245,"设备")</f>
        <v>0</v>
      </c>
      <c r="F106" s="27" t="n">
        <f aca="false">SUMIFS(无形资产费用分配表!$M$6:$M$125,无形资产费用分配表!$A$6:$A$125,$A106)</f>
        <v>0</v>
      </c>
      <c r="G106" s="27" t="n">
        <f aca="false">SUMIFS(其他研发费用!$F$4:$F$153,其他研发费用!$A$4:$A$153,$A106,其他研发费用!$B$4:$B$153,$B106,其他研发费用!$D$4:$D$153,"直接投入费用")</f>
        <v>0</v>
      </c>
      <c r="H106" s="27" t="n">
        <f aca="false">SUMIFS(其他研发费用!$F$4:$F$153,其他研发费用!$A$4:$A$153,$A106,其他研发费用!$B$4:$B$153,$B106,其他研发费用!$D$4:$D$153,"新产品设计费等")</f>
        <v>0</v>
      </c>
      <c r="I106" s="27" t="n">
        <f aca="false">SUMIFS(其他研发费用!$F$4:$F$153,其他研发费用!$A$4:$A$153,$A106,其他研发费用!$B$4:$B$153,$B106,其他研发费用!$D$4:$D$153,"其他相关费用")</f>
        <v>0</v>
      </c>
      <c r="J106" s="27" t="n">
        <f aca="false">SUMIFS(其他研发费用!$F$4:$F$153,其他研发费用!$A$4:$A$153,$A106,其他研发费用!$B$4:$B$153,$B106,其他研发费用!$D$4:$D$153,"委托外部研发费用")</f>
        <v>0</v>
      </c>
      <c r="K106" s="27" t="n">
        <f aca="false">ROUND(SUM(D106:J106),2)</f>
        <v>0</v>
      </c>
      <c r="L106" s="45" t="n">
        <f aca="false">SUMIFS(研发人员工时分配表!$K$6:$K$245,研发人员工时分配表!$A$6:$A$245,$A106)</f>
        <v>0</v>
      </c>
      <c r="M106" s="45" t="n">
        <f aca="false">SUMIFS(仪器设备工时分配表!$K$6:$K$245,仪器设备工时分配表!$A$6:$A$245,$A106)</f>
        <v>0</v>
      </c>
    </row>
    <row r="107" customFormat="false" ht="16.5" hidden="false" customHeight="true" outlineLevel="0" collapsed="false">
      <c r="A107" s="21" t="s">
        <v>101</v>
      </c>
      <c r="B107" s="43" t="str">
        <f aca="false">项目清单!$B$8</f>
        <v>RD05</v>
      </c>
      <c r="C107" s="48" t="str">
        <f aca="false">IF($B107="","",IFERROR(VLOOKUP($B107,项目清单!$B$4:$C$13,2,0)&amp;"",""))</f>
        <v>新能源汽车电池包用导热缓冲复合材料开发</v>
      </c>
      <c r="D107" s="27" t="n">
        <f aca="false">SUMIFS(研发人员工时费用分配表!$R$6:$R$245,研发人员工时费用分配表!$A$6:$A$245,$A107)</f>
        <v>0</v>
      </c>
      <c r="E107" s="27" t="n">
        <f aca="false">SUMIFS(仪器设备工时费用分配表!$N$6:$N$245,仪器设备工时费用分配表!$A$6:$A$245,$A107,仪器设备工时费用分配表!$D$6:$D$245,"设备")</f>
        <v>0</v>
      </c>
      <c r="F107" s="27" t="n">
        <f aca="false">SUMIFS(无形资产费用分配表!$N$6:$N$125,无形资产费用分配表!$A$6:$A$125,$A107)</f>
        <v>0</v>
      </c>
      <c r="G107" s="27" t="n">
        <f aca="false">SUMIFS(其他研发费用!$F$4:$F$153,其他研发费用!$A$4:$A$153,$A107,其他研发费用!$B$4:$B$153,$B107,其他研发费用!$D$4:$D$153,"直接投入费用")</f>
        <v>0</v>
      </c>
      <c r="H107" s="27" t="n">
        <f aca="false">SUMIFS(其他研发费用!$F$4:$F$153,其他研发费用!$A$4:$A$153,$A107,其他研发费用!$B$4:$B$153,$B107,其他研发费用!$D$4:$D$153,"新产品设计费等")</f>
        <v>0</v>
      </c>
      <c r="I107" s="27" t="n">
        <f aca="false">SUMIFS(其他研发费用!$F$4:$F$153,其他研发费用!$A$4:$A$153,$A107,其他研发费用!$B$4:$B$153,$B107,其他研发费用!$D$4:$D$153,"其他相关费用")</f>
        <v>0</v>
      </c>
      <c r="J107" s="27" t="n">
        <f aca="false">SUMIFS(其他研发费用!$F$4:$F$153,其他研发费用!$A$4:$A$153,$A107,其他研发费用!$B$4:$B$153,$B107,其他研发费用!$D$4:$D$153,"委托外部研发费用")</f>
        <v>0</v>
      </c>
      <c r="K107" s="27" t="n">
        <f aca="false">ROUND(SUM(D107:J107),2)</f>
        <v>0</v>
      </c>
      <c r="L107" s="45" t="n">
        <f aca="false">SUMIFS(研发人员工时分配表!$L$6:$L$245,研发人员工时分配表!$A$6:$A$245,$A107)</f>
        <v>0</v>
      </c>
      <c r="M107" s="45" t="n">
        <f aca="false">SUMIFS(仪器设备工时分配表!$L$6:$L$245,仪器设备工时分配表!$A$6:$A$245,$A107)</f>
        <v>0</v>
      </c>
    </row>
    <row r="108" customFormat="false" ht="16.5" hidden="false" customHeight="true" outlineLevel="0" collapsed="false">
      <c r="A108" s="21" t="s">
        <v>101</v>
      </c>
      <c r="B108" s="43" t="str">
        <f aca="false">项目清单!$B$9</f>
        <v>RD06</v>
      </c>
      <c r="C108" s="48" t="str">
        <f aca="false">IF($B108="","",IFERROR(VLOOKUP($B108,项目清单!$B$4:$C$13,2,0)&amp;"",""))</f>
        <v>3C电子用超薄黑色遮光泡棉制备技术</v>
      </c>
      <c r="D108" s="27" t="n">
        <f aca="false">SUMIFS(研发人员工时费用分配表!$S$6:$S$245,研发人员工时费用分配表!$A$6:$A$245,$A108)</f>
        <v>0</v>
      </c>
      <c r="E108" s="27" t="n">
        <f aca="false">SUMIFS(仪器设备工时费用分配表!$O$6:$O$245,仪器设备工时费用分配表!$A$6:$A$245,$A108,仪器设备工时费用分配表!$D$6:$D$245,"设备")</f>
        <v>0</v>
      </c>
      <c r="F108" s="27" t="n">
        <f aca="false">SUMIFS(无形资产费用分配表!$O$6:$O$125,无形资产费用分配表!$A$6:$A$125,$A108)</f>
        <v>0</v>
      </c>
      <c r="G108" s="27" t="n">
        <f aca="false">SUMIFS(其他研发费用!$F$4:$F$153,其他研发费用!$A$4:$A$153,$A108,其他研发费用!$B$4:$B$153,$B108,其他研发费用!$D$4:$D$153,"直接投入费用")</f>
        <v>0</v>
      </c>
      <c r="H108" s="27" t="n">
        <f aca="false">SUMIFS(其他研发费用!$F$4:$F$153,其他研发费用!$A$4:$A$153,$A108,其他研发费用!$B$4:$B$153,$B108,其他研发费用!$D$4:$D$153,"新产品设计费等")</f>
        <v>0</v>
      </c>
      <c r="I108" s="27" t="n">
        <f aca="false">SUMIFS(其他研发费用!$F$4:$F$153,其他研发费用!$A$4:$A$153,$A108,其他研发费用!$B$4:$B$153,$B108,其他研发费用!$D$4:$D$153,"其他相关费用")</f>
        <v>0</v>
      </c>
      <c r="J108" s="27" t="n">
        <f aca="false">SUMIFS(其他研发费用!$F$4:$F$153,其他研发费用!$A$4:$A$153,$A108,其他研发费用!$B$4:$B$153,$B108,其他研发费用!$D$4:$D$153,"委托外部研发费用")</f>
        <v>0</v>
      </c>
      <c r="K108" s="27" t="n">
        <f aca="false">ROUND(SUM(D108:J108),2)</f>
        <v>0</v>
      </c>
      <c r="L108" s="45" t="n">
        <f aca="false">SUMIFS(研发人员工时分配表!$M$6:$M$245,研发人员工时分配表!$A$6:$A$245,$A108)</f>
        <v>0</v>
      </c>
      <c r="M108" s="45" t="n">
        <f aca="false">SUMIFS(仪器设备工时分配表!$M$6:$M$245,仪器设备工时分配表!$A$6:$A$245,$A108)</f>
        <v>0</v>
      </c>
    </row>
    <row r="109" customFormat="false" ht="16.5" hidden="false" customHeight="true" outlineLevel="0" collapsed="false">
      <c r="A109" s="21" t="s">
        <v>101</v>
      </c>
      <c r="B109" s="43" t="str">
        <f aca="false">项目清单!$B$10</f>
        <v>RD07</v>
      </c>
      <c r="C109" s="48" t="str">
        <f aca="false">IF($B109="","",IFERROR(VLOOKUP($B109,项目清单!$B$4:$C$13,2,0)&amp;"",""))</f>
        <v>环保型水性胶泡棉贴合技术开发</v>
      </c>
      <c r="D109" s="27" t="n">
        <f aca="false">SUMIFS(研发人员工时费用分配表!$T$6:$T$245,研发人员工时费用分配表!$A$6:$A$245,$A109)</f>
        <v>0</v>
      </c>
      <c r="E109" s="27" t="n">
        <f aca="false">SUMIFS(仪器设备工时费用分配表!$P$6:$P$245,仪器设备工时费用分配表!$A$6:$A$245,$A109,仪器设备工时费用分配表!$D$6:$D$245,"设备")</f>
        <v>0</v>
      </c>
      <c r="F109" s="27" t="n">
        <f aca="false">SUMIFS(无形资产费用分配表!$P$6:$P$125,无形资产费用分配表!$A$6:$A$125,$A109)</f>
        <v>0</v>
      </c>
      <c r="G109" s="27" t="n">
        <f aca="false">SUMIFS(其他研发费用!$F$4:$F$153,其他研发费用!$A$4:$A$153,$A109,其他研发费用!$B$4:$B$153,$B109,其他研发费用!$D$4:$D$153,"直接投入费用")</f>
        <v>0</v>
      </c>
      <c r="H109" s="27" t="n">
        <f aca="false">SUMIFS(其他研发费用!$F$4:$F$153,其他研发费用!$A$4:$A$153,$A109,其他研发费用!$B$4:$B$153,$B109,其他研发费用!$D$4:$D$153,"新产品设计费等")</f>
        <v>0</v>
      </c>
      <c r="I109" s="27" t="n">
        <f aca="false">SUMIFS(其他研发费用!$F$4:$F$153,其他研发费用!$A$4:$A$153,$A109,其他研发费用!$B$4:$B$153,$B109,其他研发费用!$D$4:$D$153,"其他相关费用")</f>
        <v>0</v>
      </c>
      <c r="J109" s="27" t="n">
        <f aca="false">SUMIFS(其他研发费用!$F$4:$F$153,其他研发费用!$A$4:$A$153,$A109,其他研发费用!$B$4:$B$153,$B109,其他研发费用!$D$4:$D$153,"委托外部研发费用")</f>
        <v>0</v>
      </c>
      <c r="K109" s="27" t="n">
        <f aca="false">ROUND(SUM(D109:J109),2)</f>
        <v>0</v>
      </c>
      <c r="L109" s="45" t="n">
        <f aca="false">SUMIFS(研发人员工时分配表!$N$6:$N$245,研发人员工时分配表!$A$6:$A$245,$A109)</f>
        <v>0</v>
      </c>
      <c r="M109" s="45" t="n">
        <f aca="false">SUMIFS(仪器设备工时分配表!$N$6:$N$245,仪器设备工时分配表!$A$6:$A$245,$A109)</f>
        <v>0</v>
      </c>
    </row>
    <row r="110" customFormat="false" ht="16.5" hidden="false" customHeight="true" outlineLevel="0" collapsed="false">
      <c r="A110" s="21" t="s">
        <v>101</v>
      </c>
      <c r="B110" s="43" t="str">
        <f aca="false">项目清单!$B$11</f>
        <v>RD08</v>
      </c>
      <c r="C110" s="48" t="str">
        <f aca="false">IF($B110="","",IFERROR(VLOOKUP($B110,项目清单!$B$4:$C$13,2,0)&amp;"",""))</f>
        <v>泡棉模切自动化在线检测技术研究</v>
      </c>
      <c r="D110" s="27" t="n">
        <f aca="false">SUMIFS(研发人员工时费用分配表!$U$6:$U$245,研发人员工时费用分配表!$A$6:$A$245,$A110)</f>
        <v>0</v>
      </c>
      <c r="E110" s="27" t="n">
        <f aca="false">SUMIFS(仪器设备工时费用分配表!$Q$6:$Q$245,仪器设备工时费用分配表!$A$6:$A$245,$A110,仪器设备工时费用分配表!$D$6:$D$245,"设备")</f>
        <v>0</v>
      </c>
      <c r="F110" s="27" t="n">
        <f aca="false">SUMIFS(无形资产费用分配表!$Q$6:$Q$125,无形资产费用分配表!$A$6:$A$125,$A110)</f>
        <v>0</v>
      </c>
      <c r="G110" s="27" t="n">
        <f aca="false">SUMIFS(其他研发费用!$F$4:$F$153,其他研发费用!$A$4:$A$153,$A110,其他研发费用!$B$4:$B$153,$B110,其他研发费用!$D$4:$D$153,"直接投入费用")</f>
        <v>0</v>
      </c>
      <c r="H110" s="27" t="n">
        <f aca="false">SUMIFS(其他研发费用!$F$4:$F$153,其他研发费用!$A$4:$A$153,$A110,其他研发费用!$B$4:$B$153,$B110,其他研发费用!$D$4:$D$153,"新产品设计费等")</f>
        <v>0</v>
      </c>
      <c r="I110" s="27" t="n">
        <f aca="false">SUMIFS(其他研发费用!$F$4:$F$153,其他研发费用!$A$4:$A$153,$A110,其他研发费用!$B$4:$B$153,$B110,其他研发费用!$D$4:$D$153,"其他相关费用")</f>
        <v>0</v>
      </c>
      <c r="J110" s="27" t="n">
        <f aca="false">SUMIFS(其他研发费用!$F$4:$F$153,其他研发费用!$A$4:$A$153,$A110,其他研发费用!$B$4:$B$153,$B110,其他研发费用!$D$4:$D$153,"委托外部研发费用")</f>
        <v>0</v>
      </c>
      <c r="K110" s="27" t="n">
        <f aca="false">ROUND(SUM(D110:J110),2)</f>
        <v>0</v>
      </c>
      <c r="L110" s="45" t="n">
        <f aca="false">SUMIFS(研发人员工时分配表!$O$6:$O$245,研发人员工时分配表!$A$6:$A$245,$A110)</f>
        <v>0</v>
      </c>
      <c r="M110" s="45" t="n">
        <f aca="false">SUMIFS(仪器设备工时分配表!$O$6:$O$245,仪器设备工时分配表!$A$6:$A$245,$A110)</f>
        <v>0</v>
      </c>
    </row>
    <row r="111" customFormat="false" ht="16.5" hidden="false" customHeight="true" outlineLevel="0" collapsed="false">
      <c r="A111" s="21" t="s">
        <v>101</v>
      </c>
      <c r="B111" s="43" t="str">
        <f aca="false">项目清单!$B$12</f>
        <v>RD09</v>
      </c>
      <c r="C111" s="48" t="str">
        <f aca="false">IF($B111="","",IFERROR(VLOOKUP($B111,项目清单!$B$4:$C$13,2,0)&amp;"",""))</f>
        <v/>
      </c>
      <c r="D111" s="27" t="n">
        <f aca="false">SUMIFS(研发人员工时费用分配表!$V$6:$V$245,研发人员工时费用分配表!$A$6:$A$245,$A111)</f>
        <v>0</v>
      </c>
      <c r="E111" s="27" t="n">
        <f aca="false">SUMIFS(仪器设备工时费用分配表!$R$6:$R$245,仪器设备工时费用分配表!$A$6:$A$245,$A111,仪器设备工时费用分配表!$D$6:$D$245,"设备")</f>
        <v>0</v>
      </c>
      <c r="F111" s="27" t="n">
        <f aca="false">SUMIFS(无形资产费用分配表!$R$6:$R$125,无形资产费用分配表!$A$6:$A$125,$A111)</f>
        <v>0</v>
      </c>
      <c r="G111" s="27" t="n">
        <f aca="false">SUMIFS(其他研发费用!$F$4:$F$153,其他研发费用!$A$4:$A$153,$A111,其他研发费用!$B$4:$B$153,$B111,其他研发费用!$D$4:$D$153,"直接投入费用")</f>
        <v>0</v>
      </c>
      <c r="H111" s="27" t="n">
        <f aca="false">SUMIFS(其他研发费用!$F$4:$F$153,其他研发费用!$A$4:$A$153,$A111,其他研发费用!$B$4:$B$153,$B111,其他研发费用!$D$4:$D$153,"新产品设计费等")</f>
        <v>0</v>
      </c>
      <c r="I111" s="27" t="n">
        <f aca="false">SUMIFS(其他研发费用!$F$4:$F$153,其他研发费用!$A$4:$A$153,$A111,其他研发费用!$B$4:$B$153,$B111,其他研发费用!$D$4:$D$153,"其他相关费用")</f>
        <v>0</v>
      </c>
      <c r="J111" s="27" t="n">
        <f aca="false">SUMIFS(其他研发费用!$F$4:$F$153,其他研发费用!$A$4:$A$153,$A111,其他研发费用!$B$4:$B$153,$B111,其他研发费用!$D$4:$D$153,"委托外部研发费用")</f>
        <v>0</v>
      </c>
      <c r="K111" s="27" t="n">
        <f aca="false">ROUND(SUM(D111:J111),2)</f>
        <v>0</v>
      </c>
      <c r="L111" s="45" t="n">
        <f aca="false">SUMIFS(研发人员工时分配表!$P$6:$P$245,研发人员工时分配表!$A$6:$A$245,$A111)</f>
        <v>0</v>
      </c>
      <c r="M111" s="45" t="n">
        <f aca="false">SUMIFS(仪器设备工时分配表!$P$6:$P$245,仪器设备工时分配表!$A$6:$A$245,$A111)</f>
        <v>0</v>
      </c>
    </row>
    <row r="112" customFormat="false" ht="16.5" hidden="false" customHeight="true" outlineLevel="0" collapsed="false">
      <c r="A112" s="21" t="s">
        <v>101</v>
      </c>
      <c r="B112" s="43" t="str">
        <f aca="false">项目清单!$B$13</f>
        <v>RD10</v>
      </c>
      <c r="C112" s="48" t="str">
        <f aca="false">IF($B112="","",IFERROR(VLOOKUP($B112,项目清单!$B$4:$C$13,2,0)&amp;"",""))</f>
        <v/>
      </c>
      <c r="D112" s="27" t="n">
        <f aca="false">SUMIFS(研发人员工时费用分配表!$W$6:$W$245,研发人员工时费用分配表!$A$6:$A$245,$A112)</f>
        <v>0</v>
      </c>
      <c r="E112" s="27" t="n">
        <f aca="false">SUMIFS(仪器设备工时费用分配表!$S$6:$S$245,仪器设备工时费用分配表!$A$6:$A$245,$A112,仪器设备工时费用分配表!$D$6:$D$245,"设备")</f>
        <v>0</v>
      </c>
      <c r="F112" s="27" t="n">
        <f aca="false">SUMIFS(无形资产费用分配表!$S$6:$S$125,无形资产费用分配表!$A$6:$A$125,$A112)</f>
        <v>0</v>
      </c>
      <c r="G112" s="27" t="n">
        <f aca="false">SUMIFS(其他研发费用!$F$4:$F$153,其他研发费用!$A$4:$A$153,$A112,其他研发费用!$B$4:$B$153,$B112,其他研发费用!$D$4:$D$153,"直接投入费用")</f>
        <v>0</v>
      </c>
      <c r="H112" s="27" t="n">
        <f aca="false">SUMIFS(其他研发费用!$F$4:$F$153,其他研发费用!$A$4:$A$153,$A112,其他研发费用!$B$4:$B$153,$B112,其他研发费用!$D$4:$D$153,"新产品设计费等")</f>
        <v>0</v>
      </c>
      <c r="I112" s="27" t="n">
        <f aca="false">SUMIFS(其他研发费用!$F$4:$F$153,其他研发费用!$A$4:$A$153,$A112,其他研发费用!$B$4:$B$153,$B112,其他研发费用!$D$4:$D$153,"其他相关费用")</f>
        <v>0</v>
      </c>
      <c r="J112" s="27" t="n">
        <f aca="false">SUMIFS(其他研发费用!$F$4:$F$153,其他研发费用!$A$4:$A$153,$A112,其他研发费用!$B$4:$B$153,$B112,其他研发费用!$D$4:$D$153,"委托外部研发费用")</f>
        <v>0</v>
      </c>
      <c r="K112" s="27" t="n">
        <f aca="false">ROUND(SUM(D112:J112),2)</f>
        <v>0</v>
      </c>
      <c r="L112" s="45" t="n">
        <f aca="false">SUMIFS(研发人员工时分配表!$Q$6:$Q$245,研发人员工时分配表!$A$6:$A$245,$A112)</f>
        <v>0</v>
      </c>
      <c r="M112" s="45" t="n">
        <f aca="false">SUMIFS(仪器设备工时分配表!$Q$6:$Q$245,仪器设备工时分配表!$A$6:$A$245,$A112)</f>
        <v>0</v>
      </c>
    </row>
    <row r="113" customFormat="false" ht="18" hidden="false" customHeight="true" outlineLevel="0" collapsed="false">
      <c r="A113" s="50" t="s">
        <v>101</v>
      </c>
      <c r="B113" s="30"/>
      <c r="C113" s="30" t="s">
        <v>295</v>
      </c>
      <c r="D113" s="31" t="n">
        <f aca="false">ROUND(SUM(D103:D112),2)</f>
        <v>0</v>
      </c>
      <c r="E113" s="31" t="n">
        <f aca="false">ROUND(SUM(E103:E112),2)</f>
        <v>0</v>
      </c>
      <c r="F113" s="31" t="n">
        <f aca="false">ROUND(SUM(F103:F112),2)</f>
        <v>0</v>
      </c>
      <c r="G113" s="31" t="n">
        <f aca="false">ROUND(SUM(G103:G112),2)</f>
        <v>0</v>
      </c>
      <c r="H113" s="31" t="n">
        <f aca="false">ROUND(SUM(H103:H112),2)</f>
        <v>0</v>
      </c>
      <c r="I113" s="31" t="n">
        <f aca="false">ROUND(SUM(I103:I112),2)</f>
        <v>0</v>
      </c>
      <c r="J113" s="31" t="n">
        <f aca="false">ROUND(SUM(J103:J112),2)</f>
        <v>0</v>
      </c>
      <c r="K113" s="31" t="n">
        <f aca="false">ROUND(SUM(K103:K112),2)</f>
        <v>0</v>
      </c>
      <c r="L113" s="51" t="n">
        <f aca="false">ROUND(SUM(L103:L112),2)</f>
        <v>0</v>
      </c>
      <c r="M113" s="51" t="n">
        <f aca="false">ROUND(SUM(M103:M112),2)</f>
        <v>0</v>
      </c>
    </row>
    <row r="114" customFormat="false" ht="16.5" hidden="false" customHeight="true" outlineLevel="0" collapsed="false">
      <c r="A114" s="21" t="s">
        <v>102</v>
      </c>
      <c r="B114" s="43" t="str">
        <f aca="false">项目清单!$B$4</f>
        <v>RD01</v>
      </c>
      <c r="C114" s="48" t="str">
        <f aca="false">IF($B114="","",IFERROR(VLOOKUP($B114,项目清单!$B$4:$C$13,2,0)&amp;"",""))</f>
        <v>高回弹低压缩永久变形3C用聚氨酯泡棉开发</v>
      </c>
      <c r="D114" s="27" t="n">
        <f aca="false">SUMIFS(研发人员工时费用分配表!$N$6:$N$245,研发人员工时费用分配表!$A$6:$A$245,$A114)</f>
        <v>0</v>
      </c>
      <c r="E114" s="27" t="n">
        <f aca="false">SUMIFS(仪器设备工时费用分配表!$J$6:$J$245,仪器设备工时费用分配表!$A$6:$A$245,$A114,仪器设备工时费用分配表!$D$6:$D$245,"设备")</f>
        <v>0</v>
      </c>
      <c r="F114" s="27" t="n">
        <f aca="false">SUMIFS(无形资产费用分配表!$J$6:$J$125,无形资产费用分配表!$A$6:$A$125,$A114)</f>
        <v>0</v>
      </c>
      <c r="G114" s="27" t="n">
        <f aca="false">SUMIFS(其他研发费用!$F$4:$F$153,其他研发费用!$A$4:$A$153,$A114,其他研发费用!$B$4:$B$153,$B114,其他研发费用!$D$4:$D$153,"直接投入费用")</f>
        <v>0</v>
      </c>
      <c r="H114" s="27" t="n">
        <f aca="false">SUMIFS(其他研发费用!$F$4:$F$153,其他研发费用!$A$4:$A$153,$A114,其他研发费用!$B$4:$B$153,$B114,其他研发费用!$D$4:$D$153,"新产品设计费等")</f>
        <v>0</v>
      </c>
      <c r="I114" s="27" t="n">
        <f aca="false">SUMIFS(其他研发费用!$F$4:$F$153,其他研发费用!$A$4:$A$153,$A114,其他研发费用!$B$4:$B$153,$B114,其他研发费用!$D$4:$D$153,"其他相关费用")</f>
        <v>0</v>
      </c>
      <c r="J114" s="27" t="n">
        <f aca="false">SUMIFS(其他研发费用!$F$4:$F$153,其他研发费用!$A$4:$A$153,$A114,其他研发费用!$B$4:$B$153,$B114,其他研发费用!$D$4:$D$153,"委托外部研发费用")</f>
        <v>0</v>
      </c>
      <c r="K114" s="27" t="n">
        <f aca="false">ROUND(SUM(D114:J114),2)</f>
        <v>0</v>
      </c>
      <c r="L114" s="45" t="n">
        <f aca="false">SUMIFS(研发人员工时分配表!$H$6:$H$245,研发人员工时分配表!$A$6:$A$245,$A114)</f>
        <v>0</v>
      </c>
      <c r="M114" s="45" t="n">
        <f aca="false">SUMIFS(仪器设备工时分配表!$H$6:$H$245,仪器设备工时分配表!$A$6:$A$245,$A114)</f>
        <v>0</v>
      </c>
    </row>
    <row r="115" customFormat="false" ht="16.5" hidden="false" customHeight="true" outlineLevel="0" collapsed="false">
      <c r="A115" s="21" t="s">
        <v>102</v>
      </c>
      <c r="B115" s="43" t="str">
        <f aca="false">项目清单!$B$5</f>
        <v>RD02</v>
      </c>
      <c r="C115" s="48" t="str">
        <f aca="false">IF($B115="","",IFERROR(VLOOKUP($B115,项目清单!$B$4:$C$13,2,0)&amp;"",""))</f>
        <v>动力电池模组用高阻燃缓冲泡棉研发</v>
      </c>
      <c r="D115" s="27" t="n">
        <f aca="false">SUMIFS(研发人员工时费用分配表!$O$6:$O$245,研发人员工时费用分配表!$A$6:$A$245,$A115)</f>
        <v>0</v>
      </c>
      <c r="E115" s="27" t="n">
        <f aca="false">SUMIFS(仪器设备工时费用分配表!$K$6:$K$245,仪器设备工时费用分配表!$A$6:$A$245,$A115,仪器设备工时费用分配表!$D$6:$D$245,"设备")</f>
        <v>0</v>
      </c>
      <c r="F115" s="27" t="n">
        <f aca="false">SUMIFS(无形资产费用分配表!$K$6:$K$125,无形资产费用分配表!$A$6:$A$125,$A115)</f>
        <v>0</v>
      </c>
      <c r="G115" s="27" t="n">
        <f aca="false">SUMIFS(其他研发费用!$F$4:$F$153,其他研发费用!$A$4:$A$153,$A115,其他研发费用!$B$4:$B$153,$B115,其他研发费用!$D$4:$D$153,"直接投入费用")</f>
        <v>0</v>
      </c>
      <c r="H115" s="27" t="n">
        <f aca="false">SUMIFS(其他研发费用!$F$4:$F$153,其他研发费用!$A$4:$A$153,$A115,其他研发费用!$B$4:$B$153,$B115,其他研发费用!$D$4:$D$153,"新产品设计费等")</f>
        <v>0</v>
      </c>
      <c r="I115" s="27" t="n">
        <f aca="false">SUMIFS(其他研发费用!$F$4:$F$153,其他研发费用!$A$4:$A$153,$A115,其他研发费用!$B$4:$B$153,$B115,其他研发费用!$D$4:$D$153,"其他相关费用")</f>
        <v>0</v>
      </c>
      <c r="J115" s="27" t="n">
        <f aca="false">SUMIFS(其他研发费用!$F$4:$F$153,其他研发费用!$A$4:$A$153,$A115,其他研发费用!$B$4:$B$153,$B115,其他研发费用!$D$4:$D$153,"委托外部研发费用")</f>
        <v>0</v>
      </c>
      <c r="K115" s="27" t="n">
        <f aca="false">ROUND(SUM(D115:J115),2)</f>
        <v>0</v>
      </c>
      <c r="L115" s="45" t="n">
        <f aca="false">SUMIFS(研发人员工时分配表!$I$6:$I$245,研发人员工时分配表!$A$6:$A$245,$A115)</f>
        <v>0</v>
      </c>
      <c r="M115" s="45" t="n">
        <f aca="false">SUMIFS(仪器设备工时分配表!$I$6:$I$245,仪器设备工时分配表!$A$6:$A$245,$A115)</f>
        <v>0</v>
      </c>
    </row>
    <row r="116" customFormat="false" ht="16.5" hidden="false" customHeight="true" outlineLevel="0" collapsed="false">
      <c r="A116" s="21" t="s">
        <v>102</v>
      </c>
      <c r="B116" s="43" t="str">
        <f aca="false">项目清单!$B$6</f>
        <v>RD03</v>
      </c>
      <c r="C116" s="48" t="str">
        <f aca="false">IF($B116="","",IFERROR(VLOOKUP($B116,项目清单!$B$4:$C$13,2,0)&amp;"",""))</f>
        <v>泡棉与PET基材无溶剂贴合工艺开发</v>
      </c>
      <c r="D116" s="27" t="n">
        <f aca="false">SUMIFS(研发人员工时费用分配表!$P$6:$P$245,研发人员工时费用分配表!$A$6:$A$245,$A116)</f>
        <v>0</v>
      </c>
      <c r="E116" s="27" t="n">
        <f aca="false">SUMIFS(仪器设备工时费用分配表!$L$6:$L$245,仪器设备工时费用分配表!$A$6:$A$245,$A116,仪器设备工时费用分配表!$D$6:$D$245,"设备")</f>
        <v>0</v>
      </c>
      <c r="F116" s="27" t="n">
        <f aca="false">SUMIFS(无形资产费用分配表!$L$6:$L$125,无形资产费用分配表!$A$6:$A$125,$A116)</f>
        <v>0</v>
      </c>
      <c r="G116" s="27" t="n">
        <f aca="false">SUMIFS(其他研发费用!$F$4:$F$153,其他研发费用!$A$4:$A$153,$A116,其他研发费用!$B$4:$B$153,$B116,其他研发费用!$D$4:$D$153,"直接投入费用")</f>
        <v>0</v>
      </c>
      <c r="H116" s="27" t="n">
        <f aca="false">SUMIFS(其他研发费用!$F$4:$F$153,其他研发费用!$A$4:$A$153,$A116,其他研发费用!$B$4:$B$153,$B116,其他研发费用!$D$4:$D$153,"新产品设计费等")</f>
        <v>0</v>
      </c>
      <c r="I116" s="27" t="n">
        <f aca="false">SUMIFS(其他研发费用!$F$4:$F$153,其他研发费用!$A$4:$A$153,$A116,其他研发费用!$B$4:$B$153,$B116,其他研发费用!$D$4:$D$153,"其他相关费用")</f>
        <v>0</v>
      </c>
      <c r="J116" s="27" t="n">
        <f aca="false">SUMIFS(其他研发费用!$F$4:$F$153,其他研发费用!$A$4:$A$153,$A116,其他研发费用!$B$4:$B$153,$B116,其他研发费用!$D$4:$D$153,"委托外部研发费用")</f>
        <v>0</v>
      </c>
      <c r="K116" s="27" t="n">
        <f aca="false">ROUND(SUM(D116:J116),2)</f>
        <v>0</v>
      </c>
      <c r="L116" s="45" t="n">
        <f aca="false">SUMIFS(研发人员工时分配表!$J$6:$J$245,研发人员工时分配表!$A$6:$A$245,$A116)</f>
        <v>0</v>
      </c>
      <c r="M116" s="45" t="n">
        <f aca="false">SUMIFS(仪器设备工时分配表!$J$6:$J$245,仪器设备工时分配表!$A$6:$A$245,$A116)</f>
        <v>0</v>
      </c>
    </row>
    <row r="117" customFormat="false" ht="16.5" hidden="false" customHeight="true" outlineLevel="0" collapsed="false">
      <c r="A117" s="21" t="s">
        <v>102</v>
      </c>
      <c r="B117" s="43" t="str">
        <f aca="false">项目清单!$B$7</f>
        <v>RD04</v>
      </c>
      <c r="C117" s="48" t="str">
        <f aca="false">IF($B117="","",IFERROR(VLOOKUP($B117,项目清单!$B$4:$C$13,2,0)&amp;"",""))</f>
        <v>超薄泡棉高精度分切及毛边控制技术研究</v>
      </c>
      <c r="D117" s="27" t="n">
        <f aca="false">SUMIFS(研发人员工时费用分配表!$Q$6:$Q$245,研发人员工时费用分配表!$A$6:$A$245,$A117)</f>
        <v>0</v>
      </c>
      <c r="E117" s="27" t="n">
        <f aca="false">SUMIFS(仪器设备工时费用分配表!$M$6:$M$245,仪器设备工时费用分配表!$A$6:$A$245,$A117,仪器设备工时费用分配表!$D$6:$D$245,"设备")</f>
        <v>0</v>
      </c>
      <c r="F117" s="27" t="n">
        <f aca="false">SUMIFS(无形资产费用分配表!$M$6:$M$125,无形资产费用分配表!$A$6:$A$125,$A117)</f>
        <v>0</v>
      </c>
      <c r="G117" s="27" t="n">
        <f aca="false">SUMIFS(其他研发费用!$F$4:$F$153,其他研发费用!$A$4:$A$153,$A117,其他研发费用!$B$4:$B$153,$B117,其他研发费用!$D$4:$D$153,"直接投入费用")</f>
        <v>0</v>
      </c>
      <c r="H117" s="27" t="n">
        <f aca="false">SUMIFS(其他研发费用!$F$4:$F$153,其他研发费用!$A$4:$A$153,$A117,其他研发费用!$B$4:$B$153,$B117,其他研发费用!$D$4:$D$153,"新产品设计费等")</f>
        <v>0</v>
      </c>
      <c r="I117" s="27" t="n">
        <f aca="false">SUMIFS(其他研发费用!$F$4:$F$153,其他研发费用!$A$4:$A$153,$A117,其他研发费用!$B$4:$B$153,$B117,其他研发费用!$D$4:$D$153,"其他相关费用")</f>
        <v>0</v>
      </c>
      <c r="J117" s="27" t="n">
        <f aca="false">SUMIFS(其他研发费用!$F$4:$F$153,其他研发费用!$A$4:$A$153,$A117,其他研发费用!$B$4:$B$153,$B117,其他研发费用!$D$4:$D$153,"委托外部研发费用")</f>
        <v>0</v>
      </c>
      <c r="K117" s="27" t="n">
        <f aca="false">ROUND(SUM(D117:J117),2)</f>
        <v>0</v>
      </c>
      <c r="L117" s="45" t="n">
        <f aca="false">SUMIFS(研发人员工时分配表!$K$6:$K$245,研发人员工时分配表!$A$6:$A$245,$A117)</f>
        <v>0</v>
      </c>
      <c r="M117" s="45" t="n">
        <f aca="false">SUMIFS(仪器设备工时分配表!$K$6:$K$245,仪器设备工时分配表!$A$6:$A$245,$A117)</f>
        <v>0</v>
      </c>
    </row>
    <row r="118" customFormat="false" ht="16.5" hidden="false" customHeight="true" outlineLevel="0" collapsed="false">
      <c r="A118" s="21" t="s">
        <v>102</v>
      </c>
      <c r="B118" s="43" t="str">
        <f aca="false">项目清单!$B$8</f>
        <v>RD05</v>
      </c>
      <c r="C118" s="48" t="str">
        <f aca="false">IF($B118="","",IFERROR(VLOOKUP($B118,项目清单!$B$4:$C$13,2,0)&amp;"",""))</f>
        <v>新能源汽车电池包用导热缓冲复合材料开发</v>
      </c>
      <c r="D118" s="27" t="n">
        <f aca="false">SUMIFS(研发人员工时费用分配表!$R$6:$R$245,研发人员工时费用分配表!$A$6:$A$245,$A118)</f>
        <v>0</v>
      </c>
      <c r="E118" s="27" t="n">
        <f aca="false">SUMIFS(仪器设备工时费用分配表!$N$6:$N$245,仪器设备工时费用分配表!$A$6:$A$245,$A118,仪器设备工时费用分配表!$D$6:$D$245,"设备")</f>
        <v>0</v>
      </c>
      <c r="F118" s="27" t="n">
        <f aca="false">SUMIFS(无形资产费用分配表!$N$6:$N$125,无形资产费用分配表!$A$6:$A$125,$A118)</f>
        <v>0</v>
      </c>
      <c r="G118" s="27" t="n">
        <f aca="false">SUMIFS(其他研发费用!$F$4:$F$153,其他研发费用!$A$4:$A$153,$A118,其他研发费用!$B$4:$B$153,$B118,其他研发费用!$D$4:$D$153,"直接投入费用")</f>
        <v>0</v>
      </c>
      <c r="H118" s="27" t="n">
        <f aca="false">SUMIFS(其他研发费用!$F$4:$F$153,其他研发费用!$A$4:$A$153,$A118,其他研发费用!$B$4:$B$153,$B118,其他研发费用!$D$4:$D$153,"新产品设计费等")</f>
        <v>0</v>
      </c>
      <c r="I118" s="27" t="n">
        <f aca="false">SUMIFS(其他研发费用!$F$4:$F$153,其他研发费用!$A$4:$A$153,$A118,其他研发费用!$B$4:$B$153,$B118,其他研发费用!$D$4:$D$153,"其他相关费用")</f>
        <v>0</v>
      </c>
      <c r="J118" s="27" t="n">
        <f aca="false">SUMIFS(其他研发费用!$F$4:$F$153,其他研发费用!$A$4:$A$153,$A118,其他研发费用!$B$4:$B$153,$B118,其他研发费用!$D$4:$D$153,"委托外部研发费用")</f>
        <v>0</v>
      </c>
      <c r="K118" s="27" t="n">
        <f aca="false">ROUND(SUM(D118:J118),2)</f>
        <v>0</v>
      </c>
      <c r="L118" s="45" t="n">
        <f aca="false">SUMIFS(研发人员工时分配表!$L$6:$L$245,研发人员工时分配表!$A$6:$A$245,$A118)</f>
        <v>0</v>
      </c>
      <c r="M118" s="45" t="n">
        <f aca="false">SUMIFS(仪器设备工时分配表!$L$6:$L$245,仪器设备工时分配表!$A$6:$A$245,$A118)</f>
        <v>0</v>
      </c>
    </row>
    <row r="119" customFormat="false" ht="16.5" hidden="false" customHeight="true" outlineLevel="0" collapsed="false">
      <c r="A119" s="21" t="s">
        <v>102</v>
      </c>
      <c r="B119" s="43" t="str">
        <f aca="false">项目清单!$B$9</f>
        <v>RD06</v>
      </c>
      <c r="C119" s="48" t="str">
        <f aca="false">IF($B119="","",IFERROR(VLOOKUP($B119,项目清单!$B$4:$C$13,2,0)&amp;"",""))</f>
        <v>3C电子用超薄黑色遮光泡棉制备技术</v>
      </c>
      <c r="D119" s="27" t="n">
        <f aca="false">SUMIFS(研发人员工时费用分配表!$S$6:$S$245,研发人员工时费用分配表!$A$6:$A$245,$A119)</f>
        <v>0</v>
      </c>
      <c r="E119" s="27" t="n">
        <f aca="false">SUMIFS(仪器设备工时费用分配表!$O$6:$O$245,仪器设备工时费用分配表!$A$6:$A$245,$A119,仪器设备工时费用分配表!$D$6:$D$245,"设备")</f>
        <v>0</v>
      </c>
      <c r="F119" s="27" t="n">
        <f aca="false">SUMIFS(无形资产费用分配表!$O$6:$O$125,无形资产费用分配表!$A$6:$A$125,$A119)</f>
        <v>0</v>
      </c>
      <c r="G119" s="27" t="n">
        <f aca="false">SUMIFS(其他研发费用!$F$4:$F$153,其他研发费用!$A$4:$A$153,$A119,其他研发费用!$B$4:$B$153,$B119,其他研发费用!$D$4:$D$153,"直接投入费用")</f>
        <v>0</v>
      </c>
      <c r="H119" s="27" t="n">
        <f aca="false">SUMIFS(其他研发费用!$F$4:$F$153,其他研发费用!$A$4:$A$153,$A119,其他研发费用!$B$4:$B$153,$B119,其他研发费用!$D$4:$D$153,"新产品设计费等")</f>
        <v>0</v>
      </c>
      <c r="I119" s="27" t="n">
        <f aca="false">SUMIFS(其他研发费用!$F$4:$F$153,其他研发费用!$A$4:$A$153,$A119,其他研发费用!$B$4:$B$153,$B119,其他研发费用!$D$4:$D$153,"其他相关费用")</f>
        <v>0</v>
      </c>
      <c r="J119" s="27" t="n">
        <f aca="false">SUMIFS(其他研发费用!$F$4:$F$153,其他研发费用!$A$4:$A$153,$A119,其他研发费用!$B$4:$B$153,$B119,其他研发费用!$D$4:$D$153,"委托外部研发费用")</f>
        <v>0</v>
      </c>
      <c r="K119" s="27" t="n">
        <f aca="false">ROUND(SUM(D119:J119),2)</f>
        <v>0</v>
      </c>
      <c r="L119" s="45" t="n">
        <f aca="false">SUMIFS(研发人员工时分配表!$M$6:$M$245,研发人员工时分配表!$A$6:$A$245,$A119)</f>
        <v>0</v>
      </c>
      <c r="M119" s="45" t="n">
        <f aca="false">SUMIFS(仪器设备工时分配表!$M$6:$M$245,仪器设备工时分配表!$A$6:$A$245,$A119)</f>
        <v>0</v>
      </c>
    </row>
    <row r="120" customFormat="false" ht="16.5" hidden="false" customHeight="true" outlineLevel="0" collapsed="false">
      <c r="A120" s="21" t="s">
        <v>102</v>
      </c>
      <c r="B120" s="43" t="str">
        <f aca="false">项目清单!$B$10</f>
        <v>RD07</v>
      </c>
      <c r="C120" s="48" t="str">
        <f aca="false">IF($B120="","",IFERROR(VLOOKUP($B120,项目清单!$B$4:$C$13,2,0)&amp;"",""))</f>
        <v>环保型水性胶泡棉贴合技术开发</v>
      </c>
      <c r="D120" s="27" t="n">
        <f aca="false">SUMIFS(研发人员工时费用分配表!$T$6:$T$245,研发人员工时费用分配表!$A$6:$A$245,$A120)</f>
        <v>0</v>
      </c>
      <c r="E120" s="27" t="n">
        <f aca="false">SUMIFS(仪器设备工时费用分配表!$P$6:$P$245,仪器设备工时费用分配表!$A$6:$A$245,$A120,仪器设备工时费用分配表!$D$6:$D$245,"设备")</f>
        <v>0</v>
      </c>
      <c r="F120" s="27" t="n">
        <f aca="false">SUMIFS(无形资产费用分配表!$P$6:$P$125,无形资产费用分配表!$A$6:$A$125,$A120)</f>
        <v>0</v>
      </c>
      <c r="G120" s="27" t="n">
        <f aca="false">SUMIFS(其他研发费用!$F$4:$F$153,其他研发费用!$A$4:$A$153,$A120,其他研发费用!$B$4:$B$153,$B120,其他研发费用!$D$4:$D$153,"直接投入费用")</f>
        <v>0</v>
      </c>
      <c r="H120" s="27" t="n">
        <f aca="false">SUMIFS(其他研发费用!$F$4:$F$153,其他研发费用!$A$4:$A$153,$A120,其他研发费用!$B$4:$B$153,$B120,其他研发费用!$D$4:$D$153,"新产品设计费等")</f>
        <v>0</v>
      </c>
      <c r="I120" s="27" t="n">
        <f aca="false">SUMIFS(其他研发费用!$F$4:$F$153,其他研发费用!$A$4:$A$153,$A120,其他研发费用!$B$4:$B$153,$B120,其他研发费用!$D$4:$D$153,"其他相关费用")</f>
        <v>0</v>
      </c>
      <c r="J120" s="27" t="n">
        <f aca="false">SUMIFS(其他研发费用!$F$4:$F$153,其他研发费用!$A$4:$A$153,$A120,其他研发费用!$B$4:$B$153,$B120,其他研发费用!$D$4:$D$153,"委托外部研发费用")</f>
        <v>0</v>
      </c>
      <c r="K120" s="27" t="n">
        <f aca="false">ROUND(SUM(D120:J120),2)</f>
        <v>0</v>
      </c>
      <c r="L120" s="45" t="n">
        <f aca="false">SUMIFS(研发人员工时分配表!$N$6:$N$245,研发人员工时分配表!$A$6:$A$245,$A120)</f>
        <v>0</v>
      </c>
      <c r="M120" s="45" t="n">
        <f aca="false">SUMIFS(仪器设备工时分配表!$N$6:$N$245,仪器设备工时分配表!$A$6:$A$245,$A120)</f>
        <v>0</v>
      </c>
    </row>
    <row r="121" customFormat="false" ht="16.5" hidden="false" customHeight="true" outlineLevel="0" collapsed="false">
      <c r="A121" s="21" t="s">
        <v>102</v>
      </c>
      <c r="B121" s="43" t="str">
        <f aca="false">项目清单!$B$11</f>
        <v>RD08</v>
      </c>
      <c r="C121" s="48" t="str">
        <f aca="false">IF($B121="","",IFERROR(VLOOKUP($B121,项目清单!$B$4:$C$13,2,0)&amp;"",""))</f>
        <v>泡棉模切自动化在线检测技术研究</v>
      </c>
      <c r="D121" s="27" t="n">
        <f aca="false">SUMIFS(研发人员工时费用分配表!$U$6:$U$245,研发人员工时费用分配表!$A$6:$A$245,$A121)</f>
        <v>0</v>
      </c>
      <c r="E121" s="27" t="n">
        <f aca="false">SUMIFS(仪器设备工时费用分配表!$Q$6:$Q$245,仪器设备工时费用分配表!$A$6:$A$245,$A121,仪器设备工时费用分配表!$D$6:$D$245,"设备")</f>
        <v>0</v>
      </c>
      <c r="F121" s="27" t="n">
        <f aca="false">SUMIFS(无形资产费用分配表!$Q$6:$Q$125,无形资产费用分配表!$A$6:$A$125,$A121)</f>
        <v>0</v>
      </c>
      <c r="G121" s="27" t="n">
        <f aca="false">SUMIFS(其他研发费用!$F$4:$F$153,其他研发费用!$A$4:$A$153,$A121,其他研发费用!$B$4:$B$153,$B121,其他研发费用!$D$4:$D$153,"直接投入费用")</f>
        <v>0</v>
      </c>
      <c r="H121" s="27" t="n">
        <f aca="false">SUMIFS(其他研发费用!$F$4:$F$153,其他研发费用!$A$4:$A$153,$A121,其他研发费用!$B$4:$B$153,$B121,其他研发费用!$D$4:$D$153,"新产品设计费等")</f>
        <v>0</v>
      </c>
      <c r="I121" s="27" t="n">
        <f aca="false">SUMIFS(其他研发费用!$F$4:$F$153,其他研发费用!$A$4:$A$153,$A121,其他研发费用!$B$4:$B$153,$B121,其他研发费用!$D$4:$D$153,"其他相关费用")</f>
        <v>0</v>
      </c>
      <c r="J121" s="27" t="n">
        <f aca="false">SUMIFS(其他研发费用!$F$4:$F$153,其他研发费用!$A$4:$A$153,$A121,其他研发费用!$B$4:$B$153,$B121,其他研发费用!$D$4:$D$153,"委托外部研发费用")</f>
        <v>0</v>
      </c>
      <c r="K121" s="27" t="n">
        <f aca="false">ROUND(SUM(D121:J121),2)</f>
        <v>0</v>
      </c>
      <c r="L121" s="45" t="n">
        <f aca="false">SUMIFS(研发人员工时分配表!$O$6:$O$245,研发人员工时分配表!$A$6:$A$245,$A121)</f>
        <v>0</v>
      </c>
      <c r="M121" s="45" t="n">
        <f aca="false">SUMIFS(仪器设备工时分配表!$O$6:$O$245,仪器设备工时分配表!$A$6:$A$245,$A121)</f>
        <v>0</v>
      </c>
    </row>
    <row r="122" customFormat="false" ht="16.5" hidden="false" customHeight="true" outlineLevel="0" collapsed="false">
      <c r="A122" s="21" t="s">
        <v>102</v>
      </c>
      <c r="B122" s="43" t="str">
        <f aca="false">项目清单!$B$12</f>
        <v>RD09</v>
      </c>
      <c r="C122" s="48" t="str">
        <f aca="false">IF($B122="","",IFERROR(VLOOKUP($B122,项目清单!$B$4:$C$13,2,0)&amp;"",""))</f>
        <v/>
      </c>
      <c r="D122" s="27" t="n">
        <f aca="false">SUMIFS(研发人员工时费用分配表!$V$6:$V$245,研发人员工时费用分配表!$A$6:$A$245,$A122)</f>
        <v>0</v>
      </c>
      <c r="E122" s="27" t="n">
        <f aca="false">SUMIFS(仪器设备工时费用分配表!$R$6:$R$245,仪器设备工时费用分配表!$A$6:$A$245,$A122,仪器设备工时费用分配表!$D$6:$D$245,"设备")</f>
        <v>0</v>
      </c>
      <c r="F122" s="27" t="n">
        <f aca="false">SUMIFS(无形资产费用分配表!$R$6:$R$125,无形资产费用分配表!$A$6:$A$125,$A122)</f>
        <v>0</v>
      </c>
      <c r="G122" s="27" t="n">
        <f aca="false">SUMIFS(其他研发费用!$F$4:$F$153,其他研发费用!$A$4:$A$153,$A122,其他研发费用!$B$4:$B$153,$B122,其他研发费用!$D$4:$D$153,"直接投入费用")</f>
        <v>0</v>
      </c>
      <c r="H122" s="27" t="n">
        <f aca="false">SUMIFS(其他研发费用!$F$4:$F$153,其他研发费用!$A$4:$A$153,$A122,其他研发费用!$B$4:$B$153,$B122,其他研发费用!$D$4:$D$153,"新产品设计费等")</f>
        <v>0</v>
      </c>
      <c r="I122" s="27" t="n">
        <f aca="false">SUMIFS(其他研发费用!$F$4:$F$153,其他研发费用!$A$4:$A$153,$A122,其他研发费用!$B$4:$B$153,$B122,其他研发费用!$D$4:$D$153,"其他相关费用")</f>
        <v>0</v>
      </c>
      <c r="J122" s="27" t="n">
        <f aca="false">SUMIFS(其他研发费用!$F$4:$F$153,其他研发费用!$A$4:$A$153,$A122,其他研发费用!$B$4:$B$153,$B122,其他研发费用!$D$4:$D$153,"委托外部研发费用")</f>
        <v>0</v>
      </c>
      <c r="K122" s="27" t="n">
        <f aca="false">ROUND(SUM(D122:J122),2)</f>
        <v>0</v>
      </c>
      <c r="L122" s="45" t="n">
        <f aca="false">SUMIFS(研发人员工时分配表!$P$6:$P$245,研发人员工时分配表!$A$6:$A$245,$A122)</f>
        <v>0</v>
      </c>
      <c r="M122" s="45" t="n">
        <f aca="false">SUMIFS(仪器设备工时分配表!$P$6:$P$245,仪器设备工时分配表!$A$6:$A$245,$A122)</f>
        <v>0</v>
      </c>
    </row>
    <row r="123" customFormat="false" ht="16.5" hidden="false" customHeight="true" outlineLevel="0" collapsed="false">
      <c r="A123" s="21" t="s">
        <v>102</v>
      </c>
      <c r="B123" s="43" t="str">
        <f aca="false">项目清单!$B$13</f>
        <v>RD10</v>
      </c>
      <c r="C123" s="48" t="str">
        <f aca="false">IF($B123="","",IFERROR(VLOOKUP($B123,项目清单!$B$4:$C$13,2,0)&amp;"",""))</f>
        <v/>
      </c>
      <c r="D123" s="27" t="n">
        <f aca="false">SUMIFS(研发人员工时费用分配表!$W$6:$W$245,研发人员工时费用分配表!$A$6:$A$245,$A123)</f>
        <v>0</v>
      </c>
      <c r="E123" s="27" t="n">
        <f aca="false">SUMIFS(仪器设备工时费用分配表!$S$6:$S$245,仪器设备工时费用分配表!$A$6:$A$245,$A123,仪器设备工时费用分配表!$D$6:$D$245,"设备")</f>
        <v>0</v>
      </c>
      <c r="F123" s="27" t="n">
        <f aca="false">SUMIFS(无形资产费用分配表!$S$6:$S$125,无形资产费用分配表!$A$6:$A$125,$A123)</f>
        <v>0</v>
      </c>
      <c r="G123" s="27" t="n">
        <f aca="false">SUMIFS(其他研发费用!$F$4:$F$153,其他研发费用!$A$4:$A$153,$A123,其他研发费用!$B$4:$B$153,$B123,其他研发费用!$D$4:$D$153,"直接投入费用")</f>
        <v>0</v>
      </c>
      <c r="H123" s="27" t="n">
        <f aca="false">SUMIFS(其他研发费用!$F$4:$F$153,其他研发费用!$A$4:$A$153,$A123,其他研发费用!$B$4:$B$153,$B123,其他研发费用!$D$4:$D$153,"新产品设计费等")</f>
        <v>0</v>
      </c>
      <c r="I123" s="27" t="n">
        <f aca="false">SUMIFS(其他研发费用!$F$4:$F$153,其他研发费用!$A$4:$A$153,$A123,其他研发费用!$B$4:$B$153,$B123,其他研发费用!$D$4:$D$153,"其他相关费用")</f>
        <v>0</v>
      </c>
      <c r="J123" s="27" t="n">
        <f aca="false">SUMIFS(其他研发费用!$F$4:$F$153,其他研发费用!$A$4:$A$153,$A123,其他研发费用!$B$4:$B$153,$B123,其他研发费用!$D$4:$D$153,"委托外部研发费用")</f>
        <v>0</v>
      </c>
      <c r="K123" s="27" t="n">
        <f aca="false">ROUND(SUM(D123:J123),2)</f>
        <v>0</v>
      </c>
      <c r="L123" s="45" t="n">
        <f aca="false">SUMIFS(研发人员工时分配表!$Q$6:$Q$245,研发人员工时分配表!$A$6:$A$245,$A123)</f>
        <v>0</v>
      </c>
      <c r="M123" s="45" t="n">
        <f aca="false">SUMIFS(仪器设备工时分配表!$Q$6:$Q$245,仪器设备工时分配表!$A$6:$A$245,$A123)</f>
        <v>0</v>
      </c>
    </row>
    <row r="124" customFormat="false" ht="18" hidden="false" customHeight="true" outlineLevel="0" collapsed="false">
      <c r="A124" s="50" t="s">
        <v>102</v>
      </c>
      <c r="B124" s="30"/>
      <c r="C124" s="30" t="s">
        <v>295</v>
      </c>
      <c r="D124" s="31" t="n">
        <f aca="false">ROUND(SUM(D114:D123),2)</f>
        <v>0</v>
      </c>
      <c r="E124" s="31" t="n">
        <f aca="false">ROUND(SUM(E114:E123),2)</f>
        <v>0</v>
      </c>
      <c r="F124" s="31" t="n">
        <f aca="false">ROUND(SUM(F114:F123),2)</f>
        <v>0</v>
      </c>
      <c r="G124" s="31" t="n">
        <f aca="false">ROUND(SUM(G114:G123),2)</f>
        <v>0</v>
      </c>
      <c r="H124" s="31" t="n">
        <f aca="false">ROUND(SUM(H114:H123),2)</f>
        <v>0</v>
      </c>
      <c r="I124" s="31" t="n">
        <f aca="false">ROUND(SUM(I114:I123),2)</f>
        <v>0</v>
      </c>
      <c r="J124" s="31" t="n">
        <f aca="false">ROUND(SUM(J114:J123),2)</f>
        <v>0</v>
      </c>
      <c r="K124" s="31" t="n">
        <f aca="false">ROUND(SUM(K114:K123),2)</f>
        <v>0</v>
      </c>
      <c r="L124" s="51" t="n">
        <f aca="false">ROUND(SUM(L114:L123),2)</f>
        <v>0</v>
      </c>
      <c r="M124" s="51" t="n">
        <f aca="false">ROUND(SUM(M114:M123),2)</f>
        <v>0</v>
      </c>
    </row>
    <row r="125" customFormat="false" ht="16.5" hidden="false" customHeight="true" outlineLevel="0" collapsed="false">
      <c r="A125" s="21" t="s">
        <v>103</v>
      </c>
      <c r="B125" s="43" t="str">
        <f aca="false">项目清单!$B$4</f>
        <v>RD01</v>
      </c>
      <c r="C125" s="48" t="str">
        <f aca="false">IF($B125="","",IFERROR(VLOOKUP($B125,项目清单!$B$4:$C$13,2,0)&amp;"",""))</f>
        <v>高回弹低压缩永久变形3C用聚氨酯泡棉开发</v>
      </c>
      <c r="D125" s="27" t="n">
        <f aca="false">SUMIFS(研发人员工时费用分配表!$N$6:$N$245,研发人员工时费用分配表!$A$6:$A$245,$A125)</f>
        <v>0</v>
      </c>
      <c r="E125" s="27" t="n">
        <f aca="false">SUMIFS(仪器设备工时费用分配表!$J$6:$J$245,仪器设备工时费用分配表!$A$6:$A$245,$A125,仪器设备工时费用分配表!$D$6:$D$245,"设备")</f>
        <v>0</v>
      </c>
      <c r="F125" s="27" t="n">
        <f aca="false">SUMIFS(无形资产费用分配表!$J$6:$J$125,无形资产费用分配表!$A$6:$A$125,$A125)</f>
        <v>0</v>
      </c>
      <c r="G125" s="27" t="n">
        <f aca="false">SUMIFS(其他研发费用!$F$4:$F$153,其他研发费用!$A$4:$A$153,$A125,其他研发费用!$B$4:$B$153,$B125,其他研发费用!$D$4:$D$153,"直接投入费用")</f>
        <v>0</v>
      </c>
      <c r="H125" s="27" t="n">
        <f aca="false">SUMIFS(其他研发费用!$F$4:$F$153,其他研发费用!$A$4:$A$153,$A125,其他研发费用!$B$4:$B$153,$B125,其他研发费用!$D$4:$D$153,"新产品设计费等")</f>
        <v>0</v>
      </c>
      <c r="I125" s="27" t="n">
        <f aca="false">SUMIFS(其他研发费用!$F$4:$F$153,其他研发费用!$A$4:$A$153,$A125,其他研发费用!$B$4:$B$153,$B125,其他研发费用!$D$4:$D$153,"其他相关费用")</f>
        <v>0</v>
      </c>
      <c r="J125" s="27" t="n">
        <f aca="false">SUMIFS(其他研发费用!$F$4:$F$153,其他研发费用!$A$4:$A$153,$A125,其他研发费用!$B$4:$B$153,$B125,其他研发费用!$D$4:$D$153,"委托外部研发费用")</f>
        <v>0</v>
      </c>
      <c r="K125" s="27" t="n">
        <f aca="false">ROUND(SUM(D125:J125),2)</f>
        <v>0</v>
      </c>
      <c r="L125" s="45" t="n">
        <f aca="false">SUMIFS(研发人员工时分配表!$H$6:$H$245,研发人员工时分配表!$A$6:$A$245,$A125)</f>
        <v>0</v>
      </c>
      <c r="M125" s="45" t="n">
        <f aca="false">SUMIFS(仪器设备工时分配表!$H$6:$H$245,仪器设备工时分配表!$A$6:$A$245,$A125)</f>
        <v>0</v>
      </c>
    </row>
    <row r="126" customFormat="false" ht="16.5" hidden="false" customHeight="true" outlineLevel="0" collapsed="false">
      <c r="A126" s="21" t="s">
        <v>103</v>
      </c>
      <c r="B126" s="43" t="str">
        <f aca="false">项目清单!$B$5</f>
        <v>RD02</v>
      </c>
      <c r="C126" s="48" t="str">
        <f aca="false">IF($B126="","",IFERROR(VLOOKUP($B126,项目清单!$B$4:$C$13,2,0)&amp;"",""))</f>
        <v>动力电池模组用高阻燃缓冲泡棉研发</v>
      </c>
      <c r="D126" s="27" t="n">
        <f aca="false">SUMIFS(研发人员工时费用分配表!$O$6:$O$245,研发人员工时费用分配表!$A$6:$A$245,$A126)</f>
        <v>0</v>
      </c>
      <c r="E126" s="27" t="n">
        <f aca="false">SUMIFS(仪器设备工时费用分配表!$K$6:$K$245,仪器设备工时费用分配表!$A$6:$A$245,$A126,仪器设备工时费用分配表!$D$6:$D$245,"设备")</f>
        <v>0</v>
      </c>
      <c r="F126" s="27" t="n">
        <f aca="false">SUMIFS(无形资产费用分配表!$K$6:$K$125,无形资产费用分配表!$A$6:$A$125,$A126)</f>
        <v>0</v>
      </c>
      <c r="G126" s="27" t="n">
        <f aca="false">SUMIFS(其他研发费用!$F$4:$F$153,其他研发费用!$A$4:$A$153,$A126,其他研发费用!$B$4:$B$153,$B126,其他研发费用!$D$4:$D$153,"直接投入费用")</f>
        <v>0</v>
      </c>
      <c r="H126" s="27" t="n">
        <f aca="false">SUMIFS(其他研发费用!$F$4:$F$153,其他研发费用!$A$4:$A$153,$A126,其他研发费用!$B$4:$B$153,$B126,其他研发费用!$D$4:$D$153,"新产品设计费等")</f>
        <v>0</v>
      </c>
      <c r="I126" s="27" t="n">
        <f aca="false">SUMIFS(其他研发费用!$F$4:$F$153,其他研发费用!$A$4:$A$153,$A126,其他研发费用!$B$4:$B$153,$B126,其他研发费用!$D$4:$D$153,"其他相关费用")</f>
        <v>0</v>
      </c>
      <c r="J126" s="27" t="n">
        <f aca="false">SUMIFS(其他研发费用!$F$4:$F$153,其他研发费用!$A$4:$A$153,$A126,其他研发费用!$B$4:$B$153,$B126,其他研发费用!$D$4:$D$153,"委托外部研发费用")</f>
        <v>0</v>
      </c>
      <c r="K126" s="27" t="n">
        <f aca="false">ROUND(SUM(D126:J126),2)</f>
        <v>0</v>
      </c>
      <c r="L126" s="45" t="n">
        <f aca="false">SUMIFS(研发人员工时分配表!$I$6:$I$245,研发人员工时分配表!$A$6:$A$245,$A126)</f>
        <v>0</v>
      </c>
      <c r="M126" s="45" t="n">
        <f aca="false">SUMIFS(仪器设备工时分配表!$I$6:$I$245,仪器设备工时分配表!$A$6:$A$245,$A126)</f>
        <v>0</v>
      </c>
    </row>
    <row r="127" customFormat="false" ht="16.5" hidden="false" customHeight="true" outlineLevel="0" collapsed="false">
      <c r="A127" s="21" t="s">
        <v>103</v>
      </c>
      <c r="B127" s="43" t="str">
        <f aca="false">项目清单!$B$6</f>
        <v>RD03</v>
      </c>
      <c r="C127" s="48" t="str">
        <f aca="false">IF($B127="","",IFERROR(VLOOKUP($B127,项目清单!$B$4:$C$13,2,0)&amp;"",""))</f>
        <v>泡棉与PET基材无溶剂贴合工艺开发</v>
      </c>
      <c r="D127" s="27" t="n">
        <f aca="false">SUMIFS(研发人员工时费用分配表!$P$6:$P$245,研发人员工时费用分配表!$A$6:$A$245,$A127)</f>
        <v>0</v>
      </c>
      <c r="E127" s="27" t="n">
        <f aca="false">SUMIFS(仪器设备工时费用分配表!$L$6:$L$245,仪器设备工时费用分配表!$A$6:$A$245,$A127,仪器设备工时费用分配表!$D$6:$D$245,"设备")</f>
        <v>0</v>
      </c>
      <c r="F127" s="27" t="n">
        <f aca="false">SUMIFS(无形资产费用分配表!$L$6:$L$125,无形资产费用分配表!$A$6:$A$125,$A127)</f>
        <v>0</v>
      </c>
      <c r="G127" s="27" t="n">
        <f aca="false">SUMIFS(其他研发费用!$F$4:$F$153,其他研发费用!$A$4:$A$153,$A127,其他研发费用!$B$4:$B$153,$B127,其他研发费用!$D$4:$D$153,"直接投入费用")</f>
        <v>0</v>
      </c>
      <c r="H127" s="27" t="n">
        <f aca="false">SUMIFS(其他研发费用!$F$4:$F$153,其他研发费用!$A$4:$A$153,$A127,其他研发费用!$B$4:$B$153,$B127,其他研发费用!$D$4:$D$153,"新产品设计费等")</f>
        <v>0</v>
      </c>
      <c r="I127" s="27" t="n">
        <f aca="false">SUMIFS(其他研发费用!$F$4:$F$153,其他研发费用!$A$4:$A$153,$A127,其他研发费用!$B$4:$B$153,$B127,其他研发费用!$D$4:$D$153,"其他相关费用")</f>
        <v>0</v>
      </c>
      <c r="J127" s="27" t="n">
        <f aca="false">SUMIFS(其他研发费用!$F$4:$F$153,其他研发费用!$A$4:$A$153,$A127,其他研发费用!$B$4:$B$153,$B127,其他研发费用!$D$4:$D$153,"委托外部研发费用")</f>
        <v>0</v>
      </c>
      <c r="K127" s="27" t="n">
        <f aca="false">ROUND(SUM(D127:J127),2)</f>
        <v>0</v>
      </c>
      <c r="L127" s="45" t="n">
        <f aca="false">SUMIFS(研发人员工时分配表!$J$6:$J$245,研发人员工时分配表!$A$6:$A$245,$A127)</f>
        <v>0</v>
      </c>
      <c r="M127" s="45" t="n">
        <f aca="false">SUMIFS(仪器设备工时分配表!$J$6:$J$245,仪器设备工时分配表!$A$6:$A$245,$A127)</f>
        <v>0</v>
      </c>
    </row>
    <row r="128" customFormat="false" ht="16.5" hidden="false" customHeight="true" outlineLevel="0" collapsed="false">
      <c r="A128" s="21" t="s">
        <v>103</v>
      </c>
      <c r="B128" s="43" t="str">
        <f aca="false">项目清单!$B$7</f>
        <v>RD04</v>
      </c>
      <c r="C128" s="48" t="str">
        <f aca="false">IF($B128="","",IFERROR(VLOOKUP($B128,项目清单!$B$4:$C$13,2,0)&amp;"",""))</f>
        <v>超薄泡棉高精度分切及毛边控制技术研究</v>
      </c>
      <c r="D128" s="27" t="n">
        <f aca="false">SUMIFS(研发人员工时费用分配表!$Q$6:$Q$245,研发人员工时费用分配表!$A$6:$A$245,$A128)</f>
        <v>0</v>
      </c>
      <c r="E128" s="27" t="n">
        <f aca="false">SUMIFS(仪器设备工时费用分配表!$M$6:$M$245,仪器设备工时费用分配表!$A$6:$A$245,$A128,仪器设备工时费用分配表!$D$6:$D$245,"设备")</f>
        <v>0</v>
      </c>
      <c r="F128" s="27" t="n">
        <f aca="false">SUMIFS(无形资产费用分配表!$M$6:$M$125,无形资产费用分配表!$A$6:$A$125,$A128)</f>
        <v>0</v>
      </c>
      <c r="G128" s="27" t="n">
        <f aca="false">SUMIFS(其他研发费用!$F$4:$F$153,其他研发费用!$A$4:$A$153,$A128,其他研发费用!$B$4:$B$153,$B128,其他研发费用!$D$4:$D$153,"直接投入费用")</f>
        <v>0</v>
      </c>
      <c r="H128" s="27" t="n">
        <f aca="false">SUMIFS(其他研发费用!$F$4:$F$153,其他研发费用!$A$4:$A$153,$A128,其他研发费用!$B$4:$B$153,$B128,其他研发费用!$D$4:$D$153,"新产品设计费等")</f>
        <v>0</v>
      </c>
      <c r="I128" s="27" t="n">
        <f aca="false">SUMIFS(其他研发费用!$F$4:$F$153,其他研发费用!$A$4:$A$153,$A128,其他研发费用!$B$4:$B$153,$B128,其他研发费用!$D$4:$D$153,"其他相关费用")</f>
        <v>0</v>
      </c>
      <c r="J128" s="27" t="n">
        <f aca="false">SUMIFS(其他研发费用!$F$4:$F$153,其他研发费用!$A$4:$A$153,$A128,其他研发费用!$B$4:$B$153,$B128,其他研发费用!$D$4:$D$153,"委托外部研发费用")</f>
        <v>0</v>
      </c>
      <c r="K128" s="27" t="n">
        <f aca="false">ROUND(SUM(D128:J128),2)</f>
        <v>0</v>
      </c>
      <c r="L128" s="45" t="n">
        <f aca="false">SUMIFS(研发人员工时分配表!$K$6:$K$245,研发人员工时分配表!$A$6:$A$245,$A128)</f>
        <v>0</v>
      </c>
      <c r="M128" s="45" t="n">
        <f aca="false">SUMIFS(仪器设备工时分配表!$K$6:$K$245,仪器设备工时分配表!$A$6:$A$245,$A128)</f>
        <v>0</v>
      </c>
    </row>
    <row r="129" customFormat="false" ht="16.5" hidden="false" customHeight="true" outlineLevel="0" collapsed="false">
      <c r="A129" s="21" t="s">
        <v>103</v>
      </c>
      <c r="B129" s="43" t="str">
        <f aca="false">项目清单!$B$8</f>
        <v>RD05</v>
      </c>
      <c r="C129" s="48" t="str">
        <f aca="false">IF($B129="","",IFERROR(VLOOKUP($B129,项目清单!$B$4:$C$13,2,0)&amp;"",""))</f>
        <v>新能源汽车电池包用导热缓冲复合材料开发</v>
      </c>
      <c r="D129" s="27" t="n">
        <f aca="false">SUMIFS(研发人员工时费用分配表!$R$6:$R$245,研发人员工时费用分配表!$A$6:$A$245,$A129)</f>
        <v>0</v>
      </c>
      <c r="E129" s="27" t="n">
        <f aca="false">SUMIFS(仪器设备工时费用分配表!$N$6:$N$245,仪器设备工时费用分配表!$A$6:$A$245,$A129,仪器设备工时费用分配表!$D$6:$D$245,"设备")</f>
        <v>0</v>
      </c>
      <c r="F129" s="27" t="n">
        <f aca="false">SUMIFS(无形资产费用分配表!$N$6:$N$125,无形资产费用分配表!$A$6:$A$125,$A129)</f>
        <v>0</v>
      </c>
      <c r="G129" s="27" t="n">
        <f aca="false">SUMIFS(其他研发费用!$F$4:$F$153,其他研发费用!$A$4:$A$153,$A129,其他研发费用!$B$4:$B$153,$B129,其他研发费用!$D$4:$D$153,"直接投入费用")</f>
        <v>0</v>
      </c>
      <c r="H129" s="27" t="n">
        <f aca="false">SUMIFS(其他研发费用!$F$4:$F$153,其他研发费用!$A$4:$A$153,$A129,其他研发费用!$B$4:$B$153,$B129,其他研发费用!$D$4:$D$153,"新产品设计费等")</f>
        <v>0</v>
      </c>
      <c r="I129" s="27" t="n">
        <f aca="false">SUMIFS(其他研发费用!$F$4:$F$153,其他研发费用!$A$4:$A$153,$A129,其他研发费用!$B$4:$B$153,$B129,其他研发费用!$D$4:$D$153,"其他相关费用")</f>
        <v>0</v>
      </c>
      <c r="J129" s="27" t="n">
        <f aca="false">SUMIFS(其他研发费用!$F$4:$F$153,其他研发费用!$A$4:$A$153,$A129,其他研发费用!$B$4:$B$153,$B129,其他研发费用!$D$4:$D$153,"委托外部研发费用")</f>
        <v>0</v>
      </c>
      <c r="K129" s="27" t="n">
        <f aca="false">ROUND(SUM(D129:J129),2)</f>
        <v>0</v>
      </c>
      <c r="L129" s="45" t="n">
        <f aca="false">SUMIFS(研发人员工时分配表!$L$6:$L$245,研发人员工时分配表!$A$6:$A$245,$A129)</f>
        <v>0</v>
      </c>
      <c r="M129" s="45" t="n">
        <f aca="false">SUMIFS(仪器设备工时分配表!$L$6:$L$245,仪器设备工时分配表!$A$6:$A$245,$A129)</f>
        <v>0</v>
      </c>
    </row>
    <row r="130" customFormat="false" ht="16.5" hidden="false" customHeight="true" outlineLevel="0" collapsed="false">
      <c r="A130" s="21" t="s">
        <v>103</v>
      </c>
      <c r="B130" s="43" t="str">
        <f aca="false">项目清单!$B$9</f>
        <v>RD06</v>
      </c>
      <c r="C130" s="48" t="str">
        <f aca="false">IF($B130="","",IFERROR(VLOOKUP($B130,项目清单!$B$4:$C$13,2,0)&amp;"",""))</f>
        <v>3C电子用超薄黑色遮光泡棉制备技术</v>
      </c>
      <c r="D130" s="27" t="n">
        <f aca="false">SUMIFS(研发人员工时费用分配表!$S$6:$S$245,研发人员工时费用分配表!$A$6:$A$245,$A130)</f>
        <v>0</v>
      </c>
      <c r="E130" s="27" t="n">
        <f aca="false">SUMIFS(仪器设备工时费用分配表!$O$6:$O$245,仪器设备工时费用分配表!$A$6:$A$245,$A130,仪器设备工时费用分配表!$D$6:$D$245,"设备")</f>
        <v>0</v>
      </c>
      <c r="F130" s="27" t="n">
        <f aca="false">SUMIFS(无形资产费用分配表!$O$6:$O$125,无形资产费用分配表!$A$6:$A$125,$A130)</f>
        <v>0</v>
      </c>
      <c r="G130" s="27" t="n">
        <f aca="false">SUMIFS(其他研发费用!$F$4:$F$153,其他研发费用!$A$4:$A$153,$A130,其他研发费用!$B$4:$B$153,$B130,其他研发费用!$D$4:$D$153,"直接投入费用")</f>
        <v>0</v>
      </c>
      <c r="H130" s="27" t="n">
        <f aca="false">SUMIFS(其他研发费用!$F$4:$F$153,其他研发费用!$A$4:$A$153,$A130,其他研发费用!$B$4:$B$153,$B130,其他研发费用!$D$4:$D$153,"新产品设计费等")</f>
        <v>0</v>
      </c>
      <c r="I130" s="27" t="n">
        <f aca="false">SUMIFS(其他研发费用!$F$4:$F$153,其他研发费用!$A$4:$A$153,$A130,其他研发费用!$B$4:$B$153,$B130,其他研发费用!$D$4:$D$153,"其他相关费用")</f>
        <v>0</v>
      </c>
      <c r="J130" s="27" t="n">
        <f aca="false">SUMIFS(其他研发费用!$F$4:$F$153,其他研发费用!$A$4:$A$153,$A130,其他研发费用!$B$4:$B$153,$B130,其他研发费用!$D$4:$D$153,"委托外部研发费用")</f>
        <v>0</v>
      </c>
      <c r="K130" s="27" t="n">
        <f aca="false">ROUND(SUM(D130:J130),2)</f>
        <v>0</v>
      </c>
      <c r="L130" s="45" t="n">
        <f aca="false">SUMIFS(研发人员工时分配表!$M$6:$M$245,研发人员工时分配表!$A$6:$A$245,$A130)</f>
        <v>0</v>
      </c>
      <c r="M130" s="45" t="n">
        <f aca="false">SUMIFS(仪器设备工时分配表!$M$6:$M$245,仪器设备工时分配表!$A$6:$A$245,$A130)</f>
        <v>0</v>
      </c>
    </row>
    <row r="131" customFormat="false" ht="16.5" hidden="false" customHeight="true" outlineLevel="0" collapsed="false">
      <c r="A131" s="21" t="s">
        <v>103</v>
      </c>
      <c r="B131" s="43" t="str">
        <f aca="false">项目清单!$B$10</f>
        <v>RD07</v>
      </c>
      <c r="C131" s="48" t="str">
        <f aca="false">IF($B131="","",IFERROR(VLOOKUP($B131,项目清单!$B$4:$C$13,2,0)&amp;"",""))</f>
        <v>环保型水性胶泡棉贴合技术开发</v>
      </c>
      <c r="D131" s="27" t="n">
        <f aca="false">SUMIFS(研发人员工时费用分配表!$T$6:$T$245,研发人员工时费用分配表!$A$6:$A$245,$A131)</f>
        <v>0</v>
      </c>
      <c r="E131" s="27" t="n">
        <f aca="false">SUMIFS(仪器设备工时费用分配表!$P$6:$P$245,仪器设备工时费用分配表!$A$6:$A$245,$A131,仪器设备工时费用分配表!$D$6:$D$245,"设备")</f>
        <v>0</v>
      </c>
      <c r="F131" s="27" t="n">
        <f aca="false">SUMIFS(无形资产费用分配表!$P$6:$P$125,无形资产费用分配表!$A$6:$A$125,$A131)</f>
        <v>0</v>
      </c>
      <c r="G131" s="27" t="n">
        <f aca="false">SUMIFS(其他研发费用!$F$4:$F$153,其他研发费用!$A$4:$A$153,$A131,其他研发费用!$B$4:$B$153,$B131,其他研发费用!$D$4:$D$153,"直接投入费用")</f>
        <v>0</v>
      </c>
      <c r="H131" s="27" t="n">
        <f aca="false">SUMIFS(其他研发费用!$F$4:$F$153,其他研发费用!$A$4:$A$153,$A131,其他研发费用!$B$4:$B$153,$B131,其他研发费用!$D$4:$D$153,"新产品设计费等")</f>
        <v>0</v>
      </c>
      <c r="I131" s="27" t="n">
        <f aca="false">SUMIFS(其他研发费用!$F$4:$F$153,其他研发费用!$A$4:$A$153,$A131,其他研发费用!$B$4:$B$153,$B131,其他研发费用!$D$4:$D$153,"其他相关费用")</f>
        <v>0</v>
      </c>
      <c r="J131" s="27" t="n">
        <f aca="false">SUMIFS(其他研发费用!$F$4:$F$153,其他研发费用!$A$4:$A$153,$A131,其他研发费用!$B$4:$B$153,$B131,其他研发费用!$D$4:$D$153,"委托外部研发费用")</f>
        <v>0</v>
      </c>
      <c r="K131" s="27" t="n">
        <f aca="false">ROUND(SUM(D131:J131),2)</f>
        <v>0</v>
      </c>
      <c r="L131" s="45" t="n">
        <f aca="false">SUMIFS(研发人员工时分配表!$N$6:$N$245,研发人员工时分配表!$A$6:$A$245,$A131)</f>
        <v>0</v>
      </c>
      <c r="M131" s="45" t="n">
        <f aca="false">SUMIFS(仪器设备工时分配表!$N$6:$N$245,仪器设备工时分配表!$A$6:$A$245,$A131)</f>
        <v>0</v>
      </c>
    </row>
    <row r="132" customFormat="false" ht="16.5" hidden="false" customHeight="true" outlineLevel="0" collapsed="false">
      <c r="A132" s="21" t="s">
        <v>103</v>
      </c>
      <c r="B132" s="43" t="str">
        <f aca="false">项目清单!$B$11</f>
        <v>RD08</v>
      </c>
      <c r="C132" s="48" t="str">
        <f aca="false">IF($B132="","",IFERROR(VLOOKUP($B132,项目清单!$B$4:$C$13,2,0)&amp;"",""))</f>
        <v>泡棉模切自动化在线检测技术研究</v>
      </c>
      <c r="D132" s="27" t="n">
        <f aca="false">SUMIFS(研发人员工时费用分配表!$U$6:$U$245,研发人员工时费用分配表!$A$6:$A$245,$A132)</f>
        <v>0</v>
      </c>
      <c r="E132" s="27" t="n">
        <f aca="false">SUMIFS(仪器设备工时费用分配表!$Q$6:$Q$245,仪器设备工时费用分配表!$A$6:$A$245,$A132,仪器设备工时费用分配表!$D$6:$D$245,"设备")</f>
        <v>0</v>
      </c>
      <c r="F132" s="27" t="n">
        <f aca="false">SUMIFS(无形资产费用分配表!$Q$6:$Q$125,无形资产费用分配表!$A$6:$A$125,$A132)</f>
        <v>0</v>
      </c>
      <c r="G132" s="27" t="n">
        <f aca="false">SUMIFS(其他研发费用!$F$4:$F$153,其他研发费用!$A$4:$A$153,$A132,其他研发费用!$B$4:$B$153,$B132,其他研发费用!$D$4:$D$153,"直接投入费用")</f>
        <v>0</v>
      </c>
      <c r="H132" s="27" t="n">
        <f aca="false">SUMIFS(其他研发费用!$F$4:$F$153,其他研发费用!$A$4:$A$153,$A132,其他研发费用!$B$4:$B$153,$B132,其他研发费用!$D$4:$D$153,"新产品设计费等")</f>
        <v>0</v>
      </c>
      <c r="I132" s="27" t="n">
        <f aca="false">SUMIFS(其他研发费用!$F$4:$F$153,其他研发费用!$A$4:$A$153,$A132,其他研发费用!$B$4:$B$153,$B132,其他研发费用!$D$4:$D$153,"其他相关费用")</f>
        <v>0</v>
      </c>
      <c r="J132" s="27" t="n">
        <f aca="false">SUMIFS(其他研发费用!$F$4:$F$153,其他研发费用!$A$4:$A$153,$A132,其他研发费用!$B$4:$B$153,$B132,其他研发费用!$D$4:$D$153,"委托外部研发费用")</f>
        <v>0</v>
      </c>
      <c r="K132" s="27" t="n">
        <f aca="false">ROUND(SUM(D132:J132),2)</f>
        <v>0</v>
      </c>
      <c r="L132" s="45" t="n">
        <f aca="false">SUMIFS(研发人员工时分配表!$O$6:$O$245,研发人员工时分配表!$A$6:$A$245,$A132)</f>
        <v>0</v>
      </c>
      <c r="M132" s="45" t="n">
        <f aca="false">SUMIFS(仪器设备工时分配表!$O$6:$O$245,仪器设备工时分配表!$A$6:$A$245,$A132)</f>
        <v>0</v>
      </c>
    </row>
    <row r="133" customFormat="false" ht="16.5" hidden="false" customHeight="true" outlineLevel="0" collapsed="false">
      <c r="A133" s="21" t="s">
        <v>103</v>
      </c>
      <c r="B133" s="43" t="str">
        <f aca="false">项目清单!$B$12</f>
        <v>RD09</v>
      </c>
      <c r="C133" s="48" t="str">
        <f aca="false">IF($B133="","",IFERROR(VLOOKUP($B133,项目清单!$B$4:$C$13,2,0)&amp;"",""))</f>
        <v/>
      </c>
      <c r="D133" s="27" t="n">
        <f aca="false">SUMIFS(研发人员工时费用分配表!$V$6:$V$245,研发人员工时费用分配表!$A$6:$A$245,$A133)</f>
        <v>0</v>
      </c>
      <c r="E133" s="27" t="n">
        <f aca="false">SUMIFS(仪器设备工时费用分配表!$R$6:$R$245,仪器设备工时费用分配表!$A$6:$A$245,$A133,仪器设备工时费用分配表!$D$6:$D$245,"设备")</f>
        <v>0</v>
      </c>
      <c r="F133" s="27" t="n">
        <f aca="false">SUMIFS(无形资产费用分配表!$R$6:$R$125,无形资产费用分配表!$A$6:$A$125,$A133)</f>
        <v>0</v>
      </c>
      <c r="G133" s="27" t="n">
        <f aca="false">SUMIFS(其他研发费用!$F$4:$F$153,其他研发费用!$A$4:$A$153,$A133,其他研发费用!$B$4:$B$153,$B133,其他研发费用!$D$4:$D$153,"直接投入费用")</f>
        <v>0</v>
      </c>
      <c r="H133" s="27" t="n">
        <f aca="false">SUMIFS(其他研发费用!$F$4:$F$153,其他研发费用!$A$4:$A$153,$A133,其他研发费用!$B$4:$B$153,$B133,其他研发费用!$D$4:$D$153,"新产品设计费等")</f>
        <v>0</v>
      </c>
      <c r="I133" s="27" t="n">
        <f aca="false">SUMIFS(其他研发费用!$F$4:$F$153,其他研发费用!$A$4:$A$153,$A133,其他研发费用!$B$4:$B$153,$B133,其他研发费用!$D$4:$D$153,"其他相关费用")</f>
        <v>0</v>
      </c>
      <c r="J133" s="27" t="n">
        <f aca="false">SUMIFS(其他研发费用!$F$4:$F$153,其他研发费用!$A$4:$A$153,$A133,其他研发费用!$B$4:$B$153,$B133,其他研发费用!$D$4:$D$153,"委托外部研发费用")</f>
        <v>0</v>
      </c>
      <c r="K133" s="27" t="n">
        <f aca="false">ROUND(SUM(D133:J133),2)</f>
        <v>0</v>
      </c>
      <c r="L133" s="45" t="n">
        <f aca="false">SUMIFS(研发人员工时分配表!$P$6:$P$245,研发人员工时分配表!$A$6:$A$245,$A133)</f>
        <v>0</v>
      </c>
      <c r="M133" s="45" t="n">
        <f aca="false">SUMIFS(仪器设备工时分配表!$P$6:$P$245,仪器设备工时分配表!$A$6:$A$245,$A133)</f>
        <v>0</v>
      </c>
    </row>
    <row r="134" customFormat="false" ht="16.5" hidden="false" customHeight="true" outlineLevel="0" collapsed="false">
      <c r="A134" s="21" t="s">
        <v>103</v>
      </c>
      <c r="B134" s="43" t="str">
        <f aca="false">项目清单!$B$13</f>
        <v>RD10</v>
      </c>
      <c r="C134" s="48" t="str">
        <f aca="false">IF($B134="","",IFERROR(VLOOKUP($B134,项目清单!$B$4:$C$13,2,0)&amp;"",""))</f>
        <v/>
      </c>
      <c r="D134" s="27" t="n">
        <f aca="false">SUMIFS(研发人员工时费用分配表!$W$6:$W$245,研发人员工时费用分配表!$A$6:$A$245,$A134)</f>
        <v>0</v>
      </c>
      <c r="E134" s="27" t="n">
        <f aca="false">SUMIFS(仪器设备工时费用分配表!$S$6:$S$245,仪器设备工时费用分配表!$A$6:$A$245,$A134,仪器设备工时费用分配表!$D$6:$D$245,"设备")</f>
        <v>0</v>
      </c>
      <c r="F134" s="27" t="n">
        <f aca="false">SUMIFS(无形资产费用分配表!$S$6:$S$125,无形资产费用分配表!$A$6:$A$125,$A134)</f>
        <v>0</v>
      </c>
      <c r="G134" s="27" t="n">
        <f aca="false">SUMIFS(其他研发费用!$F$4:$F$153,其他研发费用!$A$4:$A$153,$A134,其他研发费用!$B$4:$B$153,$B134,其他研发费用!$D$4:$D$153,"直接投入费用")</f>
        <v>0</v>
      </c>
      <c r="H134" s="27" t="n">
        <f aca="false">SUMIFS(其他研发费用!$F$4:$F$153,其他研发费用!$A$4:$A$153,$A134,其他研发费用!$B$4:$B$153,$B134,其他研发费用!$D$4:$D$153,"新产品设计费等")</f>
        <v>0</v>
      </c>
      <c r="I134" s="27" t="n">
        <f aca="false">SUMIFS(其他研发费用!$F$4:$F$153,其他研发费用!$A$4:$A$153,$A134,其他研发费用!$B$4:$B$153,$B134,其他研发费用!$D$4:$D$153,"其他相关费用")</f>
        <v>0</v>
      </c>
      <c r="J134" s="27" t="n">
        <f aca="false">SUMIFS(其他研发费用!$F$4:$F$153,其他研发费用!$A$4:$A$153,$A134,其他研发费用!$B$4:$B$153,$B134,其他研发费用!$D$4:$D$153,"委托外部研发费用")</f>
        <v>0</v>
      </c>
      <c r="K134" s="27" t="n">
        <f aca="false">ROUND(SUM(D134:J134),2)</f>
        <v>0</v>
      </c>
      <c r="L134" s="45" t="n">
        <f aca="false">SUMIFS(研发人员工时分配表!$Q$6:$Q$245,研发人员工时分配表!$A$6:$A$245,$A134)</f>
        <v>0</v>
      </c>
      <c r="M134" s="45" t="n">
        <f aca="false">SUMIFS(仪器设备工时分配表!$Q$6:$Q$245,仪器设备工时分配表!$A$6:$A$245,$A134)</f>
        <v>0</v>
      </c>
    </row>
    <row r="135" customFormat="false" ht="18" hidden="false" customHeight="true" outlineLevel="0" collapsed="false">
      <c r="A135" s="50" t="s">
        <v>103</v>
      </c>
      <c r="B135" s="30"/>
      <c r="C135" s="30" t="s">
        <v>295</v>
      </c>
      <c r="D135" s="31" t="n">
        <f aca="false">ROUND(SUM(D125:D134),2)</f>
        <v>0</v>
      </c>
      <c r="E135" s="31" t="n">
        <f aca="false">ROUND(SUM(E125:E134),2)</f>
        <v>0</v>
      </c>
      <c r="F135" s="31" t="n">
        <f aca="false">ROUND(SUM(F125:F134),2)</f>
        <v>0</v>
      </c>
      <c r="G135" s="31" t="n">
        <f aca="false">ROUND(SUM(G125:G134),2)</f>
        <v>0</v>
      </c>
      <c r="H135" s="31" t="n">
        <f aca="false">ROUND(SUM(H125:H134),2)</f>
        <v>0</v>
      </c>
      <c r="I135" s="31" t="n">
        <f aca="false">ROUND(SUM(I125:I134),2)</f>
        <v>0</v>
      </c>
      <c r="J135" s="31" t="n">
        <f aca="false">ROUND(SUM(J125:J134),2)</f>
        <v>0</v>
      </c>
      <c r="K135" s="31" t="n">
        <f aca="false">ROUND(SUM(K125:K134),2)</f>
        <v>0</v>
      </c>
      <c r="L135" s="51" t="n">
        <f aca="false">ROUND(SUM(L125:L134),2)</f>
        <v>0</v>
      </c>
      <c r="M135" s="51" t="n">
        <f aca="false">ROUND(SUM(M125:M134),2)</f>
        <v>0</v>
      </c>
    </row>
    <row r="136" customFormat="false" ht="21.75" hidden="false" customHeight="true" outlineLevel="0" collapsed="false">
      <c r="A136" s="52"/>
      <c r="B136" s="52"/>
      <c r="C136" s="52" t="s">
        <v>296</v>
      </c>
      <c r="D136" s="53" t="n">
        <f aca="false">ROUND(D14+D25+D36+D47+D58+D69+D80+D91+D102+D113+D124+D135,2)</f>
        <v>54051.82</v>
      </c>
      <c r="E136" s="53" t="n">
        <f aca="false">ROUND(E14+E25+E36+E47+E58+E69+E80+E91+E102+E113+E124+E135,2)</f>
        <v>16966.07</v>
      </c>
      <c r="F136" s="53" t="n">
        <f aca="false">ROUND(F14+F25+F36+F47+F58+F69+F80+F91+F102+F113+F124+F135,2)</f>
        <v>4000</v>
      </c>
      <c r="G136" s="53" t="n">
        <f aca="false">ROUND(G14+G25+G36+G47+G58+G69+G80+G91+G102+G113+G124+G135,2)</f>
        <v>21050</v>
      </c>
      <c r="H136" s="53" t="n">
        <f aca="false">ROUND(H14+H25+H36+H47+H58+H69+H80+H91+H102+H113+H124+H135,2)</f>
        <v>0</v>
      </c>
      <c r="I136" s="53" t="n">
        <f aca="false">ROUND(I14+I25+I36+I47+I58+I69+I80+I91+I102+I113+I124+I135,2)</f>
        <v>0</v>
      </c>
      <c r="J136" s="53" t="n">
        <f aca="false">ROUND(J14+J25+J36+J47+J58+J69+J80+J91+J102+J113+J124+J135,2)</f>
        <v>30000</v>
      </c>
      <c r="K136" s="53" t="n">
        <f aca="false">ROUND(K14+K25+K36+K47+K58+K69+K80+K91+K102+K113+K124+K135,2)</f>
        <v>126067.89</v>
      </c>
      <c r="L136" s="54" t="n">
        <f aca="false">ROUND(L14+L25+L36+L47+L58+L69+L80+L91+L102+L113+L124+L135,2)</f>
        <v>296</v>
      </c>
      <c r="M136" s="54" t="n">
        <f aca="false">ROUND(M14+M25+M36+M47+M58+M69+M80+M91+M102+M113+M124+M135,2)</f>
        <v>270</v>
      </c>
    </row>
  </sheetData>
  <autoFilter ref="A3:M135"/>
  <mergeCells count="3">
    <mergeCell ref="A1:B1"/>
    <mergeCell ref="C1:M1"/>
    <mergeCell ref="A2:M2"/>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O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58"/>
    <col collapsed="false" customWidth="true" hidden="false" outlineLevel="0" max="14" min="3" style="0" width="13"/>
    <col collapsed="false" customWidth="true" hidden="false" outlineLevel="0" max="15" min="15" style="0" width="15"/>
  </cols>
  <sheetData>
    <row r="1" customFormat="false" ht="43.5" hidden="false" customHeight="true" outlineLevel="0" collapsed="false">
      <c r="A1" s="1" t="s">
        <v>0</v>
      </c>
      <c r="B1" s="1"/>
      <c r="C1" s="2" t="str">
        <f aca="false">IF(使用说明!$B$2="","",使用说明!$B$2&amp;"    ")&amp;"十三、研发费用年度汇总表（2026年度）"</f>
        <v>十三、研发费用年度汇总表（2026年度）</v>
      </c>
      <c r="D1" s="2"/>
      <c r="E1" s="2"/>
      <c r="F1" s="2"/>
      <c r="G1" s="2"/>
      <c r="H1" s="2"/>
      <c r="I1" s="2"/>
      <c r="J1" s="2"/>
      <c r="K1" s="2"/>
      <c r="L1" s="2"/>
      <c r="M1" s="2"/>
      <c r="N1" s="2"/>
      <c r="O1" s="2"/>
    </row>
    <row r="2" customFormat="false" ht="30" hidden="false" customHeight="true" outlineLevel="0" collapsed="false">
      <c r="A2" s="17" t="s">
        <v>297</v>
      </c>
      <c r="B2" s="17"/>
      <c r="C2" s="17"/>
      <c r="D2" s="17"/>
      <c r="E2" s="17"/>
      <c r="F2" s="17"/>
      <c r="G2" s="17"/>
      <c r="H2" s="17"/>
      <c r="I2" s="17"/>
      <c r="J2" s="17"/>
      <c r="K2" s="17"/>
      <c r="L2" s="17"/>
      <c r="M2" s="17"/>
      <c r="N2" s="17"/>
      <c r="O2" s="17"/>
    </row>
    <row r="4" customFormat="false" ht="21.75" hidden="false" customHeight="true" outlineLevel="0" collapsed="false">
      <c r="A4" s="6" t="s">
        <v>298</v>
      </c>
      <c r="B4" s="6"/>
      <c r="C4" s="6"/>
      <c r="D4" s="6"/>
      <c r="E4" s="6"/>
      <c r="F4" s="6"/>
      <c r="G4" s="6"/>
      <c r="H4" s="6"/>
      <c r="I4" s="6"/>
      <c r="J4" s="6"/>
      <c r="K4" s="6"/>
      <c r="L4" s="6"/>
      <c r="M4" s="6"/>
      <c r="N4" s="6"/>
      <c r="O4" s="6"/>
    </row>
    <row r="5" customFormat="false" ht="25.5" hidden="false" customHeight="true" outlineLevel="0" collapsed="false">
      <c r="A5" s="18" t="s">
        <v>108</v>
      </c>
      <c r="B5" s="18" t="s">
        <v>109</v>
      </c>
      <c r="C5" s="55" t="s">
        <v>299</v>
      </c>
      <c r="D5" s="55" t="s">
        <v>300</v>
      </c>
      <c r="E5" s="55" t="s">
        <v>301</v>
      </c>
      <c r="F5" s="55" t="s">
        <v>302</v>
      </c>
      <c r="G5" s="55" t="s">
        <v>303</v>
      </c>
      <c r="H5" s="55" t="s">
        <v>304</v>
      </c>
      <c r="I5" s="55" t="s">
        <v>305</v>
      </c>
      <c r="J5" s="55" t="s">
        <v>306</v>
      </c>
      <c r="K5" s="55" t="s">
        <v>307</v>
      </c>
      <c r="L5" s="55" t="s">
        <v>308</v>
      </c>
      <c r="M5" s="55" t="s">
        <v>309</v>
      </c>
      <c r="N5" s="55" t="s">
        <v>310</v>
      </c>
      <c r="O5" s="18" t="s">
        <v>104</v>
      </c>
    </row>
    <row r="6" customFormat="false" ht="18" hidden="false" customHeight="true" outlineLevel="0" collapsed="false">
      <c r="A6" s="43" t="str">
        <f aca="false">项目清单!$B$4</f>
        <v>RD01</v>
      </c>
      <c r="B6" s="48" t="str">
        <f aca="false">IF($A6="","",IFERROR(VLOOKUP($A6,项目清单!$B$4:$C$13,2,0)&amp;"",""))</f>
        <v>高回弹低压缩永久变形3C用聚氨酯泡棉开发</v>
      </c>
      <c r="C6" s="27" t="n">
        <f aca="false">SUMIFS(月度归集汇总!$K$4:$K$135,月度归集汇总!$A$4:$A$135,"2026-01",月度归集汇总!$B$4:$B$135,$A6)</f>
        <v>0</v>
      </c>
      <c r="D6" s="27" t="n">
        <f aca="false">SUMIFS(月度归集汇总!$K$4:$K$135,月度归集汇总!$A$4:$A$135,"2026-02",月度归集汇总!$B$4:$B$135,$A6)</f>
        <v>0</v>
      </c>
      <c r="E6" s="27" t="n">
        <f aca="false">SUMIFS(月度归集汇总!$K$4:$K$135,月度归集汇总!$A$4:$A$135,"2026-03",月度归集汇总!$B$4:$B$135,$A6)</f>
        <v>0</v>
      </c>
      <c r="F6" s="27" t="n">
        <f aca="false">SUMIFS(月度归集汇总!$K$4:$K$135,月度归集汇总!$A$4:$A$135,"2026-04",月度归集汇总!$B$4:$B$135,$A6)</f>
        <v>0</v>
      </c>
      <c r="G6" s="27" t="n">
        <f aca="false">SUMIFS(月度归集汇总!$K$4:$K$135,月度归集汇总!$A$4:$A$135,"2026-05",月度归集汇总!$B$4:$B$135,$A6)</f>
        <v>0</v>
      </c>
      <c r="H6" s="27" t="n">
        <f aca="false">SUMIFS(月度归集汇总!$K$4:$K$135,月度归集汇总!$A$4:$A$135,"2026-06",月度归集汇总!$B$4:$B$135,$A6)</f>
        <v>0</v>
      </c>
      <c r="I6" s="27" t="n">
        <f aca="false">SUMIFS(月度归集汇总!$K$4:$K$135,月度归集汇总!$A$4:$A$135,"2026-07",月度归集汇总!$B$4:$B$135,$A6)</f>
        <v>0</v>
      </c>
      <c r="J6" s="27" t="n">
        <f aca="false">SUMIFS(月度归集汇总!$K$4:$K$135,月度归集汇总!$A$4:$A$135,"2026-08",月度归集汇总!$B$4:$B$135,$A6)</f>
        <v>0</v>
      </c>
      <c r="K6" s="27" t="n">
        <f aca="false">SUMIFS(月度归集汇总!$K$4:$K$135,月度归集汇总!$A$4:$A$135,"2026-09",月度归集汇总!$B$4:$B$135,$A6)</f>
        <v>15818.18</v>
      </c>
      <c r="L6" s="27" t="n">
        <f aca="false">SUMIFS(月度归集汇总!$K$4:$K$135,月度归集汇总!$A$4:$A$135,"2026-10",月度归集汇总!$B$4:$B$135,$A6)</f>
        <v>0</v>
      </c>
      <c r="M6" s="27" t="n">
        <f aca="false">SUMIFS(月度归集汇总!$K$4:$K$135,月度归集汇总!$A$4:$A$135,"2026-11",月度归集汇总!$B$4:$B$135,$A6)</f>
        <v>0</v>
      </c>
      <c r="N6" s="27" t="n">
        <f aca="false">SUMIFS(月度归集汇总!$K$4:$K$135,月度归集汇总!$A$4:$A$135,"2026-12",月度归集汇总!$B$4:$B$135,$A6)</f>
        <v>0</v>
      </c>
      <c r="O6" s="27" t="n">
        <f aca="false">ROUND(SUM(C6:N6),2)</f>
        <v>15818.18</v>
      </c>
    </row>
    <row r="7" customFormat="false" ht="18" hidden="false" customHeight="true" outlineLevel="0" collapsed="false">
      <c r="A7" s="43" t="str">
        <f aca="false">项目清单!$B$5</f>
        <v>RD02</v>
      </c>
      <c r="B7" s="48" t="str">
        <f aca="false">IF($A7="","",IFERROR(VLOOKUP($A7,项目清单!$B$4:$C$13,2,0)&amp;"",""))</f>
        <v>动力电池模组用高阻燃缓冲泡棉研发</v>
      </c>
      <c r="C7" s="27" t="n">
        <f aca="false">SUMIFS(月度归集汇总!$K$4:$K$135,月度归集汇总!$A$4:$A$135,"2026-01",月度归集汇总!$B$4:$B$135,$A7)</f>
        <v>0</v>
      </c>
      <c r="D7" s="27" t="n">
        <f aca="false">SUMIFS(月度归集汇总!$K$4:$K$135,月度归集汇总!$A$4:$A$135,"2026-02",月度归集汇总!$B$4:$B$135,$A7)</f>
        <v>0</v>
      </c>
      <c r="E7" s="27" t="n">
        <f aca="false">SUMIFS(月度归集汇总!$K$4:$K$135,月度归集汇总!$A$4:$A$135,"2026-03",月度归集汇总!$B$4:$B$135,$A7)</f>
        <v>0</v>
      </c>
      <c r="F7" s="27" t="n">
        <f aca="false">SUMIFS(月度归集汇总!$K$4:$K$135,月度归集汇总!$A$4:$A$135,"2026-04",月度归集汇总!$B$4:$B$135,$A7)</f>
        <v>0</v>
      </c>
      <c r="G7" s="27" t="n">
        <f aca="false">SUMIFS(月度归集汇总!$K$4:$K$135,月度归集汇总!$A$4:$A$135,"2026-05",月度归集汇总!$B$4:$B$135,$A7)</f>
        <v>0</v>
      </c>
      <c r="H7" s="27" t="n">
        <f aca="false">SUMIFS(月度归集汇总!$K$4:$K$135,月度归集汇总!$A$4:$A$135,"2026-06",月度归集汇总!$B$4:$B$135,$A7)</f>
        <v>0</v>
      </c>
      <c r="I7" s="27" t="n">
        <f aca="false">SUMIFS(月度归集汇总!$K$4:$K$135,月度归集汇总!$A$4:$A$135,"2026-07",月度归集汇总!$B$4:$B$135,$A7)</f>
        <v>0</v>
      </c>
      <c r="J7" s="27" t="n">
        <f aca="false">SUMIFS(月度归集汇总!$K$4:$K$135,月度归集汇总!$A$4:$A$135,"2026-08",月度归集汇总!$B$4:$B$135,$A7)</f>
        <v>0</v>
      </c>
      <c r="K7" s="27" t="n">
        <f aca="false">SUMIFS(月度归集汇总!$K$4:$K$135,月度归集汇总!$A$4:$A$135,"2026-09",月度归集汇总!$B$4:$B$135,$A7)</f>
        <v>48253.41</v>
      </c>
      <c r="L7" s="27" t="n">
        <f aca="false">SUMIFS(月度归集汇总!$K$4:$K$135,月度归集汇总!$A$4:$A$135,"2026-10",月度归集汇总!$B$4:$B$135,$A7)</f>
        <v>0</v>
      </c>
      <c r="M7" s="27" t="n">
        <f aca="false">SUMIFS(月度归集汇总!$K$4:$K$135,月度归集汇总!$A$4:$A$135,"2026-11",月度归集汇总!$B$4:$B$135,$A7)</f>
        <v>0</v>
      </c>
      <c r="N7" s="27" t="n">
        <f aca="false">SUMIFS(月度归集汇总!$K$4:$K$135,月度归集汇总!$A$4:$A$135,"2026-12",月度归集汇总!$B$4:$B$135,$A7)</f>
        <v>0</v>
      </c>
      <c r="O7" s="27" t="n">
        <f aca="false">ROUND(SUM(C7:N7),2)</f>
        <v>48253.41</v>
      </c>
    </row>
    <row r="8" customFormat="false" ht="18" hidden="false" customHeight="true" outlineLevel="0" collapsed="false">
      <c r="A8" s="43" t="str">
        <f aca="false">项目清单!$B$6</f>
        <v>RD03</v>
      </c>
      <c r="B8" s="48" t="str">
        <f aca="false">IF($A8="","",IFERROR(VLOOKUP($A8,项目清单!$B$4:$C$13,2,0)&amp;"",""))</f>
        <v>泡棉与PET基材无溶剂贴合工艺开发</v>
      </c>
      <c r="C8" s="27" t="n">
        <f aca="false">SUMIFS(月度归集汇总!$K$4:$K$135,月度归集汇总!$A$4:$A$135,"2026-01",月度归集汇总!$B$4:$B$135,$A8)</f>
        <v>0</v>
      </c>
      <c r="D8" s="27" t="n">
        <f aca="false">SUMIFS(月度归集汇总!$K$4:$K$135,月度归集汇总!$A$4:$A$135,"2026-02",月度归集汇总!$B$4:$B$135,$A8)</f>
        <v>0</v>
      </c>
      <c r="E8" s="27" t="n">
        <f aca="false">SUMIFS(月度归集汇总!$K$4:$K$135,月度归集汇总!$A$4:$A$135,"2026-03",月度归集汇总!$B$4:$B$135,$A8)</f>
        <v>0</v>
      </c>
      <c r="F8" s="27" t="n">
        <f aca="false">SUMIFS(月度归集汇总!$K$4:$K$135,月度归集汇总!$A$4:$A$135,"2026-04",月度归集汇总!$B$4:$B$135,$A8)</f>
        <v>0</v>
      </c>
      <c r="G8" s="27" t="n">
        <f aca="false">SUMIFS(月度归集汇总!$K$4:$K$135,月度归集汇总!$A$4:$A$135,"2026-05",月度归集汇总!$B$4:$B$135,$A8)</f>
        <v>0</v>
      </c>
      <c r="H8" s="27" t="n">
        <f aca="false">SUMIFS(月度归集汇总!$K$4:$K$135,月度归集汇总!$A$4:$A$135,"2026-06",月度归集汇总!$B$4:$B$135,$A8)</f>
        <v>0</v>
      </c>
      <c r="I8" s="27" t="n">
        <f aca="false">SUMIFS(月度归集汇总!$K$4:$K$135,月度归集汇总!$A$4:$A$135,"2026-07",月度归集汇总!$B$4:$B$135,$A8)</f>
        <v>0</v>
      </c>
      <c r="J8" s="27" t="n">
        <f aca="false">SUMIFS(月度归集汇总!$K$4:$K$135,月度归集汇总!$A$4:$A$135,"2026-08",月度归集汇总!$B$4:$B$135,$A8)</f>
        <v>0</v>
      </c>
      <c r="K8" s="27" t="n">
        <f aca="false">SUMIFS(月度归集汇总!$K$4:$K$135,月度归集汇总!$A$4:$A$135,"2026-09",月度归集汇总!$B$4:$B$135,$A8)</f>
        <v>33729.85</v>
      </c>
      <c r="L8" s="27" t="n">
        <f aca="false">SUMIFS(月度归集汇总!$K$4:$K$135,月度归集汇总!$A$4:$A$135,"2026-10",月度归集汇总!$B$4:$B$135,$A8)</f>
        <v>0</v>
      </c>
      <c r="M8" s="27" t="n">
        <f aca="false">SUMIFS(月度归集汇总!$K$4:$K$135,月度归集汇总!$A$4:$A$135,"2026-11",月度归集汇总!$B$4:$B$135,$A8)</f>
        <v>0</v>
      </c>
      <c r="N8" s="27" t="n">
        <f aca="false">SUMIFS(月度归集汇总!$K$4:$K$135,月度归集汇总!$A$4:$A$135,"2026-12",月度归集汇总!$B$4:$B$135,$A8)</f>
        <v>0</v>
      </c>
      <c r="O8" s="27" t="n">
        <f aca="false">ROUND(SUM(C8:N8),2)</f>
        <v>33729.85</v>
      </c>
    </row>
    <row r="9" customFormat="false" ht="18" hidden="false" customHeight="true" outlineLevel="0" collapsed="false">
      <c r="A9" s="43" t="str">
        <f aca="false">项目清单!$B$7</f>
        <v>RD04</v>
      </c>
      <c r="B9" s="48" t="str">
        <f aca="false">IF($A9="","",IFERROR(VLOOKUP($A9,项目清单!$B$4:$C$13,2,0)&amp;"",""))</f>
        <v>超薄泡棉高精度分切及毛边控制技术研究</v>
      </c>
      <c r="C9" s="27" t="n">
        <f aca="false">SUMIFS(月度归集汇总!$K$4:$K$135,月度归集汇总!$A$4:$A$135,"2026-01",月度归集汇总!$B$4:$B$135,$A9)</f>
        <v>0</v>
      </c>
      <c r="D9" s="27" t="n">
        <f aca="false">SUMIFS(月度归集汇总!$K$4:$K$135,月度归集汇总!$A$4:$A$135,"2026-02",月度归集汇总!$B$4:$B$135,$A9)</f>
        <v>0</v>
      </c>
      <c r="E9" s="27" t="n">
        <f aca="false">SUMIFS(月度归集汇总!$K$4:$K$135,月度归集汇总!$A$4:$A$135,"2026-03",月度归集汇总!$B$4:$B$135,$A9)</f>
        <v>0</v>
      </c>
      <c r="F9" s="27" t="n">
        <f aca="false">SUMIFS(月度归集汇总!$K$4:$K$135,月度归集汇总!$A$4:$A$135,"2026-04",月度归集汇总!$B$4:$B$135,$A9)</f>
        <v>0</v>
      </c>
      <c r="G9" s="27" t="n">
        <f aca="false">SUMIFS(月度归集汇总!$K$4:$K$135,月度归集汇总!$A$4:$A$135,"2026-05",月度归集汇总!$B$4:$B$135,$A9)</f>
        <v>0</v>
      </c>
      <c r="H9" s="27" t="n">
        <f aca="false">SUMIFS(月度归集汇总!$K$4:$K$135,月度归集汇总!$A$4:$A$135,"2026-06",月度归集汇总!$B$4:$B$135,$A9)</f>
        <v>0</v>
      </c>
      <c r="I9" s="27" t="n">
        <f aca="false">SUMIFS(月度归集汇总!$K$4:$K$135,月度归集汇总!$A$4:$A$135,"2026-07",月度归集汇总!$B$4:$B$135,$A9)</f>
        <v>0</v>
      </c>
      <c r="J9" s="27" t="n">
        <f aca="false">SUMIFS(月度归集汇总!$K$4:$K$135,月度归集汇总!$A$4:$A$135,"2026-08",月度归集汇总!$B$4:$B$135,$A9)</f>
        <v>0</v>
      </c>
      <c r="K9" s="27" t="n">
        <f aca="false">SUMIFS(月度归集汇总!$K$4:$K$135,月度归集汇总!$A$4:$A$135,"2026-09",月度归集汇总!$B$4:$B$135,$A9)</f>
        <v>9003.57</v>
      </c>
      <c r="L9" s="27" t="n">
        <f aca="false">SUMIFS(月度归集汇总!$K$4:$K$135,月度归集汇总!$A$4:$A$135,"2026-10",月度归集汇总!$B$4:$B$135,$A9)</f>
        <v>0</v>
      </c>
      <c r="M9" s="27" t="n">
        <f aca="false">SUMIFS(月度归集汇总!$K$4:$K$135,月度归集汇总!$A$4:$A$135,"2026-11",月度归集汇总!$B$4:$B$135,$A9)</f>
        <v>0</v>
      </c>
      <c r="N9" s="27" t="n">
        <f aca="false">SUMIFS(月度归集汇总!$K$4:$K$135,月度归集汇总!$A$4:$A$135,"2026-12",月度归集汇总!$B$4:$B$135,$A9)</f>
        <v>0</v>
      </c>
      <c r="O9" s="27" t="n">
        <f aca="false">ROUND(SUM(C9:N9),2)</f>
        <v>9003.57</v>
      </c>
    </row>
    <row r="10" customFormat="false" ht="18" hidden="false" customHeight="true" outlineLevel="0" collapsed="false">
      <c r="A10" s="43" t="str">
        <f aca="false">项目清单!$B$8</f>
        <v>RD05</v>
      </c>
      <c r="B10" s="48" t="str">
        <f aca="false">IF($A10="","",IFERROR(VLOOKUP($A10,项目清单!$B$4:$C$13,2,0)&amp;"",""))</f>
        <v>新能源汽车电池包用导热缓冲复合材料开发</v>
      </c>
      <c r="C10" s="27" t="n">
        <f aca="false">SUMIFS(月度归集汇总!$K$4:$K$135,月度归集汇总!$A$4:$A$135,"2026-01",月度归集汇总!$B$4:$B$135,$A10)</f>
        <v>0</v>
      </c>
      <c r="D10" s="27" t="n">
        <f aca="false">SUMIFS(月度归集汇总!$K$4:$K$135,月度归集汇总!$A$4:$A$135,"2026-02",月度归集汇总!$B$4:$B$135,$A10)</f>
        <v>0</v>
      </c>
      <c r="E10" s="27" t="n">
        <f aca="false">SUMIFS(月度归集汇总!$K$4:$K$135,月度归集汇总!$A$4:$A$135,"2026-03",月度归集汇总!$B$4:$B$135,$A10)</f>
        <v>0</v>
      </c>
      <c r="F10" s="27" t="n">
        <f aca="false">SUMIFS(月度归集汇总!$K$4:$K$135,月度归集汇总!$A$4:$A$135,"2026-04",月度归集汇总!$B$4:$B$135,$A10)</f>
        <v>0</v>
      </c>
      <c r="G10" s="27" t="n">
        <f aca="false">SUMIFS(月度归集汇总!$K$4:$K$135,月度归集汇总!$A$4:$A$135,"2026-05",月度归集汇总!$B$4:$B$135,$A10)</f>
        <v>0</v>
      </c>
      <c r="H10" s="27" t="n">
        <f aca="false">SUMIFS(月度归集汇总!$K$4:$K$135,月度归集汇总!$A$4:$A$135,"2026-06",月度归集汇总!$B$4:$B$135,$A10)</f>
        <v>0</v>
      </c>
      <c r="I10" s="27" t="n">
        <f aca="false">SUMIFS(月度归集汇总!$K$4:$K$135,月度归集汇总!$A$4:$A$135,"2026-07",月度归集汇总!$B$4:$B$135,$A10)</f>
        <v>0</v>
      </c>
      <c r="J10" s="27" t="n">
        <f aca="false">SUMIFS(月度归集汇总!$K$4:$K$135,月度归集汇总!$A$4:$A$135,"2026-08",月度归集汇总!$B$4:$B$135,$A10)</f>
        <v>0</v>
      </c>
      <c r="K10" s="27" t="n">
        <f aca="false">SUMIFS(月度归集汇总!$K$4:$K$135,月度归集汇总!$A$4:$A$135,"2026-09",月度归集汇总!$B$4:$B$135,$A10)</f>
        <v>19262.88</v>
      </c>
      <c r="L10" s="27" t="n">
        <f aca="false">SUMIFS(月度归集汇总!$K$4:$K$135,月度归集汇总!$A$4:$A$135,"2026-10",月度归集汇总!$B$4:$B$135,$A10)</f>
        <v>0</v>
      </c>
      <c r="M10" s="27" t="n">
        <f aca="false">SUMIFS(月度归集汇总!$K$4:$K$135,月度归集汇总!$A$4:$A$135,"2026-11",月度归集汇总!$B$4:$B$135,$A10)</f>
        <v>0</v>
      </c>
      <c r="N10" s="27" t="n">
        <f aca="false">SUMIFS(月度归集汇总!$K$4:$K$135,月度归集汇总!$A$4:$A$135,"2026-12",月度归集汇总!$B$4:$B$135,$A10)</f>
        <v>0</v>
      </c>
      <c r="O10" s="27" t="n">
        <f aca="false">ROUND(SUM(C10:N10),2)</f>
        <v>19262.88</v>
      </c>
    </row>
    <row r="11" customFormat="false" ht="18" hidden="false" customHeight="true" outlineLevel="0" collapsed="false">
      <c r="A11" s="43" t="str">
        <f aca="false">项目清单!$B$9</f>
        <v>RD06</v>
      </c>
      <c r="B11" s="48" t="str">
        <f aca="false">IF($A11="","",IFERROR(VLOOKUP($A11,项目清单!$B$4:$C$13,2,0)&amp;"",""))</f>
        <v>3C电子用超薄黑色遮光泡棉制备技术</v>
      </c>
      <c r="C11" s="27" t="n">
        <f aca="false">SUMIFS(月度归集汇总!$K$4:$K$135,月度归集汇总!$A$4:$A$135,"2026-01",月度归集汇总!$B$4:$B$135,$A11)</f>
        <v>0</v>
      </c>
      <c r="D11" s="27" t="n">
        <f aca="false">SUMIFS(月度归集汇总!$K$4:$K$135,月度归集汇总!$A$4:$A$135,"2026-02",月度归集汇总!$B$4:$B$135,$A11)</f>
        <v>0</v>
      </c>
      <c r="E11" s="27" t="n">
        <f aca="false">SUMIFS(月度归集汇总!$K$4:$K$135,月度归集汇总!$A$4:$A$135,"2026-03",月度归集汇总!$B$4:$B$135,$A11)</f>
        <v>0</v>
      </c>
      <c r="F11" s="27" t="n">
        <f aca="false">SUMIFS(月度归集汇总!$K$4:$K$135,月度归集汇总!$A$4:$A$135,"2026-04",月度归集汇总!$B$4:$B$135,$A11)</f>
        <v>0</v>
      </c>
      <c r="G11" s="27" t="n">
        <f aca="false">SUMIFS(月度归集汇总!$K$4:$K$135,月度归集汇总!$A$4:$A$135,"2026-05",月度归集汇总!$B$4:$B$135,$A11)</f>
        <v>0</v>
      </c>
      <c r="H11" s="27" t="n">
        <f aca="false">SUMIFS(月度归集汇总!$K$4:$K$135,月度归集汇总!$A$4:$A$135,"2026-06",月度归集汇总!$B$4:$B$135,$A11)</f>
        <v>0</v>
      </c>
      <c r="I11" s="27" t="n">
        <f aca="false">SUMIFS(月度归集汇总!$K$4:$K$135,月度归集汇总!$A$4:$A$135,"2026-07",月度归集汇总!$B$4:$B$135,$A11)</f>
        <v>0</v>
      </c>
      <c r="J11" s="27" t="n">
        <f aca="false">SUMIFS(月度归集汇总!$K$4:$K$135,月度归集汇总!$A$4:$A$135,"2026-08",月度归集汇总!$B$4:$B$135,$A11)</f>
        <v>0</v>
      </c>
      <c r="K11" s="27" t="n">
        <f aca="false">SUMIFS(月度归集汇总!$K$4:$K$135,月度归集汇总!$A$4:$A$135,"2026-09",月度归集汇总!$B$4:$B$135,$A11)</f>
        <v>0</v>
      </c>
      <c r="L11" s="27" t="n">
        <f aca="false">SUMIFS(月度归集汇总!$K$4:$K$135,月度归集汇总!$A$4:$A$135,"2026-10",月度归集汇总!$B$4:$B$135,$A11)</f>
        <v>0</v>
      </c>
      <c r="M11" s="27" t="n">
        <f aca="false">SUMIFS(月度归集汇总!$K$4:$K$135,月度归集汇总!$A$4:$A$135,"2026-11",月度归集汇总!$B$4:$B$135,$A11)</f>
        <v>0</v>
      </c>
      <c r="N11" s="27" t="n">
        <f aca="false">SUMIFS(月度归集汇总!$K$4:$K$135,月度归集汇总!$A$4:$A$135,"2026-12",月度归集汇总!$B$4:$B$135,$A11)</f>
        <v>0</v>
      </c>
      <c r="O11" s="27" t="n">
        <f aca="false">ROUND(SUM(C11:N11),2)</f>
        <v>0</v>
      </c>
    </row>
    <row r="12" customFormat="false" ht="18" hidden="false" customHeight="true" outlineLevel="0" collapsed="false">
      <c r="A12" s="43" t="str">
        <f aca="false">项目清单!$B$10</f>
        <v>RD07</v>
      </c>
      <c r="B12" s="48" t="str">
        <f aca="false">IF($A12="","",IFERROR(VLOOKUP($A12,项目清单!$B$4:$C$13,2,0)&amp;"",""))</f>
        <v>环保型水性胶泡棉贴合技术开发</v>
      </c>
      <c r="C12" s="27" t="n">
        <f aca="false">SUMIFS(月度归集汇总!$K$4:$K$135,月度归集汇总!$A$4:$A$135,"2026-01",月度归集汇总!$B$4:$B$135,$A12)</f>
        <v>0</v>
      </c>
      <c r="D12" s="27" t="n">
        <f aca="false">SUMIFS(月度归集汇总!$K$4:$K$135,月度归集汇总!$A$4:$A$135,"2026-02",月度归集汇总!$B$4:$B$135,$A12)</f>
        <v>0</v>
      </c>
      <c r="E12" s="27" t="n">
        <f aca="false">SUMIFS(月度归集汇总!$K$4:$K$135,月度归集汇总!$A$4:$A$135,"2026-03",月度归集汇总!$B$4:$B$135,$A12)</f>
        <v>0</v>
      </c>
      <c r="F12" s="27" t="n">
        <f aca="false">SUMIFS(月度归集汇总!$K$4:$K$135,月度归集汇总!$A$4:$A$135,"2026-04",月度归集汇总!$B$4:$B$135,$A12)</f>
        <v>0</v>
      </c>
      <c r="G12" s="27" t="n">
        <f aca="false">SUMIFS(月度归集汇总!$K$4:$K$135,月度归集汇总!$A$4:$A$135,"2026-05",月度归集汇总!$B$4:$B$135,$A12)</f>
        <v>0</v>
      </c>
      <c r="H12" s="27" t="n">
        <f aca="false">SUMIFS(月度归集汇总!$K$4:$K$135,月度归集汇总!$A$4:$A$135,"2026-06",月度归集汇总!$B$4:$B$135,$A12)</f>
        <v>0</v>
      </c>
      <c r="I12" s="27" t="n">
        <f aca="false">SUMIFS(月度归集汇总!$K$4:$K$135,月度归集汇总!$A$4:$A$135,"2026-07",月度归集汇总!$B$4:$B$135,$A12)</f>
        <v>0</v>
      </c>
      <c r="J12" s="27" t="n">
        <f aca="false">SUMIFS(月度归集汇总!$K$4:$K$135,月度归集汇总!$A$4:$A$135,"2026-08",月度归集汇总!$B$4:$B$135,$A12)</f>
        <v>0</v>
      </c>
      <c r="K12" s="27" t="n">
        <f aca="false">SUMIFS(月度归集汇总!$K$4:$K$135,月度归集汇总!$A$4:$A$135,"2026-09",月度归集汇总!$B$4:$B$135,$A12)</f>
        <v>0</v>
      </c>
      <c r="L12" s="27" t="n">
        <f aca="false">SUMIFS(月度归集汇总!$K$4:$K$135,月度归集汇总!$A$4:$A$135,"2026-10",月度归集汇总!$B$4:$B$135,$A12)</f>
        <v>0</v>
      </c>
      <c r="M12" s="27" t="n">
        <f aca="false">SUMIFS(月度归集汇总!$K$4:$K$135,月度归集汇总!$A$4:$A$135,"2026-11",月度归集汇总!$B$4:$B$135,$A12)</f>
        <v>0</v>
      </c>
      <c r="N12" s="27" t="n">
        <f aca="false">SUMIFS(月度归集汇总!$K$4:$K$135,月度归集汇总!$A$4:$A$135,"2026-12",月度归集汇总!$B$4:$B$135,$A12)</f>
        <v>0</v>
      </c>
      <c r="O12" s="27" t="n">
        <f aca="false">ROUND(SUM(C12:N12),2)</f>
        <v>0</v>
      </c>
    </row>
    <row r="13" customFormat="false" ht="18" hidden="false" customHeight="true" outlineLevel="0" collapsed="false">
      <c r="A13" s="43" t="str">
        <f aca="false">项目清单!$B$11</f>
        <v>RD08</v>
      </c>
      <c r="B13" s="48" t="str">
        <f aca="false">IF($A13="","",IFERROR(VLOOKUP($A13,项目清单!$B$4:$C$13,2,0)&amp;"",""))</f>
        <v>泡棉模切自动化在线检测技术研究</v>
      </c>
      <c r="C13" s="27" t="n">
        <f aca="false">SUMIFS(月度归集汇总!$K$4:$K$135,月度归集汇总!$A$4:$A$135,"2026-01",月度归集汇总!$B$4:$B$135,$A13)</f>
        <v>0</v>
      </c>
      <c r="D13" s="27" t="n">
        <f aca="false">SUMIFS(月度归集汇总!$K$4:$K$135,月度归集汇总!$A$4:$A$135,"2026-02",月度归集汇总!$B$4:$B$135,$A13)</f>
        <v>0</v>
      </c>
      <c r="E13" s="27" t="n">
        <f aca="false">SUMIFS(月度归集汇总!$K$4:$K$135,月度归集汇总!$A$4:$A$135,"2026-03",月度归集汇总!$B$4:$B$135,$A13)</f>
        <v>0</v>
      </c>
      <c r="F13" s="27" t="n">
        <f aca="false">SUMIFS(月度归集汇总!$K$4:$K$135,月度归集汇总!$A$4:$A$135,"2026-04",月度归集汇总!$B$4:$B$135,$A13)</f>
        <v>0</v>
      </c>
      <c r="G13" s="27" t="n">
        <f aca="false">SUMIFS(月度归集汇总!$K$4:$K$135,月度归集汇总!$A$4:$A$135,"2026-05",月度归集汇总!$B$4:$B$135,$A13)</f>
        <v>0</v>
      </c>
      <c r="H13" s="27" t="n">
        <f aca="false">SUMIFS(月度归集汇总!$K$4:$K$135,月度归集汇总!$A$4:$A$135,"2026-06",月度归集汇总!$B$4:$B$135,$A13)</f>
        <v>0</v>
      </c>
      <c r="I13" s="27" t="n">
        <f aca="false">SUMIFS(月度归集汇总!$K$4:$K$135,月度归集汇总!$A$4:$A$135,"2026-07",月度归集汇总!$B$4:$B$135,$A13)</f>
        <v>0</v>
      </c>
      <c r="J13" s="27" t="n">
        <f aca="false">SUMIFS(月度归集汇总!$K$4:$K$135,月度归集汇总!$A$4:$A$135,"2026-08",月度归集汇总!$B$4:$B$135,$A13)</f>
        <v>0</v>
      </c>
      <c r="K13" s="27" t="n">
        <f aca="false">SUMIFS(月度归集汇总!$K$4:$K$135,月度归集汇总!$A$4:$A$135,"2026-09",月度归集汇总!$B$4:$B$135,$A13)</f>
        <v>0</v>
      </c>
      <c r="L13" s="27" t="n">
        <f aca="false">SUMIFS(月度归集汇总!$K$4:$K$135,月度归集汇总!$A$4:$A$135,"2026-10",月度归集汇总!$B$4:$B$135,$A13)</f>
        <v>0</v>
      </c>
      <c r="M13" s="27" t="n">
        <f aca="false">SUMIFS(月度归集汇总!$K$4:$K$135,月度归集汇总!$A$4:$A$135,"2026-11",月度归集汇总!$B$4:$B$135,$A13)</f>
        <v>0</v>
      </c>
      <c r="N13" s="27" t="n">
        <f aca="false">SUMIFS(月度归集汇总!$K$4:$K$135,月度归集汇总!$A$4:$A$135,"2026-12",月度归集汇总!$B$4:$B$135,$A13)</f>
        <v>0</v>
      </c>
      <c r="O13" s="27" t="n">
        <f aca="false">ROUND(SUM(C13:N13),2)</f>
        <v>0</v>
      </c>
    </row>
    <row r="14" customFormat="false" ht="18" hidden="false" customHeight="true" outlineLevel="0" collapsed="false">
      <c r="A14" s="43" t="str">
        <f aca="false">项目清单!$B$12</f>
        <v>RD09</v>
      </c>
      <c r="B14" s="48" t="str">
        <f aca="false">IF($A14="","",IFERROR(VLOOKUP($A14,项目清单!$B$4:$C$13,2,0)&amp;"",""))</f>
        <v/>
      </c>
      <c r="C14" s="27" t="n">
        <f aca="false">SUMIFS(月度归集汇总!$K$4:$K$135,月度归集汇总!$A$4:$A$135,"2026-01",月度归集汇总!$B$4:$B$135,$A14)</f>
        <v>0</v>
      </c>
      <c r="D14" s="27" t="n">
        <f aca="false">SUMIFS(月度归集汇总!$K$4:$K$135,月度归集汇总!$A$4:$A$135,"2026-02",月度归集汇总!$B$4:$B$135,$A14)</f>
        <v>0</v>
      </c>
      <c r="E14" s="27" t="n">
        <f aca="false">SUMIFS(月度归集汇总!$K$4:$K$135,月度归集汇总!$A$4:$A$135,"2026-03",月度归集汇总!$B$4:$B$135,$A14)</f>
        <v>0</v>
      </c>
      <c r="F14" s="27" t="n">
        <f aca="false">SUMIFS(月度归集汇总!$K$4:$K$135,月度归集汇总!$A$4:$A$135,"2026-04",月度归集汇总!$B$4:$B$135,$A14)</f>
        <v>0</v>
      </c>
      <c r="G14" s="27" t="n">
        <f aca="false">SUMIFS(月度归集汇总!$K$4:$K$135,月度归集汇总!$A$4:$A$135,"2026-05",月度归集汇总!$B$4:$B$135,$A14)</f>
        <v>0</v>
      </c>
      <c r="H14" s="27" t="n">
        <f aca="false">SUMIFS(月度归集汇总!$K$4:$K$135,月度归集汇总!$A$4:$A$135,"2026-06",月度归集汇总!$B$4:$B$135,$A14)</f>
        <v>0</v>
      </c>
      <c r="I14" s="27" t="n">
        <f aca="false">SUMIFS(月度归集汇总!$K$4:$K$135,月度归集汇总!$A$4:$A$135,"2026-07",月度归集汇总!$B$4:$B$135,$A14)</f>
        <v>0</v>
      </c>
      <c r="J14" s="27" t="n">
        <f aca="false">SUMIFS(月度归集汇总!$K$4:$K$135,月度归集汇总!$A$4:$A$135,"2026-08",月度归集汇总!$B$4:$B$135,$A14)</f>
        <v>0</v>
      </c>
      <c r="K14" s="27" t="n">
        <f aca="false">SUMIFS(月度归集汇总!$K$4:$K$135,月度归集汇总!$A$4:$A$135,"2026-09",月度归集汇总!$B$4:$B$135,$A14)</f>
        <v>0</v>
      </c>
      <c r="L14" s="27" t="n">
        <f aca="false">SUMIFS(月度归集汇总!$K$4:$K$135,月度归集汇总!$A$4:$A$135,"2026-10",月度归集汇总!$B$4:$B$135,$A14)</f>
        <v>0</v>
      </c>
      <c r="M14" s="27" t="n">
        <f aca="false">SUMIFS(月度归集汇总!$K$4:$K$135,月度归集汇总!$A$4:$A$135,"2026-11",月度归集汇总!$B$4:$B$135,$A14)</f>
        <v>0</v>
      </c>
      <c r="N14" s="27" t="n">
        <f aca="false">SUMIFS(月度归集汇总!$K$4:$K$135,月度归集汇总!$A$4:$A$135,"2026-12",月度归集汇总!$B$4:$B$135,$A14)</f>
        <v>0</v>
      </c>
      <c r="O14" s="27" t="n">
        <f aca="false">ROUND(SUM(C14:N14),2)</f>
        <v>0</v>
      </c>
    </row>
    <row r="15" customFormat="false" ht="18" hidden="false" customHeight="true" outlineLevel="0" collapsed="false">
      <c r="A15" s="43" t="str">
        <f aca="false">项目清单!$B$13</f>
        <v>RD10</v>
      </c>
      <c r="B15" s="48" t="str">
        <f aca="false">IF($A15="","",IFERROR(VLOOKUP($A15,项目清单!$B$4:$C$13,2,0)&amp;"",""))</f>
        <v/>
      </c>
      <c r="C15" s="27" t="n">
        <f aca="false">SUMIFS(月度归集汇总!$K$4:$K$135,月度归集汇总!$A$4:$A$135,"2026-01",月度归集汇总!$B$4:$B$135,$A15)</f>
        <v>0</v>
      </c>
      <c r="D15" s="27" t="n">
        <f aca="false">SUMIFS(月度归集汇总!$K$4:$K$135,月度归集汇总!$A$4:$A$135,"2026-02",月度归集汇总!$B$4:$B$135,$A15)</f>
        <v>0</v>
      </c>
      <c r="E15" s="27" t="n">
        <f aca="false">SUMIFS(月度归集汇总!$K$4:$K$135,月度归集汇总!$A$4:$A$135,"2026-03",月度归集汇总!$B$4:$B$135,$A15)</f>
        <v>0</v>
      </c>
      <c r="F15" s="27" t="n">
        <f aca="false">SUMIFS(月度归集汇总!$K$4:$K$135,月度归集汇总!$A$4:$A$135,"2026-04",月度归集汇总!$B$4:$B$135,$A15)</f>
        <v>0</v>
      </c>
      <c r="G15" s="27" t="n">
        <f aca="false">SUMIFS(月度归集汇总!$K$4:$K$135,月度归集汇总!$A$4:$A$135,"2026-05",月度归集汇总!$B$4:$B$135,$A15)</f>
        <v>0</v>
      </c>
      <c r="H15" s="27" t="n">
        <f aca="false">SUMIFS(月度归集汇总!$K$4:$K$135,月度归集汇总!$A$4:$A$135,"2026-06",月度归集汇总!$B$4:$B$135,$A15)</f>
        <v>0</v>
      </c>
      <c r="I15" s="27" t="n">
        <f aca="false">SUMIFS(月度归集汇总!$K$4:$K$135,月度归集汇总!$A$4:$A$135,"2026-07",月度归集汇总!$B$4:$B$135,$A15)</f>
        <v>0</v>
      </c>
      <c r="J15" s="27" t="n">
        <f aca="false">SUMIFS(月度归集汇总!$K$4:$K$135,月度归集汇总!$A$4:$A$135,"2026-08",月度归集汇总!$B$4:$B$135,$A15)</f>
        <v>0</v>
      </c>
      <c r="K15" s="27" t="n">
        <f aca="false">SUMIFS(月度归集汇总!$K$4:$K$135,月度归集汇总!$A$4:$A$135,"2026-09",月度归集汇总!$B$4:$B$135,$A15)</f>
        <v>0</v>
      </c>
      <c r="L15" s="27" t="n">
        <f aca="false">SUMIFS(月度归集汇总!$K$4:$K$135,月度归集汇总!$A$4:$A$135,"2026-10",月度归集汇总!$B$4:$B$135,$A15)</f>
        <v>0</v>
      </c>
      <c r="M15" s="27" t="n">
        <f aca="false">SUMIFS(月度归集汇总!$K$4:$K$135,月度归集汇总!$A$4:$A$135,"2026-11",月度归集汇总!$B$4:$B$135,$A15)</f>
        <v>0</v>
      </c>
      <c r="N15" s="27" t="n">
        <f aca="false">SUMIFS(月度归集汇总!$K$4:$K$135,月度归集汇总!$A$4:$A$135,"2026-12",月度归集汇总!$B$4:$B$135,$A15)</f>
        <v>0</v>
      </c>
      <c r="O15" s="27" t="n">
        <f aca="false">ROUND(SUM(C15:N15),2)</f>
        <v>0</v>
      </c>
    </row>
    <row r="16" customFormat="false" ht="19.5" hidden="false" customHeight="true" outlineLevel="0" collapsed="false">
      <c r="A16" s="30"/>
      <c r="B16" s="30" t="s">
        <v>311</v>
      </c>
      <c r="C16" s="31" t="n">
        <f aca="false">ROUND(SUM(C6:C15),2)</f>
        <v>0</v>
      </c>
      <c r="D16" s="31" t="n">
        <f aca="false">ROUND(SUM(D6:D15),2)</f>
        <v>0</v>
      </c>
      <c r="E16" s="31" t="n">
        <f aca="false">ROUND(SUM(E6:E15),2)</f>
        <v>0</v>
      </c>
      <c r="F16" s="31" t="n">
        <f aca="false">ROUND(SUM(F6:F15),2)</f>
        <v>0</v>
      </c>
      <c r="G16" s="31" t="n">
        <f aca="false">ROUND(SUM(G6:G15),2)</f>
        <v>0</v>
      </c>
      <c r="H16" s="31" t="n">
        <f aca="false">ROUND(SUM(H6:H15),2)</f>
        <v>0</v>
      </c>
      <c r="I16" s="31" t="n">
        <f aca="false">ROUND(SUM(I6:I15),2)</f>
        <v>0</v>
      </c>
      <c r="J16" s="31" t="n">
        <f aca="false">ROUND(SUM(J6:J15),2)</f>
        <v>0</v>
      </c>
      <c r="K16" s="31" t="n">
        <f aca="false">ROUND(SUM(K6:K15),2)</f>
        <v>126067.89</v>
      </c>
      <c r="L16" s="31" t="n">
        <f aca="false">ROUND(SUM(L6:L15),2)</f>
        <v>0</v>
      </c>
      <c r="M16" s="31" t="n">
        <f aca="false">ROUND(SUM(M6:M15),2)</f>
        <v>0</v>
      </c>
      <c r="N16" s="31" t="n">
        <f aca="false">ROUND(SUM(N6:N15),2)</f>
        <v>0</v>
      </c>
      <c r="O16" s="31" t="n">
        <f aca="false">ROUND(SUM(O6:O15),2)</f>
        <v>126067.89</v>
      </c>
    </row>
    <row r="18" customFormat="false" ht="21.75" hidden="false" customHeight="true" outlineLevel="0" collapsed="false">
      <c r="A18" s="6" t="s">
        <v>312</v>
      </c>
      <c r="B18" s="6"/>
      <c r="C18" s="6"/>
      <c r="D18" s="6"/>
      <c r="E18" s="6"/>
      <c r="F18" s="6"/>
      <c r="G18" s="6"/>
      <c r="H18" s="6"/>
      <c r="I18" s="6"/>
      <c r="J18" s="6"/>
      <c r="K18" s="6"/>
      <c r="L18" s="6"/>
      <c r="M18" s="6"/>
      <c r="N18" s="6"/>
      <c r="O18" s="6"/>
    </row>
    <row r="19" customFormat="false" ht="25.5" hidden="false" customHeight="true" outlineLevel="0" collapsed="false">
      <c r="A19" s="18" t="s">
        <v>108</v>
      </c>
      <c r="B19" s="18" t="s">
        <v>109</v>
      </c>
      <c r="C19" s="18" t="s">
        <v>287</v>
      </c>
      <c r="D19" s="18" t="s">
        <v>288</v>
      </c>
      <c r="E19" s="18" t="s">
        <v>289</v>
      </c>
      <c r="F19" s="18" t="s">
        <v>278</v>
      </c>
      <c r="G19" s="18" t="s">
        <v>290</v>
      </c>
      <c r="H19" s="18" t="s">
        <v>291</v>
      </c>
      <c r="I19" s="18" t="s">
        <v>281</v>
      </c>
      <c r="J19" s="18" t="s">
        <v>104</v>
      </c>
      <c r="K19" s="18" t="s">
        <v>313</v>
      </c>
    </row>
    <row r="20" customFormat="false" ht="18" hidden="false" customHeight="true" outlineLevel="0" collapsed="false">
      <c r="A20" s="43" t="str">
        <f aca="false">项目清单!$B$4</f>
        <v>RD01</v>
      </c>
      <c r="B20" s="48" t="str">
        <f aca="false">IF($A20="","",IFERROR(VLOOKUP($A20,项目清单!$B$4:$C$13,2,0)&amp;"",""))</f>
        <v>高回弹低压缩永久变形3C用聚氨酯泡棉开发</v>
      </c>
      <c r="C20" s="27" t="n">
        <f aca="false">SUMIFS(月度归集汇总!$D$4:$D$135,月度归集汇总!$B$4:$B$135,$A20)</f>
        <v>12443.18</v>
      </c>
      <c r="D20" s="27" t="n">
        <f aca="false">SUMIFS(月度归集汇总!$E$4:$E$135,月度归集汇总!$B$4:$B$135,$A20)</f>
        <v>1875</v>
      </c>
      <c r="E20" s="27" t="n">
        <f aca="false">SUMIFS(月度归集汇总!$F$4:$F$135,月度归集汇总!$B$4:$B$135,$A20)</f>
        <v>1500</v>
      </c>
      <c r="F20" s="27" t="n">
        <f aca="false">SUMIFS(月度归集汇总!$G$4:$G$135,月度归集汇总!$B$4:$B$135,$A20)</f>
        <v>0</v>
      </c>
      <c r="G20" s="27" t="n">
        <f aca="false">SUMIFS(月度归集汇总!$H$4:$H$135,月度归集汇总!$B$4:$B$135,$A20)</f>
        <v>0</v>
      </c>
      <c r="H20" s="27" t="n">
        <f aca="false">SUMIFS(月度归集汇总!$I$4:$I$135,月度归集汇总!$B$4:$B$135,$A20)</f>
        <v>0</v>
      </c>
      <c r="I20" s="27" t="n">
        <f aca="false">SUMIFS(月度归集汇总!$J$4:$J$135,月度归集汇总!$B$4:$B$135,$A20)</f>
        <v>0</v>
      </c>
      <c r="J20" s="27" t="n">
        <f aca="false">ROUND(SUM(C20:I20),2)</f>
        <v>15818.18</v>
      </c>
      <c r="K20" s="28" t="n">
        <f aca="false">IFERROR($J20/$J$30,0)</f>
        <v>0.125473504791744</v>
      </c>
    </row>
    <row r="21" customFormat="false" ht="18" hidden="false" customHeight="true" outlineLevel="0" collapsed="false">
      <c r="A21" s="43" t="str">
        <f aca="false">项目清单!$B$5</f>
        <v>RD02</v>
      </c>
      <c r="B21" s="48" t="str">
        <f aca="false">IF($A21="","",IFERROR(VLOOKUP($A21,项目清单!$B$4:$C$13,2,0)&amp;"",""))</f>
        <v>动力电池模组用高阻燃缓冲泡棉研发</v>
      </c>
      <c r="C21" s="27" t="n">
        <f aca="false">SUMIFS(月度归集汇总!$D$4:$D$135,月度归集汇总!$B$4:$B$135,$A21)</f>
        <v>26215.91</v>
      </c>
      <c r="D21" s="27" t="n">
        <f aca="false">SUMIFS(月度归集汇总!$E$4:$E$135,月度归集汇总!$B$4:$B$135,$A21)</f>
        <v>7937.5</v>
      </c>
      <c r="E21" s="27" t="n">
        <f aca="false">SUMIFS(月度归集汇总!$F$4:$F$135,月度归集汇总!$B$4:$B$135,$A21)</f>
        <v>1500</v>
      </c>
      <c r="F21" s="27" t="n">
        <f aca="false">SUMIFS(月度归集汇总!$G$4:$G$135,月度归集汇总!$B$4:$B$135,$A21)</f>
        <v>12600</v>
      </c>
      <c r="G21" s="27" t="n">
        <f aca="false">SUMIFS(月度归集汇总!$H$4:$H$135,月度归集汇总!$B$4:$B$135,$A21)</f>
        <v>0</v>
      </c>
      <c r="H21" s="27" t="n">
        <f aca="false">SUMIFS(月度归集汇总!$I$4:$I$135,月度归集汇总!$B$4:$B$135,$A21)</f>
        <v>0</v>
      </c>
      <c r="I21" s="27" t="n">
        <f aca="false">SUMIFS(月度归集汇总!$J$4:$J$135,月度归集汇总!$B$4:$B$135,$A21)</f>
        <v>0</v>
      </c>
      <c r="J21" s="27" t="n">
        <f aca="false">ROUND(SUM(C21:I21),2)</f>
        <v>48253.41</v>
      </c>
      <c r="K21" s="28" t="n">
        <f aca="false">IFERROR($J21/$J$30,0)</f>
        <v>0.382757338129479</v>
      </c>
    </row>
    <row r="22" customFormat="false" ht="18" hidden="false" customHeight="true" outlineLevel="0" collapsed="false">
      <c r="A22" s="43" t="str">
        <f aca="false">项目清单!$B$6</f>
        <v>RD03</v>
      </c>
      <c r="B22" s="48" t="str">
        <f aca="false">IF($A22="","",IFERROR(VLOOKUP($A22,项目清单!$B$4:$C$13,2,0)&amp;"",""))</f>
        <v>泡棉与PET基材无溶剂贴合工艺开发</v>
      </c>
      <c r="C22" s="27" t="n">
        <f aca="false">SUMIFS(月度归集汇总!$D$4:$D$135,月度归集汇总!$B$4:$B$135,$A22)</f>
        <v>2663.18</v>
      </c>
      <c r="D22" s="27" t="n">
        <f aca="false">SUMIFS(月度归集汇总!$E$4:$E$135,月度归集汇总!$B$4:$B$135,$A22)</f>
        <v>1066.67</v>
      </c>
      <c r="E22" s="27" t="n">
        <f aca="false">SUMIFS(月度归集汇总!$F$4:$F$135,月度归集汇总!$B$4:$B$135,$A22)</f>
        <v>0</v>
      </c>
      <c r="F22" s="27" t="n">
        <f aca="false">SUMIFS(月度归集汇总!$G$4:$G$135,月度归集汇总!$B$4:$B$135,$A22)</f>
        <v>0</v>
      </c>
      <c r="G22" s="27" t="n">
        <f aca="false">SUMIFS(月度归集汇总!$H$4:$H$135,月度归集汇总!$B$4:$B$135,$A22)</f>
        <v>0</v>
      </c>
      <c r="H22" s="27" t="n">
        <f aca="false">SUMIFS(月度归集汇总!$I$4:$I$135,月度归集汇总!$B$4:$B$135,$A22)</f>
        <v>0</v>
      </c>
      <c r="I22" s="27" t="n">
        <f aca="false">SUMIFS(月度归集汇总!$J$4:$J$135,月度归集汇总!$B$4:$B$135,$A22)</f>
        <v>30000</v>
      </c>
      <c r="J22" s="27" t="n">
        <f aca="false">ROUND(SUM(C22:I22),2)</f>
        <v>33729.85</v>
      </c>
      <c r="K22" s="28" t="n">
        <f aca="false">IFERROR($J22/$J$30,0)</f>
        <v>0.267553062084247</v>
      </c>
    </row>
    <row r="23" customFormat="false" ht="18" hidden="false" customHeight="true" outlineLevel="0" collapsed="false">
      <c r="A23" s="43" t="str">
        <f aca="false">项目清单!$B$7</f>
        <v>RD04</v>
      </c>
      <c r="B23" s="48" t="str">
        <f aca="false">IF($A23="","",IFERROR(VLOOKUP($A23,项目清单!$B$4:$C$13,2,0)&amp;"",""))</f>
        <v>超薄泡棉高精度分切及毛边控制技术研究</v>
      </c>
      <c r="C23" s="27" t="n">
        <f aca="false">SUMIFS(月度归集汇总!$D$4:$D$135,月度归集汇总!$B$4:$B$135,$A23)</f>
        <v>0</v>
      </c>
      <c r="D23" s="27" t="n">
        <f aca="false">SUMIFS(月度归集汇总!$E$4:$E$135,月度归集汇总!$B$4:$B$135,$A23)</f>
        <v>553.57</v>
      </c>
      <c r="E23" s="27" t="n">
        <f aca="false">SUMIFS(月度归集汇总!$F$4:$F$135,月度归集汇总!$B$4:$B$135,$A23)</f>
        <v>0</v>
      </c>
      <c r="F23" s="27" t="n">
        <f aca="false">SUMIFS(月度归集汇总!$G$4:$G$135,月度归集汇总!$B$4:$B$135,$A23)</f>
        <v>8450</v>
      </c>
      <c r="G23" s="27" t="n">
        <f aca="false">SUMIFS(月度归集汇总!$H$4:$H$135,月度归集汇总!$B$4:$B$135,$A23)</f>
        <v>0</v>
      </c>
      <c r="H23" s="27" t="n">
        <f aca="false">SUMIFS(月度归集汇总!$I$4:$I$135,月度归集汇总!$B$4:$B$135,$A23)</f>
        <v>0</v>
      </c>
      <c r="I23" s="27" t="n">
        <f aca="false">SUMIFS(月度归集汇总!$J$4:$J$135,月度归集汇总!$B$4:$B$135,$A23)</f>
        <v>0</v>
      </c>
      <c r="J23" s="27" t="n">
        <f aca="false">ROUND(SUM(C23:I23),2)</f>
        <v>9003.57</v>
      </c>
      <c r="K23" s="28" t="n">
        <f aca="false">IFERROR($J23/$J$30,0)</f>
        <v>0.071418423834967</v>
      </c>
    </row>
    <row r="24" customFormat="false" ht="18" hidden="false" customHeight="true" outlineLevel="0" collapsed="false">
      <c r="A24" s="43" t="str">
        <f aca="false">项目清单!$B$8</f>
        <v>RD05</v>
      </c>
      <c r="B24" s="48" t="str">
        <f aca="false">IF($A24="","",IFERROR(VLOOKUP($A24,项目清单!$B$4:$C$13,2,0)&amp;"",""))</f>
        <v>新能源汽车电池包用导热缓冲复合材料开发</v>
      </c>
      <c r="C24" s="27" t="n">
        <f aca="false">SUMIFS(月度归集汇总!$D$4:$D$135,月度归集汇总!$B$4:$B$135,$A24)</f>
        <v>12729.55</v>
      </c>
      <c r="D24" s="27" t="n">
        <f aca="false">SUMIFS(月度归集汇总!$E$4:$E$135,月度归集汇总!$B$4:$B$135,$A24)</f>
        <v>5533.33</v>
      </c>
      <c r="E24" s="27" t="n">
        <f aca="false">SUMIFS(月度归集汇总!$F$4:$F$135,月度归集汇总!$B$4:$B$135,$A24)</f>
        <v>1000</v>
      </c>
      <c r="F24" s="27" t="n">
        <f aca="false">SUMIFS(月度归集汇总!$G$4:$G$135,月度归集汇总!$B$4:$B$135,$A24)</f>
        <v>0</v>
      </c>
      <c r="G24" s="27" t="n">
        <f aca="false">SUMIFS(月度归集汇总!$H$4:$H$135,月度归集汇总!$B$4:$B$135,$A24)</f>
        <v>0</v>
      </c>
      <c r="H24" s="27" t="n">
        <f aca="false">SUMIFS(月度归集汇总!$I$4:$I$135,月度归集汇总!$B$4:$B$135,$A24)</f>
        <v>0</v>
      </c>
      <c r="I24" s="27" t="n">
        <f aca="false">SUMIFS(月度归集汇总!$J$4:$J$135,月度归集汇总!$B$4:$B$135,$A24)</f>
        <v>0</v>
      </c>
      <c r="J24" s="27" t="n">
        <f aca="false">ROUND(SUM(C24:I24),2)</f>
        <v>19262.88</v>
      </c>
      <c r="K24" s="28" t="n">
        <f aca="false">IFERROR($J24/$J$30,0)</f>
        <v>0.152797671159563</v>
      </c>
    </row>
    <row r="25" customFormat="false" ht="18" hidden="false" customHeight="true" outlineLevel="0" collapsed="false">
      <c r="A25" s="43" t="str">
        <f aca="false">项目清单!$B$9</f>
        <v>RD06</v>
      </c>
      <c r="B25" s="48" t="str">
        <f aca="false">IF($A25="","",IFERROR(VLOOKUP($A25,项目清单!$B$4:$C$13,2,0)&amp;"",""))</f>
        <v>3C电子用超薄黑色遮光泡棉制备技术</v>
      </c>
      <c r="C25" s="27" t="n">
        <f aca="false">SUMIFS(月度归集汇总!$D$4:$D$135,月度归集汇总!$B$4:$B$135,$A25)</f>
        <v>0</v>
      </c>
      <c r="D25" s="27" t="n">
        <f aca="false">SUMIFS(月度归集汇总!$E$4:$E$135,月度归集汇总!$B$4:$B$135,$A25)</f>
        <v>0</v>
      </c>
      <c r="E25" s="27" t="n">
        <f aca="false">SUMIFS(月度归集汇总!$F$4:$F$135,月度归集汇总!$B$4:$B$135,$A25)</f>
        <v>0</v>
      </c>
      <c r="F25" s="27" t="n">
        <f aca="false">SUMIFS(月度归集汇总!$G$4:$G$135,月度归集汇总!$B$4:$B$135,$A25)</f>
        <v>0</v>
      </c>
      <c r="G25" s="27" t="n">
        <f aca="false">SUMIFS(月度归集汇总!$H$4:$H$135,月度归集汇总!$B$4:$B$135,$A25)</f>
        <v>0</v>
      </c>
      <c r="H25" s="27" t="n">
        <f aca="false">SUMIFS(月度归集汇总!$I$4:$I$135,月度归集汇总!$B$4:$B$135,$A25)</f>
        <v>0</v>
      </c>
      <c r="I25" s="27" t="n">
        <f aca="false">SUMIFS(月度归集汇总!$J$4:$J$135,月度归集汇总!$B$4:$B$135,$A25)</f>
        <v>0</v>
      </c>
      <c r="J25" s="27" t="n">
        <f aca="false">ROUND(SUM(C25:I25),2)</f>
        <v>0</v>
      </c>
      <c r="K25" s="28" t="n">
        <f aca="false">IFERROR($J25/$J$30,0)</f>
        <v>0</v>
      </c>
    </row>
    <row r="26" customFormat="false" ht="18" hidden="false" customHeight="true" outlineLevel="0" collapsed="false">
      <c r="A26" s="43" t="str">
        <f aca="false">项目清单!$B$10</f>
        <v>RD07</v>
      </c>
      <c r="B26" s="48" t="str">
        <f aca="false">IF($A26="","",IFERROR(VLOOKUP($A26,项目清单!$B$4:$C$13,2,0)&amp;"",""))</f>
        <v>环保型水性胶泡棉贴合技术开发</v>
      </c>
      <c r="C26" s="27" t="n">
        <f aca="false">SUMIFS(月度归集汇总!$D$4:$D$135,月度归集汇总!$B$4:$B$135,$A26)</f>
        <v>0</v>
      </c>
      <c r="D26" s="27" t="n">
        <f aca="false">SUMIFS(月度归集汇总!$E$4:$E$135,月度归集汇总!$B$4:$B$135,$A26)</f>
        <v>0</v>
      </c>
      <c r="E26" s="27" t="n">
        <f aca="false">SUMIFS(月度归集汇总!$F$4:$F$135,月度归集汇总!$B$4:$B$135,$A26)</f>
        <v>0</v>
      </c>
      <c r="F26" s="27" t="n">
        <f aca="false">SUMIFS(月度归集汇总!$G$4:$G$135,月度归集汇总!$B$4:$B$135,$A26)</f>
        <v>0</v>
      </c>
      <c r="G26" s="27" t="n">
        <f aca="false">SUMIFS(月度归集汇总!$H$4:$H$135,月度归集汇总!$B$4:$B$135,$A26)</f>
        <v>0</v>
      </c>
      <c r="H26" s="27" t="n">
        <f aca="false">SUMIFS(月度归集汇总!$I$4:$I$135,月度归集汇总!$B$4:$B$135,$A26)</f>
        <v>0</v>
      </c>
      <c r="I26" s="27" t="n">
        <f aca="false">SUMIFS(月度归集汇总!$J$4:$J$135,月度归集汇总!$B$4:$B$135,$A26)</f>
        <v>0</v>
      </c>
      <c r="J26" s="27" t="n">
        <f aca="false">ROUND(SUM(C26:I26),2)</f>
        <v>0</v>
      </c>
      <c r="K26" s="28" t="n">
        <f aca="false">IFERROR($J26/$J$30,0)</f>
        <v>0</v>
      </c>
    </row>
    <row r="27" customFormat="false" ht="18" hidden="false" customHeight="true" outlineLevel="0" collapsed="false">
      <c r="A27" s="43" t="str">
        <f aca="false">项目清单!$B$11</f>
        <v>RD08</v>
      </c>
      <c r="B27" s="48" t="str">
        <f aca="false">IF($A27="","",IFERROR(VLOOKUP($A27,项目清单!$B$4:$C$13,2,0)&amp;"",""))</f>
        <v>泡棉模切自动化在线检测技术研究</v>
      </c>
      <c r="C27" s="27" t="n">
        <f aca="false">SUMIFS(月度归集汇总!$D$4:$D$135,月度归集汇总!$B$4:$B$135,$A27)</f>
        <v>0</v>
      </c>
      <c r="D27" s="27" t="n">
        <f aca="false">SUMIFS(月度归集汇总!$E$4:$E$135,月度归集汇总!$B$4:$B$135,$A27)</f>
        <v>0</v>
      </c>
      <c r="E27" s="27" t="n">
        <f aca="false">SUMIFS(月度归集汇总!$F$4:$F$135,月度归集汇总!$B$4:$B$135,$A27)</f>
        <v>0</v>
      </c>
      <c r="F27" s="27" t="n">
        <f aca="false">SUMIFS(月度归集汇总!$G$4:$G$135,月度归集汇总!$B$4:$B$135,$A27)</f>
        <v>0</v>
      </c>
      <c r="G27" s="27" t="n">
        <f aca="false">SUMIFS(月度归集汇总!$H$4:$H$135,月度归集汇总!$B$4:$B$135,$A27)</f>
        <v>0</v>
      </c>
      <c r="H27" s="27" t="n">
        <f aca="false">SUMIFS(月度归集汇总!$I$4:$I$135,月度归集汇总!$B$4:$B$135,$A27)</f>
        <v>0</v>
      </c>
      <c r="I27" s="27" t="n">
        <f aca="false">SUMIFS(月度归集汇总!$J$4:$J$135,月度归集汇总!$B$4:$B$135,$A27)</f>
        <v>0</v>
      </c>
      <c r="J27" s="27" t="n">
        <f aca="false">ROUND(SUM(C27:I27),2)</f>
        <v>0</v>
      </c>
      <c r="K27" s="28" t="n">
        <f aca="false">IFERROR($J27/$J$30,0)</f>
        <v>0</v>
      </c>
    </row>
    <row r="28" customFormat="false" ht="18" hidden="false" customHeight="true" outlineLevel="0" collapsed="false">
      <c r="A28" s="43" t="str">
        <f aca="false">项目清单!$B$12</f>
        <v>RD09</v>
      </c>
      <c r="B28" s="48" t="str">
        <f aca="false">IF($A28="","",IFERROR(VLOOKUP($A28,项目清单!$B$4:$C$13,2,0)&amp;"",""))</f>
        <v/>
      </c>
      <c r="C28" s="27" t="n">
        <f aca="false">SUMIFS(月度归集汇总!$D$4:$D$135,月度归集汇总!$B$4:$B$135,$A28)</f>
        <v>0</v>
      </c>
      <c r="D28" s="27" t="n">
        <f aca="false">SUMIFS(月度归集汇总!$E$4:$E$135,月度归集汇总!$B$4:$B$135,$A28)</f>
        <v>0</v>
      </c>
      <c r="E28" s="27" t="n">
        <f aca="false">SUMIFS(月度归集汇总!$F$4:$F$135,月度归集汇总!$B$4:$B$135,$A28)</f>
        <v>0</v>
      </c>
      <c r="F28" s="27" t="n">
        <f aca="false">SUMIFS(月度归集汇总!$G$4:$G$135,月度归集汇总!$B$4:$B$135,$A28)</f>
        <v>0</v>
      </c>
      <c r="G28" s="27" t="n">
        <f aca="false">SUMIFS(月度归集汇总!$H$4:$H$135,月度归集汇总!$B$4:$B$135,$A28)</f>
        <v>0</v>
      </c>
      <c r="H28" s="27" t="n">
        <f aca="false">SUMIFS(月度归集汇总!$I$4:$I$135,月度归集汇总!$B$4:$B$135,$A28)</f>
        <v>0</v>
      </c>
      <c r="I28" s="27" t="n">
        <f aca="false">SUMIFS(月度归集汇总!$J$4:$J$135,月度归集汇总!$B$4:$B$135,$A28)</f>
        <v>0</v>
      </c>
      <c r="J28" s="27" t="n">
        <f aca="false">ROUND(SUM(C28:I28),2)</f>
        <v>0</v>
      </c>
      <c r="K28" s="28" t="n">
        <f aca="false">IFERROR($J28/$J$30,0)</f>
        <v>0</v>
      </c>
    </row>
    <row r="29" customFormat="false" ht="18" hidden="false" customHeight="true" outlineLevel="0" collapsed="false">
      <c r="A29" s="43" t="str">
        <f aca="false">项目清单!$B$13</f>
        <v>RD10</v>
      </c>
      <c r="B29" s="48" t="str">
        <f aca="false">IF($A29="","",IFERROR(VLOOKUP($A29,项目清单!$B$4:$C$13,2,0)&amp;"",""))</f>
        <v/>
      </c>
      <c r="C29" s="27" t="n">
        <f aca="false">SUMIFS(月度归集汇总!$D$4:$D$135,月度归集汇总!$B$4:$B$135,$A29)</f>
        <v>0</v>
      </c>
      <c r="D29" s="27" t="n">
        <f aca="false">SUMIFS(月度归集汇总!$E$4:$E$135,月度归集汇总!$B$4:$B$135,$A29)</f>
        <v>0</v>
      </c>
      <c r="E29" s="27" t="n">
        <f aca="false">SUMIFS(月度归集汇总!$F$4:$F$135,月度归集汇总!$B$4:$B$135,$A29)</f>
        <v>0</v>
      </c>
      <c r="F29" s="27" t="n">
        <f aca="false">SUMIFS(月度归集汇总!$G$4:$G$135,月度归集汇总!$B$4:$B$135,$A29)</f>
        <v>0</v>
      </c>
      <c r="G29" s="27" t="n">
        <f aca="false">SUMIFS(月度归集汇总!$H$4:$H$135,月度归集汇总!$B$4:$B$135,$A29)</f>
        <v>0</v>
      </c>
      <c r="H29" s="27" t="n">
        <f aca="false">SUMIFS(月度归集汇总!$I$4:$I$135,月度归集汇总!$B$4:$B$135,$A29)</f>
        <v>0</v>
      </c>
      <c r="I29" s="27" t="n">
        <f aca="false">SUMIFS(月度归集汇总!$J$4:$J$135,月度归集汇总!$B$4:$B$135,$A29)</f>
        <v>0</v>
      </c>
      <c r="J29" s="27" t="n">
        <f aca="false">ROUND(SUM(C29:I29),2)</f>
        <v>0</v>
      </c>
      <c r="K29" s="28" t="n">
        <f aca="false">IFERROR($J29/$J$30,0)</f>
        <v>0</v>
      </c>
    </row>
    <row r="30" customFormat="false" ht="19.5" hidden="false" customHeight="true" outlineLevel="0" collapsed="false">
      <c r="A30" s="30"/>
      <c r="B30" s="30" t="s">
        <v>311</v>
      </c>
      <c r="C30" s="31" t="n">
        <f aca="false">ROUND(SUM(C20:C29),2)</f>
        <v>54051.82</v>
      </c>
      <c r="D30" s="31" t="n">
        <f aca="false">ROUND(SUM(D20:D29),2)</f>
        <v>16966.07</v>
      </c>
      <c r="E30" s="31" t="n">
        <f aca="false">ROUND(SUM(E20:E29),2)</f>
        <v>4000</v>
      </c>
      <c r="F30" s="31" t="n">
        <f aca="false">ROUND(SUM(F20:F29),2)</f>
        <v>21050</v>
      </c>
      <c r="G30" s="31" t="n">
        <f aca="false">ROUND(SUM(G20:G29),2)</f>
        <v>0</v>
      </c>
      <c r="H30" s="31" t="n">
        <f aca="false">ROUND(SUM(H20:H29),2)</f>
        <v>0</v>
      </c>
      <c r="I30" s="31" t="n">
        <f aca="false">ROUND(SUM(I20:I29),2)</f>
        <v>30000</v>
      </c>
      <c r="J30" s="31" t="n">
        <f aca="false">ROUND(SUM(J20:J29),2)</f>
        <v>126067.89</v>
      </c>
      <c r="K30" s="32" t="n">
        <f aca="false">IFERROR($J$30/$J$30,0)</f>
        <v>1</v>
      </c>
    </row>
    <row r="32" customFormat="false" ht="21.75" hidden="false" customHeight="true" outlineLevel="0" collapsed="false">
      <c r="A32" s="6" t="s">
        <v>314</v>
      </c>
      <c r="B32" s="6"/>
      <c r="C32" s="6"/>
      <c r="D32" s="6"/>
      <c r="E32" s="6"/>
      <c r="F32" s="6"/>
      <c r="G32" s="6"/>
      <c r="H32" s="6"/>
      <c r="I32" s="6"/>
      <c r="J32" s="6"/>
      <c r="K32" s="6"/>
      <c r="L32" s="6"/>
      <c r="M32" s="6"/>
      <c r="N32" s="6"/>
      <c r="O32" s="6"/>
    </row>
    <row r="33" customFormat="false" ht="33.75" hidden="false" customHeight="true" outlineLevel="0" collapsed="false">
      <c r="A33" s="18" t="s">
        <v>108</v>
      </c>
      <c r="B33" s="18" t="s">
        <v>109</v>
      </c>
      <c r="C33" s="18" t="s">
        <v>315</v>
      </c>
      <c r="D33" s="18" t="s">
        <v>316</v>
      </c>
      <c r="E33" s="18" t="s">
        <v>317</v>
      </c>
      <c r="F33" s="18" t="s">
        <v>318</v>
      </c>
      <c r="G33" s="18" t="s">
        <v>319</v>
      </c>
    </row>
    <row r="34" customFormat="false" ht="18" hidden="false" customHeight="true" outlineLevel="0" collapsed="false">
      <c r="A34" s="43" t="str">
        <f aca="false">项目清单!$B$4</f>
        <v>RD01</v>
      </c>
      <c r="B34" s="48" t="str">
        <f aca="false">IF($A34="","",IFERROR(VLOOKUP($A34,项目清单!$B$4:$C$13,2,0)&amp;"",""))</f>
        <v>高回弹低压缩永久变形3C用聚氨酯泡棉开发</v>
      </c>
      <c r="C34" s="45" t="n">
        <f aca="false">ROUND(SUM(研发人员工时分配表!$H$6:$H$245),2)</f>
        <v>100</v>
      </c>
      <c r="D34" s="45" t="n">
        <f aca="false">ROUND(SUM(仪器设备工时分配表!$H$6:$H$245),2)</f>
        <v>40</v>
      </c>
      <c r="E34" s="45" t="n">
        <f aca="false">ROUND(SUM(无形资产工时分配表!$H$6:$H$125),2)</f>
        <v>60</v>
      </c>
      <c r="F34" s="27" t="n">
        <f aca="false">J20</f>
        <v>15818.18</v>
      </c>
      <c r="G34" s="27" t="n">
        <f aca="false">IFERROR(ROUND($F34/$C34,2),0)</f>
        <v>158.18</v>
      </c>
    </row>
    <row r="35" customFormat="false" ht="18" hidden="false" customHeight="true" outlineLevel="0" collapsed="false">
      <c r="A35" s="43" t="str">
        <f aca="false">项目清单!$B$5</f>
        <v>RD02</v>
      </c>
      <c r="B35" s="48" t="str">
        <f aca="false">IF($A35="","",IFERROR(VLOOKUP($A35,项目清单!$B$4:$C$13,2,0)&amp;"",""))</f>
        <v>动力电池模组用高阻燃缓冲泡棉研发</v>
      </c>
      <c r="C35" s="45" t="n">
        <f aca="false">ROUND(SUM(研发人员工时分配表!$I$6:$I$245),2)</f>
        <v>110</v>
      </c>
      <c r="D35" s="45" t="n">
        <f aca="false">ROUND(SUM(仪器设备工时分配表!$I$6:$I$245),2)</f>
        <v>90</v>
      </c>
      <c r="E35" s="45" t="n">
        <f aca="false">ROUND(SUM(无形资产工时分配表!$I$6:$I$125),2)</f>
        <v>60</v>
      </c>
      <c r="F35" s="27" t="n">
        <f aca="false">J21</f>
        <v>48253.41</v>
      </c>
      <c r="G35" s="27" t="n">
        <f aca="false">IFERROR(ROUND($F35/$C35,2),0)</f>
        <v>438.67</v>
      </c>
    </row>
    <row r="36" customFormat="false" ht="18" hidden="false" customHeight="true" outlineLevel="0" collapsed="false">
      <c r="A36" s="43" t="str">
        <f aca="false">项目清单!$B$6</f>
        <v>RD03</v>
      </c>
      <c r="B36" s="48" t="str">
        <f aca="false">IF($A36="","",IFERROR(VLOOKUP($A36,项目清单!$B$4:$C$13,2,0)&amp;"",""))</f>
        <v>泡棉与PET基材无溶剂贴合工艺开发</v>
      </c>
      <c r="C36" s="45" t="n">
        <f aca="false">ROUND(SUM(研发人员工时分配表!$J$6:$J$245),2)</f>
        <v>36</v>
      </c>
      <c r="D36" s="45" t="n">
        <f aca="false">ROUND(SUM(仪器设备工时分配表!$J$6:$J$245),2)</f>
        <v>40</v>
      </c>
      <c r="E36" s="45" t="n">
        <f aca="false">ROUND(SUM(无形资产工时分配表!$J$6:$J$125),2)</f>
        <v>0</v>
      </c>
      <c r="F36" s="27" t="n">
        <f aca="false">J22</f>
        <v>33729.85</v>
      </c>
      <c r="G36" s="27" t="n">
        <f aca="false">IFERROR(ROUND($F36/$C36,2),0)</f>
        <v>936.94</v>
      </c>
    </row>
    <row r="37" customFormat="false" ht="18" hidden="false" customHeight="true" outlineLevel="0" collapsed="false">
      <c r="A37" s="43" t="str">
        <f aca="false">项目清单!$B$7</f>
        <v>RD04</v>
      </c>
      <c r="B37" s="48" t="str">
        <f aca="false">IF($A37="","",IFERROR(VLOOKUP($A37,项目清单!$B$4:$C$13,2,0)&amp;"",""))</f>
        <v>超薄泡棉高精度分切及毛边控制技术研究</v>
      </c>
      <c r="C37" s="45" t="n">
        <f aca="false">ROUND(SUM(研发人员工时分配表!$K$6:$K$245),2)</f>
        <v>0</v>
      </c>
      <c r="D37" s="45" t="n">
        <f aca="false">ROUND(SUM(仪器设备工时分配表!$K$6:$K$245),2)</f>
        <v>30</v>
      </c>
      <c r="E37" s="45" t="n">
        <f aca="false">ROUND(SUM(无形资产工时分配表!$K$6:$K$125),2)</f>
        <v>0</v>
      </c>
      <c r="F37" s="27" t="n">
        <f aca="false">J23</f>
        <v>9003.57</v>
      </c>
      <c r="G37" s="27" t="n">
        <f aca="false">IFERROR(ROUND($F37/$C37,2),0)</f>
        <v>0</v>
      </c>
    </row>
    <row r="38" customFormat="false" ht="18" hidden="false" customHeight="true" outlineLevel="0" collapsed="false">
      <c r="A38" s="43" t="str">
        <f aca="false">项目清单!$B$8</f>
        <v>RD05</v>
      </c>
      <c r="B38" s="48" t="str">
        <f aca="false">IF($A38="","",IFERROR(VLOOKUP($A38,项目清单!$B$4:$C$13,2,0)&amp;"",""))</f>
        <v>新能源汽车电池包用导热缓冲复合材料开发</v>
      </c>
      <c r="C38" s="45" t="n">
        <f aca="false">ROUND(SUM(研发人员工时分配表!$L$6:$L$245),2)</f>
        <v>50</v>
      </c>
      <c r="D38" s="45" t="n">
        <f aca="false">ROUND(SUM(仪器设备工时分配表!$L$6:$L$245),2)</f>
        <v>70</v>
      </c>
      <c r="E38" s="45" t="n">
        <f aca="false">ROUND(SUM(无形资产工时分配表!$L$6:$L$125),2)</f>
        <v>40</v>
      </c>
      <c r="F38" s="27" t="n">
        <f aca="false">J24</f>
        <v>19262.88</v>
      </c>
      <c r="G38" s="27" t="n">
        <f aca="false">IFERROR(ROUND($F38/$C38,2),0)</f>
        <v>385.26</v>
      </c>
    </row>
    <row r="39" customFormat="false" ht="18" hidden="false" customHeight="true" outlineLevel="0" collapsed="false">
      <c r="A39" s="43" t="str">
        <f aca="false">项目清单!$B$9</f>
        <v>RD06</v>
      </c>
      <c r="B39" s="48" t="str">
        <f aca="false">IF($A39="","",IFERROR(VLOOKUP($A39,项目清单!$B$4:$C$13,2,0)&amp;"",""))</f>
        <v>3C电子用超薄黑色遮光泡棉制备技术</v>
      </c>
      <c r="C39" s="45" t="n">
        <f aca="false">ROUND(SUM(研发人员工时分配表!$M$6:$M$245),2)</f>
        <v>0</v>
      </c>
      <c r="D39" s="45" t="n">
        <f aca="false">ROUND(SUM(仪器设备工时分配表!$M$6:$M$245),2)</f>
        <v>0</v>
      </c>
      <c r="E39" s="45" t="n">
        <f aca="false">ROUND(SUM(无形资产工时分配表!$M$6:$M$125),2)</f>
        <v>0</v>
      </c>
      <c r="F39" s="27" t="n">
        <f aca="false">J25</f>
        <v>0</v>
      </c>
      <c r="G39" s="27" t="n">
        <f aca="false">IFERROR(ROUND($F39/$C39,2),0)</f>
        <v>0</v>
      </c>
    </row>
    <row r="40" customFormat="false" ht="18" hidden="false" customHeight="true" outlineLevel="0" collapsed="false">
      <c r="A40" s="43" t="str">
        <f aca="false">项目清单!$B$10</f>
        <v>RD07</v>
      </c>
      <c r="B40" s="48" t="str">
        <f aca="false">IF($A40="","",IFERROR(VLOOKUP($A40,项目清单!$B$4:$C$13,2,0)&amp;"",""))</f>
        <v>环保型水性胶泡棉贴合技术开发</v>
      </c>
      <c r="C40" s="45" t="n">
        <f aca="false">ROUND(SUM(研发人员工时分配表!$N$6:$N$245),2)</f>
        <v>0</v>
      </c>
      <c r="D40" s="45" t="n">
        <f aca="false">ROUND(SUM(仪器设备工时分配表!$N$6:$N$245),2)</f>
        <v>0</v>
      </c>
      <c r="E40" s="45" t="n">
        <f aca="false">ROUND(SUM(无形资产工时分配表!$N$6:$N$125),2)</f>
        <v>0</v>
      </c>
      <c r="F40" s="27" t="n">
        <f aca="false">J26</f>
        <v>0</v>
      </c>
      <c r="G40" s="27" t="n">
        <f aca="false">IFERROR(ROUND($F40/$C40,2),0)</f>
        <v>0</v>
      </c>
    </row>
    <row r="41" customFormat="false" ht="18" hidden="false" customHeight="true" outlineLevel="0" collapsed="false">
      <c r="A41" s="43" t="str">
        <f aca="false">项目清单!$B$11</f>
        <v>RD08</v>
      </c>
      <c r="B41" s="48" t="str">
        <f aca="false">IF($A41="","",IFERROR(VLOOKUP($A41,项目清单!$B$4:$C$13,2,0)&amp;"",""))</f>
        <v>泡棉模切自动化在线检测技术研究</v>
      </c>
      <c r="C41" s="45" t="n">
        <f aca="false">ROUND(SUM(研发人员工时分配表!$O$6:$O$245),2)</f>
        <v>0</v>
      </c>
      <c r="D41" s="45" t="n">
        <f aca="false">ROUND(SUM(仪器设备工时分配表!$O$6:$O$245),2)</f>
        <v>0</v>
      </c>
      <c r="E41" s="45" t="n">
        <f aca="false">ROUND(SUM(无形资产工时分配表!$O$6:$O$125),2)</f>
        <v>0</v>
      </c>
      <c r="F41" s="27" t="n">
        <f aca="false">J27</f>
        <v>0</v>
      </c>
      <c r="G41" s="27" t="n">
        <f aca="false">IFERROR(ROUND($F41/$C41,2),0)</f>
        <v>0</v>
      </c>
    </row>
    <row r="42" customFormat="false" ht="18" hidden="false" customHeight="true" outlineLevel="0" collapsed="false">
      <c r="A42" s="43" t="str">
        <f aca="false">项目清单!$B$12</f>
        <v>RD09</v>
      </c>
      <c r="B42" s="48" t="str">
        <f aca="false">IF($A42="","",IFERROR(VLOOKUP($A42,项目清单!$B$4:$C$13,2,0)&amp;"",""))</f>
        <v/>
      </c>
      <c r="C42" s="45" t="n">
        <f aca="false">ROUND(SUM(研发人员工时分配表!$P$6:$P$245),2)</f>
        <v>0</v>
      </c>
      <c r="D42" s="45" t="n">
        <f aca="false">ROUND(SUM(仪器设备工时分配表!$P$6:$P$245),2)</f>
        <v>0</v>
      </c>
      <c r="E42" s="45" t="n">
        <f aca="false">ROUND(SUM(无形资产工时分配表!$P$6:$P$125),2)</f>
        <v>0</v>
      </c>
      <c r="F42" s="27" t="n">
        <f aca="false">J28</f>
        <v>0</v>
      </c>
      <c r="G42" s="27" t="n">
        <f aca="false">IFERROR(ROUND($F42/$C42,2),0)</f>
        <v>0</v>
      </c>
    </row>
    <row r="43" customFormat="false" ht="18" hidden="false" customHeight="true" outlineLevel="0" collapsed="false">
      <c r="A43" s="43" t="str">
        <f aca="false">项目清单!$B$13</f>
        <v>RD10</v>
      </c>
      <c r="B43" s="48" t="str">
        <f aca="false">IF($A43="","",IFERROR(VLOOKUP($A43,项目清单!$B$4:$C$13,2,0)&amp;"",""))</f>
        <v/>
      </c>
      <c r="C43" s="45" t="n">
        <f aca="false">ROUND(SUM(研发人员工时分配表!$Q$6:$Q$245),2)</f>
        <v>0</v>
      </c>
      <c r="D43" s="45" t="n">
        <f aca="false">ROUND(SUM(仪器设备工时分配表!$Q$6:$Q$245),2)</f>
        <v>0</v>
      </c>
      <c r="E43" s="45" t="n">
        <f aca="false">ROUND(SUM(无形资产工时分配表!$Q$6:$Q$125),2)</f>
        <v>0</v>
      </c>
      <c r="F43" s="27" t="n">
        <f aca="false">J29</f>
        <v>0</v>
      </c>
      <c r="G43" s="27" t="n">
        <f aca="false">IFERROR(ROUND($F43/$C43,2),0)</f>
        <v>0</v>
      </c>
    </row>
    <row r="44" customFormat="false" ht="19.5" hidden="false" customHeight="true" outlineLevel="0" collapsed="false">
      <c r="A44" s="30"/>
      <c r="B44" s="30" t="s">
        <v>311</v>
      </c>
      <c r="C44" s="51" t="n">
        <f aca="false">ROUND(SUM(C34:C43),2)</f>
        <v>296</v>
      </c>
      <c r="D44" s="51" t="n">
        <f aca="false">ROUND(SUM(D34:D43),2)</f>
        <v>270</v>
      </c>
      <c r="E44" s="51" t="n">
        <f aca="false">ROUND(SUM(E34:E43),2)</f>
        <v>160</v>
      </c>
      <c r="F44" s="31" t="n">
        <f aca="false">ROUND(SUM(F34:F43),2)</f>
        <v>126067.89</v>
      </c>
      <c r="G44" s="31" t="n">
        <f aca="false">IFERROR(ROUND($F44/$C44,2),0)</f>
        <v>425.91</v>
      </c>
    </row>
    <row r="46" customFormat="false" ht="21.75" hidden="false" customHeight="true" outlineLevel="0" collapsed="false">
      <c r="A46" s="6" t="s">
        <v>320</v>
      </c>
      <c r="B46" s="6"/>
      <c r="C46" s="6"/>
      <c r="D46" s="6"/>
      <c r="E46" s="6"/>
      <c r="F46" s="6"/>
      <c r="G46" s="6"/>
      <c r="H46" s="6"/>
      <c r="I46" s="6"/>
      <c r="J46" s="6"/>
      <c r="K46" s="6"/>
      <c r="L46" s="6"/>
      <c r="M46" s="6"/>
      <c r="N46" s="6"/>
      <c r="O46" s="6"/>
    </row>
    <row r="47" customFormat="false" ht="25.5" hidden="false" customHeight="true" outlineLevel="0" collapsed="false">
      <c r="A47" s="18" t="s">
        <v>321</v>
      </c>
      <c r="B47" s="18" t="s">
        <v>322</v>
      </c>
      <c r="C47" s="18" t="s">
        <v>323</v>
      </c>
      <c r="D47" s="18" t="s">
        <v>324</v>
      </c>
      <c r="E47" s="18" t="s">
        <v>325</v>
      </c>
    </row>
    <row r="48" customFormat="false" ht="19.5" hidden="false" customHeight="true" outlineLevel="0" collapsed="false">
      <c r="A48" s="24" t="s">
        <v>287</v>
      </c>
      <c r="B48" s="19" t="s">
        <v>326</v>
      </c>
      <c r="C48" s="27" t="n">
        <f aca="false">ROUND(SUM(研发人员工时费用分配表!$X$6:$X$245),2)</f>
        <v>54051.82</v>
      </c>
      <c r="D48" s="27" t="n">
        <f aca="false">C30</f>
        <v>54051.82</v>
      </c>
      <c r="E48" s="27" t="n">
        <f aca="false">ROUND($C48-$D48,2)</f>
        <v>0</v>
      </c>
    </row>
    <row r="49" customFormat="false" ht="19.5" hidden="false" customHeight="true" outlineLevel="0" collapsed="false">
      <c r="A49" s="24" t="s">
        <v>327</v>
      </c>
      <c r="B49" s="19" t="s">
        <v>328</v>
      </c>
      <c r="C49" s="27" t="n">
        <f aca="false">ROUND(SUM(仪器设备工时费用分配表!$T$6:$T$245),2)</f>
        <v>16966.07</v>
      </c>
      <c r="D49" s="27" t="n">
        <f aca="false">D30</f>
        <v>16966.07</v>
      </c>
      <c r="E49" s="27" t="n">
        <f aca="false">ROUND($C49-$D49,2)</f>
        <v>0</v>
      </c>
    </row>
    <row r="50" customFormat="false" ht="19.5" hidden="false" customHeight="true" outlineLevel="0" collapsed="false">
      <c r="A50" s="24" t="s">
        <v>289</v>
      </c>
      <c r="B50" s="19" t="s">
        <v>329</v>
      </c>
      <c r="C50" s="27" t="n">
        <f aca="false">ROUND(SUM(无形资产费用分配表!$T$6:$T$125),2)</f>
        <v>4000</v>
      </c>
      <c r="D50" s="27" t="n">
        <f aca="false">E30</f>
        <v>4000</v>
      </c>
      <c r="E50" s="27" t="n">
        <f aca="false">ROUND($C50-$D50,2)</f>
        <v>0</v>
      </c>
    </row>
    <row r="51" customFormat="false" ht="19.5" hidden="false" customHeight="true" outlineLevel="0" collapsed="false">
      <c r="A51" s="24" t="s">
        <v>330</v>
      </c>
      <c r="B51" s="19" t="s">
        <v>331</v>
      </c>
      <c r="C51" s="27" t="n">
        <f aca="false">ROUND(SUM(其他研发费用!$F$4:$F$153),2)</f>
        <v>51050</v>
      </c>
      <c r="D51" s="27" t="n">
        <f aca="false">ROUND(F30+G30+H30+I30,2)</f>
        <v>51050</v>
      </c>
      <c r="E51" s="27" t="n">
        <f aca="false">ROUND($C51-$D51,2)</f>
        <v>0</v>
      </c>
    </row>
    <row r="52" customFormat="false" ht="19.5" hidden="false" customHeight="true" outlineLevel="0" collapsed="false">
      <c r="A52" s="24" t="s">
        <v>332</v>
      </c>
      <c r="B52" s="19" t="s">
        <v>333</v>
      </c>
      <c r="C52" s="27" t="n">
        <f aca="false">月度归集汇总!$K$136</f>
        <v>126067.89</v>
      </c>
      <c r="D52" s="27" t="n">
        <f aca="false">O16</f>
        <v>126067.89</v>
      </c>
      <c r="E52" s="27" t="n">
        <f aca="false">ROUND($C52-$D52,2)</f>
        <v>0</v>
      </c>
    </row>
  </sheetData>
  <mergeCells count="7">
    <mergeCell ref="A1:B1"/>
    <mergeCell ref="C1:O1"/>
    <mergeCell ref="A2:O2"/>
    <mergeCell ref="A4:O4"/>
    <mergeCell ref="A18:O18"/>
    <mergeCell ref="A32:O32"/>
    <mergeCell ref="A46:O46"/>
  </mergeCells>
  <conditionalFormatting sqref="E48:E52">
    <cfRule type="expression" priority="2" aboveAverage="0" equalAverage="0" bottom="0" percent="0" rank="0" text="" dxfId="0">
      <formula>$E48&lt;&gt;0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J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8" min="3" style="0" width="16"/>
    <col collapsed="false" customWidth="true" hidden="false" outlineLevel="0" max="9" min="9" style="0" width="10"/>
  </cols>
  <sheetData>
    <row r="1" customFormat="false" ht="45.75" hidden="false" customHeight="true" outlineLevel="0" collapsed="false">
      <c r="A1" s="1" t="s">
        <v>0</v>
      </c>
      <c r="B1" s="1"/>
      <c r="C1" s="1"/>
      <c r="D1" s="56" t="str">
        <f aca="false">IF(使用说明!$B$2="","",使用说明!$B$2&amp;"    ")&amp;"研发人员及仪器设备、无形资产费用分配说明"</f>
        <v>研发人员及仪器设备、无形资产费用分配说明</v>
      </c>
      <c r="E1" s="56"/>
      <c r="F1" s="56"/>
      <c r="G1" s="56"/>
      <c r="H1" s="56"/>
      <c r="I1" s="56"/>
    </row>
    <row r="2" customFormat="false" ht="19.5" hidden="false" customHeight="true" outlineLevel="0" collapsed="false">
      <c r="A2" s="57" t="s">
        <v>334</v>
      </c>
      <c r="B2" s="57"/>
      <c r="C2" s="57"/>
      <c r="D2" s="57"/>
      <c r="E2" s="57"/>
      <c r="F2" s="57"/>
      <c r="G2" s="57"/>
      <c r="H2" s="57"/>
      <c r="I2" s="57"/>
    </row>
    <row r="4" customFormat="false" ht="25.5" hidden="false" customHeight="true" outlineLevel="0" collapsed="false">
      <c r="A4" s="58" t="s">
        <v>335</v>
      </c>
      <c r="B4" s="58"/>
      <c r="C4" s="58"/>
      <c r="D4" s="58"/>
      <c r="E4" s="58"/>
      <c r="F4" s="58"/>
      <c r="G4" s="58"/>
      <c r="H4" s="58"/>
      <c r="I4" s="58"/>
    </row>
    <row r="5" customFormat="false" ht="45.75" hidden="false" customHeight="true" outlineLevel="0" collapsed="false">
      <c r="B5" s="59" t="s">
        <v>336</v>
      </c>
      <c r="C5" s="59"/>
      <c r="D5" s="59"/>
      <c r="E5" s="59"/>
      <c r="F5" s="59"/>
      <c r="G5" s="59"/>
      <c r="H5" s="59"/>
      <c r="I5" s="59"/>
    </row>
    <row r="6" customFormat="false" ht="45.75" hidden="false" customHeight="true" outlineLevel="0" collapsed="false">
      <c r="B6" s="59" t="s">
        <v>337</v>
      </c>
      <c r="C6" s="59"/>
      <c r="D6" s="59"/>
      <c r="E6" s="59"/>
      <c r="F6" s="59"/>
      <c r="G6" s="59"/>
      <c r="H6" s="59"/>
      <c r="I6" s="59"/>
    </row>
    <row r="7" customFormat="false" ht="25.5" hidden="false" customHeight="true" outlineLevel="0" collapsed="false">
      <c r="A7" s="58" t="s">
        <v>338</v>
      </c>
      <c r="B7" s="58"/>
      <c r="C7" s="58"/>
      <c r="D7" s="58"/>
      <c r="E7" s="58"/>
      <c r="F7" s="58"/>
      <c r="G7" s="58"/>
      <c r="H7" s="58"/>
      <c r="I7" s="58"/>
    </row>
    <row r="8" customFormat="false" ht="60.75" hidden="false" customHeight="true" outlineLevel="0" collapsed="false">
      <c r="B8" s="60" t="s">
        <v>339</v>
      </c>
      <c r="C8" s="60"/>
      <c r="D8" s="60"/>
      <c r="E8" s="60"/>
      <c r="F8" s="60"/>
      <c r="G8" s="60"/>
      <c r="H8" s="60"/>
      <c r="I8" s="60"/>
    </row>
    <row r="9" customFormat="false" ht="45.75" hidden="false" customHeight="true" outlineLevel="0" collapsed="false">
      <c r="B9" s="60" t="s">
        <v>340</v>
      </c>
      <c r="C9" s="60"/>
      <c r="D9" s="60"/>
      <c r="E9" s="60"/>
      <c r="F9" s="60"/>
      <c r="G9" s="60"/>
      <c r="H9" s="60"/>
      <c r="I9" s="60"/>
    </row>
    <row r="10" customFormat="false" ht="45.75" hidden="false" customHeight="true" outlineLevel="0" collapsed="false">
      <c r="B10" s="60" t="s">
        <v>341</v>
      </c>
      <c r="C10" s="60"/>
      <c r="D10" s="60"/>
      <c r="E10" s="60"/>
      <c r="F10" s="60"/>
      <c r="G10" s="60"/>
      <c r="H10" s="60"/>
      <c r="I10" s="60"/>
    </row>
    <row r="11" customFormat="false" ht="45.75" hidden="false" customHeight="true" outlineLevel="0" collapsed="false">
      <c r="B11" s="60" t="s">
        <v>342</v>
      </c>
      <c r="C11" s="60"/>
      <c r="D11" s="60"/>
      <c r="E11" s="60"/>
      <c r="F11" s="60"/>
      <c r="G11" s="60"/>
      <c r="H11" s="60"/>
      <c r="I11" s="60"/>
    </row>
    <row r="12" customFormat="false" ht="25.5" hidden="false" customHeight="true" outlineLevel="0" collapsed="false">
      <c r="A12" s="58" t="s">
        <v>343</v>
      </c>
      <c r="B12" s="58"/>
      <c r="C12" s="58"/>
      <c r="D12" s="58"/>
      <c r="E12" s="58"/>
      <c r="F12" s="58"/>
      <c r="G12" s="58"/>
      <c r="H12" s="58"/>
      <c r="I12" s="58"/>
    </row>
    <row r="13" customFormat="false" ht="45.75" hidden="false" customHeight="true" outlineLevel="0" collapsed="false">
      <c r="B13" s="60" t="s">
        <v>344</v>
      </c>
      <c r="C13" s="60"/>
      <c r="D13" s="60"/>
      <c r="E13" s="60"/>
      <c r="F13" s="60"/>
      <c r="G13" s="60"/>
      <c r="H13" s="60"/>
      <c r="I13" s="60"/>
    </row>
    <row r="14" customFormat="false" ht="30.75" hidden="false" customHeight="true" outlineLevel="0" collapsed="false">
      <c r="B14" s="60" t="s">
        <v>345</v>
      </c>
      <c r="C14" s="60"/>
      <c r="D14" s="60"/>
      <c r="E14" s="60"/>
      <c r="F14" s="60"/>
      <c r="G14" s="60"/>
      <c r="H14" s="60"/>
      <c r="I14" s="60"/>
    </row>
    <row r="15" customFormat="false" ht="30.75" hidden="false" customHeight="true" outlineLevel="0" collapsed="false">
      <c r="B15" s="60" t="s">
        <v>346</v>
      </c>
      <c r="C15" s="60"/>
      <c r="D15" s="60"/>
      <c r="E15" s="60"/>
      <c r="F15" s="60"/>
      <c r="G15" s="60"/>
      <c r="H15" s="60"/>
      <c r="I15" s="60"/>
    </row>
    <row r="16" customFormat="false" ht="30.75" hidden="false" customHeight="true" outlineLevel="0" collapsed="false">
      <c r="B16" s="60" t="s">
        <v>347</v>
      </c>
      <c r="C16" s="60"/>
      <c r="D16" s="60"/>
      <c r="E16" s="60"/>
      <c r="F16" s="60"/>
      <c r="G16" s="60"/>
      <c r="H16" s="60"/>
      <c r="I16" s="60"/>
    </row>
    <row r="17" customFormat="false" ht="45.75" hidden="false" customHeight="true" outlineLevel="0" collapsed="false">
      <c r="B17" s="60" t="s">
        <v>348</v>
      </c>
      <c r="C17" s="60"/>
      <c r="D17" s="60"/>
      <c r="E17" s="60"/>
      <c r="F17" s="60"/>
      <c r="G17" s="60"/>
      <c r="H17" s="60"/>
      <c r="I17" s="60"/>
    </row>
    <row r="18" customFormat="false" ht="25.5" hidden="false" customHeight="true" outlineLevel="0" collapsed="false">
      <c r="A18" s="58" t="s">
        <v>349</v>
      </c>
      <c r="B18" s="58"/>
      <c r="C18" s="58"/>
      <c r="D18" s="58"/>
      <c r="E18" s="58"/>
      <c r="F18" s="58"/>
      <c r="G18" s="58"/>
      <c r="H18" s="58"/>
      <c r="I18" s="58"/>
    </row>
    <row r="19" customFormat="false" ht="19.5" hidden="false" customHeight="true" outlineLevel="0" collapsed="false">
      <c r="B19" s="61" t="s">
        <v>350</v>
      </c>
      <c r="C19" s="61"/>
      <c r="D19" s="61"/>
      <c r="E19" s="61"/>
      <c r="F19" s="61"/>
      <c r="G19" s="61"/>
      <c r="H19" s="61"/>
      <c r="I19" s="61"/>
    </row>
    <row r="20" customFormat="false" ht="31.5" hidden="false" customHeight="true" outlineLevel="0" collapsed="false">
      <c r="B20" s="62" t="s">
        <v>351</v>
      </c>
      <c r="C20" s="62"/>
      <c r="D20" s="62"/>
      <c r="E20" s="62"/>
      <c r="F20" s="62"/>
      <c r="G20" s="62"/>
      <c r="H20" s="62"/>
      <c r="I20" s="62"/>
    </row>
    <row r="21" customFormat="false" ht="19.5" hidden="false" customHeight="true" outlineLevel="0" collapsed="false">
      <c r="B21" s="61" t="s">
        <v>352</v>
      </c>
      <c r="C21" s="61"/>
      <c r="D21" s="61"/>
      <c r="E21" s="61"/>
      <c r="F21" s="61"/>
      <c r="G21" s="61"/>
      <c r="H21" s="61"/>
      <c r="I21" s="61"/>
    </row>
    <row r="22" customFormat="false" ht="31.5" hidden="false" customHeight="true" outlineLevel="0" collapsed="false">
      <c r="B22" s="62" t="s">
        <v>353</v>
      </c>
      <c r="C22" s="62"/>
      <c r="D22" s="62"/>
      <c r="E22" s="62"/>
      <c r="F22" s="62"/>
      <c r="G22" s="62"/>
      <c r="H22" s="62"/>
      <c r="I22" s="62"/>
    </row>
    <row r="23" customFormat="false" ht="19.5" hidden="false" customHeight="true" outlineLevel="0" collapsed="false">
      <c r="B23" s="61" t="s">
        <v>354</v>
      </c>
      <c r="C23" s="61"/>
      <c r="D23" s="61"/>
      <c r="E23" s="61"/>
      <c r="F23" s="61"/>
      <c r="G23" s="61"/>
      <c r="H23" s="61"/>
      <c r="I23" s="61"/>
    </row>
    <row r="24" customFormat="false" ht="31.5" hidden="false" customHeight="true" outlineLevel="0" collapsed="false">
      <c r="B24" s="62" t="s">
        <v>355</v>
      </c>
      <c r="C24" s="62"/>
      <c r="D24" s="62"/>
      <c r="E24" s="62"/>
      <c r="F24" s="62"/>
      <c r="G24" s="62"/>
      <c r="H24" s="62"/>
      <c r="I24" s="62"/>
    </row>
    <row r="25" customFormat="false" ht="45.75" hidden="false" customHeight="true" outlineLevel="0" collapsed="false">
      <c r="B25" s="59" t="s">
        <v>356</v>
      </c>
      <c r="C25" s="59"/>
      <c r="D25" s="59"/>
      <c r="E25" s="59"/>
      <c r="F25" s="59"/>
      <c r="G25" s="59"/>
      <c r="H25" s="59"/>
      <c r="I25" s="59"/>
    </row>
    <row r="26" customFormat="false" ht="30.75" hidden="false" customHeight="true" outlineLevel="0" collapsed="false">
      <c r="B26" s="59" t="s">
        <v>357</v>
      </c>
      <c r="C26" s="59"/>
      <c r="D26" s="59"/>
      <c r="E26" s="59"/>
      <c r="F26" s="59"/>
      <c r="G26" s="59"/>
      <c r="H26" s="59"/>
      <c r="I26" s="59"/>
    </row>
    <row r="27" customFormat="false" ht="30.75" hidden="false" customHeight="true" outlineLevel="0" collapsed="false">
      <c r="B27" s="59" t="s">
        <v>358</v>
      </c>
      <c r="C27" s="59"/>
      <c r="D27" s="59"/>
      <c r="E27" s="59"/>
      <c r="F27" s="59"/>
      <c r="G27" s="59"/>
      <c r="H27" s="59"/>
      <c r="I27" s="59"/>
    </row>
    <row r="28" customFormat="false" ht="25.5" hidden="false" customHeight="true" outlineLevel="0" collapsed="false">
      <c r="A28" s="58" t="s">
        <v>359</v>
      </c>
      <c r="B28" s="58"/>
      <c r="C28" s="58"/>
      <c r="D28" s="58"/>
      <c r="E28" s="58"/>
      <c r="F28" s="58"/>
      <c r="G28" s="58"/>
      <c r="H28" s="58"/>
      <c r="I28" s="58"/>
    </row>
    <row r="29" customFormat="false" ht="45.75" hidden="false" customHeight="true" outlineLevel="0" collapsed="false">
      <c r="B29" s="60" t="s">
        <v>360</v>
      </c>
      <c r="C29" s="60"/>
      <c r="D29" s="60"/>
      <c r="E29" s="60"/>
      <c r="F29" s="60"/>
      <c r="G29" s="60"/>
      <c r="H29" s="60"/>
      <c r="I29" s="60"/>
    </row>
    <row r="30" customFormat="false" ht="46.5" hidden="false" customHeight="true" outlineLevel="0" collapsed="false">
      <c r="B30" s="63" t="s">
        <v>361</v>
      </c>
      <c r="C30" s="63"/>
      <c r="D30" s="63"/>
      <c r="E30" s="63"/>
      <c r="F30" s="63"/>
      <c r="G30" s="63"/>
      <c r="H30" s="63"/>
      <c r="I30" s="63"/>
    </row>
    <row r="31" customFormat="false" ht="30.75" hidden="false" customHeight="true" outlineLevel="0" collapsed="false">
      <c r="B31" s="60" t="s">
        <v>362</v>
      </c>
      <c r="C31" s="60"/>
      <c r="D31" s="60"/>
      <c r="E31" s="60"/>
      <c r="F31" s="60"/>
      <c r="G31" s="60"/>
      <c r="H31" s="60"/>
      <c r="I31" s="60"/>
    </row>
    <row r="32" customFormat="false" ht="46.5" hidden="false" customHeight="true" outlineLevel="0" collapsed="false">
      <c r="B32" s="63" t="s">
        <v>363</v>
      </c>
      <c r="C32" s="63"/>
      <c r="D32" s="63"/>
      <c r="E32" s="63"/>
      <c r="F32" s="63"/>
      <c r="G32" s="63"/>
      <c r="H32" s="63"/>
      <c r="I32" s="63"/>
    </row>
    <row r="33" customFormat="false" ht="25.5" hidden="false" customHeight="true" outlineLevel="0" collapsed="false">
      <c r="A33" s="58" t="s">
        <v>364</v>
      </c>
      <c r="B33" s="58"/>
      <c r="C33" s="58"/>
      <c r="D33" s="58"/>
      <c r="E33" s="58"/>
      <c r="F33" s="58"/>
      <c r="G33" s="58"/>
      <c r="H33" s="58"/>
      <c r="I33" s="58"/>
    </row>
    <row r="34" customFormat="false" ht="75.75" hidden="false" customHeight="true" outlineLevel="0" collapsed="false">
      <c r="B34" s="59" t="s">
        <v>365</v>
      </c>
      <c r="C34" s="59"/>
      <c r="D34" s="59"/>
      <c r="E34" s="59"/>
      <c r="F34" s="59"/>
      <c r="G34" s="59"/>
      <c r="H34" s="59"/>
      <c r="I34" s="59"/>
    </row>
    <row r="35" customFormat="false" ht="25.5" hidden="false" customHeight="true" outlineLevel="0" collapsed="false">
      <c r="A35" s="58" t="s">
        <v>366</v>
      </c>
      <c r="B35" s="58"/>
      <c r="C35" s="58"/>
      <c r="D35" s="58"/>
      <c r="E35" s="58"/>
      <c r="F35" s="58"/>
      <c r="G35" s="58"/>
      <c r="H35" s="58"/>
      <c r="I35" s="58"/>
    </row>
    <row r="36" customFormat="false" ht="45.75" hidden="false" customHeight="true" outlineLevel="0" collapsed="false">
      <c r="B36" s="59" t="s">
        <v>367</v>
      </c>
      <c r="C36" s="59"/>
      <c r="D36" s="59"/>
      <c r="E36" s="59"/>
      <c r="F36" s="59"/>
      <c r="G36" s="59"/>
      <c r="H36" s="59"/>
      <c r="I36" s="59"/>
    </row>
    <row r="39" customFormat="false" ht="33.75" hidden="false" customHeight="true" outlineLevel="0" collapsed="false">
      <c r="B39" s="64" t="s">
        <v>368</v>
      </c>
      <c r="C39" s="64"/>
      <c r="D39" s="64"/>
      <c r="E39" s="64" t="s">
        <v>369</v>
      </c>
      <c r="F39" s="64"/>
      <c r="G39" s="64"/>
      <c r="H39" s="64" t="s">
        <v>370</v>
      </c>
      <c r="I39" s="64"/>
      <c r="J39" s="64"/>
    </row>
    <row r="40" customFormat="false" ht="33.75" hidden="false" customHeight="true" outlineLevel="0" collapsed="false">
      <c r="B40" s="64" t="s">
        <v>371</v>
      </c>
      <c r="C40" s="64"/>
      <c r="D40" s="64"/>
      <c r="E40" s="64" t="s">
        <v>372</v>
      </c>
      <c r="F40" s="64"/>
      <c r="G40" s="64"/>
      <c r="H40" s="64" t="s">
        <v>373</v>
      </c>
      <c r="I40" s="64"/>
      <c r="J40" s="64"/>
    </row>
    <row r="42" customFormat="false" ht="49.5" hidden="false" customHeight="true" outlineLevel="0" collapsed="false">
      <c r="F42" s="57" t="s">
        <v>374</v>
      </c>
      <c r="G42" s="57"/>
      <c r="H42" s="57"/>
      <c r="I42" s="57"/>
    </row>
  </sheetData>
  <mergeCells count="43">
    <mergeCell ref="A1:C1"/>
    <mergeCell ref="D1:I1"/>
    <mergeCell ref="A2:I2"/>
    <mergeCell ref="A4:I4"/>
    <mergeCell ref="B5:I5"/>
    <mergeCell ref="B6:I6"/>
    <mergeCell ref="A7:I7"/>
    <mergeCell ref="B8:I8"/>
    <mergeCell ref="B9:I9"/>
    <mergeCell ref="B10:I10"/>
    <mergeCell ref="B11:I11"/>
    <mergeCell ref="A12:I12"/>
    <mergeCell ref="B13:I13"/>
    <mergeCell ref="B14:I14"/>
    <mergeCell ref="B15:I15"/>
    <mergeCell ref="B16:I16"/>
    <mergeCell ref="B17:I17"/>
    <mergeCell ref="A18:I18"/>
    <mergeCell ref="B19:I19"/>
    <mergeCell ref="B20:I20"/>
    <mergeCell ref="B21:I21"/>
    <mergeCell ref="B22:I22"/>
    <mergeCell ref="B23:I23"/>
    <mergeCell ref="B24:I24"/>
    <mergeCell ref="B25:I25"/>
    <mergeCell ref="B26:I26"/>
    <mergeCell ref="B27:I27"/>
    <mergeCell ref="A28:I28"/>
    <mergeCell ref="B29:I29"/>
    <mergeCell ref="B30:I30"/>
    <mergeCell ref="B31:I31"/>
    <mergeCell ref="B32:I32"/>
    <mergeCell ref="A33:I33"/>
    <mergeCell ref="B34:I34"/>
    <mergeCell ref="A35:I35"/>
    <mergeCell ref="B36:I36"/>
    <mergeCell ref="B39:D39"/>
    <mergeCell ref="E39:G39"/>
    <mergeCell ref="H39:J39"/>
    <mergeCell ref="B40:D40"/>
    <mergeCell ref="E40:G40"/>
    <mergeCell ref="H40:J40"/>
    <mergeCell ref="F42:I42"/>
  </mergeCells>
  <printOptions headings="false" gridLines="false" gridLinesSet="true" horizontalCentered="true" verticalCentered="false"/>
  <pageMargins left="0.5" right="0.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S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15" min="6" style="0" width="9"/>
    <col collapsed="false" customWidth="true" hidden="false" outlineLevel="0" max="16" min="16" style="0" width="11"/>
    <col collapsed="false" customWidth="true" hidden="false" outlineLevel="0" max="17" min="17" style="0" width="13"/>
    <col collapsed="false" customWidth="true" hidden="false" outlineLevel="0" max="18" min="18" style="0" width="34"/>
    <col collapsed="false" customWidth="true" hidden="false" outlineLevel="0" max="19" min="19" style="0" width="12"/>
  </cols>
  <sheetData>
    <row r="1" customFormat="false" ht="45.75" hidden="false" customHeight="true" outlineLevel="0" collapsed="false">
      <c r="A1" s="1" t="s">
        <v>0</v>
      </c>
      <c r="B1" s="1"/>
      <c r="C1" s="1"/>
      <c r="D1" s="65" t="str">
        <f aca="false">IF(使用说明!$B$2="","",使用说明!$B$2&amp;"    ")&amp;"《研发人员工时分配表》（月度填报签批用）"</f>
        <v>《研发人员工时分配表》（月度填报签批用）</v>
      </c>
      <c r="E1" s="65"/>
      <c r="F1" s="65"/>
      <c r="G1" s="65"/>
      <c r="H1" s="65"/>
      <c r="I1" s="65"/>
      <c r="J1" s="65"/>
      <c r="K1" s="65"/>
      <c r="L1" s="65"/>
      <c r="M1" s="65"/>
      <c r="N1" s="65"/>
      <c r="O1" s="65"/>
      <c r="P1" s="65"/>
      <c r="Q1" s="65"/>
      <c r="R1" s="65"/>
      <c r="S1" s="65"/>
    </row>
    <row r="2" customFormat="false" ht="24" hidden="false" customHeight="true" outlineLevel="0" collapsed="false">
      <c r="A2" s="64" t="s">
        <v>375</v>
      </c>
      <c r="B2" s="64"/>
      <c r="C2" s="64"/>
      <c r="D2" s="64"/>
      <c r="E2" s="64"/>
      <c r="F2" s="64"/>
      <c r="G2" s="64"/>
      <c r="H2" s="64"/>
      <c r="I2" s="64"/>
      <c r="P2" s="66" t="s">
        <v>376</v>
      </c>
      <c r="Q2" s="66"/>
      <c r="R2" s="66"/>
      <c r="S2" s="66"/>
    </row>
    <row r="3" customFormat="false" ht="25.5" hidden="false" customHeight="true" outlineLevel="0" collapsed="false">
      <c r="A3" s="67" t="s">
        <v>107</v>
      </c>
      <c r="B3" s="67" t="s">
        <v>152</v>
      </c>
      <c r="C3" s="67" t="s">
        <v>151</v>
      </c>
      <c r="D3" s="67" t="s">
        <v>225</v>
      </c>
      <c r="E3" s="67" t="s">
        <v>377</v>
      </c>
      <c r="F3" s="67" t="s">
        <v>227</v>
      </c>
      <c r="G3" s="67"/>
      <c r="H3" s="67"/>
      <c r="I3" s="67"/>
      <c r="J3" s="67"/>
      <c r="K3" s="67"/>
      <c r="L3" s="67"/>
      <c r="M3" s="67"/>
      <c r="N3" s="67"/>
      <c r="O3" s="67"/>
      <c r="P3" s="67" t="s">
        <v>228</v>
      </c>
      <c r="Q3" s="67" t="s">
        <v>378</v>
      </c>
      <c r="R3" s="67" t="s">
        <v>231</v>
      </c>
      <c r="S3" s="67" t="s">
        <v>379</v>
      </c>
    </row>
    <row r="4" customFormat="false" ht="18" hidden="false" customHeight="true" outlineLevel="0" collapsed="false">
      <c r="A4" s="67"/>
      <c r="B4" s="67"/>
      <c r="C4" s="67"/>
      <c r="D4" s="67"/>
      <c r="E4" s="67"/>
      <c r="F4" s="40" t="str">
        <f aca="false">项目清单!$B$4</f>
        <v>RD01</v>
      </c>
      <c r="G4" s="40" t="str">
        <f aca="false">项目清单!$B$5</f>
        <v>RD02</v>
      </c>
      <c r="H4" s="40" t="str">
        <f aca="false">项目清单!$B$6</f>
        <v>RD03</v>
      </c>
      <c r="I4" s="40" t="str">
        <f aca="false">项目清单!$B$7</f>
        <v>RD04</v>
      </c>
      <c r="J4" s="40" t="str">
        <f aca="false">项目清单!$B$8</f>
        <v>RD05</v>
      </c>
      <c r="K4" s="40" t="str">
        <f aca="false">项目清单!$B$9</f>
        <v>RD06</v>
      </c>
      <c r="L4" s="40" t="str">
        <f aca="false">项目清单!$B$10</f>
        <v>RD07</v>
      </c>
      <c r="M4" s="40" t="str">
        <f aca="false">项目清单!$B$11</f>
        <v>RD08</v>
      </c>
      <c r="N4" s="40" t="str">
        <f aca="false">项目清单!$B$12</f>
        <v>RD09</v>
      </c>
      <c r="O4" s="40" t="str">
        <f aca="false">项目清单!$B$13</f>
        <v>RD10</v>
      </c>
      <c r="P4" s="67"/>
      <c r="Q4" s="67"/>
      <c r="R4" s="67"/>
      <c r="S4" s="67"/>
    </row>
    <row r="5" customFormat="false" ht="36" hidden="false" customHeight="true" outlineLevel="0" collapsed="false">
      <c r="A5" s="67"/>
      <c r="B5" s="67"/>
      <c r="C5" s="67"/>
      <c r="D5" s="67"/>
      <c r="E5" s="67"/>
      <c r="F5" s="68" t="str">
        <f aca="false">IF(F4="","",IFERROR(VLOOKUP(F4,项目清单!$B$4:$C$13,2,0)&amp;"",""))</f>
        <v>高回弹低压缩永久变形3C用聚氨酯泡棉开发</v>
      </c>
      <c r="G5" s="68" t="str">
        <f aca="false">IF(G4="","",IFERROR(VLOOKUP(G4,项目清单!$B$4:$C$13,2,0)&amp;"",""))</f>
        <v>动力电池模组用高阻燃缓冲泡棉研发</v>
      </c>
      <c r="H5" s="68" t="str">
        <f aca="false">IF(H4="","",IFERROR(VLOOKUP(H4,项目清单!$B$4:$C$13,2,0)&amp;"",""))</f>
        <v>泡棉与PET基材无溶剂贴合工艺开发</v>
      </c>
      <c r="I5" s="68" t="str">
        <f aca="false">IF(I4="","",IFERROR(VLOOKUP(I4,项目清单!$B$4:$C$13,2,0)&amp;"",""))</f>
        <v>超薄泡棉高精度分切及毛边控制技术研究</v>
      </c>
      <c r="J5" s="68" t="str">
        <f aca="false">IF(J4="","",IFERROR(VLOOKUP(J4,项目清单!$B$4:$C$13,2,0)&amp;"",""))</f>
        <v>新能源汽车电池包用导热缓冲复合材料开发</v>
      </c>
      <c r="K5" s="68" t="str">
        <f aca="false">IF(K4="","",IFERROR(VLOOKUP(K4,项目清单!$B$4:$C$13,2,0)&amp;"",""))</f>
        <v>3C电子用超薄黑色遮光泡棉制备技术</v>
      </c>
      <c r="L5" s="68" t="str">
        <f aca="false">IF(L4="","",IFERROR(VLOOKUP(L4,项目清单!$B$4:$C$13,2,0)&amp;"",""))</f>
        <v>环保型水性胶泡棉贴合技术开发</v>
      </c>
      <c r="M5" s="68" t="str">
        <f aca="false">IF(M4="","",IFERROR(VLOOKUP(M4,项目清单!$B$4:$C$13,2,0)&amp;"",""))</f>
        <v>泡棉模切自动化在线检测技术研究</v>
      </c>
      <c r="N5" s="68" t="str">
        <f aca="false">IF(N4="","",IFERROR(VLOOKUP(N4,项目清单!$B$4:$C$13,2,0)&amp;"",""))</f>
        <v/>
      </c>
      <c r="O5" s="68" t="str">
        <f aca="false">IF(O4="","",IFERROR(VLOOKUP(O4,项目清单!$B$4:$C$13,2,0)&amp;"",""))</f>
        <v/>
      </c>
      <c r="P5" s="67"/>
      <c r="Q5" s="67"/>
      <c r="R5" s="67"/>
      <c r="S5" s="67"/>
    </row>
    <row r="6" customFormat="false" ht="24" hidden="false" customHeight="true" outlineLevel="0" collapsed="false">
      <c r="A6" s="33" t="n">
        <v>1</v>
      </c>
      <c r="B6" s="33"/>
      <c r="C6" s="69"/>
      <c r="D6" s="69"/>
      <c r="E6" s="69"/>
      <c r="F6" s="69"/>
      <c r="G6" s="69"/>
      <c r="H6" s="69"/>
      <c r="I6" s="69"/>
      <c r="J6" s="69"/>
      <c r="K6" s="69"/>
      <c r="L6" s="69"/>
      <c r="M6" s="69"/>
      <c r="N6" s="69"/>
      <c r="O6" s="69"/>
      <c r="P6" s="69" t="str">
        <f aca="false">IF(SUM(F6:O6)=0,"",SUM(F6:O6))</f>
        <v/>
      </c>
      <c r="Q6" s="70" t="str">
        <f aca="false">IF(OR(P6="",$D6=0),"",P6/$D6)</f>
        <v/>
      </c>
      <c r="R6" s="71"/>
      <c r="S6" s="71"/>
    </row>
    <row r="7" customFormat="false" ht="24" hidden="false" customHeight="true" outlineLevel="0" collapsed="false">
      <c r="A7" s="33" t="n">
        <v>2</v>
      </c>
      <c r="B7" s="33"/>
      <c r="C7" s="69"/>
      <c r="D7" s="69"/>
      <c r="E7" s="69"/>
      <c r="F7" s="69"/>
      <c r="G7" s="69"/>
      <c r="H7" s="69"/>
      <c r="I7" s="69"/>
      <c r="J7" s="69"/>
      <c r="K7" s="69"/>
      <c r="L7" s="69"/>
      <c r="M7" s="69"/>
      <c r="N7" s="69"/>
      <c r="O7" s="69"/>
      <c r="P7" s="69" t="str">
        <f aca="false">IF(SUM(F7:O7)=0,"",SUM(F7:O7))</f>
        <v/>
      </c>
      <c r="Q7" s="70" t="str">
        <f aca="false">IF(OR(P7="",$D7=0),"",P7/$D7)</f>
        <v/>
      </c>
      <c r="R7" s="71"/>
      <c r="S7" s="71"/>
    </row>
    <row r="8" customFormat="false" ht="24" hidden="false" customHeight="true" outlineLevel="0" collapsed="false">
      <c r="A8" s="33" t="n">
        <v>3</v>
      </c>
      <c r="B8" s="33"/>
      <c r="C8" s="69"/>
      <c r="D8" s="69"/>
      <c r="E8" s="69"/>
      <c r="F8" s="69"/>
      <c r="G8" s="69"/>
      <c r="H8" s="69"/>
      <c r="I8" s="69"/>
      <c r="J8" s="69"/>
      <c r="K8" s="69"/>
      <c r="L8" s="69"/>
      <c r="M8" s="69"/>
      <c r="N8" s="69"/>
      <c r="O8" s="69"/>
      <c r="P8" s="69" t="str">
        <f aca="false">IF(SUM(F8:O8)=0,"",SUM(F8:O8))</f>
        <v/>
      </c>
      <c r="Q8" s="70" t="str">
        <f aca="false">IF(OR(P8="",$D8=0),"",P8/$D8)</f>
        <v/>
      </c>
      <c r="R8" s="71"/>
      <c r="S8" s="71"/>
    </row>
    <row r="9" customFormat="false" ht="24" hidden="false" customHeight="true" outlineLevel="0" collapsed="false">
      <c r="A9" s="33" t="n">
        <v>4</v>
      </c>
      <c r="B9" s="33"/>
      <c r="C9" s="69"/>
      <c r="D9" s="69"/>
      <c r="E9" s="69"/>
      <c r="F9" s="69"/>
      <c r="G9" s="69"/>
      <c r="H9" s="69"/>
      <c r="I9" s="69"/>
      <c r="J9" s="69"/>
      <c r="K9" s="69"/>
      <c r="L9" s="69"/>
      <c r="M9" s="69"/>
      <c r="N9" s="69"/>
      <c r="O9" s="69"/>
      <c r="P9" s="69" t="str">
        <f aca="false">IF(SUM(F9:O9)=0,"",SUM(F9:O9))</f>
        <v/>
      </c>
      <c r="Q9" s="70" t="str">
        <f aca="false">IF(OR(P9="",$D9=0),"",P9/$D9)</f>
        <v/>
      </c>
      <c r="R9" s="71"/>
      <c r="S9" s="71"/>
    </row>
    <row r="10" customFormat="false" ht="24" hidden="false" customHeight="true" outlineLevel="0" collapsed="false">
      <c r="A10" s="33" t="n">
        <v>5</v>
      </c>
      <c r="B10" s="33"/>
      <c r="C10" s="69"/>
      <c r="D10" s="69"/>
      <c r="E10" s="69"/>
      <c r="F10" s="69"/>
      <c r="G10" s="69"/>
      <c r="H10" s="69"/>
      <c r="I10" s="69"/>
      <c r="J10" s="69"/>
      <c r="K10" s="69"/>
      <c r="L10" s="69"/>
      <c r="M10" s="69"/>
      <c r="N10" s="69"/>
      <c r="O10" s="69"/>
      <c r="P10" s="69" t="str">
        <f aca="false">IF(SUM(F10:O10)=0,"",SUM(F10:O10))</f>
        <v/>
      </c>
      <c r="Q10" s="70" t="str">
        <f aca="false">IF(OR(P10="",$D10=0),"",P10/$D10)</f>
        <v/>
      </c>
      <c r="R10" s="71"/>
      <c r="S10" s="71"/>
    </row>
    <row r="11" customFormat="false" ht="24" hidden="false" customHeight="true" outlineLevel="0" collapsed="false">
      <c r="A11" s="33" t="n">
        <v>6</v>
      </c>
      <c r="B11" s="33"/>
      <c r="C11" s="69"/>
      <c r="D11" s="69"/>
      <c r="E11" s="69"/>
      <c r="F11" s="69"/>
      <c r="G11" s="69"/>
      <c r="H11" s="69"/>
      <c r="I11" s="69"/>
      <c r="J11" s="69"/>
      <c r="K11" s="69"/>
      <c r="L11" s="69"/>
      <c r="M11" s="69"/>
      <c r="N11" s="69"/>
      <c r="O11" s="69"/>
      <c r="P11" s="69" t="str">
        <f aca="false">IF(SUM(F11:O11)=0,"",SUM(F11:O11))</f>
        <v/>
      </c>
      <c r="Q11" s="70" t="str">
        <f aca="false">IF(OR(P11="",$D11=0),"",P11/$D11)</f>
        <v/>
      </c>
      <c r="R11" s="71"/>
      <c r="S11" s="71"/>
    </row>
    <row r="12" customFormat="false" ht="24" hidden="false" customHeight="true" outlineLevel="0" collapsed="false">
      <c r="A12" s="33" t="n">
        <v>7</v>
      </c>
      <c r="B12" s="33"/>
      <c r="C12" s="69"/>
      <c r="D12" s="69"/>
      <c r="E12" s="69"/>
      <c r="F12" s="69"/>
      <c r="G12" s="69"/>
      <c r="H12" s="69"/>
      <c r="I12" s="69"/>
      <c r="J12" s="69"/>
      <c r="K12" s="69"/>
      <c r="L12" s="69"/>
      <c r="M12" s="69"/>
      <c r="N12" s="69"/>
      <c r="O12" s="69"/>
      <c r="P12" s="69" t="str">
        <f aca="false">IF(SUM(F12:O12)=0,"",SUM(F12:O12))</f>
        <v/>
      </c>
      <c r="Q12" s="70" t="str">
        <f aca="false">IF(OR(P12="",$D12=0),"",P12/$D12)</f>
        <v/>
      </c>
      <c r="R12" s="71"/>
      <c r="S12" s="71"/>
    </row>
    <row r="13" customFormat="false" ht="24" hidden="false" customHeight="true" outlineLevel="0" collapsed="false">
      <c r="A13" s="33" t="n">
        <v>8</v>
      </c>
      <c r="B13" s="33"/>
      <c r="C13" s="69"/>
      <c r="D13" s="69"/>
      <c r="E13" s="69"/>
      <c r="F13" s="69"/>
      <c r="G13" s="69"/>
      <c r="H13" s="69"/>
      <c r="I13" s="69"/>
      <c r="J13" s="69"/>
      <c r="K13" s="69"/>
      <c r="L13" s="69"/>
      <c r="M13" s="69"/>
      <c r="N13" s="69"/>
      <c r="O13" s="69"/>
      <c r="P13" s="69" t="str">
        <f aca="false">IF(SUM(F13:O13)=0,"",SUM(F13:O13))</f>
        <v/>
      </c>
      <c r="Q13" s="70" t="str">
        <f aca="false">IF(OR(P13="",$D13=0),"",P13/$D13)</f>
        <v/>
      </c>
      <c r="R13" s="71"/>
      <c r="S13" s="71"/>
    </row>
    <row r="14" customFormat="false" ht="24" hidden="false" customHeight="true" outlineLevel="0" collapsed="false">
      <c r="A14" s="33" t="n">
        <v>9</v>
      </c>
      <c r="B14" s="33"/>
      <c r="C14" s="69"/>
      <c r="D14" s="69"/>
      <c r="E14" s="69"/>
      <c r="F14" s="69"/>
      <c r="G14" s="69"/>
      <c r="H14" s="69"/>
      <c r="I14" s="69"/>
      <c r="J14" s="69"/>
      <c r="K14" s="69"/>
      <c r="L14" s="69"/>
      <c r="M14" s="69"/>
      <c r="N14" s="69"/>
      <c r="O14" s="69"/>
      <c r="P14" s="69" t="str">
        <f aca="false">IF(SUM(F14:O14)=0,"",SUM(F14:O14))</f>
        <v/>
      </c>
      <c r="Q14" s="70" t="str">
        <f aca="false">IF(OR(P14="",$D14=0),"",P14/$D14)</f>
        <v/>
      </c>
      <c r="R14" s="71"/>
      <c r="S14" s="71"/>
    </row>
    <row r="15" customFormat="false" ht="24" hidden="false" customHeight="true" outlineLevel="0" collapsed="false">
      <c r="A15" s="33" t="n">
        <v>10</v>
      </c>
      <c r="B15" s="33"/>
      <c r="C15" s="69"/>
      <c r="D15" s="69"/>
      <c r="E15" s="69"/>
      <c r="F15" s="69"/>
      <c r="G15" s="69"/>
      <c r="H15" s="69"/>
      <c r="I15" s="69"/>
      <c r="J15" s="69"/>
      <c r="K15" s="69"/>
      <c r="L15" s="69"/>
      <c r="M15" s="69"/>
      <c r="N15" s="69"/>
      <c r="O15" s="69"/>
      <c r="P15" s="69" t="str">
        <f aca="false">IF(SUM(F15:O15)=0,"",SUM(F15:O15))</f>
        <v/>
      </c>
      <c r="Q15" s="70" t="str">
        <f aca="false">IF(OR(P15="",$D15=0),"",P15/$D15)</f>
        <v/>
      </c>
      <c r="R15" s="71"/>
      <c r="S15" s="71"/>
    </row>
    <row r="16" customFormat="false" ht="24" hidden="false" customHeight="true" outlineLevel="0" collapsed="false">
      <c r="A16" s="33" t="n">
        <v>11</v>
      </c>
      <c r="B16" s="33"/>
      <c r="C16" s="69"/>
      <c r="D16" s="69"/>
      <c r="E16" s="69"/>
      <c r="F16" s="69"/>
      <c r="G16" s="69"/>
      <c r="H16" s="69"/>
      <c r="I16" s="69"/>
      <c r="J16" s="69"/>
      <c r="K16" s="69"/>
      <c r="L16" s="69"/>
      <c r="M16" s="69"/>
      <c r="N16" s="69"/>
      <c r="O16" s="69"/>
      <c r="P16" s="69" t="str">
        <f aca="false">IF(SUM(F16:O16)=0,"",SUM(F16:O16))</f>
        <v/>
      </c>
      <c r="Q16" s="70" t="str">
        <f aca="false">IF(OR(P16="",$D16=0),"",P16/$D16)</f>
        <v/>
      </c>
      <c r="R16" s="71"/>
      <c r="S16" s="71"/>
    </row>
    <row r="17" customFormat="false" ht="24" hidden="false" customHeight="true" outlineLevel="0" collapsed="false">
      <c r="A17" s="33" t="n">
        <v>12</v>
      </c>
      <c r="B17" s="33"/>
      <c r="C17" s="69"/>
      <c r="D17" s="69"/>
      <c r="E17" s="69"/>
      <c r="F17" s="69"/>
      <c r="G17" s="69"/>
      <c r="H17" s="69"/>
      <c r="I17" s="69"/>
      <c r="J17" s="69"/>
      <c r="K17" s="69"/>
      <c r="L17" s="69"/>
      <c r="M17" s="69"/>
      <c r="N17" s="69"/>
      <c r="O17" s="69"/>
      <c r="P17" s="69" t="str">
        <f aca="false">IF(SUM(F17:O17)=0,"",SUM(F17:O17))</f>
        <v/>
      </c>
      <c r="Q17" s="70" t="str">
        <f aca="false">IF(OR(P17="",$D17=0),"",P17/$D17)</f>
        <v/>
      </c>
      <c r="R17" s="71"/>
      <c r="S17" s="71"/>
    </row>
    <row r="18" customFormat="false" ht="24" hidden="false" customHeight="true" outlineLevel="0" collapsed="false">
      <c r="A18" s="33" t="n">
        <v>13</v>
      </c>
      <c r="B18" s="33"/>
      <c r="C18" s="69"/>
      <c r="D18" s="69"/>
      <c r="E18" s="69"/>
      <c r="F18" s="69"/>
      <c r="G18" s="69"/>
      <c r="H18" s="69"/>
      <c r="I18" s="69"/>
      <c r="J18" s="69"/>
      <c r="K18" s="69"/>
      <c r="L18" s="69"/>
      <c r="M18" s="69"/>
      <c r="N18" s="69"/>
      <c r="O18" s="69"/>
      <c r="P18" s="69" t="str">
        <f aca="false">IF(SUM(F18:O18)=0,"",SUM(F18:O18))</f>
        <v/>
      </c>
      <c r="Q18" s="70" t="str">
        <f aca="false">IF(OR(P18="",$D18=0),"",P18/$D18)</f>
        <v/>
      </c>
      <c r="R18" s="71"/>
      <c r="S18" s="71"/>
    </row>
    <row r="19" customFormat="false" ht="24" hidden="false" customHeight="true" outlineLevel="0" collapsed="false">
      <c r="A19" s="33" t="n">
        <v>14</v>
      </c>
      <c r="B19" s="33"/>
      <c r="C19" s="69"/>
      <c r="D19" s="69"/>
      <c r="E19" s="69"/>
      <c r="F19" s="69"/>
      <c r="G19" s="69"/>
      <c r="H19" s="69"/>
      <c r="I19" s="69"/>
      <c r="J19" s="69"/>
      <c r="K19" s="69"/>
      <c r="L19" s="69"/>
      <c r="M19" s="69"/>
      <c r="N19" s="69"/>
      <c r="O19" s="69"/>
      <c r="P19" s="69" t="str">
        <f aca="false">IF(SUM(F19:O19)=0,"",SUM(F19:O19))</f>
        <v/>
      </c>
      <c r="Q19" s="70" t="str">
        <f aca="false">IF(OR(P19="",$D19=0),"",P19/$D19)</f>
        <v/>
      </c>
      <c r="R19" s="71"/>
      <c r="S19" s="71"/>
    </row>
    <row r="20" customFormat="false" ht="24" hidden="false" customHeight="true" outlineLevel="0" collapsed="false">
      <c r="A20" s="33" t="n">
        <v>15</v>
      </c>
      <c r="B20" s="33"/>
      <c r="C20" s="69"/>
      <c r="D20" s="69"/>
      <c r="E20" s="69"/>
      <c r="F20" s="69"/>
      <c r="G20" s="69"/>
      <c r="H20" s="69"/>
      <c r="I20" s="69"/>
      <c r="J20" s="69"/>
      <c r="K20" s="69"/>
      <c r="L20" s="69"/>
      <c r="M20" s="69"/>
      <c r="N20" s="69"/>
      <c r="O20" s="69"/>
      <c r="P20" s="69" t="str">
        <f aca="false">IF(SUM(F20:O20)=0,"",SUM(F20:O20))</f>
        <v/>
      </c>
      <c r="Q20" s="70" t="str">
        <f aca="false">IF(OR(P20="",$D20=0),"",P20/$D20)</f>
        <v/>
      </c>
      <c r="R20" s="71"/>
      <c r="S20" s="71"/>
    </row>
    <row r="21" customFormat="false" ht="24" hidden="false" customHeight="true" outlineLevel="0" collapsed="false">
      <c r="A21" s="30" t="s">
        <v>311</v>
      </c>
      <c r="B21" s="30"/>
      <c r="C21" s="51"/>
      <c r="D21" s="51" t="str">
        <f aca="false">IF(SUM(D6:D20)=0,"",SUM(D6:D20))</f>
        <v/>
      </c>
      <c r="E21" s="51" t="str">
        <f aca="false">IF(SUM(E6:E20)=0,"",SUM(E6:E20))</f>
        <v/>
      </c>
      <c r="F21" s="51" t="str">
        <f aca="false">IF(SUM(F6:F20)=0,"",SUM(F6:F20))</f>
        <v/>
      </c>
      <c r="G21" s="51" t="str">
        <f aca="false">IF(SUM(G6:G20)=0,"",SUM(G6:G20))</f>
        <v/>
      </c>
      <c r="H21" s="51" t="str">
        <f aca="false">IF(SUM(H6:H20)=0,"",SUM(H6:H20))</f>
        <v/>
      </c>
      <c r="I21" s="51" t="str">
        <f aca="false">IF(SUM(I6:I20)=0,"",SUM(I6:I20))</f>
        <v/>
      </c>
      <c r="J21" s="51" t="str">
        <f aca="false">IF(SUM(J6:J20)=0,"",SUM(J6:J20))</f>
        <v/>
      </c>
      <c r="K21" s="51" t="str">
        <f aca="false">IF(SUM(K6:K20)=0,"",SUM(K6:K20))</f>
        <v/>
      </c>
      <c r="L21" s="51" t="str">
        <f aca="false">IF(SUM(L6:L20)=0,"",SUM(L6:L20))</f>
        <v/>
      </c>
      <c r="M21" s="51" t="str">
        <f aca="false">IF(SUM(M6:M20)=0,"",SUM(M6:M20))</f>
        <v/>
      </c>
      <c r="N21" s="51" t="str">
        <f aca="false">IF(SUM(N6:N20)=0,"",SUM(N6:N20))</f>
        <v/>
      </c>
      <c r="O21" s="51" t="str">
        <f aca="false">IF(SUM(O6:O20)=0,"",SUM(O6:O20))</f>
        <v/>
      </c>
      <c r="P21" s="51" t="str">
        <f aca="false">IF(SUM(P6:P20)=0,"",SUM(P6:P20))</f>
        <v/>
      </c>
      <c r="Q21" s="32"/>
      <c r="R21" s="8"/>
      <c r="S21" s="8"/>
    </row>
    <row r="23" customFormat="false" ht="33.75" hidden="false" customHeight="true" outlineLevel="0" collapsed="false">
      <c r="A23" s="5" t="s">
        <v>380</v>
      </c>
      <c r="B23" s="5"/>
      <c r="C23" s="5"/>
      <c r="D23" s="5"/>
      <c r="E23" s="5"/>
      <c r="F23" s="5"/>
      <c r="G23" s="5"/>
      <c r="H23" s="5"/>
      <c r="I23" s="5"/>
      <c r="J23" s="5"/>
      <c r="K23" s="5"/>
      <c r="L23" s="5"/>
      <c r="M23" s="5"/>
      <c r="N23" s="5"/>
      <c r="O23" s="5"/>
      <c r="P23" s="5"/>
      <c r="Q23" s="5"/>
      <c r="R23" s="5"/>
      <c r="S23" s="5"/>
    </row>
    <row r="25" customFormat="false" ht="39.75" hidden="false" customHeight="true" outlineLevel="0" collapsed="false">
      <c r="A25" s="64" t="s">
        <v>381</v>
      </c>
      <c r="B25" s="64"/>
      <c r="C25" s="64"/>
      <c r="D25" s="64"/>
      <c r="E25" s="64" t="s">
        <v>382</v>
      </c>
      <c r="F25" s="64"/>
      <c r="G25" s="64"/>
      <c r="H25" s="64"/>
      <c r="I25" s="64" t="s">
        <v>383</v>
      </c>
      <c r="J25" s="64"/>
      <c r="K25" s="64"/>
      <c r="L25" s="64"/>
      <c r="M25" s="64" t="s">
        <v>384</v>
      </c>
      <c r="N25" s="64"/>
      <c r="O25" s="64"/>
      <c r="P25" s="64"/>
    </row>
  </sheetData>
  <mergeCells count="20">
    <mergeCell ref="A1:C1"/>
    <mergeCell ref="D1:S1"/>
    <mergeCell ref="A2:I2"/>
    <mergeCell ref="P2:S2"/>
    <mergeCell ref="A3:A5"/>
    <mergeCell ref="B3:B5"/>
    <mergeCell ref="C3:C5"/>
    <mergeCell ref="D3:D5"/>
    <mergeCell ref="E3:E5"/>
    <mergeCell ref="F3:O3"/>
    <mergeCell ref="P3:P5"/>
    <mergeCell ref="Q3:Q5"/>
    <mergeCell ref="R3:R5"/>
    <mergeCell ref="S3:S5"/>
    <mergeCell ref="A21:B21"/>
    <mergeCell ref="A23:S23"/>
    <mergeCell ref="A25:D25"/>
    <mergeCell ref="E25:H25"/>
    <mergeCell ref="I25:L25"/>
    <mergeCell ref="M25:P25"/>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T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22"/>
    <col collapsed="false" customWidth="true" hidden="false" outlineLevel="0" max="4" min="4" style="0" width="12"/>
    <col collapsed="false" customWidth="true" hidden="false" outlineLevel="0" max="5" min="5" style="0" width="13"/>
    <col collapsed="false" customWidth="true" hidden="false" outlineLevel="0" max="6" min="6" style="0" width="14"/>
    <col collapsed="false" customWidth="true" hidden="false" outlineLevel="0" max="16" min="7" style="0" width="9"/>
    <col collapsed="false" customWidth="true" hidden="false" outlineLevel="0" max="17" min="17" style="0" width="12"/>
    <col collapsed="false" customWidth="true" hidden="false" outlineLevel="0" max="18" min="18" style="0" width="11"/>
    <col collapsed="false" customWidth="true" hidden="false" outlineLevel="0" max="19" min="19" style="0" width="26"/>
    <col collapsed="false" customWidth="true" hidden="false" outlineLevel="0" max="20" min="20" style="0" width="12"/>
  </cols>
  <sheetData>
    <row r="1" customFormat="false" ht="45.75" hidden="false" customHeight="true" outlineLevel="0" collapsed="false">
      <c r="A1" s="1" t="s">
        <v>0</v>
      </c>
      <c r="B1" s="1"/>
      <c r="C1" s="1"/>
      <c r="D1" s="65" t="str">
        <f aca="false">IF(使用说明!$B$2="","",使用说明!$B$2&amp;"    ")&amp;"《仪器、设备工时分配表》（月度填报签批用）"</f>
        <v>《仪器、设备工时分配表》（月度填报签批用）</v>
      </c>
      <c r="E1" s="65"/>
      <c r="F1" s="65"/>
      <c r="G1" s="65"/>
      <c r="H1" s="65"/>
      <c r="I1" s="65"/>
      <c r="J1" s="65"/>
      <c r="K1" s="65"/>
      <c r="L1" s="65"/>
      <c r="M1" s="65"/>
      <c r="N1" s="65"/>
      <c r="O1" s="65"/>
      <c r="P1" s="65"/>
      <c r="Q1" s="65"/>
      <c r="R1" s="65"/>
      <c r="S1" s="65"/>
      <c r="T1" s="65"/>
    </row>
    <row r="2" customFormat="false" ht="24" hidden="false" customHeight="true" outlineLevel="0" collapsed="false">
      <c r="A2" s="64" t="s">
        <v>375</v>
      </c>
      <c r="B2" s="64"/>
      <c r="C2" s="64"/>
      <c r="D2" s="64"/>
      <c r="E2" s="64"/>
      <c r="F2" s="64"/>
      <c r="G2" s="64"/>
      <c r="H2" s="64"/>
      <c r="I2" s="64"/>
      <c r="J2" s="64"/>
      <c r="Q2" s="66" t="s">
        <v>376</v>
      </c>
      <c r="R2" s="66"/>
      <c r="S2" s="66"/>
      <c r="T2" s="66"/>
    </row>
    <row r="3" customFormat="false" ht="25.5" hidden="false" customHeight="true" outlineLevel="0" collapsed="false">
      <c r="A3" s="67" t="s">
        <v>107</v>
      </c>
      <c r="B3" s="67" t="s">
        <v>181</v>
      </c>
      <c r="C3" s="67" t="s">
        <v>182</v>
      </c>
      <c r="D3" s="67" t="s">
        <v>185</v>
      </c>
      <c r="E3" s="67" t="s">
        <v>385</v>
      </c>
      <c r="F3" s="67" t="s">
        <v>386</v>
      </c>
      <c r="G3" s="67" t="s">
        <v>255</v>
      </c>
      <c r="H3" s="67"/>
      <c r="I3" s="67"/>
      <c r="J3" s="67"/>
      <c r="K3" s="67"/>
      <c r="L3" s="67"/>
      <c r="M3" s="67"/>
      <c r="N3" s="67"/>
      <c r="O3" s="67"/>
      <c r="P3" s="67"/>
      <c r="Q3" s="67" t="s">
        <v>387</v>
      </c>
      <c r="R3" s="67" t="s">
        <v>388</v>
      </c>
      <c r="S3" s="67" t="s">
        <v>389</v>
      </c>
      <c r="T3" s="67" t="s">
        <v>390</v>
      </c>
    </row>
    <row r="4" customFormat="false" ht="18" hidden="false" customHeight="true" outlineLevel="0" collapsed="false">
      <c r="A4" s="67"/>
      <c r="B4" s="67"/>
      <c r="C4" s="67"/>
      <c r="D4" s="67"/>
      <c r="E4" s="67"/>
      <c r="F4" s="67"/>
      <c r="G4" s="40" t="str">
        <f aca="false">项目清单!$B$4</f>
        <v>RD01</v>
      </c>
      <c r="H4" s="40" t="str">
        <f aca="false">项目清单!$B$5</f>
        <v>RD02</v>
      </c>
      <c r="I4" s="40" t="str">
        <f aca="false">项目清单!$B$6</f>
        <v>RD03</v>
      </c>
      <c r="J4" s="40" t="str">
        <f aca="false">项目清单!$B$7</f>
        <v>RD04</v>
      </c>
      <c r="K4" s="40" t="str">
        <f aca="false">项目清单!$B$8</f>
        <v>RD05</v>
      </c>
      <c r="L4" s="40" t="str">
        <f aca="false">项目清单!$B$9</f>
        <v>RD06</v>
      </c>
      <c r="M4" s="40" t="str">
        <f aca="false">项目清单!$B$10</f>
        <v>RD07</v>
      </c>
      <c r="N4" s="40" t="str">
        <f aca="false">项目清单!$B$11</f>
        <v>RD08</v>
      </c>
      <c r="O4" s="40" t="str">
        <f aca="false">项目清单!$B$12</f>
        <v>RD09</v>
      </c>
      <c r="P4" s="40" t="str">
        <f aca="false">项目清单!$B$13</f>
        <v>RD10</v>
      </c>
      <c r="Q4" s="67"/>
      <c r="R4" s="67"/>
      <c r="S4" s="67"/>
      <c r="T4" s="67"/>
    </row>
    <row r="5" customFormat="false" ht="36" hidden="false" customHeight="true" outlineLevel="0" collapsed="false">
      <c r="A5" s="67"/>
      <c r="B5" s="67"/>
      <c r="C5" s="67"/>
      <c r="D5" s="67"/>
      <c r="E5" s="67"/>
      <c r="F5" s="67"/>
      <c r="G5" s="68" t="str">
        <f aca="false">IF(G4="","",IFERROR(VLOOKUP(G4,项目清单!$B$4:$C$13,2,0)&amp;"",""))</f>
        <v>高回弹低压缩永久变形3C用聚氨酯泡棉开发</v>
      </c>
      <c r="H5" s="68" t="str">
        <f aca="false">IF(H4="","",IFERROR(VLOOKUP(H4,项目清单!$B$4:$C$13,2,0)&amp;"",""))</f>
        <v>动力电池模组用高阻燃缓冲泡棉研发</v>
      </c>
      <c r="I5" s="68" t="str">
        <f aca="false">IF(I4="","",IFERROR(VLOOKUP(I4,项目清单!$B$4:$C$13,2,0)&amp;"",""))</f>
        <v>泡棉与PET基材无溶剂贴合工艺开发</v>
      </c>
      <c r="J5" s="68" t="str">
        <f aca="false">IF(J4="","",IFERROR(VLOOKUP(J4,项目清单!$B$4:$C$13,2,0)&amp;"",""))</f>
        <v>超薄泡棉高精度分切及毛边控制技术研究</v>
      </c>
      <c r="K5" s="68" t="str">
        <f aca="false">IF(K4="","",IFERROR(VLOOKUP(K4,项目清单!$B$4:$C$13,2,0)&amp;"",""))</f>
        <v>新能源汽车电池包用导热缓冲复合材料开发</v>
      </c>
      <c r="L5" s="68" t="str">
        <f aca="false">IF(L4="","",IFERROR(VLOOKUP(L4,项目清单!$B$4:$C$13,2,0)&amp;"",""))</f>
        <v>3C电子用超薄黑色遮光泡棉制备技术</v>
      </c>
      <c r="M5" s="68" t="str">
        <f aca="false">IF(M4="","",IFERROR(VLOOKUP(M4,项目清单!$B$4:$C$13,2,0)&amp;"",""))</f>
        <v>环保型水性胶泡棉贴合技术开发</v>
      </c>
      <c r="N5" s="68" t="str">
        <f aca="false">IF(N4="","",IFERROR(VLOOKUP(N4,项目清单!$B$4:$C$13,2,0)&amp;"",""))</f>
        <v>泡棉模切自动化在线检测技术研究</v>
      </c>
      <c r="O5" s="68" t="str">
        <f aca="false">IF(O4="","",IFERROR(VLOOKUP(O4,项目清单!$B$4:$C$13,2,0)&amp;"",""))</f>
        <v/>
      </c>
      <c r="P5" s="68" t="str">
        <f aca="false">IF(P4="","",IFERROR(VLOOKUP(P4,项目清单!$B$4:$C$13,2,0)&amp;"",""))</f>
        <v/>
      </c>
      <c r="Q5" s="67"/>
      <c r="R5" s="67"/>
      <c r="S5" s="67"/>
      <c r="T5" s="67"/>
    </row>
    <row r="6" customFormat="false" ht="24" hidden="false" customHeight="true" outlineLevel="0" collapsed="false">
      <c r="A6" s="33" t="n">
        <v>1</v>
      </c>
      <c r="B6" s="33"/>
      <c r="C6" s="69"/>
      <c r="D6" s="69"/>
      <c r="E6" s="69"/>
      <c r="F6" s="69"/>
      <c r="G6" s="69"/>
      <c r="H6" s="69"/>
      <c r="I6" s="69"/>
      <c r="J6" s="69"/>
      <c r="K6" s="69"/>
      <c r="L6" s="69"/>
      <c r="M6" s="69"/>
      <c r="N6" s="69"/>
      <c r="O6" s="69"/>
      <c r="P6" s="69"/>
      <c r="Q6" s="69" t="str">
        <f aca="false">IF(SUM(G6:P6)=0,"",SUM(G6:P6))</f>
        <v/>
      </c>
      <c r="R6" s="70" t="str">
        <f aca="false">IF(OR(Q6="",$E6=0),"",Q6/$E6)</f>
        <v/>
      </c>
      <c r="S6" s="71"/>
      <c r="T6" s="71"/>
    </row>
    <row r="7" customFormat="false" ht="24" hidden="false" customHeight="true" outlineLevel="0" collapsed="false">
      <c r="A7" s="33" t="n">
        <v>2</v>
      </c>
      <c r="B7" s="33"/>
      <c r="C7" s="69"/>
      <c r="D7" s="69"/>
      <c r="E7" s="69"/>
      <c r="F7" s="69"/>
      <c r="G7" s="69"/>
      <c r="H7" s="69"/>
      <c r="I7" s="69"/>
      <c r="J7" s="69"/>
      <c r="K7" s="69"/>
      <c r="L7" s="69"/>
      <c r="M7" s="69"/>
      <c r="N7" s="69"/>
      <c r="O7" s="69"/>
      <c r="P7" s="69"/>
      <c r="Q7" s="69" t="str">
        <f aca="false">IF(SUM(G7:P7)=0,"",SUM(G7:P7))</f>
        <v/>
      </c>
      <c r="R7" s="70" t="str">
        <f aca="false">IF(OR(Q7="",$E7=0),"",Q7/$E7)</f>
        <v/>
      </c>
      <c r="S7" s="71"/>
      <c r="T7" s="71"/>
    </row>
    <row r="8" customFormat="false" ht="24" hidden="false" customHeight="true" outlineLevel="0" collapsed="false">
      <c r="A8" s="33" t="n">
        <v>3</v>
      </c>
      <c r="B8" s="33"/>
      <c r="C8" s="69"/>
      <c r="D8" s="69"/>
      <c r="E8" s="69"/>
      <c r="F8" s="69"/>
      <c r="G8" s="69"/>
      <c r="H8" s="69"/>
      <c r="I8" s="69"/>
      <c r="J8" s="69"/>
      <c r="K8" s="69"/>
      <c r="L8" s="69"/>
      <c r="M8" s="69"/>
      <c r="N8" s="69"/>
      <c r="O8" s="69"/>
      <c r="P8" s="69"/>
      <c r="Q8" s="69" t="str">
        <f aca="false">IF(SUM(G8:P8)=0,"",SUM(G8:P8))</f>
        <v/>
      </c>
      <c r="R8" s="70" t="str">
        <f aca="false">IF(OR(Q8="",$E8=0),"",Q8/$E8)</f>
        <v/>
      </c>
      <c r="S8" s="71"/>
      <c r="T8" s="71"/>
    </row>
    <row r="9" customFormat="false" ht="24" hidden="false" customHeight="true" outlineLevel="0" collapsed="false">
      <c r="A9" s="33" t="n">
        <v>4</v>
      </c>
      <c r="B9" s="33"/>
      <c r="C9" s="69"/>
      <c r="D9" s="69"/>
      <c r="E9" s="69"/>
      <c r="F9" s="69"/>
      <c r="G9" s="69"/>
      <c r="H9" s="69"/>
      <c r="I9" s="69"/>
      <c r="J9" s="69"/>
      <c r="K9" s="69"/>
      <c r="L9" s="69"/>
      <c r="M9" s="69"/>
      <c r="N9" s="69"/>
      <c r="O9" s="69"/>
      <c r="P9" s="69"/>
      <c r="Q9" s="69" t="str">
        <f aca="false">IF(SUM(G9:P9)=0,"",SUM(G9:P9))</f>
        <v/>
      </c>
      <c r="R9" s="70" t="str">
        <f aca="false">IF(OR(Q9="",$E9=0),"",Q9/$E9)</f>
        <v/>
      </c>
      <c r="S9" s="71"/>
      <c r="T9" s="71"/>
    </row>
    <row r="10" customFormat="false" ht="24" hidden="false" customHeight="true" outlineLevel="0" collapsed="false">
      <c r="A10" s="33" t="n">
        <v>5</v>
      </c>
      <c r="B10" s="33"/>
      <c r="C10" s="69"/>
      <c r="D10" s="69"/>
      <c r="E10" s="69"/>
      <c r="F10" s="69"/>
      <c r="G10" s="69"/>
      <c r="H10" s="69"/>
      <c r="I10" s="69"/>
      <c r="J10" s="69"/>
      <c r="K10" s="69"/>
      <c r="L10" s="69"/>
      <c r="M10" s="69"/>
      <c r="N10" s="69"/>
      <c r="O10" s="69"/>
      <c r="P10" s="69"/>
      <c r="Q10" s="69" t="str">
        <f aca="false">IF(SUM(G10:P10)=0,"",SUM(G10:P10))</f>
        <v/>
      </c>
      <c r="R10" s="70" t="str">
        <f aca="false">IF(OR(Q10="",$E10=0),"",Q10/$E10)</f>
        <v/>
      </c>
      <c r="S10" s="71"/>
      <c r="T10" s="71"/>
    </row>
    <row r="11" customFormat="false" ht="24" hidden="false" customHeight="true" outlineLevel="0" collapsed="false">
      <c r="A11" s="33" t="n">
        <v>6</v>
      </c>
      <c r="B11" s="33"/>
      <c r="C11" s="69"/>
      <c r="D11" s="69"/>
      <c r="E11" s="69"/>
      <c r="F11" s="69"/>
      <c r="G11" s="69"/>
      <c r="H11" s="69"/>
      <c r="I11" s="69"/>
      <c r="J11" s="69"/>
      <c r="K11" s="69"/>
      <c r="L11" s="69"/>
      <c r="M11" s="69"/>
      <c r="N11" s="69"/>
      <c r="O11" s="69"/>
      <c r="P11" s="69"/>
      <c r="Q11" s="69" t="str">
        <f aca="false">IF(SUM(G11:P11)=0,"",SUM(G11:P11))</f>
        <v/>
      </c>
      <c r="R11" s="70" t="str">
        <f aca="false">IF(OR(Q11="",$E11=0),"",Q11/$E11)</f>
        <v/>
      </c>
      <c r="S11" s="71"/>
      <c r="T11" s="71"/>
    </row>
    <row r="12" customFormat="false" ht="24" hidden="false" customHeight="true" outlineLevel="0" collapsed="false">
      <c r="A12" s="33" t="n">
        <v>7</v>
      </c>
      <c r="B12" s="33"/>
      <c r="C12" s="69"/>
      <c r="D12" s="69"/>
      <c r="E12" s="69"/>
      <c r="F12" s="69"/>
      <c r="G12" s="69"/>
      <c r="H12" s="69"/>
      <c r="I12" s="69"/>
      <c r="J12" s="69"/>
      <c r="K12" s="69"/>
      <c r="L12" s="69"/>
      <c r="M12" s="69"/>
      <c r="N12" s="69"/>
      <c r="O12" s="69"/>
      <c r="P12" s="69"/>
      <c r="Q12" s="69" t="str">
        <f aca="false">IF(SUM(G12:P12)=0,"",SUM(G12:P12))</f>
        <v/>
      </c>
      <c r="R12" s="70" t="str">
        <f aca="false">IF(OR(Q12="",$E12=0),"",Q12/$E12)</f>
        <v/>
      </c>
      <c r="S12" s="71"/>
      <c r="T12" s="71"/>
    </row>
    <row r="13" customFormat="false" ht="24" hidden="false" customHeight="true" outlineLevel="0" collapsed="false">
      <c r="A13" s="33" t="n">
        <v>8</v>
      </c>
      <c r="B13" s="33"/>
      <c r="C13" s="69"/>
      <c r="D13" s="69"/>
      <c r="E13" s="69"/>
      <c r="F13" s="69"/>
      <c r="G13" s="69"/>
      <c r="H13" s="69"/>
      <c r="I13" s="69"/>
      <c r="J13" s="69"/>
      <c r="K13" s="69"/>
      <c r="L13" s="69"/>
      <c r="M13" s="69"/>
      <c r="N13" s="69"/>
      <c r="O13" s="69"/>
      <c r="P13" s="69"/>
      <c r="Q13" s="69" t="str">
        <f aca="false">IF(SUM(G13:P13)=0,"",SUM(G13:P13))</f>
        <v/>
      </c>
      <c r="R13" s="70" t="str">
        <f aca="false">IF(OR(Q13="",$E13=0),"",Q13/$E13)</f>
        <v/>
      </c>
      <c r="S13" s="71"/>
      <c r="T13" s="71"/>
    </row>
    <row r="14" customFormat="false" ht="24" hidden="false" customHeight="true" outlineLevel="0" collapsed="false">
      <c r="A14" s="33" t="n">
        <v>9</v>
      </c>
      <c r="B14" s="33"/>
      <c r="C14" s="69"/>
      <c r="D14" s="69"/>
      <c r="E14" s="69"/>
      <c r="F14" s="69"/>
      <c r="G14" s="69"/>
      <c r="H14" s="69"/>
      <c r="I14" s="69"/>
      <c r="J14" s="69"/>
      <c r="K14" s="69"/>
      <c r="L14" s="69"/>
      <c r="M14" s="69"/>
      <c r="N14" s="69"/>
      <c r="O14" s="69"/>
      <c r="P14" s="69"/>
      <c r="Q14" s="69" t="str">
        <f aca="false">IF(SUM(G14:P14)=0,"",SUM(G14:P14))</f>
        <v/>
      </c>
      <c r="R14" s="70" t="str">
        <f aca="false">IF(OR(Q14="",$E14=0),"",Q14/$E14)</f>
        <v/>
      </c>
      <c r="S14" s="71"/>
      <c r="T14" s="71"/>
    </row>
    <row r="15" customFormat="false" ht="24" hidden="false" customHeight="true" outlineLevel="0" collapsed="false">
      <c r="A15" s="33" t="n">
        <v>10</v>
      </c>
      <c r="B15" s="33"/>
      <c r="C15" s="69"/>
      <c r="D15" s="69"/>
      <c r="E15" s="69"/>
      <c r="F15" s="69"/>
      <c r="G15" s="69"/>
      <c r="H15" s="69"/>
      <c r="I15" s="69"/>
      <c r="J15" s="69"/>
      <c r="K15" s="69"/>
      <c r="L15" s="69"/>
      <c r="M15" s="69"/>
      <c r="N15" s="69"/>
      <c r="O15" s="69"/>
      <c r="P15" s="69"/>
      <c r="Q15" s="69" t="str">
        <f aca="false">IF(SUM(G15:P15)=0,"",SUM(G15:P15))</f>
        <v/>
      </c>
      <c r="R15" s="70" t="str">
        <f aca="false">IF(OR(Q15="",$E15=0),"",Q15/$E15)</f>
        <v/>
      </c>
      <c r="S15" s="71"/>
      <c r="T15" s="71"/>
    </row>
    <row r="16" customFormat="false" ht="24" hidden="false" customHeight="true" outlineLevel="0" collapsed="false">
      <c r="A16" s="33" t="n">
        <v>11</v>
      </c>
      <c r="B16" s="33"/>
      <c r="C16" s="69"/>
      <c r="D16" s="69"/>
      <c r="E16" s="69"/>
      <c r="F16" s="69"/>
      <c r="G16" s="69"/>
      <c r="H16" s="69"/>
      <c r="I16" s="69"/>
      <c r="J16" s="69"/>
      <c r="K16" s="69"/>
      <c r="L16" s="69"/>
      <c r="M16" s="69"/>
      <c r="N16" s="69"/>
      <c r="O16" s="69"/>
      <c r="P16" s="69"/>
      <c r="Q16" s="69" t="str">
        <f aca="false">IF(SUM(G16:P16)=0,"",SUM(G16:P16))</f>
        <v/>
      </c>
      <c r="R16" s="70" t="str">
        <f aca="false">IF(OR(Q16="",$E16=0),"",Q16/$E16)</f>
        <v/>
      </c>
      <c r="S16" s="71"/>
      <c r="T16" s="71"/>
    </row>
    <row r="17" customFormat="false" ht="24" hidden="false" customHeight="true" outlineLevel="0" collapsed="false">
      <c r="A17" s="33" t="n">
        <v>12</v>
      </c>
      <c r="B17" s="33"/>
      <c r="C17" s="69"/>
      <c r="D17" s="69"/>
      <c r="E17" s="69"/>
      <c r="F17" s="69"/>
      <c r="G17" s="69"/>
      <c r="H17" s="69"/>
      <c r="I17" s="69"/>
      <c r="J17" s="69"/>
      <c r="K17" s="69"/>
      <c r="L17" s="69"/>
      <c r="M17" s="69"/>
      <c r="N17" s="69"/>
      <c r="O17" s="69"/>
      <c r="P17" s="69"/>
      <c r="Q17" s="69" t="str">
        <f aca="false">IF(SUM(G17:P17)=0,"",SUM(G17:P17))</f>
        <v/>
      </c>
      <c r="R17" s="70" t="str">
        <f aca="false">IF(OR(Q17="",$E17=0),"",Q17/$E17)</f>
        <v/>
      </c>
      <c r="S17" s="71"/>
      <c r="T17" s="71"/>
    </row>
    <row r="18" customFormat="false" ht="24" hidden="false" customHeight="true" outlineLevel="0" collapsed="false">
      <c r="A18" s="33" t="n">
        <v>13</v>
      </c>
      <c r="B18" s="33"/>
      <c r="C18" s="69"/>
      <c r="D18" s="69"/>
      <c r="E18" s="69"/>
      <c r="F18" s="69"/>
      <c r="G18" s="69"/>
      <c r="H18" s="69"/>
      <c r="I18" s="69"/>
      <c r="J18" s="69"/>
      <c r="K18" s="69"/>
      <c r="L18" s="69"/>
      <c r="M18" s="69"/>
      <c r="N18" s="69"/>
      <c r="O18" s="69"/>
      <c r="P18" s="69"/>
      <c r="Q18" s="69" t="str">
        <f aca="false">IF(SUM(G18:P18)=0,"",SUM(G18:P18))</f>
        <v/>
      </c>
      <c r="R18" s="70" t="str">
        <f aca="false">IF(OR(Q18="",$E18=0),"",Q18/$E18)</f>
        <v/>
      </c>
      <c r="S18" s="71"/>
      <c r="T18" s="71"/>
    </row>
    <row r="19" customFormat="false" ht="24" hidden="false" customHeight="true" outlineLevel="0" collapsed="false">
      <c r="A19" s="33" t="n">
        <v>14</v>
      </c>
      <c r="B19" s="33"/>
      <c r="C19" s="69"/>
      <c r="D19" s="69"/>
      <c r="E19" s="69"/>
      <c r="F19" s="69"/>
      <c r="G19" s="69"/>
      <c r="H19" s="69"/>
      <c r="I19" s="69"/>
      <c r="J19" s="69"/>
      <c r="K19" s="69"/>
      <c r="L19" s="69"/>
      <c r="M19" s="69"/>
      <c r="N19" s="69"/>
      <c r="O19" s="69"/>
      <c r="P19" s="69"/>
      <c r="Q19" s="69" t="str">
        <f aca="false">IF(SUM(G19:P19)=0,"",SUM(G19:P19))</f>
        <v/>
      </c>
      <c r="R19" s="70" t="str">
        <f aca="false">IF(OR(Q19="",$E19=0),"",Q19/$E19)</f>
        <v/>
      </c>
      <c r="S19" s="71"/>
      <c r="T19" s="71"/>
    </row>
    <row r="20" customFormat="false" ht="24" hidden="false" customHeight="true" outlineLevel="0" collapsed="false">
      <c r="A20" s="33" t="n">
        <v>15</v>
      </c>
      <c r="B20" s="33"/>
      <c r="C20" s="69"/>
      <c r="D20" s="69"/>
      <c r="E20" s="69"/>
      <c r="F20" s="69"/>
      <c r="G20" s="69"/>
      <c r="H20" s="69"/>
      <c r="I20" s="69"/>
      <c r="J20" s="69"/>
      <c r="K20" s="69"/>
      <c r="L20" s="69"/>
      <c r="M20" s="69"/>
      <c r="N20" s="69"/>
      <c r="O20" s="69"/>
      <c r="P20" s="69"/>
      <c r="Q20" s="69" t="str">
        <f aca="false">IF(SUM(G20:P20)=0,"",SUM(G20:P20))</f>
        <v/>
      </c>
      <c r="R20" s="70" t="str">
        <f aca="false">IF(OR(Q20="",$E20=0),"",Q20/$E20)</f>
        <v/>
      </c>
      <c r="S20" s="71"/>
      <c r="T20" s="71"/>
    </row>
    <row r="21" customFormat="false" ht="24" hidden="false" customHeight="true" outlineLevel="0" collapsed="false">
      <c r="A21" s="30" t="s">
        <v>311</v>
      </c>
      <c r="B21" s="30"/>
      <c r="C21" s="51"/>
      <c r="D21" s="51"/>
      <c r="E21" s="51" t="str">
        <f aca="false">IF(SUM(E6:E20)=0,"",SUM(E6:E20))</f>
        <v/>
      </c>
      <c r="F21" s="51" t="str">
        <f aca="false">IF(SUM(F6:F20)=0,"",SUM(F6:F20))</f>
        <v/>
      </c>
      <c r="G21" s="51" t="str">
        <f aca="false">IF(SUM(G6:G20)=0,"",SUM(G6:G20))</f>
        <v/>
      </c>
      <c r="H21" s="51" t="str">
        <f aca="false">IF(SUM(H6:H20)=0,"",SUM(H6:H20))</f>
        <v/>
      </c>
      <c r="I21" s="51" t="str">
        <f aca="false">IF(SUM(I6:I20)=0,"",SUM(I6:I20))</f>
        <v/>
      </c>
      <c r="J21" s="51" t="str">
        <f aca="false">IF(SUM(J6:J20)=0,"",SUM(J6:J20))</f>
        <v/>
      </c>
      <c r="K21" s="51" t="str">
        <f aca="false">IF(SUM(K6:K20)=0,"",SUM(K6:K20))</f>
        <v/>
      </c>
      <c r="L21" s="51" t="str">
        <f aca="false">IF(SUM(L6:L20)=0,"",SUM(L6:L20))</f>
        <v/>
      </c>
      <c r="M21" s="51" t="str">
        <f aca="false">IF(SUM(M6:M20)=0,"",SUM(M6:M20))</f>
        <v/>
      </c>
      <c r="N21" s="51" t="str">
        <f aca="false">IF(SUM(N6:N20)=0,"",SUM(N6:N20))</f>
        <v/>
      </c>
      <c r="O21" s="51" t="str">
        <f aca="false">IF(SUM(O6:O20)=0,"",SUM(O6:O20))</f>
        <v/>
      </c>
      <c r="P21" s="51" t="str">
        <f aca="false">IF(SUM(P6:P20)=0,"",SUM(P6:P20))</f>
        <v/>
      </c>
      <c r="Q21" s="51" t="str">
        <f aca="false">IF(SUM(Q6:Q20)=0,"",SUM(Q6:Q20))</f>
        <v/>
      </c>
      <c r="R21" s="32"/>
      <c r="S21" s="8"/>
      <c r="T21" s="8"/>
    </row>
    <row r="23" customFormat="false" ht="33.75" hidden="false" customHeight="true" outlineLevel="0" collapsed="false">
      <c r="A23" s="5" t="s">
        <v>391</v>
      </c>
      <c r="B23" s="5"/>
      <c r="C23" s="5"/>
      <c r="D23" s="5"/>
      <c r="E23" s="5"/>
      <c r="F23" s="5"/>
      <c r="G23" s="5"/>
      <c r="H23" s="5"/>
      <c r="I23" s="5"/>
      <c r="J23" s="5"/>
      <c r="K23" s="5"/>
      <c r="L23" s="5"/>
      <c r="M23" s="5"/>
      <c r="N23" s="5"/>
      <c r="O23" s="5"/>
      <c r="P23" s="5"/>
      <c r="Q23" s="5"/>
      <c r="R23" s="5"/>
      <c r="S23" s="5"/>
      <c r="T23" s="5"/>
    </row>
    <row r="25" customFormat="false" ht="39.75" hidden="false" customHeight="true" outlineLevel="0" collapsed="false">
      <c r="A25" s="64" t="s">
        <v>392</v>
      </c>
      <c r="B25" s="64"/>
      <c r="C25" s="64"/>
      <c r="D25" s="64"/>
      <c r="E25" s="64" t="s">
        <v>393</v>
      </c>
      <c r="F25" s="64"/>
      <c r="G25" s="64"/>
      <c r="H25" s="64"/>
      <c r="I25" s="64" t="s">
        <v>382</v>
      </c>
      <c r="J25" s="64"/>
      <c r="K25" s="64"/>
      <c r="L25" s="64"/>
      <c r="M25" s="64" t="s">
        <v>383</v>
      </c>
      <c r="N25" s="64"/>
      <c r="O25" s="64"/>
      <c r="P25" s="64"/>
      <c r="Q25" s="64" t="s">
        <v>384</v>
      </c>
      <c r="R25" s="64"/>
      <c r="S25" s="64"/>
      <c r="T25" s="64"/>
    </row>
  </sheetData>
  <mergeCells count="22">
    <mergeCell ref="A1:C1"/>
    <mergeCell ref="D1:T1"/>
    <mergeCell ref="A2:J2"/>
    <mergeCell ref="Q2:T2"/>
    <mergeCell ref="A3:A5"/>
    <mergeCell ref="B3:B5"/>
    <mergeCell ref="C3:C5"/>
    <mergeCell ref="D3:D5"/>
    <mergeCell ref="E3:E5"/>
    <mergeCell ref="F3:F5"/>
    <mergeCell ref="G3:P3"/>
    <mergeCell ref="Q3:Q5"/>
    <mergeCell ref="R3:R5"/>
    <mergeCell ref="S3:S5"/>
    <mergeCell ref="T3:T5"/>
    <mergeCell ref="A21:B21"/>
    <mergeCell ref="A23:T23"/>
    <mergeCell ref="A25:D25"/>
    <mergeCell ref="E25:H25"/>
    <mergeCell ref="I25:L25"/>
    <mergeCell ref="M25:P25"/>
    <mergeCell ref="Q25:T25"/>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T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24"/>
    <col collapsed="false" customWidth="true" hidden="false" outlineLevel="0" max="4" min="4" style="0" width="14"/>
    <col collapsed="false" customWidth="true" hidden="false" outlineLevel="0" max="5" min="5" style="0" width="13"/>
    <col collapsed="false" customWidth="true" hidden="false" outlineLevel="0" max="6" min="6" style="0" width="14"/>
    <col collapsed="false" customWidth="true" hidden="false" outlineLevel="0" max="16" min="7" style="0" width="9"/>
    <col collapsed="false" customWidth="true" hidden="false" outlineLevel="0" max="17" min="17" style="0" width="12"/>
    <col collapsed="false" customWidth="true" hidden="false" outlineLevel="0" max="18" min="18" style="0" width="11"/>
    <col collapsed="false" customWidth="true" hidden="false" outlineLevel="0" max="19" min="19" style="0" width="26"/>
    <col collapsed="false" customWidth="true" hidden="false" outlineLevel="0" max="20" min="20" style="0" width="12"/>
  </cols>
  <sheetData>
    <row r="1" customFormat="false" ht="45.75" hidden="false" customHeight="true" outlineLevel="0" collapsed="false">
      <c r="A1" s="1" t="s">
        <v>0</v>
      </c>
      <c r="B1" s="1"/>
      <c r="C1" s="1"/>
      <c r="D1" s="65" t="str">
        <f aca="false">IF(使用说明!$B$2="","",使用说明!$B$2&amp;"    ")&amp;"《无形资产工时分配表》（月度填报签批用）"</f>
        <v>《无形资产工时分配表》（月度填报签批用）</v>
      </c>
      <c r="E1" s="65"/>
      <c r="F1" s="65"/>
      <c r="G1" s="65"/>
      <c r="H1" s="65"/>
      <c r="I1" s="65"/>
      <c r="J1" s="65"/>
      <c r="K1" s="65"/>
      <c r="L1" s="65"/>
      <c r="M1" s="65"/>
      <c r="N1" s="65"/>
      <c r="O1" s="65"/>
      <c r="P1" s="65"/>
      <c r="Q1" s="65"/>
      <c r="R1" s="65"/>
      <c r="S1" s="65"/>
      <c r="T1" s="65"/>
    </row>
    <row r="2" customFormat="false" ht="24" hidden="false" customHeight="true" outlineLevel="0" collapsed="false">
      <c r="A2" s="64" t="s">
        <v>375</v>
      </c>
      <c r="B2" s="64"/>
      <c r="C2" s="64"/>
      <c r="D2" s="64"/>
      <c r="E2" s="64"/>
      <c r="F2" s="64"/>
      <c r="G2" s="64"/>
      <c r="H2" s="64"/>
      <c r="I2" s="64"/>
      <c r="J2" s="64"/>
      <c r="Q2" s="66" t="s">
        <v>376</v>
      </c>
      <c r="R2" s="66"/>
      <c r="S2" s="66"/>
      <c r="T2" s="66"/>
    </row>
    <row r="3" customFormat="false" ht="25.5" hidden="false" customHeight="true" outlineLevel="0" collapsed="false">
      <c r="A3" s="67" t="s">
        <v>107</v>
      </c>
      <c r="B3" s="67" t="s">
        <v>181</v>
      </c>
      <c r="C3" s="67" t="s">
        <v>265</v>
      </c>
      <c r="D3" s="67" t="s">
        <v>394</v>
      </c>
      <c r="E3" s="67" t="s">
        <v>267</v>
      </c>
      <c r="F3" s="67" t="s">
        <v>386</v>
      </c>
      <c r="G3" s="67" t="s">
        <v>255</v>
      </c>
      <c r="H3" s="67"/>
      <c r="I3" s="67"/>
      <c r="J3" s="67"/>
      <c r="K3" s="67"/>
      <c r="L3" s="67"/>
      <c r="M3" s="67"/>
      <c r="N3" s="67"/>
      <c r="O3" s="67"/>
      <c r="P3" s="67"/>
      <c r="Q3" s="67" t="s">
        <v>387</v>
      </c>
      <c r="R3" s="67" t="s">
        <v>388</v>
      </c>
      <c r="S3" s="67" t="s">
        <v>395</v>
      </c>
      <c r="T3" s="67" t="s">
        <v>390</v>
      </c>
    </row>
    <row r="4" customFormat="false" ht="18" hidden="false" customHeight="true" outlineLevel="0" collapsed="false">
      <c r="A4" s="67"/>
      <c r="B4" s="67"/>
      <c r="C4" s="67"/>
      <c r="D4" s="67"/>
      <c r="E4" s="67"/>
      <c r="F4" s="67"/>
      <c r="G4" s="40" t="str">
        <f aca="false">项目清单!$B$4</f>
        <v>RD01</v>
      </c>
      <c r="H4" s="40" t="str">
        <f aca="false">项目清单!$B$5</f>
        <v>RD02</v>
      </c>
      <c r="I4" s="40" t="str">
        <f aca="false">项目清单!$B$6</f>
        <v>RD03</v>
      </c>
      <c r="J4" s="40" t="str">
        <f aca="false">项目清单!$B$7</f>
        <v>RD04</v>
      </c>
      <c r="K4" s="40" t="str">
        <f aca="false">项目清单!$B$8</f>
        <v>RD05</v>
      </c>
      <c r="L4" s="40" t="str">
        <f aca="false">项目清单!$B$9</f>
        <v>RD06</v>
      </c>
      <c r="M4" s="40" t="str">
        <f aca="false">项目清单!$B$10</f>
        <v>RD07</v>
      </c>
      <c r="N4" s="40" t="str">
        <f aca="false">项目清单!$B$11</f>
        <v>RD08</v>
      </c>
      <c r="O4" s="40" t="str">
        <f aca="false">项目清单!$B$12</f>
        <v>RD09</v>
      </c>
      <c r="P4" s="40" t="str">
        <f aca="false">项目清单!$B$13</f>
        <v>RD10</v>
      </c>
      <c r="Q4" s="67"/>
      <c r="R4" s="67"/>
      <c r="S4" s="67"/>
      <c r="T4" s="67"/>
    </row>
    <row r="5" customFormat="false" ht="36" hidden="false" customHeight="true" outlineLevel="0" collapsed="false">
      <c r="A5" s="67"/>
      <c r="B5" s="67"/>
      <c r="C5" s="67"/>
      <c r="D5" s="67"/>
      <c r="E5" s="67"/>
      <c r="F5" s="67"/>
      <c r="G5" s="68" t="str">
        <f aca="false">IF(G4="","",IFERROR(VLOOKUP(G4,项目清单!$B$4:$C$13,2,0)&amp;"",""))</f>
        <v>高回弹低压缩永久变形3C用聚氨酯泡棉开发</v>
      </c>
      <c r="H5" s="68" t="str">
        <f aca="false">IF(H4="","",IFERROR(VLOOKUP(H4,项目清单!$B$4:$C$13,2,0)&amp;"",""))</f>
        <v>动力电池模组用高阻燃缓冲泡棉研发</v>
      </c>
      <c r="I5" s="68" t="str">
        <f aca="false">IF(I4="","",IFERROR(VLOOKUP(I4,项目清单!$B$4:$C$13,2,0)&amp;"",""))</f>
        <v>泡棉与PET基材无溶剂贴合工艺开发</v>
      </c>
      <c r="J5" s="68" t="str">
        <f aca="false">IF(J4="","",IFERROR(VLOOKUP(J4,项目清单!$B$4:$C$13,2,0)&amp;"",""))</f>
        <v>超薄泡棉高精度分切及毛边控制技术研究</v>
      </c>
      <c r="K5" s="68" t="str">
        <f aca="false">IF(K4="","",IFERROR(VLOOKUP(K4,项目清单!$B$4:$C$13,2,0)&amp;"",""))</f>
        <v>新能源汽车电池包用导热缓冲复合材料开发</v>
      </c>
      <c r="L5" s="68" t="str">
        <f aca="false">IF(L4="","",IFERROR(VLOOKUP(L4,项目清单!$B$4:$C$13,2,0)&amp;"",""))</f>
        <v>3C电子用超薄黑色遮光泡棉制备技术</v>
      </c>
      <c r="M5" s="68" t="str">
        <f aca="false">IF(M4="","",IFERROR(VLOOKUP(M4,项目清单!$B$4:$C$13,2,0)&amp;"",""))</f>
        <v>环保型水性胶泡棉贴合技术开发</v>
      </c>
      <c r="N5" s="68" t="str">
        <f aca="false">IF(N4="","",IFERROR(VLOOKUP(N4,项目清单!$B$4:$C$13,2,0)&amp;"",""))</f>
        <v>泡棉模切自动化在线检测技术研究</v>
      </c>
      <c r="O5" s="68" t="str">
        <f aca="false">IF(O4="","",IFERROR(VLOOKUP(O4,项目清单!$B$4:$C$13,2,0)&amp;"",""))</f>
        <v/>
      </c>
      <c r="P5" s="68" t="str">
        <f aca="false">IF(P4="","",IFERROR(VLOOKUP(P4,项目清单!$B$4:$C$13,2,0)&amp;"",""))</f>
        <v/>
      </c>
      <c r="Q5" s="67"/>
      <c r="R5" s="67"/>
      <c r="S5" s="67"/>
      <c r="T5" s="67"/>
    </row>
    <row r="6" customFormat="false" ht="24" hidden="false" customHeight="true" outlineLevel="0" collapsed="false">
      <c r="A6" s="33" t="n">
        <v>1</v>
      </c>
      <c r="B6" s="33"/>
      <c r="C6" s="69"/>
      <c r="D6" s="69"/>
      <c r="E6" s="69"/>
      <c r="F6" s="69"/>
      <c r="G6" s="69"/>
      <c r="H6" s="69"/>
      <c r="I6" s="69"/>
      <c r="J6" s="69"/>
      <c r="K6" s="69"/>
      <c r="L6" s="69"/>
      <c r="M6" s="69"/>
      <c r="N6" s="69"/>
      <c r="O6" s="69"/>
      <c r="P6" s="69"/>
      <c r="Q6" s="69" t="str">
        <f aca="false">IF(SUM(G6:P6)=0,"",SUM(G6:P6))</f>
        <v/>
      </c>
      <c r="R6" s="70" t="str">
        <f aca="false">IF(OR(Q6="",$E6=0),"",Q6/$E6)</f>
        <v/>
      </c>
      <c r="S6" s="71"/>
      <c r="T6" s="71"/>
    </row>
    <row r="7" customFormat="false" ht="24" hidden="false" customHeight="true" outlineLevel="0" collapsed="false">
      <c r="A7" s="33" t="n">
        <v>2</v>
      </c>
      <c r="B7" s="33"/>
      <c r="C7" s="69"/>
      <c r="D7" s="69"/>
      <c r="E7" s="69"/>
      <c r="F7" s="69"/>
      <c r="G7" s="69"/>
      <c r="H7" s="69"/>
      <c r="I7" s="69"/>
      <c r="J7" s="69"/>
      <c r="K7" s="69"/>
      <c r="L7" s="69"/>
      <c r="M7" s="69"/>
      <c r="N7" s="69"/>
      <c r="O7" s="69"/>
      <c r="P7" s="69"/>
      <c r="Q7" s="69" t="str">
        <f aca="false">IF(SUM(G7:P7)=0,"",SUM(G7:P7))</f>
        <v/>
      </c>
      <c r="R7" s="70" t="str">
        <f aca="false">IF(OR(Q7="",$E7=0),"",Q7/$E7)</f>
        <v/>
      </c>
      <c r="S7" s="71"/>
      <c r="T7" s="71"/>
    </row>
    <row r="8" customFormat="false" ht="24" hidden="false" customHeight="true" outlineLevel="0" collapsed="false">
      <c r="A8" s="33" t="n">
        <v>3</v>
      </c>
      <c r="B8" s="33"/>
      <c r="C8" s="69"/>
      <c r="D8" s="69"/>
      <c r="E8" s="69"/>
      <c r="F8" s="69"/>
      <c r="G8" s="69"/>
      <c r="H8" s="69"/>
      <c r="I8" s="69"/>
      <c r="J8" s="69"/>
      <c r="K8" s="69"/>
      <c r="L8" s="69"/>
      <c r="M8" s="69"/>
      <c r="N8" s="69"/>
      <c r="O8" s="69"/>
      <c r="P8" s="69"/>
      <c r="Q8" s="69" t="str">
        <f aca="false">IF(SUM(G8:P8)=0,"",SUM(G8:P8))</f>
        <v/>
      </c>
      <c r="R8" s="70" t="str">
        <f aca="false">IF(OR(Q8="",$E8=0),"",Q8/$E8)</f>
        <v/>
      </c>
      <c r="S8" s="71"/>
      <c r="T8" s="71"/>
    </row>
    <row r="9" customFormat="false" ht="24" hidden="false" customHeight="true" outlineLevel="0" collapsed="false">
      <c r="A9" s="33" t="n">
        <v>4</v>
      </c>
      <c r="B9" s="33"/>
      <c r="C9" s="69"/>
      <c r="D9" s="69"/>
      <c r="E9" s="69"/>
      <c r="F9" s="69"/>
      <c r="G9" s="69"/>
      <c r="H9" s="69"/>
      <c r="I9" s="69"/>
      <c r="J9" s="69"/>
      <c r="K9" s="69"/>
      <c r="L9" s="69"/>
      <c r="M9" s="69"/>
      <c r="N9" s="69"/>
      <c r="O9" s="69"/>
      <c r="P9" s="69"/>
      <c r="Q9" s="69" t="str">
        <f aca="false">IF(SUM(G9:P9)=0,"",SUM(G9:P9))</f>
        <v/>
      </c>
      <c r="R9" s="70" t="str">
        <f aca="false">IF(OR(Q9="",$E9=0),"",Q9/$E9)</f>
        <v/>
      </c>
      <c r="S9" s="71"/>
      <c r="T9" s="71"/>
    </row>
    <row r="10" customFormat="false" ht="24" hidden="false" customHeight="true" outlineLevel="0" collapsed="false">
      <c r="A10" s="33" t="n">
        <v>5</v>
      </c>
      <c r="B10" s="33"/>
      <c r="C10" s="69"/>
      <c r="D10" s="69"/>
      <c r="E10" s="69"/>
      <c r="F10" s="69"/>
      <c r="G10" s="69"/>
      <c r="H10" s="69"/>
      <c r="I10" s="69"/>
      <c r="J10" s="69"/>
      <c r="K10" s="69"/>
      <c r="L10" s="69"/>
      <c r="M10" s="69"/>
      <c r="N10" s="69"/>
      <c r="O10" s="69"/>
      <c r="P10" s="69"/>
      <c r="Q10" s="69" t="str">
        <f aca="false">IF(SUM(G10:P10)=0,"",SUM(G10:P10))</f>
        <v/>
      </c>
      <c r="R10" s="70" t="str">
        <f aca="false">IF(OR(Q10="",$E10=0),"",Q10/$E10)</f>
        <v/>
      </c>
      <c r="S10" s="71"/>
      <c r="T10" s="71"/>
    </row>
    <row r="11" customFormat="false" ht="24" hidden="false" customHeight="true" outlineLevel="0" collapsed="false">
      <c r="A11" s="33" t="n">
        <v>6</v>
      </c>
      <c r="B11" s="33"/>
      <c r="C11" s="69"/>
      <c r="D11" s="69"/>
      <c r="E11" s="69"/>
      <c r="F11" s="69"/>
      <c r="G11" s="69"/>
      <c r="H11" s="69"/>
      <c r="I11" s="69"/>
      <c r="J11" s="69"/>
      <c r="K11" s="69"/>
      <c r="L11" s="69"/>
      <c r="M11" s="69"/>
      <c r="N11" s="69"/>
      <c r="O11" s="69"/>
      <c r="P11" s="69"/>
      <c r="Q11" s="69" t="str">
        <f aca="false">IF(SUM(G11:P11)=0,"",SUM(G11:P11))</f>
        <v/>
      </c>
      <c r="R11" s="70" t="str">
        <f aca="false">IF(OR(Q11="",$E11=0),"",Q11/$E11)</f>
        <v/>
      </c>
      <c r="S11" s="71"/>
      <c r="T11" s="71"/>
    </row>
    <row r="12" customFormat="false" ht="24" hidden="false" customHeight="true" outlineLevel="0" collapsed="false">
      <c r="A12" s="33" t="n">
        <v>7</v>
      </c>
      <c r="B12" s="33"/>
      <c r="C12" s="69"/>
      <c r="D12" s="69"/>
      <c r="E12" s="69"/>
      <c r="F12" s="69"/>
      <c r="G12" s="69"/>
      <c r="H12" s="69"/>
      <c r="I12" s="69"/>
      <c r="J12" s="69"/>
      <c r="K12" s="69"/>
      <c r="L12" s="69"/>
      <c r="M12" s="69"/>
      <c r="N12" s="69"/>
      <c r="O12" s="69"/>
      <c r="P12" s="69"/>
      <c r="Q12" s="69" t="str">
        <f aca="false">IF(SUM(G12:P12)=0,"",SUM(G12:P12))</f>
        <v/>
      </c>
      <c r="R12" s="70" t="str">
        <f aca="false">IF(OR(Q12="",$E12=0),"",Q12/$E12)</f>
        <v/>
      </c>
      <c r="S12" s="71"/>
      <c r="T12" s="71"/>
    </row>
    <row r="13" customFormat="false" ht="24" hidden="false" customHeight="true" outlineLevel="0" collapsed="false">
      <c r="A13" s="33" t="n">
        <v>8</v>
      </c>
      <c r="B13" s="33"/>
      <c r="C13" s="69"/>
      <c r="D13" s="69"/>
      <c r="E13" s="69"/>
      <c r="F13" s="69"/>
      <c r="G13" s="69"/>
      <c r="H13" s="69"/>
      <c r="I13" s="69"/>
      <c r="J13" s="69"/>
      <c r="K13" s="69"/>
      <c r="L13" s="69"/>
      <c r="M13" s="69"/>
      <c r="N13" s="69"/>
      <c r="O13" s="69"/>
      <c r="P13" s="69"/>
      <c r="Q13" s="69" t="str">
        <f aca="false">IF(SUM(G13:P13)=0,"",SUM(G13:P13))</f>
        <v/>
      </c>
      <c r="R13" s="70" t="str">
        <f aca="false">IF(OR(Q13="",$E13=0),"",Q13/$E13)</f>
        <v/>
      </c>
      <c r="S13" s="71"/>
      <c r="T13" s="71"/>
    </row>
    <row r="14" customFormat="false" ht="24" hidden="false" customHeight="true" outlineLevel="0" collapsed="false">
      <c r="A14" s="33" t="n">
        <v>9</v>
      </c>
      <c r="B14" s="33"/>
      <c r="C14" s="69"/>
      <c r="D14" s="69"/>
      <c r="E14" s="69"/>
      <c r="F14" s="69"/>
      <c r="G14" s="69"/>
      <c r="H14" s="69"/>
      <c r="I14" s="69"/>
      <c r="J14" s="69"/>
      <c r="K14" s="69"/>
      <c r="L14" s="69"/>
      <c r="M14" s="69"/>
      <c r="N14" s="69"/>
      <c r="O14" s="69"/>
      <c r="P14" s="69"/>
      <c r="Q14" s="69" t="str">
        <f aca="false">IF(SUM(G14:P14)=0,"",SUM(G14:P14))</f>
        <v/>
      </c>
      <c r="R14" s="70" t="str">
        <f aca="false">IF(OR(Q14="",$E14=0),"",Q14/$E14)</f>
        <v/>
      </c>
      <c r="S14" s="71"/>
      <c r="T14" s="71"/>
    </row>
    <row r="15" customFormat="false" ht="24" hidden="false" customHeight="true" outlineLevel="0" collapsed="false">
      <c r="A15" s="33" t="n">
        <v>10</v>
      </c>
      <c r="B15" s="33"/>
      <c r="C15" s="69"/>
      <c r="D15" s="69"/>
      <c r="E15" s="69"/>
      <c r="F15" s="69"/>
      <c r="G15" s="69"/>
      <c r="H15" s="69"/>
      <c r="I15" s="69"/>
      <c r="J15" s="69"/>
      <c r="K15" s="69"/>
      <c r="L15" s="69"/>
      <c r="M15" s="69"/>
      <c r="N15" s="69"/>
      <c r="O15" s="69"/>
      <c r="P15" s="69"/>
      <c r="Q15" s="69" t="str">
        <f aca="false">IF(SUM(G15:P15)=0,"",SUM(G15:P15))</f>
        <v/>
      </c>
      <c r="R15" s="70" t="str">
        <f aca="false">IF(OR(Q15="",$E15=0),"",Q15/$E15)</f>
        <v/>
      </c>
      <c r="S15" s="71"/>
      <c r="T15" s="71"/>
    </row>
    <row r="16" customFormat="false" ht="24" hidden="false" customHeight="true" outlineLevel="0" collapsed="false">
      <c r="A16" s="33" t="n">
        <v>11</v>
      </c>
      <c r="B16" s="33"/>
      <c r="C16" s="69"/>
      <c r="D16" s="69"/>
      <c r="E16" s="69"/>
      <c r="F16" s="69"/>
      <c r="G16" s="69"/>
      <c r="H16" s="69"/>
      <c r="I16" s="69"/>
      <c r="J16" s="69"/>
      <c r="K16" s="69"/>
      <c r="L16" s="69"/>
      <c r="M16" s="69"/>
      <c r="N16" s="69"/>
      <c r="O16" s="69"/>
      <c r="P16" s="69"/>
      <c r="Q16" s="69" t="str">
        <f aca="false">IF(SUM(G16:P16)=0,"",SUM(G16:P16))</f>
        <v/>
      </c>
      <c r="R16" s="70" t="str">
        <f aca="false">IF(OR(Q16="",$E16=0),"",Q16/$E16)</f>
        <v/>
      </c>
      <c r="S16" s="71"/>
      <c r="T16" s="71"/>
    </row>
    <row r="17" customFormat="false" ht="24" hidden="false" customHeight="true" outlineLevel="0" collapsed="false">
      <c r="A17" s="33" t="n">
        <v>12</v>
      </c>
      <c r="B17" s="33"/>
      <c r="C17" s="69"/>
      <c r="D17" s="69"/>
      <c r="E17" s="69"/>
      <c r="F17" s="69"/>
      <c r="G17" s="69"/>
      <c r="H17" s="69"/>
      <c r="I17" s="69"/>
      <c r="J17" s="69"/>
      <c r="K17" s="69"/>
      <c r="L17" s="69"/>
      <c r="M17" s="69"/>
      <c r="N17" s="69"/>
      <c r="O17" s="69"/>
      <c r="P17" s="69"/>
      <c r="Q17" s="69" t="str">
        <f aca="false">IF(SUM(G17:P17)=0,"",SUM(G17:P17))</f>
        <v/>
      </c>
      <c r="R17" s="70" t="str">
        <f aca="false">IF(OR(Q17="",$E17=0),"",Q17/$E17)</f>
        <v/>
      </c>
      <c r="S17" s="71"/>
      <c r="T17" s="71"/>
    </row>
    <row r="18" customFormat="false" ht="24" hidden="false" customHeight="true" outlineLevel="0" collapsed="false">
      <c r="A18" s="33" t="n">
        <v>13</v>
      </c>
      <c r="B18" s="33"/>
      <c r="C18" s="69"/>
      <c r="D18" s="69"/>
      <c r="E18" s="69"/>
      <c r="F18" s="69"/>
      <c r="G18" s="69"/>
      <c r="H18" s="69"/>
      <c r="I18" s="69"/>
      <c r="J18" s="69"/>
      <c r="K18" s="69"/>
      <c r="L18" s="69"/>
      <c r="M18" s="69"/>
      <c r="N18" s="69"/>
      <c r="O18" s="69"/>
      <c r="P18" s="69"/>
      <c r="Q18" s="69" t="str">
        <f aca="false">IF(SUM(G18:P18)=0,"",SUM(G18:P18))</f>
        <v/>
      </c>
      <c r="R18" s="70" t="str">
        <f aca="false">IF(OR(Q18="",$E18=0),"",Q18/$E18)</f>
        <v/>
      </c>
      <c r="S18" s="71"/>
      <c r="T18" s="71"/>
    </row>
    <row r="19" customFormat="false" ht="24" hidden="false" customHeight="true" outlineLevel="0" collapsed="false">
      <c r="A19" s="33" t="n">
        <v>14</v>
      </c>
      <c r="B19" s="33"/>
      <c r="C19" s="69"/>
      <c r="D19" s="69"/>
      <c r="E19" s="69"/>
      <c r="F19" s="69"/>
      <c r="G19" s="69"/>
      <c r="H19" s="69"/>
      <c r="I19" s="69"/>
      <c r="J19" s="69"/>
      <c r="K19" s="69"/>
      <c r="L19" s="69"/>
      <c r="M19" s="69"/>
      <c r="N19" s="69"/>
      <c r="O19" s="69"/>
      <c r="P19" s="69"/>
      <c r="Q19" s="69" t="str">
        <f aca="false">IF(SUM(G19:P19)=0,"",SUM(G19:P19))</f>
        <v/>
      </c>
      <c r="R19" s="70" t="str">
        <f aca="false">IF(OR(Q19="",$E19=0),"",Q19/$E19)</f>
        <v/>
      </c>
      <c r="S19" s="71"/>
      <c r="T19" s="71"/>
    </row>
    <row r="20" customFormat="false" ht="24" hidden="false" customHeight="true" outlineLevel="0" collapsed="false">
      <c r="A20" s="33" t="n">
        <v>15</v>
      </c>
      <c r="B20" s="33"/>
      <c r="C20" s="69"/>
      <c r="D20" s="69"/>
      <c r="E20" s="69"/>
      <c r="F20" s="69"/>
      <c r="G20" s="69"/>
      <c r="H20" s="69"/>
      <c r="I20" s="69"/>
      <c r="J20" s="69"/>
      <c r="K20" s="69"/>
      <c r="L20" s="69"/>
      <c r="M20" s="69"/>
      <c r="N20" s="69"/>
      <c r="O20" s="69"/>
      <c r="P20" s="69"/>
      <c r="Q20" s="69" t="str">
        <f aca="false">IF(SUM(G20:P20)=0,"",SUM(G20:P20))</f>
        <v/>
      </c>
      <c r="R20" s="70" t="str">
        <f aca="false">IF(OR(Q20="",$E20=0),"",Q20/$E20)</f>
        <v/>
      </c>
      <c r="S20" s="71"/>
      <c r="T20" s="71"/>
    </row>
    <row r="21" customFormat="false" ht="24" hidden="false" customHeight="true" outlineLevel="0" collapsed="false">
      <c r="A21" s="30" t="s">
        <v>311</v>
      </c>
      <c r="B21" s="30"/>
      <c r="C21" s="51"/>
      <c r="D21" s="51"/>
      <c r="E21" s="51" t="str">
        <f aca="false">IF(SUM(E6:E20)=0,"",SUM(E6:E20))</f>
        <v/>
      </c>
      <c r="F21" s="51" t="str">
        <f aca="false">IF(SUM(F6:F20)=0,"",SUM(F6:F20))</f>
        <v/>
      </c>
      <c r="G21" s="51" t="str">
        <f aca="false">IF(SUM(G6:G20)=0,"",SUM(G6:G20))</f>
        <v/>
      </c>
      <c r="H21" s="51" t="str">
        <f aca="false">IF(SUM(H6:H20)=0,"",SUM(H6:H20))</f>
        <v/>
      </c>
      <c r="I21" s="51" t="str">
        <f aca="false">IF(SUM(I6:I20)=0,"",SUM(I6:I20))</f>
        <v/>
      </c>
      <c r="J21" s="51" t="str">
        <f aca="false">IF(SUM(J6:J20)=0,"",SUM(J6:J20))</f>
        <v/>
      </c>
      <c r="K21" s="51" t="str">
        <f aca="false">IF(SUM(K6:K20)=0,"",SUM(K6:K20))</f>
        <v/>
      </c>
      <c r="L21" s="51" t="str">
        <f aca="false">IF(SUM(L6:L20)=0,"",SUM(L6:L20))</f>
        <v/>
      </c>
      <c r="M21" s="51" t="str">
        <f aca="false">IF(SUM(M6:M20)=0,"",SUM(M6:M20))</f>
        <v/>
      </c>
      <c r="N21" s="51" t="str">
        <f aca="false">IF(SUM(N6:N20)=0,"",SUM(N6:N20))</f>
        <v/>
      </c>
      <c r="O21" s="51" t="str">
        <f aca="false">IF(SUM(O6:O20)=0,"",SUM(O6:O20))</f>
        <v/>
      </c>
      <c r="P21" s="51" t="str">
        <f aca="false">IF(SUM(P6:P20)=0,"",SUM(P6:P20))</f>
        <v/>
      </c>
      <c r="Q21" s="51" t="str">
        <f aca="false">IF(SUM(Q6:Q20)=0,"",SUM(Q6:Q20))</f>
        <v/>
      </c>
      <c r="R21" s="32"/>
      <c r="S21" s="8"/>
      <c r="T21" s="8"/>
    </row>
    <row r="23" customFormat="false" ht="33.75" hidden="false" customHeight="true" outlineLevel="0" collapsed="false">
      <c r="A23" s="5" t="s">
        <v>396</v>
      </c>
      <c r="B23" s="5"/>
      <c r="C23" s="5"/>
      <c r="D23" s="5"/>
      <c r="E23" s="5"/>
      <c r="F23" s="5"/>
      <c r="G23" s="5"/>
      <c r="H23" s="5"/>
      <c r="I23" s="5"/>
      <c r="J23" s="5"/>
      <c r="K23" s="5"/>
      <c r="L23" s="5"/>
      <c r="M23" s="5"/>
      <c r="N23" s="5"/>
      <c r="O23" s="5"/>
      <c r="P23" s="5"/>
      <c r="Q23" s="5"/>
      <c r="R23" s="5"/>
      <c r="S23" s="5"/>
      <c r="T23" s="5"/>
    </row>
    <row r="25" customFormat="false" ht="39.75" hidden="false" customHeight="true" outlineLevel="0" collapsed="false">
      <c r="A25" s="64" t="s">
        <v>392</v>
      </c>
      <c r="B25" s="64"/>
      <c r="C25" s="64"/>
      <c r="D25" s="64"/>
      <c r="E25" s="64" t="s">
        <v>397</v>
      </c>
      <c r="F25" s="64"/>
      <c r="G25" s="64"/>
      <c r="H25" s="64"/>
      <c r="I25" s="64" t="s">
        <v>382</v>
      </c>
      <c r="J25" s="64"/>
      <c r="K25" s="64"/>
      <c r="L25" s="64"/>
      <c r="M25" s="64" t="s">
        <v>383</v>
      </c>
      <c r="N25" s="64"/>
      <c r="O25" s="64"/>
      <c r="P25" s="64"/>
      <c r="Q25" s="64" t="s">
        <v>384</v>
      </c>
      <c r="R25" s="64"/>
      <c r="S25" s="64"/>
      <c r="T25" s="64"/>
    </row>
  </sheetData>
  <mergeCells count="22">
    <mergeCell ref="A1:C1"/>
    <mergeCell ref="D1:T1"/>
    <mergeCell ref="A2:J2"/>
    <mergeCell ref="Q2:T2"/>
    <mergeCell ref="A3:A5"/>
    <mergeCell ref="B3:B5"/>
    <mergeCell ref="C3:C5"/>
    <mergeCell ref="D3:D5"/>
    <mergeCell ref="E3:E5"/>
    <mergeCell ref="F3:F5"/>
    <mergeCell ref="G3:P3"/>
    <mergeCell ref="Q3:Q5"/>
    <mergeCell ref="R3:R5"/>
    <mergeCell ref="S3:S5"/>
    <mergeCell ref="T3:T5"/>
    <mergeCell ref="A21:B21"/>
    <mergeCell ref="A23:T23"/>
    <mergeCell ref="A25:D25"/>
    <mergeCell ref="E25:H25"/>
    <mergeCell ref="I25:L25"/>
    <mergeCell ref="M25:P25"/>
    <mergeCell ref="Q25:T25"/>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2026-09-10T12:41:57Z</dcterms:created>
  <dc:creator>openpyxl</dc:creator>
  <dc:description/>
  <dc:language>en-US</dc:language>
  <cp:lastModifiedBy/>
  <dcterms:modified xsi:type="dcterms:W3CDTF">2026-09-10T12:41:59Z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