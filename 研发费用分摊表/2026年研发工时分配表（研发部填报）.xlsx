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与项目清单" sheetId="1" state="visible" r:id="rId3"/>
    <sheet name="人员工时月报" sheetId="2" state="visible" r:id="rId4"/>
    <sheet name="设备工时月报" sheetId="3" state="visible" r:id="rId5"/>
    <sheet name="无形资产工时月报" sheetId="4" state="visible" r:id="rId6"/>
    <sheet name="人员工时年度台账" sheetId="5" state="visible" r:id="rId7"/>
    <sheet name="设备工时年度台账" sheetId="6" state="visible" r:id="rId8"/>
    <sheet name="无形资产工时年度台账" sheetId="7" state="visible" r:id="rId9"/>
  </sheets>
  <definedNames>
    <definedName function="false" hidden="false" localSheetId="4" name="_xlnm.Print_Titles" vbProcedure="false">人员工时年度台账!$4:$6</definedName>
    <definedName function="false" hidden="false" localSheetId="1" name="_xlnm.Print_Titles" vbProcedure="false">人员工时月报!$4:$6</definedName>
    <definedName function="false" hidden="false" localSheetId="6" name="_xlnm.Print_Titles" vbProcedure="false">无形资产工时年度台账!$4:$6</definedName>
    <definedName function="false" hidden="false" localSheetId="3" name="_xlnm.Print_Titles" vbProcedure="false">无形资产工时月报!$4:$6</definedName>
    <definedName function="false" hidden="false" localSheetId="5" name="_xlnm.Print_Titles" vbProcedure="false">设备工时年度台账!$4:$6</definedName>
    <definedName function="false" hidden="false" localSheetId="2" name="_xlnm.Print_Titles" vbProcedure="false">设备工时月报!$4:$6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<sst xmlns="http://schemas.openxmlformats.org/spreadsheetml/2006/main" count="249" uniqueCount="115">
  <si>
    <r>
      <rPr>
        <b val="true"/>
        <sz val="18"/>
        <rFont val="宋体"/>
        <family val="0"/>
        <charset val="1"/>
      </rPr>
      <t xml:space="preserve">2026</t>
    </r>
    <r>
      <rPr>
        <b val="true"/>
        <sz val="18"/>
        <rFont val="WenQuanYi Zen Hei"/>
        <family val="2"/>
      </rPr>
      <t xml:space="preserve">年度  研发工时分配表（研发部门填报）  使用说明</t>
    </r>
  </si>
  <si>
    <t xml:space="preserve">一、表格用途</t>
  </si>
  <si>
    <t xml:space="preserve">本工作簿由研发部门按月填报，是研发费用归集分摊的唯一原始依据。财务部门据此计算人员人工费用、设备折旧费、无形资产摊销费在各研发项目之间的分摊金额。</t>
  </si>
  <si>
    <t xml:space="preserve">二、填写规则</t>
  </si>
  <si>
    <r>
      <rPr>
        <sz val="10"/>
        <rFont val="宋体"/>
        <family val="0"/>
        <charset val="1"/>
      </rPr>
      <t xml:space="preserve">1. </t>
    </r>
    <r>
      <rPr>
        <sz val="10"/>
        <rFont val="WenQuanYi Zen Hei"/>
        <family val="2"/>
      </rPr>
      <t xml:space="preserve">黄色底纹单元格为填写区，其余为公式区，请勿覆盖或删除公式。</t>
    </r>
  </si>
  <si>
    <r>
      <rPr>
        <sz val="10"/>
        <rFont val="宋体"/>
        <family val="0"/>
        <charset val="1"/>
      </rPr>
      <t xml:space="preserve">2. </t>
    </r>
    <r>
      <rPr>
        <sz val="10"/>
        <rFont val="WenQuanYi Zen Hei"/>
        <family val="2"/>
      </rPr>
      <t xml:space="preserve">每月末填写三张【月报】表，打印后由填报人、研发负责人签字，作为纸质备查资料存档。</t>
    </r>
  </si>
  <si>
    <r>
      <rPr>
        <sz val="10"/>
        <rFont val="宋体"/>
        <family val="0"/>
        <charset val="1"/>
      </rPr>
      <t xml:space="preserve">3. </t>
    </r>
    <r>
      <rPr>
        <sz val="10"/>
        <rFont val="WenQuanYi Zen Hei"/>
        <family val="2"/>
      </rPr>
      <t xml:space="preserve">签字后，将当月数据追加录入对应的三张【年度台账】表（月份列填 </t>
    </r>
    <r>
      <rPr>
        <sz val="10"/>
        <rFont val="宋体"/>
        <family val="0"/>
        <charset val="1"/>
      </rPr>
      <t xml:space="preserve">1—12 </t>
    </r>
    <r>
      <rPr>
        <sz val="10"/>
        <rFont val="WenQuanYi Zen Hei"/>
        <family val="2"/>
      </rPr>
      <t xml:space="preserve">的数字），于次月 </t>
    </r>
    <r>
      <rPr>
        <sz val="10"/>
        <rFont val="宋体"/>
        <family val="0"/>
        <charset val="1"/>
      </rPr>
      <t xml:space="preserve">5 </t>
    </r>
    <r>
      <rPr>
        <sz val="10"/>
        <rFont val="WenQuanYi Zen Hei"/>
        <family val="2"/>
      </rPr>
      <t xml:space="preserve">日前将本工作簿提交财务。</t>
    </r>
  </si>
  <si>
    <r>
      <rPr>
        <sz val="10"/>
        <rFont val="宋体"/>
        <family val="0"/>
        <charset val="1"/>
      </rPr>
      <t xml:space="preserve">4. </t>
    </r>
    <r>
      <rPr>
        <sz val="10"/>
        <rFont val="WenQuanYi Zen Hei"/>
        <family val="2"/>
      </rPr>
      <t xml:space="preserve">【非研发活动工时】</t>
    </r>
    <r>
      <rPr>
        <sz val="10"/>
        <rFont val="宋体"/>
        <family val="0"/>
        <charset val="1"/>
      </rPr>
      <t xml:space="preserve">= </t>
    </r>
    <r>
      <rPr>
        <sz val="10"/>
        <rFont val="WenQuanYi Zen Hei"/>
        <family val="2"/>
      </rPr>
      <t xml:space="preserve">当月总工时 − 各研发项目工时合计，由公式自动计算，用于把费用在研发与非研发之间先行划分。</t>
    </r>
  </si>
  <si>
    <r>
      <rPr>
        <sz val="10"/>
        <rFont val="宋体"/>
        <family val="0"/>
        <charset val="1"/>
      </rPr>
      <t xml:space="preserve">5. </t>
    </r>
    <r>
      <rPr>
        <sz val="10"/>
        <rFont val="WenQuanYi Zen Hei"/>
        <family val="2"/>
      </rPr>
      <t xml:space="preserve">一人（一台设备）当月分摊到各项目的工时合计不得大于当月总工时，【校验】列出现提示时必须修正后再提交。</t>
    </r>
  </si>
  <si>
    <r>
      <rPr>
        <sz val="10"/>
        <rFont val="WenQuanYi Zen Hei"/>
        <family val="2"/>
      </rPr>
      <t xml:space="preserve">   校验提示含义：缺月份＝年度台账月份列没填（财务汇总时这行会被漏掉）；缺总工时＝当月总工时为 </t>
    </r>
    <r>
      <rPr>
        <sz val="10"/>
        <rFont val="宋体"/>
        <family val="0"/>
        <charset val="1"/>
      </rPr>
      <t xml:space="preserve">0</t>
    </r>
    <r>
      <rPr>
        <sz val="10"/>
        <rFont val="WenQuanYi Zen Hei"/>
        <family val="2"/>
      </rPr>
      <t xml:space="preserve">；工时超出＝各项目工时合计大于当月总工时。</t>
    </r>
  </si>
  <si>
    <r>
      <rPr>
        <sz val="10"/>
        <rFont val="宋体"/>
        <family val="0"/>
        <charset val="1"/>
      </rPr>
      <t xml:space="preserve">6. </t>
    </r>
    <r>
      <rPr>
        <sz val="10"/>
        <rFont val="WenQuanYi Zen Hei"/>
        <family val="2"/>
      </rPr>
      <t xml:space="preserve">项目编号、项目名称统一在下方【项目清单】维护，各表表头自动引用，不要在各表中直接改写。</t>
    </r>
  </si>
  <si>
    <t xml:space="preserve">三、口径说明</t>
  </si>
  <si>
    <r>
      <rPr>
        <sz val="10"/>
        <rFont val="WenQuanYi Zen Hei"/>
        <family val="2"/>
      </rPr>
      <t xml:space="preserve">人员：当月总工时＝当月应出勤工时（含加班）；设备</t>
    </r>
    <r>
      <rPr>
        <sz val="10"/>
        <rFont val="宋体"/>
        <family val="0"/>
        <charset val="1"/>
      </rPr>
      <t xml:space="preserve">/</t>
    </r>
    <r>
      <rPr>
        <sz val="10"/>
        <rFont val="WenQuanYi Zen Hei"/>
        <family val="2"/>
      </rPr>
      <t xml:space="preserve">无形资产：总工时＝当月实际运行（使用）工时，停机检修不计入。</t>
    </r>
  </si>
  <si>
    <t xml:space="preserve">工时须与研发项目日志、设备运行记录、考勤记录一致，保留原始记录备查。</t>
  </si>
  <si>
    <r>
      <rPr>
        <b val="true"/>
        <sz val="11"/>
        <color rgb="FF1F4E79"/>
        <rFont val="WenQuanYi Zen Hei"/>
        <family val="2"/>
      </rPr>
      <t xml:space="preserve">项目清单（黄色区域由财务</t>
    </r>
    <r>
      <rPr>
        <b val="true"/>
        <sz val="11"/>
        <color rgb="FF1F4E79"/>
        <rFont val="等线"/>
        <family val="0"/>
        <charset val="1"/>
      </rPr>
      <t xml:space="preserve">/</t>
    </r>
    <r>
      <rPr>
        <b val="true"/>
        <sz val="11"/>
        <color rgb="FF1F4E79"/>
        <rFont val="WenQuanYi Zen Hei"/>
        <family val="2"/>
      </rPr>
      <t xml:space="preserve">研发共同维护，最多 </t>
    </r>
    <r>
      <rPr>
        <b val="true"/>
        <sz val="11"/>
        <color rgb="FF1F4E79"/>
        <rFont val="等线"/>
        <family val="0"/>
        <charset val="1"/>
      </rPr>
      <t xml:space="preserve">8 </t>
    </r>
    <r>
      <rPr>
        <b val="true"/>
        <sz val="11"/>
        <color rgb="FF1F4E79"/>
        <rFont val="WenQuanYi Zen Hei"/>
        <family val="2"/>
      </rPr>
      <t xml:space="preserve">个项目）</t>
    </r>
  </si>
  <si>
    <t xml:space="preserve">序号</t>
  </si>
  <si>
    <t xml:space="preserve">项目编号</t>
  </si>
  <si>
    <t xml:space="preserve">项目名称</t>
  </si>
  <si>
    <t xml:space="preserve">立项日期</t>
  </si>
  <si>
    <t xml:space="preserve">结项日期</t>
  </si>
  <si>
    <t xml:space="preserve">项目负责人</t>
  </si>
  <si>
    <t xml:space="preserve">备注</t>
  </si>
  <si>
    <t xml:space="preserve">RD01</t>
  </si>
  <si>
    <t xml:space="preserve">高导热复合胶带研发</t>
  </si>
  <si>
    <t xml:space="preserve">2026-01-05</t>
  </si>
  <si>
    <t xml:space="preserve">2026-12-31</t>
  </si>
  <si>
    <t xml:space="preserve">张三</t>
  </si>
  <si>
    <t xml:space="preserve">示例，请按实际替换</t>
  </si>
  <si>
    <t xml:space="preserve">RD02</t>
  </si>
  <si>
    <t xml:space="preserve">低介电泡棉材料研发</t>
  </si>
  <si>
    <t xml:space="preserve">2026-02-01</t>
  </si>
  <si>
    <t xml:space="preserve">2026-11-30</t>
  </si>
  <si>
    <t xml:space="preserve">李四</t>
  </si>
  <si>
    <t xml:space="preserve">RD03</t>
  </si>
  <si>
    <t xml:space="preserve">精密分切工艺改进</t>
  </si>
  <si>
    <t xml:space="preserve">2026-01-10</t>
  </si>
  <si>
    <t xml:space="preserve">2026-09-30</t>
  </si>
  <si>
    <t xml:space="preserve">王五</t>
  </si>
  <si>
    <t xml:space="preserve">RD04</t>
  </si>
  <si>
    <t xml:space="preserve">抗静电表面处理技术</t>
  </si>
  <si>
    <t xml:space="preserve">2026-03-01</t>
  </si>
  <si>
    <t xml:space="preserve">赵六</t>
  </si>
  <si>
    <t xml:space="preserve">RD05</t>
  </si>
  <si>
    <t xml:space="preserve">超薄贴合工艺开发</t>
  </si>
  <si>
    <t xml:space="preserve">2026-04-01</t>
  </si>
  <si>
    <t xml:space="preserve">陈七</t>
  </si>
  <si>
    <t xml:space="preserve">RD06</t>
  </si>
  <si>
    <t xml:space="preserve">RD07</t>
  </si>
  <si>
    <t xml:space="preserve">RD08</t>
  </si>
  <si>
    <t xml:space="preserve">注：项目编号必须与财务《研发费用分摊表》参数设置页完全一致。</t>
  </si>
  <si>
    <t xml:space="preserve">研发人员工时分配表（月度）</t>
  </si>
  <si>
    <r>
      <rPr>
        <sz val="10"/>
        <rFont val="WenQuanYi Zen Hei"/>
        <family val="2"/>
      </rPr>
      <t xml:space="preserve">日期</t>
    </r>
    <r>
      <rPr>
        <sz val="10"/>
        <rFont val="宋体"/>
        <family val="0"/>
        <charset val="1"/>
      </rPr>
      <t xml:space="preserve">(</t>
    </r>
    <r>
      <rPr>
        <sz val="10"/>
        <rFont val="WenQuanYi Zen Hei"/>
        <family val="2"/>
      </rPr>
      <t xml:space="preserve">年</t>
    </r>
    <r>
      <rPr>
        <sz val="10"/>
        <rFont val="宋体"/>
        <family val="0"/>
        <charset val="1"/>
      </rPr>
      <t xml:space="preserve">/</t>
    </r>
    <r>
      <rPr>
        <sz val="10"/>
        <rFont val="WenQuanYi Zen Hei"/>
        <family val="2"/>
      </rPr>
      <t xml:space="preserve">月</t>
    </r>
    <r>
      <rPr>
        <sz val="10"/>
        <rFont val="宋体"/>
        <family val="0"/>
        <charset val="1"/>
      </rPr>
      <t xml:space="preserve">)</t>
    </r>
    <r>
      <rPr>
        <sz val="10"/>
        <rFont val="WenQuanYi Zen Hei"/>
        <family val="2"/>
      </rPr>
      <t xml:space="preserve">：</t>
    </r>
  </si>
  <si>
    <t xml:space="preserve">姓名</t>
  </si>
  <si>
    <t xml:space="preserve">当月总工时
（小时）</t>
  </si>
  <si>
    <t xml:space="preserve">非研发活动工时
（小时）</t>
  </si>
  <si>
    <t xml:space="preserve">各项目分配工时（小时）</t>
  </si>
  <si>
    <t xml:space="preserve">分摊系数</t>
  </si>
  <si>
    <t xml:space="preserve">校验</t>
  </si>
  <si>
    <t xml:space="preserve">合计</t>
  </si>
  <si>
    <r>
      <rPr>
        <sz val="10"/>
        <rFont val="WenQuanYi Zen Hei"/>
        <family val="2"/>
      </rPr>
      <t xml:space="preserve">研发工时</t>
    </r>
    <r>
      <rPr>
        <sz val="10"/>
        <rFont val="等线"/>
        <family val="0"/>
        <charset val="1"/>
      </rPr>
      <t xml:space="preserve">/</t>
    </r>
    <r>
      <rPr>
        <sz val="10"/>
        <rFont val="WenQuanYi Zen Hei"/>
        <family val="2"/>
      </rPr>
      <t xml:space="preserve">总工时</t>
    </r>
  </si>
  <si>
    <t xml:space="preserve">示例数据，启用前请清空</t>
  </si>
  <si>
    <t xml:space="preserve">合    计</t>
  </si>
  <si>
    <t xml:space="preserve">填 报：</t>
  </si>
  <si>
    <t xml:space="preserve">研发负责人：</t>
  </si>
  <si>
    <t xml:space="preserve">填表说明：黄色底纹＝手工填写；白色＝公式自动计算，请勿覆盖。非研发活动工时＝当月总工时−各项目工时合计。</t>
  </si>
  <si>
    <t xml:space="preserve">研发设备工时分配表（月度）</t>
  </si>
  <si>
    <t xml:space="preserve">设备编号</t>
  </si>
  <si>
    <t xml:space="preserve">设备名称</t>
  </si>
  <si>
    <t xml:space="preserve">运行总工时
（小时）</t>
  </si>
  <si>
    <t xml:space="preserve">046</t>
  </si>
  <si>
    <t xml:space="preserve">贴合分条机</t>
  </si>
  <si>
    <t xml:space="preserve">共用</t>
  </si>
  <si>
    <t xml:space="preserve">054</t>
  </si>
  <si>
    <t xml:space="preserve">风淋室</t>
  </si>
  <si>
    <t xml:space="preserve">084</t>
  </si>
  <si>
    <r>
      <rPr>
        <sz val="10"/>
        <color rgb="FF0000FF"/>
        <rFont val="宋体"/>
        <family val="0"/>
        <charset val="1"/>
      </rPr>
      <t xml:space="preserve">1450</t>
    </r>
    <r>
      <rPr>
        <sz val="10"/>
        <color rgb="FF0000FF"/>
        <rFont val="WenQuanYi Zen Hei"/>
        <family val="2"/>
      </rPr>
      <t xml:space="preserve">分条机</t>
    </r>
  </si>
  <si>
    <t xml:space="preserve">083</t>
  </si>
  <si>
    <r>
      <rPr>
        <sz val="10"/>
        <color rgb="FF0000FF"/>
        <rFont val="宋体"/>
        <family val="0"/>
        <charset val="1"/>
      </rPr>
      <t xml:space="preserve">650</t>
    </r>
    <r>
      <rPr>
        <sz val="10"/>
        <color rgb="FF0000FF"/>
        <rFont val="WenQuanYi Zen Hei"/>
        <family val="2"/>
      </rPr>
      <t xml:space="preserve">贴合机</t>
    </r>
  </si>
  <si>
    <t xml:space="preserve">072</t>
  </si>
  <si>
    <r>
      <rPr>
        <sz val="10"/>
        <color rgb="FF0000FF"/>
        <rFont val="宋体"/>
        <family val="0"/>
        <charset val="1"/>
      </rPr>
      <t xml:space="preserve">650</t>
    </r>
    <r>
      <rPr>
        <sz val="10"/>
        <color rgb="FF0000FF"/>
        <rFont val="WenQuanYi Zen Hei"/>
        <family val="2"/>
      </rPr>
      <t xml:space="preserve">表面卷曲分条机</t>
    </r>
  </si>
  <si>
    <t xml:space="preserve">082</t>
  </si>
  <si>
    <t xml:space="preserve">精密双轴分切机</t>
  </si>
  <si>
    <t xml:space="preserve">071</t>
  </si>
  <si>
    <t xml:space="preserve">高精密立板式涂布机</t>
  </si>
  <si>
    <t xml:space="preserve">080</t>
  </si>
  <si>
    <t xml:space="preserve">傅里叶变换红外光谱仪</t>
  </si>
  <si>
    <t xml:space="preserve">086</t>
  </si>
  <si>
    <r>
      <rPr>
        <sz val="10"/>
        <color rgb="FF0000FF"/>
        <rFont val="宋体"/>
        <family val="0"/>
        <charset val="1"/>
      </rPr>
      <t xml:space="preserve">1300</t>
    </r>
    <r>
      <rPr>
        <sz val="10"/>
        <color rgb="FF0000FF"/>
        <rFont val="WenQuanYi Zen Hei"/>
        <family val="2"/>
      </rPr>
      <t xml:space="preserve">高精密复卷机</t>
    </r>
  </si>
  <si>
    <t xml:space="preserve">079</t>
  </si>
  <si>
    <r>
      <rPr>
        <sz val="10"/>
        <color rgb="FF0000FF"/>
        <rFont val="宋体"/>
        <family val="0"/>
        <charset val="1"/>
      </rPr>
      <t xml:space="preserve">1200MM</t>
    </r>
    <r>
      <rPr>
        <sz val="10"/>
        <color rgb="FF0000FF"/>
        <rFont val="WenQuanYi Zen Hei"/>
        <family val="2"/>
      </rPr>
      <t xml:space="preserve">泡棉分条机</t>
    </r>
  </si>
  <si>
    <t xml:space="preserve">081</t>
  </si>
  <si>
    <t xml:space="preserve">表面电阻测试仪</t>
  </si>
  <si>
    <t xml:space="preserve">研发专用</t>
  </si>
  <si>
    <t xml:space="preserve">无形资产工时分配表（月度）</t>
  </si>
  <si>
    <t xml:space="preserve">资产编号</t>
  </si>
  <si>
    <t xml:space="preserve">资产名称</t>
  </si>
  <si>
    <t xml:space="preserve">Z0001</t>
  </si>
  <si>
    <t xml:space="preserve">硬力</t>
  </si>
  <si>
    <t xml:space="preserve">Z0002</t>
  </si>
  <si>
    <t xml:space="preserve">泡棉</t>
  </si>
  <si>
    <t xml:space="preserve">Z0003</t>
  </si>
  <si>
    <t xml:space="preserve">拉力</t>
  </si>
  <si>
    <t xml:space="preserve">Z0004</t>
  </si>
  <si>
    <t xml:space="preserve">贴合</t>
  </si>
  <si>
    <t xml:space="preserve">Z0005</t>
  </si>
  <si>
    <t xml:space="preserve">拉手</t>
  </si>
  <si>
    <t xml:space="preserve">Z0006</t>
  </si>
  <si>
    <t xml:space="preserve">配比</t>
  </si>
  <si>
    <r>
      <rPr>
        <b val="true"/>
        <sz val="18"/>
        <rFont val="宋体"/>
        <family val="0"/>
        <charset val="1"/>
      </rPr>
      <t xml:space="preserve">2026</t>
    </r>
    <r>
      <rPr>
        <b val="true"/>
        <sz val="18"/>
        <rFont val="WenQuanYi Zen Hei"/>
        <family val="2"/>
      </rPr>
      <t xml:space="preserve">年度  研发人员工时分配台账</t>
    </r>
  </si>
  <si>
    <t xml:space="preserve">年度：</t>
  </si>
  <si>
    <r>
      <rPr>
        <sz val="10"/>
        <color rgb="FF0000FF"/>
        <rFont val="宋体"/>
        <family val="0"/>
        <charset val="1"/>
      </rPr>
      <t xml:space="preserve">2026</t>
    </r>
    <r>
      <rPr>
        <sz val="10"/>
        <color rgb="FF0000FF"/>
        <rFont val="WenQuanYi Zen Hei"/>
        <family val="2"/>
      </rPr>
      <t xml:space="preserve">年</t>
    </r>
  </si>
  <si>
    <t xml:space="preserve">月份</t>
  </si>
  <si>
    <r>
      <rPr>
        <b val="true"/>
        <sz val="18"/>
        <rFont val="宋体"/>
        <family val="0"/>
        <charset val="1"/>
      </rPr>
      <t xml:space="preserve">2026</t>
    </r>
    <r>
      <rPr>
        <b val="true"/>
        <sz val="18"/>
        <rFont val="WenQuanYi Zen Hei"/>
        <family val="2"/>
      </rPr>
      <t xml:space="preserve">年度  研发设备工时分配台账</t>
    </r>
  </si>
  <si>
    <t xml:space="preserve">共用；示例数据，启用前请清空</t>
  </si>
  <si>
    <r>
      <rPr>
        <b val="true"/>
        <sz val="18"/>
        <rFont val="宋体"/>
        <family val="0"/>
        <charset val="1"/>
      </rPr>
      <t xml:space="preserve">2026</t>
    </r>
    <r>
      <rPr>
        <b val="true"/>
        <sz val="18"/>
        <rFont val="WenQuanYi Zen Hei"/>
        <family val="2"/>
      </rPr>
      <t xml:space="preserve">年度  无形资产工时分配台账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</si>
</sst>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年m\月"/>
    <numFmt numFmtId="166" formatCode="#,##0.0"/>
    <numFmt numFmtId="167" formatCode="0.00%"/>
    <numFmt numFmtId="168" formatCode="0\月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宋体"/>
      <family val="0"/>
      <charset val="1"/>
    </font>
    <font>
      <b val="true"/>
      <sz val="18"/>
      <name val="WenQuanYi Zen Hei"/>
      <family val="2"/>
    </font>
    <font>
      <b val="true"/>
      <sz val="11"/>
      <color rgb="FF1F4E79"/>
      <name val="WenQuanYi Zen Hei"/>
      <family val="2"/>
    </font>
    <font>
      <sz val="10"/>
      <name val="WenQuanYi Zen Hei"/>
      <family val="2"/>
    </font>
    <font>
      <sz val="10"/>
      <name val="宋体"/>
      <family val="0"/>
      <charset val="1"/>
    </font>
    <font>
      <b val="true"/>
      <sz val="11"/>
      <color rgb="FF1F4E79"/>
      <name val="等线"/>
      <family val="0"/>
      <charset val="1"/>
    </font>
    <font>
      <b val="true"/>
      <sz val="10"/>
      <name val="WenQuanYi Zen Hei"/>
      <family val="2"/>
    </font>
    <font>
      <sz val="10"/>
      <color rgb="FF0000FF"/>
      <name val="宋体"/>
      <family val="0"/>
      <charset val="1"/>
    </font>
    <font>
      <sz val="10"/>
      <color rgb="FF0000FF"/>
      <name val="WenQuanYi Zen Hei"/>
      <family val="2"/>
    </font>
    <font>
      <sz val="9"/>
      <color rgb="FF7F7F7F"/>
      <name val="WenQuanYi Zen Hei"/>
      <family val="2"/>
    </font>
    <font>
      <sz val="10"/>
      <name val="等线"/>
      <family val="0"/>
      <charset val="1"/>
    </font>
    <font>
      <b val="true"/>
      <sz val="10"/>
      <name val="等线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DEDED"/>
        <bgColor rgb="FFF2F2F2"/>
      </patternFill>
    </fill>
    <fill>
      <patternFill patternType="solid">
        <fgColor rgb="FFE2EFDA"/>
        <bgColor rgb="FFEDEDED"/>
      </patternFill>
    </fill>
    <fill>
      <patternFill patternType="solid">
        <fgColor rgb="FFF2F2F2"/>
        <bgColor rgb="FFEDEDE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/>
      <diagonal/>
    </border>
    <border diagonalUp="false" diagonalDown="false"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7" min="5" style="0" width="14"/>
    <col collapsed="false" customWidth="true" hidden="false" outlineLevel="0" max="8" min="8" style="0" width="30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5" customFormat="false" ht="15.7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B6" s="2" t="s">
        <v>3</v>
      </c>
      <c r="C6" s="2"/>
      <c r="D6" s="2"/>
      <c r="E6" s="2"/>
      <c r="F6" s="2"/>
      <c r="G6" s="2"/>
      <c r="H6" s="2"/>
    </row>
    <row r="7" customFormat="false" ht="15.75" hidden="false" customHeight="true" outlineLevel="0" collapsed="false">
      <c r="B7" s="4" t="s">
        <v>4</v>
      </c>
      <c r="C7" s="4"/>
      <c r="D7" s="4"/>
      <c r="E7" s="4"/>
      <c r="F7" s="4"/>
      <c r="G7" s="4"/>
      <c r="H7" s="4"/>
    </row>
    <row r="8" customFormat="false" ht="15.75" hidden="false" customHeight="true" outlineLevel="0" collapsed="false">
      <c r="B8" s="4" t="s">
        <v>5</v>
      </c>
      <c r="C8" s="4"/>
      <c r="D8" s="4"/>
      <c r="E8" s="4"/>
      <c r="F8" s="4"/>
      <c r="G8" s="4"/>
      <c r="H8" s="4"/>
    </row>
    <row r="9" customFormat="false" ht="15.75" hidden="false" customHeight="true" outlineLevel="0" collapsed="false">
      <c r="B9" s="4" t="s">
        <v>6</v>
      </c>
      <c r="C9" s="4"/>
      <c r="D9" s="4"/>
      <c r="E9" s="4"/>
      <c r="F9" s="4"/>
      <c r="G9" s="4"/>
      <c r="H9" s="4"/>
    </row>
    <row r="10" customFormat="false" ht="15.75" hidden="false" customHeight="true" outlineLevel="0" collapsed="false">
      <c r="B10" s="4" t="s">
        <v>7</v>
      </c>
      <c r="C10" s="4"/>
      <c r="D10" s="4"/>
      <c r="E10" s="4"/>
      <c r="F10" s="4"/>
      <c r="G10" s="4"/>
      <c r="H10" s="4"/>
    </row>
    <row r="11" customFormat="false" ht="15.75" hidden="false" customHeight="true" outlineLevel="0" collapsed="false">
      <c r="B11" s="4" t="s">
        <v>8</v>
      </c>
      <c r="C11" s="4"/>
      <c r="D11" s="4"/>
      <c r="E11" s="4"/>
      <c r="F11" s="4"/>
      <c r="G11" s="4"/>
      <c r="H11" s="4"/>
    </row>
    <row r="12" customFormat="false" ht="15.75" hidden="false" customHeight="true" outlineLevel="0" collapsed="false">
      <c r="B12" s="3" t="s">
        <v>9</v>
      </c>
      <c r="C12" s="3"/>
      <c r="D12" s="3"/>
      <c r="E12" s="3"/>
      <c r="F12" s="3"/>
      <c r="G12" s="3"/>
      <c r="H12" s="3"/>
    </row>
    <row r="13" customFormat="false" ht="15.75" hidden="false" customHeight="true" outlineLevel="0" collapsed="false">
      <c r="B13" s="4" t="s">
        <v>10</v>
      </c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B14" s="2" t="s">
        <v>11</v>
      </c>
      <c r="C14" s="2"/>
      <c r="D14" s="2"/>
      <c r="E14" s="2"/>
      <c r="F14" s="2"/>
      <c r="G14" s="2"/>
      <c r="H14" s="2"/>
    </row>
    <row r="15" customFormat="false" ht="15.75" hidden="false" customHeight="true" outlineLevel="0" collapsed="false">
      <c r="B15" s="3" t="s">
        <v>12</v>
      </c>
      <c r="C15" s="3"/>
      <c r="D15" s="3"/>
      <c r="E15" s="3"/>
      <c r="F15" s="3"/>
      <c r="G15" s="3"/>
      <c r="H15" s="3"/>
    </row>
    <row r="16" customFormat="false" ht="15.75" hidden="false" customHeight="true" outlineLevel="0" collapsed="false">
      <c r="B16" s="3" t="s">
        <v>13</v>
      </c>
      <c r="C16" s="3"/>
      <c r="D16" s="3"/>
      <c r="E16" s="3"/>
      <c r="F16" s="3"/>
      <c r="G16" s="3"/>
      <c r="H16" s="3"/>
    </row>
    <row r="18" customFormat="false" ht="15" hidden="false" customHeight="true" outlineLevel="0" collapsed="false">
      <c r="B18" s="2" t="s">
        <v>14</v>
      </c>
      <c r="C18" s="2"/>
      <c r="D18" s="2"/>
      <c r="E18" s="2"/>
      <c r="F18" s="2"/>
      <c r="G18" s="2"/>
      <c r="H18" s="2"/>
    </row>
    <row r="19" customFormat="false" ht="21.75" hidden="false" customHeight="true" outlineLevel="0" collapsed="false">
      <c r="B19" s="5" t="s">
        <v>15</v>
      </c>
      <c r="C19" s="5" t="s">
        <v>16</v>
      </c>
      <c r="D19" s="5" t="s">
        <v>17</v>
      </c>
      <c r="E19" s="5" t="s">
        <v>18</v>
      </c>
      <c r="F19" s="5" t="s">
        <v>19</v>
      </c>
      <c r="G19" s="5" t="s">
        <v>20</v>
      </c>
      <c r="H19" s="5" t="s">
        <v>21</v>
      </c>
    </row>
    <row r="20" customFormat="false" ht="19.5" hidden="false" customHeight="true" outlineLevel="0" collapsed="false">
      <c r="B20" s="6" t="n">
        <v>1</v>
      </c>
      <c r="C20" s="7" t="s">
        <v>22</v>
      </c>
      <c r="D20" s="8" t="s">
        <v>23</v>
      </c>
      <c r="E20" s="7" t="s">
        <v>24</v>
      </c>
      <c r="F20" s="7" t="s">
        <v>25</v>
      </c>
      <c r="G20" s="9" t="s">
        <v>26</v>
      </c>
      <c r="H20" s="8" t="s">
        <v>27</v>
      </c>
    </row>
    <row r="21" customFormat="false" ht="19.5" hidden="false" customHeight="true" outlineLevel="0" collapsed="false">
      <c r="B21" s="6" t="n">
        <v>2</v>
      </c>
      <c r="C21" s="7" t="s">
        <v>28</v>
      </c>
      <c r="D21" s="8" t="s">
        <v>29</v>
      </c>
      <c r="E21" s="7" t="s">
        <v>30</v>
      </c>
      <c r="F21" s="7" t="s">
        <v>31</v>
      </c>
      <c r="G21" s="9" t="s">
        <v>32</v>
      </c>
      <c r="H21" s="8"/>
    </row>
    <row r="22" customFormat="false" ht="19.5" hidden="false" customHeight="true" outlineLevel="0" collapsed="false">
      <c r="B22" s="6" t="n">
        <v>3</v>
      </c>
      <c r="C22" s="7" t="s">
        <v>33</v>
      </c>
      <c r="D22" s="8" t="s">
        <v>34</v>
      </c>
      <c r="E22" s="7" t="s">
        <v>35</v>
      </c>
      <c r="F22" s="7" t="s">
        <v>36</v>
      </c>
      <c r="G22" s="9" t="s">
        <v>37</v>
      </c>
      <c r="H22" s="8"/>
    </row>
    <row r="23" customFormat="false" ht="19.5" hidden="false" customHeight="true" outlineLevel="0" collapsed="false">
      <c r="B23" s="6" t="n">
        <v>4</v>
      </c>
      <c r="C23" s="7" t="s">
        <v>38</v>
      </c>
      <c r="D23" s="8" t="s">
        <v>39</v>
      </c>
      <c r="E23" s="7" t="s">
        <v>40</v>
      </c>
      <c r="F23" s="7" t="s">
        <v>25</v>
      </c>
      <c r="G23" s="9" t="s">
        <v>41</v>
      </c>
      <c r="H23" s="8"/>
    </row>
    <row r="24" customFormat="false" ht="19.5" hidden="false" customHeight="true" outlineLevel="0" collapsed="false">
      <c r="B24" s="6" t="n">
        <v>5</v>
      </c>
      <c r="C24" s="7" t="s">
        <v>42</v>
      </c>
      <c r="D24" s="8" t="s">
        <v>43</v>
      </c>
      <c r="E24" s="7" t="s">
        <v>44</v>
      </c>
      <c r="F24" s="7" t="s">
        <v>25</v>
      </c>
      <c r="G24" s="9" t="s">
        <v>45</v>
      </c>
      <c r="H24" s="8"/>
    </row>
    <row r="25" customFormat="false" ht="19.5" hidden="false" customHeight="true" outlineLevel="0" collapsed="false">
      <c r="B25" s="6" t="n">
        <v>6</v>
      </c>
      <c r="C25" s="7" t="s">
        <v>46</v>
      </c>
      <c r="D25" s="8"/>
      <c r="E25" s="7"/>
      <c r="F25" s="7"/>
      <c r="G25" s="7"/>
      <c r="H25" s="8"/>
    </row>
    <row r="26" customFormat="false" ht="19.5" hidden="false" customHeight="true" outlineLevel="0" collapsed="false">
      <c r="B26" s="6" t="n">
        <v>7</v>
      </c>
      <c r="C26" s="7" t="s">
        <v>47</v>
      </c>
      <c r="D26" s="8"/>
      <c r="E26" s="7"/>
      <c r="F26" s="7"/>
      <c r="G26" s="7"/>
      <c r="H26" s="8"/>
    </row>
    <row r="27" customFormat="false" ht="19.5" hidden="false" customHeight="true" outlineLevel="0" collapsed="false">
      <c r="B27" s="6" t="n">
        <v>8</v>
      </c>
      <c r="C27" s="7" t="s">
        <v>48</v>
      </c>
      <c r="D27" s="8"/>
      <c r="E27" s="7"/>
      <c r="F27" s="7"/>
      <c r="G27" s="7"/>
      <c r="H27" s="8"/>
    </row>
    <row r="29" customFormat="false" ht="97" hidden="false" customHeight="false" outlineLevel="0" collapsed="false">
      <c r="B29" s="10" t="s">
        <v>49</v>
      </c>
    </row>
  </sheetData>
  <mergeCells count="15">
    <mergeCell ref="B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15" min="4" style="0" width="11"/>
    <col collapsed="false" customWidth="true" hidden="false" outlineLevel="0" max="16" min="16" style="0" width="10"/>
    <col collapsed="false" customWidth="true" hidden="false" outlineLevel="0" max="17" min="17" style="0" width="16"/>
  </cols>
  <sheetData>
    <row r="2" customFormat="false" ht="30" hidden="false" customHeight="true" outlineLevel="0" collapsed="false">
      <c r="B2" s="11" t="s">
        <v>50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customFormat="false" ht="15" hidden="false" customHeight="false" outlineLevel="0" collapsed="false">
      <c r="O3" s="12" t="s">
        <v>51</v>
      </c>
      <c r="P3" s="13" t="n">
        <v>46266</v>
      </c>
      <c r="Q3" s="13"/>
    </row>
    <row r="4" customFormat="false" ht="19.5" hidden="false" customHeight="true" outlineLevel="0" collapsed="false">
      <c r="B4" s="14" t="s">
        <v>15</v>
      </c>
      <c r="C4" s="14" t="s">
        <v>52</v>
      </c>
      <c r="D4" s="14" t="s">
        <v>53</v>
      </c>
      <c r="E4" s="14" t="s">
        <v>54</v>
      </c>
      <c r="F4" s="15" t="s">
        <v>55</v>
      </c>
      <c r="G4" s="15"/>
      <c r="H4" s="15"/>
      <c r="I4" s="15"/>
      <c r="J4" s="15"/>
      <c r="K4" s="15"/>
      <c r="L4" s="15"/>
      <c r="M4" s="15"/>
      <c r="N4" s="15"/>
      <c r="O4" s="5" t="s">
        <v>56</v>
      </c>
      <c r="P4" s="14" t="s">
        <v>57</v>
      </c>
      <c r="Q4" s="14" t="s">
        <v>21</v>
      </c>
    </row>
    <row r="5" customFormat="false" ht="19.5" hidden="false" customHeight="true" outlineLevel="0" collapsed="false">
      <c r="B5" s="14"/>
      <c r="C5" s="14"/>
      <c r="D5" s="14"/>
      <c r="E5" s="14"/>
      <c r="F5" s="16" t="str">
        <f aca="false">说明与项目清单!$C$20</f>
        <v>RD01</v>
      </c>
      <c r="G5" s="16" t="str">
        <f aca="false">说明与项目清单!$C$21</f>
        <v>RD02</v>
      </c>
      <c r="H5" s="16" t="str">
        <f aca="false">说明与项目清单!$C$22</f>
        <v>RD03</v>
      </c>
      <c r="I5" s="16" t="str">
        <f aca="false">说明与项目清单!$C$23</f>
        <v>RD04</v>
      </c>
      <c r="J5" s="16" t="str">
        <f aca="false">说明与项目清单!$C$24</f>
        <v>RD05</v>
      </c>
      <c r="K5" s="16" t="str">
        <f aca="false">说明与项目清单!$C$25</f>
        <v>RD06</v>
      </c>
      <c r="L5" s="16" t="str">
        <f aca="false">说明与项目清单!$C$26</f>
        <v>RD07</v>
      </c>
      <c r="M5" s="16" t="str">
        <f aca="false">说明与项目清单!$C$27</f>
        <v>RD08</v>
      </c>
      <c r="N5" s="14" t="s">
        <v>58</v>
      </c>
      <c r="O5" s="17" t="s">
        <v>59</v>
      </c>
      <c r="P5" s="14"/>
      <c r="Q5" s="14"/>
    </row>
    <row r="6" customFormat="false" ht="19.5" hidden="false" customHeight="true" outlineLevel="0" collapsed="false">
      <c r="B6" s="14"/>
      <c r="C6" s="14"/>
      <c r="D6" s="14"/>
      <c r="E6" s="14"/>
      <c r="F6" s="16" t="str">
        <f aca="false">说明与项目清单!$D$20</f>
        <v>高导热复合胶带研发</v>
      </c>
      <c r="G6" s="16" t="str">
        <f aca="false">说明与项目清单!$D$21</f>
        <v>低介电泡棉材料研发</v>
      </c>
      <c r="H6" s="16" t="str">
        <f aca="false">说明与项目清单!$D$22</f>
        <v>精密分切工艺改进</v>
      </c>
      <c r="I6" s="16" t="str">
        <f aca="false">说明与项目清单!$D$23</f>
        <v>抗静电表面处理技术</v>
      </c>
      <c r="J6" s="16" t="str">
        <f aca="false">说明与项目清单!$D$24</f>
        <v>超薄贴合工艺开发</v>
      </c>
      <c r="K6" s="16" t="n">
        <f aca="false">说明与项目清单!$D$25</f>
        <v>0</v>
      </c>
      <c r="L6" s="16" t="n">
        <f aca="false">说明与项目清单!$D$26</f>
        <v>0</v>
      </c>
      <c r="M6" s="16" t="n">
        <f aca="false">说明与项目清单!$D$27</f>
        <v>0</v>
      </c>
      <c r="N6" s="14"/>
      <c r="O6" s="14"/>
      <c r="P6" s="14"/>
      <c r="Q6" s="14"/>
    </row>
    <row r="7" customFormat="false" ht="19.5" hidden="false" customHeight="true" outlineLevel="0" collapsed="false">
      <c r="B7" s="6" t="n">
        <v>1</v>
      </c>
      <c r="C7" s="9" t="s">
        <v>26</v>
      </c>
      <c r="D7" s="18" t="n">
        <v>172.5</v>
      </c>
      <c r="E7" s="19" t="n">
        <f aca="false">IF($C7="","",$D7-$N7)</f>
        <v>42.5</v>
      </c>
      <c r="F7" s="18" t="n">
        <v>60</v>
      </c>
      <c r="G7" s="18" t="n">
        <v>40</v>
      </c>
      <c r="H7" s="18" t="n">
        <v>30</v>
      </c>
      <c r="I7" s="18"/>
      <c r="J7" s="18"/>
      <c r="K7" s="18"/>
      <c r="L7" s="18"/>
      <c r="M7" s="18"/>
      <c r="N7" s="19" t="n">
        <f aca="false">IF($C7="","",SUM(F7:M7))</f>
        <v>130</v>
      </c>
      <c r="O7" s="20" t="n">
        <f aca="false">IF(OR($C7="",$D7=0),"",$N7/$D7)</f>
        <v>0.753623188405797</v>
      </c>
      <c r="P7" s="21" t="str">
        <f aca="false">IF($C7="","",IF($D7=0,"缺总工时",IF(ROUND($N7-$D7,2)&gt;0,"工时超出","√")))</f>
        <v>√</v>
      </c>
      <c r="Q7" s="8" t="s">
        <v>60</v>
      </c>
    </row>
    <row r="8" customFormat="false" ht="19.5" hidden="false" customHeight="true" outlineLevel="0" collapsed="false">
      <c r="B8" s="6" t="n">
        <v>2</v>
      </c>
      <c r="C8" s="9" t="s">
        <v>32</v>
      </c>
      <c r="D8" s="18" t="n">
        <v>172.5</v>
      </c>
      <c r="E8" s="19" t="n">
        <f aca="false">IF($C8="","",$D8-$N8)</f>
        <v>62.5</v>
      </c>
      <c r="F8" s="18"/>
      <c r="G8" s="18" t="n">
        <v>50</v>
      </c>
      <c r="H8" s="18"/>
      <c r="I8" s="18" t="n">
        <v>60</v>
      </c>
      <c r="J8" s="18"/>
      <c r="K8" s="18"/>
      <c r="L8" s="18"/>
      <c r="M8" s="18"/>
      <c r="N8" s="19" t="n">
        <f aca="false">IF($C8="","",SUM(F8:M8))</f>
        <v>110</v>
      </c>
      <c r="O8" s="20" t="n">
        <f aca="false">IF(OR($C8="",$D8=0),"",$N8/$D8)</f>
        <v>0.63768115942029</v>
      </c>
      <c r="P8" s="21" t="str">
        <f aca="false">IF($C8="","",IF($D8=0,"缺总工时",IF(ROUND($N8-$D8,2)&gt;0,"工时超出","√")))</f>
        <v>√</v>
      </c>
      <c r="Q8" s="8"/>
    </row>
    <row r="9" customFormat="false" ht="19.5" hidden="false" customHeight="true" outlineLevel="0" collapsed="false">
      <c r="B9" s="6" t="n">
        <v>3</v>
      </c>
      <c r="C9" s="9" t="s">
        <v>37</v>
      </c>
      <c r="D9" s="18" t="n">
        <v>172.5</v>
      </c>
      <c r="E9" s="19" t="n">
        <f aca="false">IF($C9="","",$D9-$N9)</f>
        <v>52.5</v>
      </c>
      <c r="F9" s="18" t="n">
        <v>45</v>
      </c>
      <c r="G9" s="18"/>
      <c r="H9" s="18" t="n">
        <v>45</v>
      </c>
      <c r="I9" s="18"/>
      <c r="J9" s="18" t="n">
        <v>30</v>
      </c>
      <c r="K9" s="18"/>
      <c r="L9" s="18"/>
      <c r="M9" s="18"/>
      <c r="N9" s="19" t="n">
        <f aca="false">IF($C9="","",SUM(F9:M9))</f>
        <v>120</v>
      </c>
      <c r="O9" s="20" t="n">
        <f aca="false">IF(OR($C9="",$D9=0),"",$N9/$D9)</f>
        <v>0.695652173913044</v>
      </c>
      <c r="P9" s="21" t="str">
        <f aca="false">IF($C9="","",IF($D9=0,"缺总工时",IF(ROUND($N9-$D9,2)&gt;0,"工时超出","√")))</f>
        <v>√</v>
      </c>
      <c r="Q9" s="8"/>
    </row>
    <row r="10" customFormat="false" ht="19.5" hidden="false" customHeight="true" outlineLevel="0" collapsed="false">
      <c r="B10" s="6" t="n">
        <v>4</v>
      </c>
      <c r="C10" s="9" t="s">
        <v>41</v>
      </c>
      <c r="D10" s="18" t="n">
        <v>172.5</v>
      </c>
      <c r="E10" s="19" t="n">
        <f aca="false">IF($C10="","",$D10-$N10)</f>
        <v>52.5</v>
      </c>
      <c r="F10" s="18"/>
      <c r="G10" s="18"/>
      <c r="H10" s="18" t="n">
        <v>70</v>
      </c>
      <c r="I10" s="18" t="n">
        <v>50</v>
      </c>
      <c r="J10" s="18"/>
      <c r="K10" s="18"/>
      <c r="L10" s="18"/>
      <c r="M10" s="18"/>
      <c r="N10" s="19" t="n">
        <f aca="false">IF($C10="","",SUM(F10:M10))</f>
        <v>120</v>
      </c>
      <c r="O10" s="20" t="n">
        <f aca="false">IF(OR($C10="",$D10=0),"",$N10/$D10)</f>
        <v>0.695652173913044</v>
      </c>
      <c r="P10" s="21" t="str">
        <f aca="false">IF($C10="","",IF($D10=0,"缺总工时",IF(ROUND($N10-$D10,2)&gt;0,"工时超出","√")))</f>
        <v>√</v>
      </c>
      <c r="Q10" s="8"/>
    </row>
    <row r="11" customFormat="false" ht="19.5" hidden="false" customHeight="true" outlineLevel="0" collapsed="false">
      <c r="B11" s="6" t="n">
        <v>5</v>
      </c>
      <c r="C11" s="9" t="s">
        <v>45</v>
      </c>
      <c r="D11" s="18" t="n">
        <v>172.5</v>
      </c>
      <c r="E11" s="19" t="n">
        <f aca="false">IF($C11="","",$D11-$N11)</f>
        <v>32.5</v>
      </c>
      <c r="F11" s="18" t="n">
        <v>30</v>
      </c>
      <c r="G11" s="18" t="n">
        <v>30</v>
      </c>
      <c r="H11" s="18"/>
      <c r="I11" s="18"/>
      <c r="J11" s="18" t="n">
        <v>80</v>
      </c>
      <c r="K11" s="18"/>
      <c r="L11" s="18"/>
      <c r="M11" s="18"/>
      <c r="N11" s="19" t="n">
        <f aca="false">IF($C11="","",SUM(F11:M11))</f>
        <v>140</v>
      </c>
      <c r="O11" s="20" t="n">
        <f aca="false">IF(OR($C11="",$D11=0),"",$N11/$D11)</f>
        <v>0.811594202898551</v>
      </c>
      <c r="P11" s="21" t="str">
        <f aca="false">IF($C11="","",IF($D11=0,"缺总工时",IF(ROUND($N11-$D11,2)&gt;0,"工时超出","√")))</f>
        <v>√</v>
      </c>
      <c r="Q11" s="8"/>
    </row>
    <row r="12" customFormat="false" ht="19.5" hidden="false" customHeight="true" outlineLevel="0" collapsed="false">
      <c r="B12" s="6" t="n">
        <v>6</v>
      </c>
      <c r="C12" s="7"/>
      <c r="D12" s="18"/>
      <c r="E12" s="19" t="str">
        <f aca="false">IF($C12="","",$D12-$N12)</f>
        <v/>
      </c>
      <c r="F12" s="18"/>
      <c r="G12" s="18"/>
      <c r="H12" s="18"/>
      <c r="I12" s="18"/>
      <c r="J12" s="18"/>
      <c r="K12" s="18"/>
      <c r="L12" s="18"/>
      <c r="M12" s="18"/>
      <c r="N12" s="19" t="str">
        <f aca="false">IF($C12="","",SUM(F12:M12))</f>
        <v/>
      </c>
      <c r="O12" s="20" t="str">
        <f aca="false">IF(OR($C12="",$D12=0),"",$N12/$D12)</f>
        <v/>
      </c>
      <c r="P12" s="21" t="str">
        <f aca="false">IF($C12="","",IF($D12=0,"缺总工时",IF(ROUND($N12-$D12,2)&gt;0,"工时超出","√")))</f>
        <v/>
      </c>
      <c r="Q12" s="8"/>
    </row>
    <row r="13" customFormat="false" ht="19.5" hidden="false" customHeight="true" outlineLevel="0" collapsed="false">
      <c r="B13" s="6" t="n">
        <v>7</v>
      </c>
      <c r="C13" s="7"/>
      <c r="D13" s="18"/>
      <c r="E13" s="19" t="str">
        <f aca="false">IF($C13="","",$D13-$N13)</f>
        <v/>
      </c>
      <c r="F13" s="18"/>
      <c r="G13" s="18"/>
      <c r="H13" s="18"/>
      <c r="I13" s="18"/>
      <c r="J13" s="18"/>
      <c r="K13" s="18"/>
      <c r="L13" s="18"/>
      <c r="M13" s="18"/>
      <c r="N13" s="19" t="str">
        <f aca="false">IF($C13="","",SUM(F13:M13))</f>
        <v/>
      </c>
      <c r="O13" s="20" t="str">
        <f aca="false">IF(OR($C13="",$D13=0),"",$N13/$D13)</f>
        <v/>
      </c>
      <c r="P13" s="21" t="str">
        <f aca="false">IF($C13="","",IF($D13=0,"缺总工时",IF(ROUND($N13-$D13,2)&gt;0,"工时超出","√")))</f>
        <v/>
      </c>
      <c r="Q13" s="8"/>
    </row>
    <row r="14" customFormat="false" ht="19.5" hidden="false" customHeight="true" outlineLevel="0" collapsed="false">
      <c r="B14" s="6" t="n">
        <v>8</v>
      </c>
      <c r="C14" s="7"/>
      <c r="D14" s="18"/>
      <c r="E14" s="19" t="str">
        <f aca="false">IF($C14="","",$D14-$N14)</f>
        <v/>
      </c>
      <c r="F14" s="18"/>
      <c r="G14" s="18"/>
      <c r="H14" s="18"/>
      <c r="I14" s="18"/>
      <c r="J14" s="18"/>
      <c r="K14" s="18"/>
      <c r="L14" s="18"/>
      <c r="M14" s="18"/>
      <c r="N14" s="19" t="str">
        <f aca="false">IF($C14="","",SUM(F14:M14))</f>
        <v/>
      </c>
      <c r="O14" s="20" t="str">
        <f aca="false">IF(OR($C14="",$D14=0),"",$N14/$D14)</f>
        <v/>
      </c>
      <c r="P14" s="21" t="str">
        <f aca="false">IF($C14="","",IF($D14=0,"缺总工时",IF(ROUND($N14-$D14,2)&gt;0,"工时超出","√")))</f>
        <v/>
      </c>
      <c r="Q14" s="8"/>
    </row>
    <row r="15" customFormat="false" ht="19.5" hidden="false" customHeight="true" outlineLevel="0" collapsed="false">
      <c r="B15" s="6" t="n">
        <v>9</v>
      </c>
      <c r="C15" s="7"/>
      <c r="D15" s="18"/>
      <c r="E15" s="19" t="str">
        <f aca="false">IF($C15="","",$D15-$N15)</f>
        <v/>
      </c>
      <c r="F15" s="18"/>
      <c r="G15" s="18"/>
      <c r="H15" s="18"/>
      <c r="I15" s="18"/>
      <c r="J15" s="18"/>
      <c r="K15" s="18"/>
      <c r="L15" s="18"/>
      <c r="M15" s="18"/>
      <c r="N15" s="19" t="str">
        <f aca="false">IF($C15="","",SUM(F15:M15))</f>
        <v/>
      </c>
      <c r="O15" s="20" t="str">
        <f aca="false">IF(OR($C15="",$D15=0),"",$N15/$D15)</f>
        <v/>
      </c>
      <c r="P15" s="21" t="str">
        <f aca="false">IF($C15="","",IF($D15=0,"缺总工时",IF(ROUND($N15-$D15,2)&gt;0,"工时超出","√")))</f>
        <v/>
      </c>
      <c r="Q15" s="8"/>
    </row>
    <row r="16" customFormat="false" ht="19.5" hidden="false" customHeight="true" outlineLevel="0" collapsed="false">
      <c r="B16" s="6" t="n">
        <v>10</v>
      </c>
      <c r="C16" s="7"/>
      <c r="D16" s="18"/>
      <c r="E16" s="19" t="str">
        <f aca="false">IF($C16="","",$D16-$N16)</f>
        <v/>
      </c>
      <c r="F16" s="18"/>
      <c r="G16" s="18"/>
      <c r="H16" s="18"/>
      <c r="I16" s="18"/>
      <c r="J16" s="18"/>
      <c r="K16" s="18"/>
      <c r="L16" s="18"/>
      <c r="M16" s="18"/>
      <c r="N16" s="19" t="str">
        <f aca="false">IF($C16="","",SUM(F16:M16))</f>
        <v/>
      </c>
      <c r="O16" s="20" t="str">
        <f aca="false">IF(OR($C16="",$D16=0),"",$N16/$D16)</f>
        <v/>
      </c>
      <c r="P16" s="21" t="str">
        <f aca="false">IF($C16="","",IF($D16=0,"缺总工时",IF(ROUND($N16-$D16,2)&gt;0,"工时超出","√")))</f>
        <v/>
      </c>
      <c r="Q16" s="8"/>
    </row>
    <row r="17" customFormat="false" ht="19.5" hidden="false" customHeight="true" outlineLevel="0" collapsed="false">
      <c r="B17" s="6" t="n">
        <v>11</v>
      </c>
      <c r="C17" s="7"/>
      <c r="D17" s="18"/>
      <c r="E17" s="19" t="str">
        <f aca="false">IF($C17="","",$D17-$N17)</f>
        <v/>
      </c>
      <c r="F17" s="18"/>
      <c r="G17" s="18"/>
      <c r="H17" s="18"/>
      <c r="I17" s="18"/>
      <c r="J17" s="18"/>
      <c r="K17" s="18"/>
      <c r="L17" s="18"/>
      <c r="M17" s="18"/>
      <c r="N17" s="19" t="str">
        <f aca="false">IF($C17="","",SUM(F17:M17))</f>
        <v/>
      </c>
      <c r="O17" s="20" t="str">
        <f aca="false">IF(OR($C17="",$D17=0),"",$N17/$D17)</f>
        <v/>
      </c>
      <c r="P17" s="21" t="str">
        <f aca="false">IF($C17="","",IF($D17=0,"缺总工时",IF(ROUND($N17-$D17,2)&gt;0,"工时超出","√")))</f>
        <v/>
      </c>
      <c r="Q17" s="8"/>
    </row>
    <row r="18" customFormat="false" ht="19.5" hidden="false" customHeight="true" outlineLevel="0" collapsed="false">
      <c r="B18" s="6" t="n">
        <v>12</v>
      </c>
      <c r="C18" s="7"/>
      <c r="D18" s="18"/>
      <c r="E18" s="19" t="str">
        <f aca="false">IF($C18="","",$D18-$N18)</f>
        <v/>
      </c>
      <c r="F18" s="18"/>
      <c r="G18" s="18"/>
      <c r="H18" s="18"/>
      <c r="I18" s="18"/>
      <c r="J18" s="18"/>
      <c r="K18" s="18"/>
      <c r="L18" s="18"/>
      <c r="M18" s="18"/>
      <c r="N18" s="19" t="str">
        <f aca="false">IF($C18="","",SUM(F18:M18))</f>
        <v/>
      </c>
      <c r="O18" s="20" t="str">
        <f aca="false">IF(OR($C18="",$D18=0),"",$N18/$D18)</f>
        <v/>
      </c>
      <c r="P18" s="21" t="str">
        <f aca="false">IF($C18="","",IF($D18=0,"缺总工时",IF(ROUND($N18-$D18,2)&gt;0,"工时超出","√")))</f>
        <v/>
      </c>
      <c r="Q18" s="8"/>
    </row>
    <row r="19" customFormat="false" ht="19.5" hidden="false" customHeight="true" outlineLevel="0" collapsed="false">
      <c r="B19" s="6" t="n">
        <v>13</v>
      </c>
      <c r="C19" s="7"/>
      <c r="D19" s="18"/>
      <c r="E19" s="19" t="str">
        <f aca="false">IF($C19="","",$D19-$N19)</f>
        <v/>
      </c>
      <c r="F19" s="18"/>
      <c r="G19" s="18"/>
      <c r="H19" s="18"/>
      <c r="I19" s="18"/>
      <c r="J19" s="18"/>
      <c r="K19" s="18"/>
      <c r="L19" s="18"/>
      <c r="M19" s="18"/>
      <c r="N19" s="19" t="str">
        <f aca="false">IF($C19="","",SUM(F19:M19))</f>
        <v/>
      </c>
      <c r="O19" s="20" t="str">
        <f aca="false">IF(OR($C19="",$D19=0),"",$N19/$D19)</f>
        <v/>
      </c>
      <c r="P19" s="21" t="str">
        <f aca="false">IF($C19="","",IF($D19=0,"缺总工时",IF(ROUND($N19-$D19,2)&gt;0,"工时超出","√")))</f>
        <v/>
      </c>
      <c r="Q19" s="8"/>
    </row>
    <row r="20" customFormat="false" ht="19.5" hidden="false" customHeight="true" outlineLevel="0" collapsed="false">
      <c r="B20" s="6" t="n">
        <v>14</v>
      </c>
      <c r="C20" s="7"/>
      <c r="D20" s="18"/>
      <c r="E20" s="19" t="str">
        <f aca="false">IF($C20="","",$D20-$N20)</f>
        <v/>
      </c>
      <c r="F20" s="18"/>
      <c r="G20" s="18"/>
      <c r="H20" s="18"/>
      <c r="I20" s="18"/>
      <c r="J20" s="18"/>
      <c r="K20" s="18"/>
      <c r="L20" s="18"/>
      <c r="M20" s="18"/>
      <c r="N20" s="19" t="str">
        <f aca="false">IF($C20="","",SUM(F20:M20))</f>
        <v/>
      </c>
      <c r="O20" s="20" t="str">
        <f aca="false">IF(OR($C20="",$D20=0),"",$N20/$D20)</f>
        <v/>
      </c>
      <c r="P20" s="21" t="str">
        <f aca="false">IF($C20="","",IF($D20=0,"缺总工时",IF(ROUND($N20-$D20,2)&gt;0,"工时超出","√")))</f>
        <v/>
      </c>
      <c r="Q20" s="8"/>
    </row>
    <row r="21" customFormat="false" ht="19.5" hidden="false" customHeight="true" outlineLevel="0" collapsed="false">
      <c r="B21" s="6" t="n">
        <v>15</v>
      </c>
      <c r="C21" s="7"/>
      <c r="D21" s="18"/>
      <c r="E21" s="19" t="str">
        <f aca="false">IF($C21="","",$D21-$N21)</f>
        <v/>
      </c>
      <c r="F21" s="18"/>
      <c r="G21" s="18"/>
      <c r="H21" s="18"/>
      <c r="I21" s="18"/>
      <c r="J21" s="18"/>
      <c r="K21" s="18"/>
      <c r="L21" s="18"/>
      <c r="M21" s="18"/>
      <c r="N21" s="19" t="str">
        <f aca="false">IF($C21="","",SUM(F21:M21))</f>
        <v/>
      </c>
      <c r="O21" s="20" t="str">
        <f aca="false">IF(OR($C21="",$D21=0),"",$N21/$D21)</f>
        <v/>
      </c>
      <c r="P21" s="21" t="str">
        <f aca="false">IF($C21="","",IF($D21=0,"缺总工时",IF(ROUND($N21-$D21,2)&gt;0,"工时超出","√")))</f>
        <v/>
      </c>
      <c r="Q21" s="8"/>
    </row>
    <row r="22" customFormat="false" ht="19.5" hidden="false" customHeight="true" outlineLevel="0" collapsed="false">
      <c r="B22" s="6" t="n">
        <v>16</v>
      </c>
      <c r="C22" s="7"/>
      <c r="D22" s="18"/>
      <c r="E22" s="19" t="str">
        <f aca="false">IF($C22="","",$D22-$N22)</f>
        <v/>
      </c>
      <c r="F22" s="18"/>
      <c r="G22" s="18"/>
      <c r="H22" s="18"/>
      <c r="I22" s="18"/>
      <c r="J22" s="18"/>
      <c r="K22" s="18"/>
      <c r="L22" s="18"/>
      <c r="M22" s="18"/>
      <c r="N22" s="19" t="str">
        <f aca="false">IF($C22="","",SUM(F22:M22))</f>
        <v/>
      </c>
      <c r="O22" s="20" t="str">
        <f aca="false">IF(OR($C22="",$D22=0),"",$N22/$D22)</f>
        <v/>
      </c>
      <c r="P22" s="21" t="str">
        <f aca="false">IF($C22="","",IF($D22=0,"缺总工时",IF(ROUND($N22-$D22,2)&gt;0,"工时超出","√")))</f>
        <v/>
      </c>
      <c r="Q22" s="8"/>
    </row>
    <row r="23" customFormat="false" ht="19.5" hidden="false" customHeight="true" outlineLevel="0" collapsed="false">
      <c r="B23" s="6" t="n">
        <v>17</v>
      </c>
      <c r="C23" s="7"/>
      <c r="D23" s="18"/>
      <c r="E23" s="19" t="str">
        <f aca="false">IF($C23="","",$D23-$N23)</f>
        <v/>
      </c>
      <c r="F23" s="18"/>
      <c r="G23" s="18"/>
      <c r="H23" s="18"/>
      <c r="I23" s="18"/>
      <c r="J23" s="18"/>
      <c r="K23" s="18"/>
      <c r="L23" s="18"/>
      <c r="M23" s="18"/>
      <c r="N23" s="19" t="str">
        <f aca="false">IF($C23="","",SUM(F23:M23))</f>
        <v/>
      </c>
      <c r="O23" s="20" t="str">
        <f aca="false">IF(OR($C23="",$D23=0),"",$N23/$D23)</f>
        <v/>
      </c>
      <c r="P23" s="21" t="str">
        <f aca="false">IF($C23="","",IF($D23=0,"缺总工时",IF(ROUND($N23-$D23,2)&gt;0,"工时超出","√")))</f>
        <v/>
      </c>
      <c r="Q23" s="8"/>
    </row>
    <row r="24" customFormat="false" ht="19.5" hidden="false" customHeight="true" outlineLevel="0" collapsed="false">
      <c r="B24" s="6" t="n">
        <v>18</v>
      </c>
      <c r="C24" s="7"/>
      <c r="D24" s="18"/>
      <c r="E24" s="19" t="str">
        <f aca="false">IF($C24="","",$D24-$N24)</f>
        <v/>
      </c>
      <c r="F24" s="18"/>
      <c r="G24" s="18"/>
      <c r="H24" s="18"/>
      <c r="I24" s="18"/>
      <c r="J24" s="18"/>
      <c r="K24" s="18"/>
      <c r="L24" s="18"/>
      <c r="M24" s="18"/>
      <c r="N24" s="19" t="str">
        <f aca="false">IF($C24="","",SUM(F24:M24))</f>
        <v/>
      </c>
      <c r="O24" s="20" t="str">
        <f aca="false">IF(OR($C24="",$D24=0),"",$N24/$D24)</f>
        <v/>
      </c>
      <c r="P24" s="21" t="str">
        <f aca="false">IF($C24="","",IF($D24=0,"缺总工时",IF(ROUND($N24-$D24,2)&gt;0,"工时超出","√")))</f>
        <v/>
      </c>
      <c r="Q24" s="8"/>
    </row>
    <row r="25" customFormat="false" ht="19.5" hidden="false" customHeight="true" outlineLevel="0" collapsed="false">
      <c r="B25" s="6" t="n">
        <v>19</v>
      </c>
      <c r="C25" s="7"/>
      <c r="D25" s="18"/>
      <c r="E25" s="19" t="str">
        <f aca="false">IF($C25="","",$D25-$N25)</f>
        <v/>
      </c>
      <c r="F25" s="18"/>
      <c r="G25" s="18"/>
      <c r="H25" s="18"/>
      <c r="I25" s="18"/>
      <c r="J25" s="18"/>
      <c r="K25" s="18"/>
      <c r="L25" s="18"/>
      <c r="M25" s="18"/>
      <c r="N25" s="19" t="str">
        <f aca="false">IF($C25="","",SUM(F25:M25))</f>
        <v/>
      </c>
      <c r="O25" s="20" t="str">
        <f aca="false">IF(OR($C25="",$D25=0),"",$N25/$D25)</f>
        <v/>
      </c>
      <c r="P25" s="21" t="str">
        <f aca="false">IF($C25="","",IF($D25=0,"缺总工时",IF(ROUND($N25-$D25,2)&gt;0,"工时超出","√")))</f>
        <v/>
      </c>
      <c r="Q25" s="8"/>
    </row>
    <row r="26" customFormat="false" ht="19.5" hidden="false" customHeight="true" outlineLevel="0" collapsed="false">
      <c r="B26" s="6" t="n">
        <v>20</v>
      </c>
      <c r="C26" s="7"/>
      <c r="D26" s="18"/>
      <c r="E26" s="19" t="str">
        <f aca="false">IF($C26="","",$D26-$N26)</f>
        <v/>
      </c>
      <c r="F26" s="18"/>
      <c r="G26" s="18"/>
      <c r="H26" s="18"/>
      <c r="I26" s="18"/>
      <c r="J26" s="18"/>
      <c r="K26" s="18"/>
      <c r="L26" s="18"/>
      <c r="M26" s="18"/>
      <c r="N26" s="19" t="str">
        <f aca="false">IF($C26="","",SUM(F26:M26))</f>
        <v/>
      </c>
      <c r="O26" s="20" t="str">
        <f aca="false">IF(OR($C26="",$D26=0),"",$N26/$D26)</f>
        <v/>
      </c>
      <c r="P26" s="21" t="str">
        <f aca="false">IF($C26="","",IF($D26=0,"缺总工时",IF(ROUND($N26-$D26,2)&gt;0,"工时超出","√")))</f>
        <v/>
      </c>
      <c r="Q26" s="8"/>
    </row>
    <row r="27" customFormat="false" ht="15" hidden="false" customHeight="true" outlineLevel="0" collapsed="false">
      <c r="B27" s="22" t="s">
        <v>61</v>
      </c>
      <c r="C27" s="22"/>
      <c r="D27" s="23" t="n">
        <f aca="false">SUM(D7:D26)</f>
        <v>862.5</v>
      </c>
      <c r="E27" s="23" t="n">
        <f aca="false">SUM(E7:E26)</f>
        <v>242.5</v>
      </c>
      <c r="F27" s="23" t="n">
        <f aca="false">SUM(F7:F26)</f>
        <v>135</v>
      </c>
      <c r="G27" s="23" t="n">
        <f aca="false">SUM(G7:G26)</f>
        <v>120</v>
      </c>
      <c r="H27" s="23" t="n">
        <f aca="false">SUM(H7:H26)</f>
        <v>145</v>
      </c>
      <c r="I27" s="23" t="n">
        <f aca="false">SUM(I7:I26)</f>
        <v>110</v>
      </c>
      <c r="J27" s="23" t="n">
        <f aca="false">SUM(J7:J26)</f>
        <v>110</v>
      </c>
      <c r="K27" s="23" t="n">
        <f aca="false">SUM(K7:K26)</f>
        <v>0</v>
      </c>
      <c r="L27" s="23" t="n">
        <f aca="false">SUM(L7:L26)</f>
        <v>0</v>
      </c>
      <c r="M27" s="23" t="n">
        <f aca="false">SUM(M7:M26)</f>
        <v>0</v>
      </c>
      <c r="N27" s="23" t="n">
        <f aca="false">SUM(N7:N26)</f>
        <v>620</v>
      </c>
      <c r="O27" s="24" t="n">
        <f aca="false">IF($D27=0,"",$N27/$D27)</f>
        <v>0.718840579710145</v>
      </c>
      <c r="P27" s="25"/>
      <c r="Q27" s="25"/>
    </row>
    <row r="29" customFormat="false" ht="15" hidden="false" customHeight="false" outlineLevel="0" collapsed="false">
      <c r="D29" s="26" t="s">
        <v>62</v>
      </c>
      <c r="M29" s="26" t="s">
        <v>63</v>
      </c>
    </row>
    <row r="31" customFormat="false" ht="156.7" hidden="false" customHeight="false" outlineLevel="0" collapsed="false">
      <c r="B31" s="10" t="s">
        <v>64</v>
      </c>
    </row>
  </sheetData>
  <mergeCells count="12">
    <mergeCell ref="B2:Q2"/>
    <mergeCell ref="P3:Q3"/>
    <mergeCell ref="B4:B6"/>
    <mergeCell ref="C4:C6"/>
    <mergeCell ref="D4:D6"/>
    <mergeCell ref="E4:E6"/>
    <mergeCell ref="F4:N4"/>
    <mergeCell ref="P4:P6"/>
    <mergeCell ref="Q4:Q6"/>
    <mergeCell ref="N5:N6"/>
    <mergeCell ref="O5:O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R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16" min="5" style="0" width="11"/>
    <col collapsed="false" customWidth="true" hidden="false" outlineLevel="0" max="17" min="17" style="0" width="10"/>
    <col collapsed="false" customWidth="true" hidden="false" outlineLevel="0" max="18" min="18" style="0" width="16"/>
  </cols>
  <sheetData>
    <row r="2" customFormat="false" ht="30" hidden="false" customHeight="true" outlineLevel="0" collapsed="false">
      <c r="B2" s="11" t="s">
        <v>65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customFormat="false" ht="15" hidden="false" customHeight="false" outlineLevel="0" collapsed="false">
      <c r="P3" s="12" t="s">
        <v>51</v>
      </c>
      <c r="Q3" s="13" t="n">
        <v>46266</v>
      </c>
      <c r="R3" s="13"/>
    </row>
    <row r="4" customFormat="false" ht="19.5" hidden="false" customHeight="true" outlineLevel="0" collapsed="false">
      <c r="B4" s="14" t="s">
        <v>15</v>
      </c>
      <c r="C4" s="14" t="s">
        <v>66</v>
      </c>
      <c r="D4" s="14" t="s">
        <v>67</v>
      </c>
      <c r="E4" s="14" t="s">
        <v>68</v>
      </c>
      <c r="F4" s="14" t="s">
        <v>54</v>
      </c>
      <c r="G4" s="15" t="s">
        <v>55</v>
      </c>
      <c r="H4" s="15"/>
      <c r="I4" s="15"/>
      <c r="J4" s="15"/>
      <c r="K4" s="15"/>
      <c r="L4" s="15"/>
      <c r="M4" s="15"/>
      <c r="N4" s="15"/>
      <c r="O4" s="15"/>
      <c r="P4" s="5" t="s">
        <v>56</v>
      </c>
      <c r="Q4" s="14" t="s">
        <v>57</v>
      </c>
      <c r="R4" s="14" t="s">
        <v>21</v>
      </c>
    </row>
    <row r="5" customFormat="false" ht="19.5" hidden="false" customHeight="true" outlineLevel="0" collapsed="false">
      <c r="B5" s="14"/>
      <c r="C5" s="14"/>
      <c r="D5" s="14"/>
      <c r="E5" s="14"/>
      <c r="F5" s="14"/>
      <c r="G5" s="16" t="str">
        <f aca="false">说明与项目清单!$C$20</f>
        <v>RD01</v>
      </c>
      <c r="H5" s="16" t="str">
        <f aca="false">说明与项目清单!$C$21</f>
        <v>RD02</v>
      </c>
      <c r="I5" s="16" t="str">
        <f aca="false">说明与项目清单!$C$22</f>
        <v>RD03</v>
      </c>
      <c r="J5" s="16" t="str">
        <f aca="false">说明与项目清单!$C$23</f>
        <v>RD04</v>
      </c>
      <c r="K5" s="16" t="str">
        <f aca="false">说明与项目清单!$C$24</f>
        <v>RD05</v>
      </c>
      <c r="L5" s="16" t="str">
        <f aca="false">说明与项目清单!$C$25</f>
        <v>RD06</v>
      </c>
      <c r="M5" s="16" t="str">
        <f aca="false">说明与项目清单!$C$26</f>
        <v>RD07</v>
      </c>
      <c r="N5" s="16" t="str">
        <f aca="false">说明与项目清单!$C$27</f>
        <v>RD08</v>
      </c>
      <c r="O5" s="14" t="s">
        <v>58</v>
      </c>
      <c r="P5" s="17" t="s">
        <v>59</v>
      </c>
      <c r="Q5" s="14"/>
      <c r="R5" s="14"/>
    </row>
    <row r="6" customFormat="false" ht="19.5" hidden="false" customHeight="true" outlineLevel="0" collapsed="false">
      <c r="B6" s="14"/>
      <c r="C6" s="14"/>
      <c r="D6" s="14"/>
      <c r="E6" s="14"/>
      <c r="F6" s="14"/>
      <c r="G6" s="16" t="str">
        <f aca="false">说明与项目清单!$D$20</f>
        <v>高导热复合胶带研发</v>
      </c>
      <c r="H6" s="16" t="str">
        <f aca="false">说明与项目清单!$D$21</f>
        <v>低介电泡棉材料研发</v>
      </c>
      <c r="I6" s="16" t="str">
        <f aca="false">说明与项目清单!$D$22</f>
        <v>精密分切工艺改进</v>
      </c>
      <c r="J6" s="16" t="str">
        <f aca="false">说明与项目清单!$D$23</f>
        <v>抗静电表面处理技术</v>
      </c>
      <c r="K6" s="16" t="str">
        <f aca="false">说明与项目清单!$D$24</f>
        <v>超薄贴合工艺开发</v>
      </c>
      <c r="L6" s="16" t="n">
        <f aca="false">说明与项目清单!$D$25</f>
        <v>0</v>
      </c>
      <c r="M6" s="16" t="n">
        <f aca="false">说明与项目清单!$D$26</f>
        <v>0</v>
      </c>
      <c r="N6" s="16" t="n">
        <f aca="false">说明与项目清单!$D$27</f>
        <v>0</v>
      </c>
      <c r="O6" s="14"/>
      <c r="P6" s="14"/>
      <c r="Q6" s="14"/>
      <c r="R6" s="14"/>
    </row>
    <row r="7" customFormat="false" ht="19.5" hidden="false" customHeight="true" outlineLevel="0" collapsed="false">
      <c r="B7" s="6" t="n">
        <v>1</v>
      </c>
      <c r="C7" s="7" t="s">
        <v>69</v>
      </c>
      <c r="D7" s="8" t="s">
        <v>70</v>
      </c>
      <c r="E7" s="18" t="n">
        <v>180</v>
      </c>
      <c r="F7" s="19" t="n">
        <f aca="false">IF($C7="","",$E7-$O7)</f>
        <v>36</v>
      </c>
      <c r="G7" s="18" t="n">
        <v>36</v>
      </c>
      <c r="H7" s="18" t="n">
        <v>36</v>
      </c>
      <c r="I7" s="18"/>
      <c r="J7" s="18" t="n">
        <v>36</v>
      </c>
      <c r="K7" s="18" t="n">
        <v>36</v>
      </c>
      <c r="L7" s="18"/>
      <c r="M7" s="18"/>
      <c r="N7" s="18"/>
      <c r="O7" s="19" t="n">
        <f aca="false">IF($C7="","",SUM(G7:N7))</f>
        <v>144</v>
      </c>
      <c r="P7" s="20" t="n">
        <f aca="false">IF(OR($C7="",$E7=0),"",$O7/$E7)</f>
        <v>0.8</v>
      </c>
      <c r="Q7" s="21" t="str">
        <f aca="false">IF($C7="","",IF($E7=0,"缺总工时",IF(ROUND($O7-$E7,2)&gt;0,"工时超出","√")))</f>
        <v>√</v>
      </c>
      <c r="R7" s="8" t="s">
        <v>71</v>
      </c>
    </row>
    <row r="8" customFormat="false" ht="19.5" hidden="false" customHeight="true" outlineLevel="0" collapsed="false">
      <c r="B8" s="6" t="n">
        <v>2</v>
      </c>
      <c r="C8" s="7" t="s">
        <v>72</v>
      </c>
      <c r="D8" s="8" t="s">
        <v>73</v>
      </c>
      <c r="E8" s="18" t="n">
        <v>180</v>
      </c>
      <c r="F8" s="19" t="n">
        <f aca="false">IF($C8="","",$E8-$O8)</f>
        <v>72</v>
      </c>
      <c r="G8" s="18"/>
      <c r="H8" s="18" t="n">
        <v>36</v>
      </c>
      <c r="I8" s="18" t="n">
        <v>36</v>
      </c>
      <c r="J8" s="18" t="n">
        <v>36</v>
      </c>
      <c r="K8" s="18"/>
      <c r="L8" s="18"/>
      <c r="M8" s="18"/>
      <c r="N8" s="18"/>
      <c r="O8" s="19" t="n">
        <f aca="false">IF($C8="","",SUM(G8:N8))</f>
        <v>108</v>
      </c>
      <c r="P8" s="20" t="n">
        <f aca="false">IF(OR($C8="",$E8=0),"",$O8/$E8)</f>
        <v>0.6</v>
      </c>
      <c r="Q8" s="21" t="str">
        <f aca="false">IF($C8="","",IF($E8=0,"缺总工时",IF(ROUND($O8-$E8,2)&gt;0,"工时超出","√")))</f>
        <v>√</v>
      </c>
      <c r="R8" s="8" t="s">
        <v>71</v>
      </c>
    </row>
    <row r="9" customFormat="false" ht="19.5" hidden="false" customHeight="true" outlineLevel="0" collapsed="false">
      <c r="B9" s="6" t="n">
        <v>3</v>
      </c>
      <c r="C9" s="7" t="s">
        <v>74</v>
      </c>
      <c r="D9" s="27" t="s">
        <v>75</v>
      </c>
      <c r="E9" s="18" t="n">
        <v>180</v>
      </c>
      <c r="F9" s="19" t="n">
        <f aca="false">IF($C9="","",$E9-$O9)</f>
        <v>36</v>
      </c>
      <c r="G9" s="18" t="n">
        <v>36</v>
      </c>
      <c r="H9" s="18" t="n">
        <v>36</v>
      </c>
      <c r="I9" s="18" t="n">
        <v>36</v>
      </c>
      <c r="J9" s="18"/>
      <c r="K9" s="18" t="n">
        <v>36</v>
      </c>
      <c r="L9" s="18"/>
      <c r="M9" s="18"/>
      <c r="N9" s="18"/>
      <c r="O9" s="19" t="n">
        <f aca="false">IF($C9="","",SUM(G9:N9))</f>
        <v>144</v>
      </c>
      <c r="P9" s="20" t="n">
        <f aca="false">IF(OR($C9="",$E9=0),"",$O9/$E9)</f>
        <v>0.8</v>
      </c>
      <c r="Q9" s="21" t="str">
        <f aca="false">IF($C9="","",IF($E9=0,"缺总工时",IF(ROUND($O9-$E9,2)&gt;0,"工时超出","√")))</f>
        <v>√</v>
      </c>
      <c r="R9" s="8" t="s">
        <v>71</v>
      </c>
    </row>
    <row r="10" customFormat="false" ht="19.5" hidden="false" customHeight="true" outlineLevel="0" collapsed="false">
      <c r="B10" s="6" t="n">
        <v>4</v>
      </c>
      <c r="C10" s="7" t="s">
        <v>76</v>
      </c>
      <c r="D10" s="27" t="s">
        <v>77</v>
      </c>
      <c r="E10" s="18" t="n">
        <v>180</v>
      </c>
      <c r="F10" s="19" t="n">
        <f aca="false">IF($C10="","",$E10-$O10)</f>
        <v>72</v>
      </c>
      <c r="G10" s="18"/>
      <c r="H10" s="18"/>
      <c r="I10" s="18" t="n">
        <v>36</v>
      </c>
      <c r="J10" s="18" t="n">
        <v>36</v>
      </c>
      <c r="K10" s="18" t="n">
        <v>36</v>
      </c>
      <c r="L10" s="18"/>
      <c r="M10" s="18"/>
      <c r="N10" s="18"/>
      <c r="O10" s="19" t="n">
        <f aca="false">IF($C10="","",SUM(G10:N10))</f>
        <v>108</v>
      </c>
      <c r="P10" s="20" t="n">
        <f aca="false">IF(OR($C10="",$E10=0),"",$O10/$E10)</f>
        <v>0.6</v>
      </c>
      <c r="Q10" s="21" t="str">
        <f aca="false">IF($C10="","",IF($E10=0,"缺总工时",IF(ROUND($O10-$E10,2)&gt;0,"工时超出","√")))</f>
        <v>√</v>
      </c>
      <c r="R10" s="8" t="s">
        <v>71</v>
      </c>
    </row>
    <row r="11" customFormat="false" ht="19.5" hidden="false" customHeight="true" outlineLevel="0" collapsed="false">
      <c r="B11" s="6" t="n">
        <v>5</v>
      </c>
      <c r="C11" s="7" t="s">
        <v>78</v>
      </c>
      <c r="D11" s="27" t="s">
        <v>79</v>
      </c>
      <c r="E11" s="18" t="n">
        <v>180</v>
      </c>
      <c r="F11" s="19" t="n">
        <f aca="false">IF($C11="","",$E11-$O11)</f>
        <v>108</v>
      </c>
      <c r="G11" s="18"/>
      <c r="H11" s="18"/>
      <c r="I11" s="18" t="n">
        <v>36</v>
      </c>
      <c r="J11" s="18"/>
      <c r="K11" s="18" t="n">
        <v>36</v>
      </c>
      <c r="L11" s="18"/>
      <c r="M11" s="18"/>
      <c r="N11" s="18"/>
      <c r="O11" s="19" t="n">
        <f aca="false">IF($C11="","",SUM(G11:N11))</f>
        <v>72</v>
      </c>
      <c r="P11" s="20" t="n">
        <f aca="false">IF(OR($C11="",$E11=0),"",$O11/$E11)</f>
        <v>0.4</v>
      </c>
      <c r="Q11" s="21" t="str">
        <f aca="false">IF($C11="","",IF($E11=0,"缺总工时",IF(ROUND($O11-$E11,2)&gt;0,"工时超出","√")))</f>
        <v>√</v>
      </c>
      <c r="R11" s="8" t="s">
        <v>71</v>
      </c>
    </row>
    <row r="12" customFormat="false" ht="19.5" hidden="false" customHeight="true" outlineLevel="0" collapsed="false">
      <c r="B12" s="6" t="n">
        <v>6</v>
      </c>
      <c r="C12" s="7" t="s">
        <v>80</v>
      </c>
      <c r="D12" s="8" t="s">
        <v>81</v>
      </c>
      <c r="E12" s="18" t="n">
        <v>180</v>
      </c>
      <c r="F12" s="19" t="n">
        <f aca="false">IF($C12="","",$E12-$O12)</f>
        <v>144</v>
      </c>
      <c r="G12" s="18"/>
      <c r="H12" s="18"/>
      <c r="I12" s="18" t="n">
        <v>36</v>
      </c>
      <c r="J12" s="18"/>
      <c r="K12" s="18"/>
      <c r="L12" s="18"/>
      <c r="M12" s="18"/>
      <c r="N12" s="18"/>
      <c r="O12" s="19" t="n">
        <f aca="false">IF($C12="","",SUM(G12:N12))</f>
        <v>36</v>
      </c>
      <c r="P12" s="20" t="n">
        <f aca="false">IF(OR($C12="",$E12=0),"",$O12/$E12)</f>
        <v>0.2</v>
      </c>
      <c r="Q12" s="21" t="str">
        <f aca="false">IF($C12="","",IF($E12=0,"缺总工时",IF(ROUND($O12-$E12,2)&gt;0,"工时超出","√")))</f>
        <v>√</v>
      </c>
      <c r="R12" s="8" t="s">
        <v>71</v>
      </c>
    </row>
    <row r="13" customFormat="false" ht="19.5" hidden="false" customHeight="true" outlineLevel="0" collapsed="false">
      <c r="B13" s="6" t="n">
        <v>7</v>
      </c>
      <c r="C13" s="7" t="s">
        <v>82</v>
      </c>
      <c r="D13" s="8" t="s">
        <v>83</v>
      </c>
      <c r="E13" s="18" t="n">
        <v>180</v>
      </c>
      <c r="F13" s="19" t="n">
        <f aca="false">IF($C13="","",$E13-$O13)</f>
        <v>144</v>
      </c>
      <c r="G13" s="18"/>
      <c r="H13" s="18"/>
      <c r="I13" s="18" t="n">
        <v>36</v>
      </c>
      <c r="J13" s="18"/>
      <c r="K13" s="18"/>
      <c r="L13" s="18"/>
      <c r="M13" s="18"/>
      <c r="N13" s="18"/>
      <c r="O13" s="19" t="n">
        <f aca="false">IF($C13="","",SUM(G13:N13))</f>
        <v>36</v>
      </c>
      <c r="P13" s="20" t="n">
        <f aca="false">IF(OR($C13="",$E13=0),"",$O13/$E13)</f>
        <v>0.2</v>
      </c>
      <c r="Q13" s="21" t="str">
        <f aca="false">IF($C13="","",IF($E13=0,"缺总工时",IF(ROUND($O13-$E13,2)&gt;0,"工时超出","√")))</f>
        <v>√</v>
      </c>
      <c r="R13" s="8" t="s">
        <v>71</v>
      </c>
    </row>
    <row r="14" customFormat="false" ht="19.5" hidden="false" customHeight="true" outlineLevel="0" collapsed="false">
      <c r="B14" s="6" t="n">
        <v>8</v>
      </c>
      <c r="C14" s="7" t="s">
        <v>84</v>
      </c>
      <c r="D14" s="8" t="s">
        <v>85</v>
      </c>
      <c r="E14" s="18" t="n">
        <v>180</v>
      </c>
      <c r="F14" s="19" t="n">
        <f aca="false">IF($C14="","",$E14-$O14)</f>
        <v>180</v>
      </c>
      <c r="G14" s="18"/>
      <c r="H14" s="18"/>
      <c r="I14" s="18"/>
      <c r="J14" s="18"/>
      <c r="K14" s="18"/>
      <c r="L14" s="18"/>
      <c r="M14" s="18"/>
      <c r="N14" s="18"/>
      <c r="O14" s="19" t="n">
        <f aca="false">IF($C14="","",SUM(G14:N14))</f>
        <v>0</v>
      </c>
      <c r="P14" s="20" t="n">
        <f aca="false">IF(OR($C14="",$E14=0),"",$O14/$E14)</f>
        <v>0</v>
      </c>
      <c r="Q14" s="21" t="str">
        <f aca="false">IF($C14="","",IF($E14=0,"缺总工时",IF(ROUND($O14-$E14,2)&gt;0,"工时超出","√")))</f>
        <v>√</v>
      </c>
      <c r="R14" s="8" t="s">
        <v>71</v>
      </c>
    </row>
    <row r="15" customFormat="false" ht="19.5" hidden="false" customHeight="true" outlineLevel="0" collapsed="false">
      <c r="B15" s="6" t="n">
        <v>9</v>
      </c>
      <c r="C15" s="7" t="s">
        <v>86</v>
      </c>
      <c r="D15" s="27" t="s">
        <v>87</v>
      </c>
      <c r="E15" s="18" t="n">
        <v>180</v>
      </c>
      <c r="F15" s="19" t="n">
        <f aca="false">IF($C15="","",$E15-$O15)</f>
        <v>144</v>
      </c>
      <c r="G15" s="18"/>
      <c r="H15" s="18" t="n">
        <v>36</v>
      </c>
      <c r="I15" s="18"/>
      <c r="J15" s="18"/>
      <c r="K15" s="18"/>
      <c r="L15" s="18"/>
      <c r="M15" s="18"/>
      <c r="N15" s="18"/>
      <c r="O15" s="19" t="n">
        <f aca="false">IF($C15="","",SUM(G15:N15))</f>
        <v>36</v>
      </c>
      <c r="P15" s="20" t="n">
        <f aca="false">IF(OR($C15="",$E15=0),"",$O15/$E15)</f>
        <v>0.2</v>
      </c>
      <c r="Q15" s="21" t="str">
        <f aca="false">IF($C15="","",IF($E15=0,"缺总工时",IF(ROUND($O15-$E15,2)&gt;0,"工时超出","√")))</f>
        <v>√</v>
      </c>
      <c r="R15" s="8" t="s">
        <v>71</v>
      </c>
    </row>
    <row r="16" customFormat="false" ht="19.5" hidden="false" customHeight="true" outlineLevel="0" collapsed="false">
      <c r="B16" s="6" t="n">
        <v>10</v>
      </c>
      <c r="C16" s="7" t="s">
        <v>88</v>
      </c>
      <c r="D16" s="27" t="s">
        <v>89</v>
      </c>
      <c r="E16" s="18" t="n">
        <v>180</v>
      </c>
      <c r="F16" s="19" t="n">
        <f aca="false">IF($C16="","",$E16-$O16)</f>
        <v>144</v>
      </c>
      <c r="G16" s="18"/>
      <c r="H16" s="18" t="n">
        <v>36</v>
      </c>
      <c r="I16" s="18"/>
      <c r="J16" s="18"/>
      <c r="K16" s="18"/>
      <c r="L16" s="18"/>
      <c r="M16" s="18"/>
      <c r="N16" s="18"/>
      <c r="O16" s="19" t="n">
        <f aca="false">IF($C16="","",SUM(G16:N16))</f>
        <v>36</v>
      </c>
      <c r="P16" s="20" t="n">
        <f aca="false">IF(OR($C16="",$E16=0),"",$O16/$E16)</f>
        <v>0.2</v>
      </c>
      <c r="Q16" s="21" t="str">
        <f aca="false">IF($C16="","",IF($E16=0,"缺总工时",IF(ROUND($O16-$E16,2)&gt;0,"工时超出","√")))</f>
        <v>√</v>
      </c>
      <c r="R16" s="8" t="s">
        <v>71</v>
      </c>
    </row>
    <row r="17" customFormat="false" ht="19.5" hidden="false" customHeight="true" outlineLevel="0" collapsed="false">
      <c r="B17" s="6" t="n">
        <v>11</v>
      </c>
      <c r="C17" s="7" t="s">
        <v>90</v>
      </c>
      <c r="D17" s="8" t="s">
        <v>91</v>
      </c>
      <c r="E17" s="18" t="n">
        <v>180</v>
      </c>
      <c r="F17" s="19" t="n">
        <f aca="false">IF($C17="","",$E17-$O17)</f>
        <v>0</v>
      </c>
      <c r="G17" s="18" t="n">
        <v>36</v>
      </c>
      <c r="H17" s="18" t="n">
        <v>36</v>
      </c>
      <c r="I17" s="18" t="n">
        <v>36</v>
      </c>
      <c r="J17" s="18" t="n">
        <v>36</v>
      </c>
      <c r="K17" s="18" t="n">
        <v>36</v>
      </c>
      <c r="L17" s="18"/>
      <c r="M17" s="18"/>
      <c r="N17" s="18"/>
      <c r="O17" s="19" t="n">
        <f aca="false">IF($C17="","",SUM(G17:N17))</f>
        <v>180</v>
      </c>
      <c r="P17" s="20" t="n">
        <f aca="false">IF(OR($C17="",$E17=0),"",$O17/$E17)</f>
        <v>1</v>
      </c>
      <c r="Q17" s="21" t="str">
        <f aca="false">IF($C17="","",IF($E17=0,"缺总工时",IF(ROUND($O17-$E17,2)&gt;0,"工时超出","√")))</f>
        <v>√</v>
      </c>
      <c r="R17" s="8" t="s">
        <v>92</v>
      </c>
    </row>
    <row r="18" customFormat="false" ht="19.5" hidden="false" customHeight="true" outlineLevel="0" collapsed="false">
      <c r="B18" s="6" t="n">
        <v>12</v>
      </c>
      <c r="C18" s="7"/>
      <c r="D18" s="27"/>
      <c r="E18" s="18"/>
      <c r="F18" s="19" t="str">
        <f aca="false">IF($C18="","",$E18-$O18)</f>
        <v/>
      </c>
      <c r="G18" s="18"/>
      <c r="H18" s="18"/>
      <c r="I18" s="18"/>
      <c r="J18" s="18"/>
      <c r="K18" s="18"/>
      <c r="L18" s="18"/>
      <c r="M18" s="18"/>
      <c r="N18" s="18"/>
      <c r="O18" s="19" t="str">
        <f aca="false">IF($C18="","",SUM(G18:N18))</f>
        <v/>
      </c>
      <c r="P18" s="20" t="str">
        <f aca="false">IF(OR($C18="",$E18=0),"",$O18/$E18)</f>
        <v/>
      </c>
      <c r="Q18" s="21" t="str">
        <f aca="false">IF($C18="","",IF($E18=0,"缺总工时",IF(ROUND($O18-$E18,2)&gt;0,"工时超出","√")))</f>
        <v/>
      </c>
      <c r="R18" s="27"/>
    </row>
    <row r="19" customFormat="false" ht="19.5" hidden="false" customHeight="true" outlineLevel="0" collapsed="false">
      <c r="B19" s="6" t="n">
        <v>13</v>
      </c>
      <c r="C19" s="7"/>
      <c r="D19" s="27"/>
      <c r="E19" s="18"/>
      <c r="F19" s="19" t="str">
        <f aca="false">IF($C19="","",$E19-$O19)</f>
        <v/>
      </c>
      <c r="G19" s="18"/>
      <c r="H19" s="18"/>
      <c r="I19" s="18"/>
      <c r="J19" s="18"/>
      <c r="K19" s="18"/>
      <c r="L19" s="18"/>
      <c r="M19" s="18"/>
      <c r="N19" s="18"/>
      <c r="O19" s="19" t="str">
        <f aca="false">IF($C19="","",SUM(G19:N19))</f>
        <v/>
      </c>
      <c r="P19" s="20" t="str">
        <f aca="false">IF(OR($C19="",$E19=0),"",$O19/$E19)</f>
        <v/>
      </c>
      <c r="Q19" s="21" t="str">
        <f aca="false">IF($C19="","",IF($E19=0,"缺总工时",IF(ROUND($O19-$E19,2)&gt;0,"工时超出","√")))</f>
        <v/>
      </c>
      <c r="R19" s="27"/>
    </row>
    <row r="20" customFormat="false" ht="19.5" hidden="false" customHeight="true" outlineLevel="0" collapsed="false">
      <c r="B20" s="6" t="n">
        <v>14</v>
      </c>
      <c r="C20" s="7"/>
      <c r="D20" s="27"/>
      <c r="E20" s="18"/>
      <c r="F20" s="19" t="str">
        <f aca="false">IF($C20="","",$E20-$O20)</f>
        <v/>
      </c>
      <c r="G20" s="18"/>
      <c r="H20" s="18"/>
      <c r="I20" s="18"/>
      <c r="J20" s="18"/>
      <c r="K20" s="18"/>
      <c r="L20" s="18"/>
      <c r="M20" s="18"/>
      <c r="N20" s="18"/>
      <c r="O20" s="19" t="str">
        <f aca="false">IF($C20="","",SUM(G20:N20))</f>
        <v/>
      </c>
      <c r="P20" s="20" t="str">
        <f aca="false">IF(OR($C20="",$E20=0),"",$O20/$E20)</f>
        <v/>
      </c>
      <c r="Q20" s="21" t="str">
        <f aca="false">IF($C20="","",IF($E20=0,"缺总工时",IF(ROUND($O20-$E20,2)&gt;0,"工时超出","√")))</f>
        <v/>
      </c>
      <c r="R20" s="27"/>
    </row>
    <row r="21" customFormat="false" ht="19.5" hidden="false" customHeight="true" outlineLevel="0" collapsed="false">
      <c r="B21" s="6" t="n">
        <v>15</v>
      </c>
      <c r="C21" s="7"/>
      <c r="D21" s="27"/>
      <c r="E21" s="18"/>
      <c r="F21" s="19" t="str">
        <f aca="false">IF($C21="","",$E21-$O21)</f>
        <v/>
      </c>
      <c r="G21" s="18"/>
      <c r="H21" s="18"/>
      <c r="I21" s="18"/>
      <c r="J21" s="18"/>
      <c r="K21" s="18"/>
      <c r="L21" s="18"/>
      <c r="M21" s="18"/>
      <c r="N21" s="18"/>
      <c r="O21" s="19" t="str">
        <f aca="false">IF($C21="","",SUM(G21:N21))</f>
        <v/>
      </c>
      <c r="P21" s="20" t="str">
        <f aca="false">IF(OR($C21="",$E21=0),"",$O21/$E21)</f>
        <v/>
      </c>
      <c r="Q21" s="21" t="str">
        <f aca="false">IF($C21="","",IF($E21=0,"缺总工时",IF(ROUND($O21-$E21,2)&gt;0,"工时超出","√")))</f>
        <v/>
      </c>
      <c r="R21" s="27"/>
    </row>
    <row r="22" customFormat="false" ht="19.5" hidden="false" customHeight="true" outlineLevel="0" collapsed="false">
      <c r="B22" s="6" t="n">
        <v>16</v>
      </c>
      <c r="C22" s="7"/>
      <c r="D22" s="27"/>
      <c r="E22" s="18"/>
      <c r="F22" s="19" t="str">
        <f aca="false">IF($C22="","",$E22-$O22)</f>
        <v/>
      </c>
      <c r="G22" s="18"/>
      <c r="H22" s="18"/>
      <c r="I22" s="18"/>
      <c r="J22" s="18"/>
      <c r="K22" s="18"/>
      <c r="L22" s="18"/>
      <c r="M22" s="18"/>
      <c r="N22" s="18"/>
      <c r="O22" s="19" t="str">
        <f aca="false">IF($C22="","",SUM(G22:N22))</f>
        <v/>
      </c>
      <c r="P22" s="20" t="str">
        <f aca="false">IF(OR($C22="",$E22=0),"",$O22/$E22)</f>
        <v/>
      </c>
      <c r="Q22" s="21" t="str">
        <f aca="false">IF($C22="","",IF($E22=0,"缺总工时",IF(ROUND($O22-$E22,2)&gt;0,"工时超出","√")))</f>
        <v/>
      </c>
      <c r="R22" s="27"/>
    </row>
    <row r="23" customFormat="false" ht="19.5" hidden="false" customHeight="true" outlineLevel="0" collapsed="false">
      <c r="B23" s="6" t="n">
        <v>17</v>
      </c>
      <c r="C23" s="7"/>
      <c r="D23" s="27"/>
      <c r="E23" s="18"/>
      <c r="F23" s="19" t="str">
        <f aca="false">IF($C23="","",$E23-$O23)</f>
        <v/>
      </c>
      <c r="G23" s="18"/>
      <c r="H23" s="18"/>
      <c r="I23" s="18"/>
      <c r="J23" s="18"/>
      <c r="K23" s="18"/>
      <c r="L23" s="18"/>
      <c r="M23" s="18"/>
      <c r="N23" s="18"/>
      <c r="O23" s="19" t="str">
        <f aca="false">IF($C23="","",SUM(G23:N23))</f>
        <v/>
      </c>
      <c r="P23" s="20" t="str">
        <f aca="false">IF(OR($C23="",$E23=0),"",$O23/$E23)</f>
        <v/>
      </c>
      <c r="Q23" s="21" t="str">
        <f aca="false">IF($C23="","",IF($E23=0,"缺总工时",IF(ROUND($O23-$E23,2)&gt;0,"工时超出","√")))</f>
        <v/>
      </c>
      <c r="R23" s="27"/>
    </row>
    <row r="24" customFormat="false" ht="19.5" hidden="false" customHeight="true" outlineLevel="0" collapsed="false">
      <c r="B24" s="6" t="n">
        <v>18</v>
      </c>
      <c r="C24" s="7"/>
      <c r="D24" s="27"/>
      <c r="E24" s="18"/>
      <c r="F24" s="19" t="str">
        <f aca="false">IF($C24="","",$E24-$O24)</f>
        <v/>
      </c>
      <c r="G24" s="18"/>
      <c r="H24" s="18"/>
      <c r="I24" s="18"/>
      <c r="J24" s="18"/>
      <c r="K24" s="18"/>
      <c r="L24" s="18"/>
      <c r="M24" s="18"/>
      <c r="N24" s="18"/>
      <c r="O24" s="19" t="str">
        <f aca="false">IF($C24="","",SUM(G24:N24))</f>
        <v/>
      </c>
      <c r="P24" s="20" t="str">
        <f aca="false">IF(OR($C24="",$E24=0),"",$O24/$E24)</f>
        <v/>
      </c>
      <c r="Q24" s="21" t="str">
        <f aca="false">IF($C24="","",IF($E24=0,"缺总工时",IF(ROUND($O24-$E24,2)&gt;0,"工时超出","√")))</f>
        <v/>
      </c>
      <c r="R24" s="27"/>
    </row>
    <row r="25" customFormat="false" ht="19.5" hidden="false" customHeight="true" outlineLevel="0" collapsed="false">
      <c r="B25" s="6" t="n">
        <v>19</v>
      </c>
      <c r="C25" s="7"/>
      <c r="D25" s="27"/>
      <c r="E25" s="18"/>
      <c r="F25" s="19" t="str">
        <f aca="false">IF($C25="","",$E25-$O25)</f>
        <v/>
      </c>
      <c r="G25" s="18"/>
      <c r="H25" s="18"/>
      <c r="I25" s="18"/>
      <c r="J25" s="18"/>
      <c r="K25" s="18"/>
      <c r="L25" s="18"/>
      <c r="M25" s="18"/>
      <c r="N25" s="18"/>
      <c r="O25" s="19" t="str">
        <f aca="false">IF($C25="","",SUM(G25:N25))</f>
        <v/>
      </c>
      <c r="P25" s="20" t="str">
        <f aca="false">IF(OR($C25="",$E25=0),"",$O25/$E25)</f>
        <v/>
      </c>
      <c r="Q25" s="21" t="str">
        <f aca="false">IF($C25="","",IF($E25=0,"缺总工时",IF(ROUND($O25-$E25,2)&gt;0,"工时超出","√")))</f>
        <v/>
      </c>
      <c r="R25" s="27"/>
    </row>
    <row r="26" customFormat="false" ht="19.5" hidden="false" customHeight="true" outlineLevel="0" collapsed="false">
      <c r="B26" s="6" t="n">
        <v>20</v>
      </c>
      <c r="C26" s="7"/>
      <c r="D26" s="27"/>
      <c r="E26" s="18"/>
      <c r="F26" s="19" t="str">
        <f aca="false">IF($C26="","",$E26-$O26)</f>
        <v/>
      </c>
      <c r="G26" s="18"/>
      <c r="H26" s="18"/>
      <c r="I26" s="18"/>
      <c r="J26" s="18"/>
      <c r="K26" s="18"/>
      <c r="L26" s="18"/>
      <c r="M26" s="18"/>
      <c r="N26" s="18"/>
      <c r="O26" s="19" t="str">
        <f aca="false">IF($C26="","",SUM(G26:N26))</f>
        <v/>
      </c>
      <c r="P26" s="20" t="str">
        <f aca="false">IF(OR($C26="",$E26=0),"",$O26/$E26)</f>
        <v/>
      </c>
      <c r="Q26" s="21" t="str">
        <f aca="false">IF($C26="","",IF($E26=0,"缺总工时",IF(ROUND($O26-$E26,2)&gt;0,"工时超出","√")))</f>
        <v/>
      </c>
      <c r="R26" s="27"/>
    </row>
    <row r="27" customFormat="false" ht="19.5" hidden="false" customHeight="true" outlineLevel="0" collapsed="false">
      <c r="B27" s="6" t="n">
        <v>21</v>
      </c>
      <c r="C27" s="7"/>
      <c r="D27" s="27"/>
      <c r="E27" s="18"/>
      <c r="F27" s="19" t="str">
        <f aca="false">IF($C27="","",$E27-$O27)</f>
        <v/>
      </c>
      <c r="G27" s="18"/>
      <c r="H27" s="18"/>
      <c r="I27" s="18"/>
      <c r="J27" s="18"/>
      <c r="K27" s="18"/>
      <c r="L27" s="18"/>
      <c r="M27" s="18"/>
      <c r="N27" s="18"/>
      <c r="O27" s="19" t="str">
        <f aca="false">IF($C27="","",SUM(G27:N27))</f>
        <v/>
      </c>
      <c r="P27" s="20" t="str">
        <f aca="false">IF(OR($C27="",$E27=0),"",$O27/$E27)</f>
        <v/>
      </c>
      <c r="Q27" s="21" t="str">
        <f aca="false">IF($C27="","",IF($E27=0,"缺总工时",IF(ROUND($O27-$E27,2)&gt;0,"工时超出","√")))</f>
        <v/>
      </c>
      <c r="R27" s="27"/>
    </row>
    <row r="28" customFormat="false" ht="19.5" hidden="false" customHeight="true" outlineLevel="0" collapsed="false">
      <c r="B28" s="6" t="n">
        <v>22</v>
      </c>
      <c r="C28" s="7"/>
      <c r="D28" s="27"/>
      <c r="E28" s="18"/>
      <c r="F28" s="19" t="str">
        <f aca="false">IF($C28="","",$E28-$O28)</f>
        <v/>
      </c>
      <c r="G28" s="18"/>
      <c r="H28" s="18"/>
      <c r="I28" s="18"/>
      <c r="J28" s="18"/>
      <c r="K28" s="18"/>
      <c r="L28" s="18"/>
      <c r="M28" s="18"/>
      <c r="N28" s="18"/>
      <c r="O28" s="19" t="str">
        <f aca="false">IF($C28="","",SUM(G28:N28))</f>
        <v/>
      </c>
      <c r="P28" s="20" t="str">
        <f aca="false">IF(OR($C28="",$E28=0),"",$O28/$E28)</f>
        <v/>
      </c>
      <c r="Q28" s="21" t="str">
        <f aca="false">IF($C28="","",IF($E28=0,"缺总工时",IF(ROUND($O28-$E28,2)&gt;0,"工时超出","√")))</f>
        <v/>
      </c>
      <c r="R28" s="27"/>
    </row>
    <row r="29" customFormat="false" ht="19.5" hidden="false" customHeight="true" outlineLevel="0" collapsed="false">
      <c r="B29" s="6" t="n">
        <v>23</v>
      </c>
      <c r="C29" s="7"/>
      <c r="D29" s="27"/>
      <c r="E29" s="18"/>
      <c r="F29" s="19" t="str">
        <f aca="false">IF($C29="","",$E29-$O29)</f>
        <v/>
      </c>
      <c r="G29" s="18"/>
      <c r="H29" s="18"/>
      <c r="I29" s="18"/>
      <c r="J29" s="18"/>
      <c r="K29" s="18"/>
      <c r="L29" s="18"/>
      <c r="M29" s="18"/>
      <c r="N29" s="18"/>
      <c r="O29" s="19" t="str">
        <f aca="false">IF($C29="","",SUM(G29:N29))</f>
        <v/>
      </c>
      <c r="P29" s="20" t="str">
        <f aca="false">IF(OR($C29="",$E29=0),"",$O29/$E29)</f>
        <v/>
      </c>
      <c r="Q29" s="21" t="str">
        <f aca="false">IF($C29="","",IF($E29=0,"缺总工时",IF(ROUND($O29-$E29,2)&gt;0,"工时超出","√")))</f>
        <v/>
      </c>
      <c r="R29" s="27"/>
    </row>
    <row r="30" customFormat="false" ht="19.5" hidden="false" customHeight="true" outlineLevel="0" collapsed="false">
      <c r="B30" s="6" t="n">
        <v>24</v>
      </c>
      <c r="C30" s="7"/>
      <c r="D30" s="27"/>
      <c r="E30" s="18"/>
      <c r="F30" s="19" t="str">
        <f aca="false">IF($C30="","",$E30-$O30)</f>
        <v/>
      </c>
      <c r="G30" s="18"/>
      <c r="H30" s="18"/>
      <c r="I30" s="18"/>
      <c r="J30" s="18"/>
      <c r="K30" s="18"/>
      <c r="L30" s="18"/>
      <c r="M30" s="18"/>
      <c r="N30" s="18"/>
      <c r="O30" s="19" t="str">
        <f aca="false">IF($C30="","",SUM(G30:N30))</f>
        <v/>
      </c>
      <c r="P30" s="20" t="str">
        <f aca="false">IF(OR($C30="",$E30=0),"",$O30/$E30)</f>
        <v/>
      </c>
      <c r="Q30" s="21" t="str">
        <f aca="false">IF($C30="","",IF($E30=0,"缺总工时",IF(ROUND($O30-$E30,2)&gt;0,"工时超出","√")))</f>
        <v/>
      </c>
      <c r="R30" s="27"/>
    </row>
    <row r="31" customFormat="false" ht="19.5" hidden="false" customHeight="true" outlineLevel="0" collapsed="false">
      <c r="B31" s="6" t="n">
        <v>25</v>
      </c>
      <c r="C31" s="7"/>
      <c r="D31" s="27"/>
      <c r="E31" s="18"/>
      <c r="F31" s="19" t="str">
        <f aca="false">IF($C31="","",$E31-$O31)</f>
        <v/>
      </c>
      <c r="G31" s="18"/>
      <c r="H31" s="18"/>
      <c r="I31" s="18"/>
      <c r="J31" s="18"/>
      <c r="K31" s="18"/>
      <c r="L31" s="18"/>
      <c r="M31" s="18"/>
      <c r="N31" s="18"/>
      <c r="O31" s="19" t="str">
        <f aca="false">IF($C31="","",SUM(G31:N31))</f>
        <v/>
      </c>
      <c r="P31" s="20" t="str">
        <f aca="false">IF(OR($C31="",$E31=0),"",$O31/$E31)</f>
        <v/>
      </c>
      <c r="Q31" s="21" t="str">
        <f aca="false">IF($C31="","",IF($E31=0,"缺总工时",IF(ROUND($O31-$E31,2)&gt;0,"工时超出","√")))</f>
        <v/>
      </c>
      <c r="R31" s="27"/>
    </row>
    <row r="32" customFormat="false" ht="15" hidden="false" customHeight="true" outlineLevel="0" collapsed="false">
      <c r="B32" s="22" t="s">
        <v>61</v>
      </c>
      <c r="C32" s="22"/>
      <c r="D32" s="22"/>
      <c r="E32" s="23" t="n">
        <f aca="false">SUM(E7:E31)</f>
        <v>1980</v>
      </c>
      <c r="F32" s="23" t="n">
        <f aca="false">SUM(F7:F31)</f>
        <v>1080</v>
      </c>
      <c r="G32" s="23" t="n">
        <f aca="false">SUM(G7:G31)</f>
        <v>108</v>
      </c>
      <c r="H32" s="23" t="n">
        <f aca="false">SUM(H7:H31)</f>
        <v>216</v>
      </c>
      <c r="I32" s="23" t="n">
        <f aca="false">SUM(I7:I31)</f>
        <v>252</v>
      </c>
      <c r="J32" s="23" t="n">
        <f aca="false">SUM(J7:J31)</f>
        <v>144</v>
      </c>
      <c r="K32" s="23" t="n">
        <f aca="false">SUM(K7:K31)</f>
        <v>180</v>
      </c>
      <c r="L32" s="23" t="n">
        <f aca="false">SUM(L7:L31)</f>
        <v>0</v>
      </c>
      <c r="M32" s="23" t="n">
        <f aca="false">SUM(M7:M31)</f>
        <v>0</v>
      </c>
      <c r="N32" s="23" t="n">
        <f aca="false">SUM(N7:N31)</f>
        <v>0</v>
      </c>
      <c r="O32" s="23" t="n">
        <f aca="false">SUM(O7:O31)</f>
        <v>900</v>
      </c>
      <c r="P32" s="24" t="n">
        <f aca="false">IF($E32=0,"",$O32/$E32)</f>
        <v>0.454545454545455</v>
      </c>
      <c r="Q32" s="25"/>
      <c r="R32" s="25"/>
    </row>
    <row r="34" customFormat="false" ht="15" hidden="false" customHeight="false" outlineLevel="0" collapsed="false">
      <c r="E34" s="26" t="s">
        <v>62</v>
      </c>
      <c r="N34" s="26" t="s">
        <v>63</v>
      </c>
    </row>
    <row r="36" customFormat="false" ht="156.7" hidden="false" customHeight="false" outlineLevel="0" collapsed="false">
      <c r="B36" s="10" t="s">
        <v>64</v>
      </c>
    </row>
  </sheetData>
  <mergeCells count="13">
    <mergeCell ref="B2:R2"/>
    <mergeCell ref="Q3:R3"/>
    <mergeCell ref="B4:B6"/>
    <mergeCell ref="C4:C6"/>
    <mergeCell ref="D4:D6"/>
    <mergeCell ref="E4:E6"/>
    <mergeCell ref="F4:F6"/>
    <mergeCell ref="G4:O4"/>
    <mergeCell ref="Q4:Q6"/>
    <mergeCell ref="R4:R6"/>
    <mergeCell ref="O5:O6"/>
    <mergeCell ref="P5:P6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R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16" min="5" style="0" width="11"/>
    <col collapsed="false" customWidth="true" hidden="false" outlineLevel="0" max="17" min="17" style="0" width="10"/>
    <col collapsed="false" customWidth="true" hidden="false" outlineLevel="0" max="18" min="18" style="0" width="16"/>
  </cols>
  <sheetData>
    <row r="2" customFormat="false" ht="30" hidden="false" customHeight="true" outlineLevel="0" collapsed="false">
      <c r="B2" s="11" t="s">
        <v>93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customFormat="false" ht="15" hidden="false" customHeight="false" outlineLevel="0" collapsed="false">
      <c r="P3" s="12" t="s">
        <v>51</v>
      </c>
      <c r="Q3" s="13" t="n">
        <v>46266</v>
      </c>
      <c r="R3" s="13"/>
    </row>
    <row r="4" customFormat="false" ht="19.5" hidden="false" customHeight="true" outlineLevel="0" collapsed="false">
      <c r="B4" s="14" t="s">
        <v>15</v>
      </c>
      <c r="C4" s="14" t="s">
        <v>94</v>
      </c>
      <c r="D4" s="14" t="s">
        <v>95</v>
      </c>
      <c r="E4" s="14" t="s">
        <v>68</v>
      </c>
      <c r="F4" s="14" t="s">
        <v>54</v>
      </c>
      <c r="G4" s="15" t="s">
        <v>55</v>
      </c>
      <c r="H4" s="15"/>
      <c r="I4" s="15"/>
      <c r="J4" s="15"/>
      <c r="K4" s="15"/>
      <c r="L4" s="15"/>
      <c r="M4" s="15"/>
      <c r="N4" s="15"/>
      <c r="O4" s="15"/>
      <c r="P4" s="5" t="s">
        <v>56</v>
      </c>
      <c r="Q4" s="14" t="s">
        <v>57</v>
      </c>
      <c r="R4" s="14" t="s">
        <v>21</v>
      </c>
    </row>
    <row r="5" customFormat="false" ht="19.5" hidden="false" customHeight="true" outlineLevel="0" collapsed="false">
      <c r="B5" s="14"/>
      <c r="C5" s="14"/>
      <c r="D5" s="14"/>
      <c r="E5" s="14"/>
      <c r="F5" s="14"/>
      <c r="G5" s="16" t="str">
        <f aca="false">说明与项目清单!$C$20</f>
        <v>RD01</v>
      </c>
      <c r="H5" s="16" t="str">
        <f aca="false">说明与项目清单!$C$21</f>
        <v>RD02</v>
      </c>
      <c r="I5" s="16" t="str">
        <f aca="false">说明与项目清单!$C$22</f>
        <v>RD03</v>
      </c>
      <c r="J5" s="16" t="str">
        <f aca="false">说明与项目清单!$C$23</f>
        <v>RD04</v>
      </c>
      <c r="K5" s="16" t="str">
        <f aca="false">说明与项目清单!$C$24</f>
        <v>RD05</v>
      </c>
      <c r="L5" s="16" t="str">
        <f aca="false">说明与项目清单!$C$25</f>
        <v>RD06</v>
      </c>
      <c r="M5" s="16" t="str">
        <f aca="false">说明与项目清单!$C$26</f>
        <v>RD07</v>
      </c>
      <c r="N5" s="16" t="str">
        <f aca="false">说明与项目清单!$C$27</f>
        <v>RD08</v>
      </c>
      <c r="O5" s="14" t="s">
        <v>58</v>
      </c>
      <c r="P5" s="17" t="s">
        <v>59</v>
      </c>
      <c r="Q5" s="14"/>
      <c r="R5" s="14"/>
    </row>
    <row r="6" customFormat="false" ht="19.5" hidden="false" customHeight="true" outlineLevel="0" collapsed="false">
      <c r="B6" s="14"/>
      <c r="C6" s="14"/>
      <c r="D6" s="14"/>
      <c r="E6" s="14"/>
      <c r="F6" s="14"/>
      <c r="G6" s="16" t="str">
        <f aca="false">说明与项目清单!$D$20</f>
        <v>高导热复合胶带研发</v>
      </c>
      <c r="H6" s="16" t="str">
        <f aca="false">说明与项目清单!$D$21</f>
        <v>低介电泡棉材料研发</v>
      </c>
      <c r="I6" s="16" t="str">
        <f aca="false">说明与项目清单!$D$22</f>
        <v>精密分切工艺改进</v>
      </c>
      <c r="J6" s="16" t="str">
        <f aca="false">说明与项目清单!$D$23</f>
        <v>抗静电表面处理技术</v>
      </c>
      <c r="K6" s="16" t="str">
        <f aca="false">说明与项目清单!$D$24</f>
        <v>超薄贴合工艺开发</v>
      </c>
      <c r="L6" s="16" t="n">
        <f aca="false">说明与项目清单!$D$25</f>
        <v>0</v>
      </c>
      <c r="M6" s="16" t="n">
        <f aca="false">说明与项目清单!$D$26</f>
        <v>0</v>
      </c>
      <c r="N6" s="16" t="n">
        <f aca="false">说明与项目清单!$D$27</f>
        <v>0</v>
      </c>
      <c r="O6" s="14"/>
      <c r="P6" s="14"/>
      <c r="Q6" s="14"/>
      <c r="R6" s="14"/>
    </row>
    <row r="7" customFormat="false" ht="19.5" hidden="false" customHeight="true" outlineLevel="0" collapsed="false">
      <c r="B7" s="6" t="n">
        <v>1</v>
      </c>
      <c r="C7" s="7" t="s">
        <v>96</v>
      </c>
      <c r="D7" s="8" t="s">
        <v>97</v>
      </c>
      <c r="E7" s="18" t="n">
        <v>180</v>
      </c>
      <c r="F7" s="19" t="n">
        <f aca="false">IF($C7="","",$E7-$O7)</f>
        <v>36</v>
      </c>
      <c r="G7" s="18" t="n">
        <v>36</v>
      </c>
      <c r="H7" s="18" t="n">
        <v>36</v>
      </c>
      <c r="I7" s="18" t="n">
        <v>36</v>
      </c>
      <c r="J7" s="18" t="n">
        <v>36</v>
      </c>
      <c r="K7" s="18"/>
      <c r="L7" s="18"/>
      <c r="M7" s="18"/>
      <c r="N7" s="18"/>
      <c r="O7" s="19" t="n">
        <f aca="false">IF($C7="","",SUM(G7:N7))</f>
        <v>144</v>
      </c>
      <c r="P7" s="20" t="n">
        <f aca="false">IF(OR($C7="",$E7=0),"",$O7/$E7)</f>
        <v>0.8</v>
      </c>
      <c r="Q7" s="21" t="str">
        <f aca="false">IF($C7="","",IF($E7=0,"缺总工时",IF(ROUND($O7-$E7,2)&gt;0,"工时超出","√")))</f>
        <v>√</v>
      </c>
      <c r="R7" s="27"/>
    </row>
    <row r="8" customFormat="false" ht="19.5" hidden="false" customHeight="true" outlineLevel="0" collapsed="false">
      <c r="B8" s="6" t="n">
        <v>2</v>
      </c>
      <c r="C8" s="7" t="s">
        <v>98</v>
      </c>
      <c r="D8" s="8" t="s">
        <v>99</v>
      </c>
      <c r="E8" s="18" t="n">
        <v>180</v>
      </c>
      <c r="F8" s="19" t="n">
        <f aca="false">IF($C8="","",$E8-$O8)</f>
        <v>36</v>
      </c>
      <c r="G8" s="18"/>
      <c r="H8" s="18" t="n">
        <v>36</v>
      </c>
      <c r="I8" s="18" t="n">
        <v>36</v>
      </c>
      <c r="J8" s="18" t="n">
        <v>36</v>
      </c>
      <c r="K8" s="18" t="n">
        <v>36</v>
      </c>
      <c r="L8" s="18"/>
      <c r="M8" s="18"/>
      <c r="N8" s="18"/>
      <c r="O8" s="19" t="n">
        <f aca="false">IF($C8="","",SUM(G8:N8))</f>
        <v>144</v>
      </c>
      <c r="P8" s="20" t="n">
        <f aca="false">IF(OR($C8="",$E8=0),"",$O8/$E8)</f>
        <v>0.8</v>
      </c>
      <c r="Q8" s="21" t="str">
        <f aca="false">IF($C8="","",IF($E8=0,"缺总工时",IF(ROUND($O8-$E8,2)&gt;0,"工时超出","√")))</f>
        <v>√</v>
      </c>
      <c r="R8" s="27"/>
    </row>
    <row r="9" customFormat="false" ht="19.5" hidden="false" customHeight="true" outlineLevel="0" collapsed="false">
      <c r="B9" s="6" t="n">
        <v>3</v>
      </c>
      <c r="C9" s="7" t="s">
        <v>100</v>
      </c>
      <c r="D9" s="8" t="s">
        <v>101</v>
      </c>
      <c r="E9" s="18" t="n">
        <v>180</v>
      </c>
      <c r="F9" s="19" t="n">
        <f aca="false">IF($C9="","",$E9-$O9)</f>
        <v>72</v>
      </c>
      <c r="G9" s="18" t="n">
        <v>36</v>
      </c>
      <c r="H9" s="18"/>
      <c r="I9" s="18" t="n">
        <v>36</v>
      </c>
      <c r="J9" s="18"/>
      <c r="K9" s="18" t="n">
        <v>36</v>
      </c>
      <c r="L9" s="18"/>
      <c r="M9" s="18"/>
      <c r="N9" s="18"/>
      <c r="O9" s="19" t="n">
        <f aca="false">IF($C9="","",SUM(G9:N9))</f>
        <v>108</v>
      </c>
      <c r="P9" s="20" t="n">
        <f aca="false">IF(OR($C9="",$E9=0),"",$O9/$E9)</f>
        <v>0.6</v>
      </c>
      <c r="Q9" s="21" t="str">
        <f aca="false">IF($C9="","",IF($E9=0,"缺总工时",IF(ROUND($O9-$E9,2)&gt;0,"工时超出","√")))</f>
        <v>√</v>
      </c>
      <c r="R9" s="27"/>
    </row>
    <row r="10" customFormat="false" ht="19.5" hidden="false" customHeight="true" outlineLevel="0" collapsed="false">
      <c r="B10" s="6" t="n">
        <v>4</v>
      </c>
      <c r="C10" s="7" t="s">
        <v>102</v>
      </c>
      <c r="D10" s="8" t="s">
        <v>103</v>
      </c>
      <c r="E10" s="18" t="n">
        <v>180</v>
      </c>
      <c r="F10" s="19" t="n">
        <f aca="false">IF($C10="","",$E10-$O10)</f>
        <v>108</v>
      </c>
      <c r="G10" s="18" t="n">
        <v>36</v>
      </c>
      <c r="H10" s="18" t="n">
        <v>36</v>
      </c>
      <c r="I10" s="18"/>
      <c r="J10" s="18"/>
      <c r="K10" s="18"/>
      <c r="L10" s="18"/>
      <c r="M10" s="18"/>
      <c r="N10" s="18"/>
      <c r="O10" s="19" t="n">
        <f aca="false">IF($C10="","",SUM(G10:N10))</f>
        <v>72</v>
      </c>
      <c r="P10" s="20" t="n">
        <f aca="false">IF(OR($C10="",$E10=0),"",$O10/$E10)</f>
        <v>0.4</v>
      </c>
      <c r="Q10" s="21" t="str">
        <f aca="false">IF($C10="","",IF($E10=0,"缺总工时",IF(ROUND($O10-$E10,2)&gt;0,"工时超出","√")))</f>
        <v>√</v>
      </c>
      <c r="R10" s="27"/>
    </row>
    <row r="11" customFormat="false" ht="19.5" hidden="false" customHeight="true" outlineLevel="0" collapsed="false">
      <c r="B11" s="6" t="n">
        <v>5</v>
      </c>
      <c r="C11" s="7" t="s">
        <v>104</v>
      </c>
      <c r="D11" s="8" t="s">
        <v>105</v>
      </c>
      <c r="E11" s="18" t="n">
        <v>180</v>
      </c>
      <c r="F11" s="19" t="n">
        <f aca="false">IF($C11="","",$E11-$O11)</f>
        <v>108</v>
      </c>
      <c r="G11" s="18"/>
      <c r="H11" s="18"/>
      <c r="I11" s="18"/>
      <c r="J11" s="18" t="n">
        <v>36</v>
      </c>
      <c r="K11" s="18" t="n">
        <v>36</v>
      </c>
      <c r="L11" s="18"/>
      <c r="M11" s="18"/>
      <c r="N11" s="18"/>
      <c r="O11" s="19" t="n">
        <f aca="false">IF($C11="","",SUM(G11:N11))</f>
        <v>72</v>
      </c>
      <c r="P11" s="20" t="n">
        <f aca="false">IF(OR($C11="",$E11=0),"",$O11/$E11)</f>
        <v>0.4</v>
      </c>
      <c r="Q11" s="21" t="str">
        <f aca="false">IF($C11="","",IF($E11=0,"缺总工时",IF(ROUND($O11-$E11,2)&gt;0,"工时超出","√")))</f>
        <v>√</v>
      </c>
      <c r="R11" s="27"/>
    </row>
    <row r="12" customFormat="false" ht="19.5" hidden="false" customHeight="true" outlineLevel="0" collapsed="false">
      <c r="B12" s="6" t="n">
        <v>6</v>
      </c>
      <c r="C12" s="7" t="s">
        <v>106</v>
      </c>
      <c r="D12" s="8" t="s">
        <v>107</v>
      </c>
      <c r="E12" s="18" t="n">
        <v>180</v>
      </c>
      <c r="F12" s="19" t="n">
        <f aca="false">IF($C12="","",$E12-$O12)</f>
        <v>144</v>
      </c>
      <c r="G12" s="18"/>
      <c r="H12" s="18"/>
      <c r="I12" s="18" t="n">
        <v>36</v>
      </c>
      <c r="J12" s="18"/>
      <c r="K12" s="18"/>
      <c r="L12" s="18"/>
      <c r="M12" s="18"/>
      <c r="N12" s="18"/>
      <c r="O12" s="19" t="n">
        <f aca="false">IF($C12="","",SUM(G12:N12))</f>
        <v>36</v>
      </c>
      <c r="P12" s="20" t="n">
        <f aca="false">IF(OR($C12="",$E12=0),"",$O12/$E12)</f>
        <v>0.2</v>
      </c>
      <c r="Q12" s="21" t="str">
        <f aca="false">IF($C12="","",IF($E12=0,"缺总工时",IF(ROUND($O12-$E12,2)&gt;0,"工时超出","√")))</f>
        <v>√</v>
      </c>
      <c r="R12" s="27"/>
    </row>
    <row r="13" customFormat="false" ht="19.5" hidden="false" customHeight="true" outlineLevel="0" collapsed="false">
      <c r="B13" s="6" t="n">
        <v>7</v>
      </c>
      <c r="C13" s="7"/>
      <c r="D13" s="27"/>
      <c r="E13" s="18"/>
      <c r="F13" s="19" t="str">
        <f aca="false">IF($C13="","",$E13-$O13)</f>
        <v/>
      </c>
      <c r="G13" s="18"/>
      <c r="H13" s="18"/>
      <c r="I13" s="18"/>
      <c r="J13" s="18"/>
      <c r="K13" s="18"/>
      <c r="L13" s="18"/>
      <c r="M13" s="18"/>
      <c r="N13" s="18"/>
      <c r="O13" s="19" t="str">
        <f aca="false">IF($C13="","",SUM(G13:N13))</f>
        <v/>
      </c>
      <c r="P13" s="20" t="str">
        <f aca="false">IF(OR($C13="",$E13=0),"",$O13/$E13)</f>
        <v/>
      </c>
      <c r="Q13" s="21" t="str">
        <f aca="false">IF($C13="","",IF($E13=0,"缺总工时",IF(ROUND($O13-$E13,2)&gt;0,"工时超出","√")))</f>
        <v/>
      </c>
      <c r="R13" s="27"/>
    </row>
    <row r="14" customFormat="false" ht="19.5" hidden="false" customHeight="true" outlineLevel="0" collapsed="false">
      <c r="B14" s="6" t="n">
        <v>8</v>
      </c>
      <c r="C14" s="7"/>
      <c r="D14" s="27"/>
      <c r="E14" s="18"/>
      <c r="F14" s="19" t="str">
        <f aca="false">IF($C14="","",$E14-$O14)</f>
        <v/>
      </c>
      <c r="G14" s="18"/>
      <c r="H14" s="18"/>
      <c r="I14" s="18"/>
      <c r="J14" s="18"/>
      <c r="K14" s="18"/>
      <c r="L14" s="18"/>
      <c r="M14" s="18"/>
      <c r="N14" s="18"/>
      <c r="O14" s="19" t="str">
        <f aca="false">IF($C14="","",SUM(G14:N14))</f>
        <v/>
      </c>
      <c r="P14" s="20" t="str">
        <f aca="false">IF(OR($C14="",$E14=0),"",$O14/$E14)</f>
        <v/>
      </c>
      <c r="Q14" s="21" t="str">
        <f aca="false">IF($C14="","",IF($E14=0,"缺总工时",IF(ROUND($O14-$E14,2)&gt;0,"工时超出","√")))</f>
        <v/>
      </c>
      <c r="R14" s="27"/>
    </row>
    <row r="15" customFormat="false" ht="19.5" hidden="false" customHeight="true" outlineLevel="0" collapsed="false">
      <c r="B15" s="6" t="n">
        <v>9</v>
      </c>
      <c r="C15" s="7"/>
      <c r="D15" s="27"/>
      <c r="E15" s="18"/>
      <c r="F15" s="19" t="str">
        <f aca="false">IF($C15="","",$E15-$O15)</f>
        <v/>
      </c>
      <c r="G15" s="18"/>
      <c r="H15" s="18"/>
      <c r="I15" s="18"/>
      <c r="J15" s="18"/>
      <c r="K15" s="18"/>
      <c r="L15" s="18"/>
      <c r="M15" s="18"/>
      <c r="N15" s="18"/>
      <c r="O15" s="19" t="str">
        <f aca="false">IF($C15="","",SUM(G15:N15))</f>
        <v/>
      </c>
      <c r="P15" s="20" t="str">
        <f aca="false">IF(OR($C15="",$E15=0),"",$O15/$E15)</f>
        <v/>
      </c>
      <c r="Q15" s="21" t="str">
        <f aca="false">IF($C15="","",IF($E15=0,"缺总工时",IF(ROUND($O15-$E15,2)&gt;0,"工时超出","√")))</f>
        <v/>
      </c>
      <c r="R15" s="27"/>
    </row>
    <row r="16" customFormat="false" ht="19.5" hidden="false" customHeight="true" outlineLevel="0" collapsed="false">
      <c r="B16" s="6" t="n">
        <v>10</v>
      </c>
      <c r="C16" s="7"/>
      <c r="D16" s="27"/>
      <c r="E16" s="18"/>
      <c r="F16" s="19" t="str">
        <f aca="false">IF($C16="","",$E16-$O16)</f>
        <v/>
      </c>
      <c r="G16" s="18"/>
      <c r="H16" s="18"/>
      <c r="I16" s="18"/>
      <c r="J16" s="18"/>
      <c r="K16" s="18"/>
      <c r="L16" s="18"/>
      <c r="M16" s="18"/>
      <c r="N16" s="18"/>
      <c r="O16" s="19" t="str">
        <f aca="false">IF($C16="","",SUM(G16:N16))</f>
        <v/>
      </c>
      <c r="P16" s="20" t="str">
        <f aca="false">IF(OR($C16="",$E16=0),"",$O16/$E16)</f>
        <v/>
      </c>
      <c r="Q16" s="21" t="str">
        <f aca="false">IF($C16="","",IF($E16=0,"缺总工时",IF(ROUND($O16-$E16,2)&gt;0,"工时超出","√")))</f>
        <v/>
      </c>
      <c r="R16" s="27"/>
    </row>
    <row r="17" customFormat="false" ht="19.5" hidden="false" customHeight="true" outlineLevel="0" collapsed="false">
      <c r="B17" s="6" t="n">
        <v>11</v>
      </c>
      <c r="C17" s="7"/>
      <c r="D17" s="27"/>
      <c r="E17" s="18"/>
      <c r="F17" s="19" t="str">
        <f aca="false">IF($C17="","",$E17-$O17)</f>
        <v/>
      </c>
      <c r="G17" s="18"/>
      <c r="H17" s="18"/>
      <c r="I17" s="18"/>
      <c r="J17" s="18"/>
      <c r="K17" s="18"/>
      <c r="L17" s="18"/>
      <c r="M17" s="18"/>
      <c r="N17" s="18"/>
      <c r="O17" s="19" t="str">
        <f aca="false">IF($C17="","",SUM(G17:N17))</f>
        <v/>
      </c>
      <c r="P17" s="20" t="str">
        <f aca="false">IF(OR($C17="",$E17=0),"",$O17/$E17)</f>
        <v/>
      </c>
      <c r="Q17" s="21" t="str">
        <f aca="false">IF($C17="","",IF($E17=0,"缺总工时",IF(ROUND($O17-$E17,2)&gt;0,"工时超出","√")))</f>
        <v/>
      </c>
      <c r="R17" s="27"/>
    </row>
    <row r="18" customFormat="false" ht="19.5" hidden="false" customHeight="true" outlineLevel="0" collapsed="false">
      <c r="B18" s="6" t="n">
        <v>12</v>
      </c>
      <c r="C18" s="7"/>
      <c r="D18" s="27"/>
      <c r="E18" s="18"/>
      <c r="F18" s="19" t="str">
        <f aca="false">IF($C18="","",$E18-$O18)</f>
        <v/>
      </c>
      <c r="G18" s="18"/>
      <c r="H18" s="18"/>
      <c r="I18" s="18"/>
      <c r="J18" s="18"/>
      <c r="K18" s="18"/>
      <c r="L18" s="18"/>
      <c r="M18" s="18"/>
      <c r="N18" s="18"/>
      <c r="O18" s="19" t="str">
        <f aca="false">IF($C18="","",SUM(G18:N18))</f>
        <v/>
      </c>
      <c r="P18" s="20" t="str">
        <f aca="false">IF(OR($C18="",$E18=0),"",$O18/$E18)</f>
        <v/>
      </c>
      <c r="Q18" s="21" t="str">
        <f aca="false">IF($C18="","",IF($E18=0,"缺总工时",IF(ROUND($O18-$E18,2)&gt;0,"工时超出","√")))</f>
        <v/>
      </c>
      <c r="R18" s="27"/>
    </row>
    <row r="19" customFormat="false" ht="19.5" hidden="false" customHeight="true" outlineLevel="0" collapsed="false">
      <c r="B19" s="6" t="n">
        <v>13</v>
      </c>
      <c r="C19" s="7"/>
      <c r="D19" s="27"/>
      <c r="E19" s="18"/>
      <c r="F19" s="19" t="str">
        <f aca="false">IF($C19="","",$E19-$O19)</f>
        <v/>
      </c>
      <c r="G19" s="18"/>
      <c r="H19" s="18"/>
      <c r="I19" s="18"/>
      <c r="J19" s="18"/>
      <c r="K19" s="18"/>
      <c r="L19" s="18"/>
      <c r="M19" s="18"/>
      <c r="N19" s="18"/>
      <c r="O19" s="19" t="str">
        <f aca="false">IF($C19="","",SUM(G19:N19))</f>
        <v/>
      </c>
      <c r="P19" s="20" t="str">
        <f aca="false">IF(OR($C19="",$E19=0),"",$O19/$E19)</f>
        <v/>
      </c>
      <c r="Q19" s="21" t="str">
        <f aca="false">IF($C19="","",IF($E19=0,"缺总工时",IF(ROUND($O19-$E19,2)&gt;0,"工时超出","√")))</f>
        <v/>
      </c>
      <c r="R19" s="27"/>
    </row>
    <row r="20" customFormat="false" ht="19.5" hidden="false" customHeight="true" outlineLevel="0" collapsed="false">
      <c r="B20" s="6" t="n">
        <v>14</v>
      </c>
      <c r="C20" s="7"/>
      <c r="D20" s="27"/>
      <c r="E20" s="18"/>
      <c r="F20" s="19" t="str">
        <f aca="false">IF($C20="","",$E20-$O20)</f>
        <v/>
      </c>
      <c r="G20" s="18"/>
      <c r="H20" s="18"/>
      <c r="I20" s="18"/>
      <c r="J20" s="18"/>
      <c r="K20" s="18"/>
      <c r="L20" s="18"/>
      <c r="M20" s="18"/>
      <c r="N20" s="18"/>
      <c r="O20" s="19" t="str">
        <f aca="false">IF($C20="","",SUM(G20:N20))</f>
        <v/>
      </c>
      <c r="P20" s="20" t="str">
        <f aca="false">IF(OR($C20="",$E20=0),"",$O20/$E20)</f>
        <v/>
      </c>
      <c r="Q20" s="21" t="str">
        <f aca="false">IF($C20="","",IF($E20=0,"缺总工时",IF(ROUND($O20-$E20,2)&gt;0,"工时超出","√")))</f>
        <v/>
      </c>
      <c r="R20" s="27"/>
    </row>
    <row r="21" customFormat="false" ht="19.5" hidden="false" customHeight="true" outlineLevel="0" collapsed="false">
      <c r="B21" s="6" t="n">
        <v>15</v>
      </c>
      <c r="C21" s="7"/>
      <c r="D21" s="27"/>
      <c r="E21" s="18"/>
      <c r="F21" s="19" t="str">
        <f aca="false">IF($C21="","",$E21-$O21)</f>
        <v/>
      </c>
      <c r="G21" s="18"/>
      <c r="H21" s="18"/>
      <c r="I21" s="18"/>
      <c r="J21" s="18"/>
      <c r="K21" s="18"/>
      <c r="L21" s="18"/>
      <c r="M21" s="18"/>
      <c r="N21" s="18"/>
      <c r="O21" s="19" t="str">
        <f aca="false">IF($C21="","",SUM(G21:N21))</f>
        <v/>
      </c>
      <c r="P21" s="20" t="str">
        <f aca="false">IF(OR($C21="",$E21=0),"",$O21/$E21)</f>
        <v/>
      </c>
      <c r="Q21" s="21" t="str">
        <f aca="false">IF($C21="","",IF($E21=0,"缺总工时",IF(ROUND($O21-$E21,2)&gt;0,"工时超出","√")))</f>
        <v/>
      </c>
      <c r="R21" s="27"/>
    </row>
    <row r="22" customFormat="false" ht="19.5" hidden="false" customHeight="true" outlineLevel="0" collapsed="false">
      <c r="B22" s="6" t="n">
        <v>16</v>
      </c>
      <c r="C22" s="7"/>
      <c r="D22" s="27"/>
      <c r="E22" s="18"/>
      <c r="F22" s="19" t="str">
        <f aca="false">IF($C22="","",$E22-$O22)</f>
        <v/>
      </c>
      <c r="G22" s="18"/>
      <c r="H22" s="18"/>
      <c r="I22" s="18"/>
      <c r="J22" s="18"/>
      <c r="K22" s="18"/>
      <c r="L22" s="18"/>
      <c r="M22" s="18"/>
      <c r="N22" s="18"/>
      <c r="O22" s="19" t="str">
        <f aca="false">IF($C22="","",SUM(G22:N22))</f>
        <v/>
      </c>
      <c r="P22" s="20" t="str">
        <f aca="false">IF(OR($C22="",$E22=0),"",$O22/$E22)</f>
        <v/>
      </c>
      <c r="Q22" s="21" t="str">
        <f aca="false">IF($C22="","",IF($E22=0,"缺总工时",IF(ROUND($O22-$E22,2)&gt;0,"工时超出","√")))</f>
        <v/>
      </c>
      <c r="R22" s="27"/>
    </row>
    <row r="23" customFormat="false" ht="19.5" hidden="false" customHeight="true" outlineLevel="0" collapsed="false">
      <c r="B23" s="6" t="n">
        <v>17</v>
      </c>
      <c r="C23" s="7"/>
      <c r="D23" s="27"/>
      <c r="E23" s="18"/>
      <c r="F23" s="19" t="str">
        <f aca="false">IF($C23="","",$E23-$O23)</f>
        <v/>
      </c>
      <c r="G23" s="18"/>
      <c r="H23" s="18"/>
      <c r="I23" s="18"/>
      <c r="J23" s="18"/>
      <c r="K23" s="18"/>
      <c r="L23" s="18"/>
      <c r="M23" s="18"/>
      <c r="N23" s="18"/>
      <c r="O23" s="19" t="str">
        <f aca="false">IF($C23="","",SUM(G23:N23))</f>
        <v/>
      </c>
      <c r="P23" s="20" t="str">
        <f aca="false">IF(OR($C23="",$E23=0),"",$O23/$E23)</f>
        <v/>
      </c>
      <c r="Q23" s="21" t="str">
        <f aca="false">IF($C23="","",IF($E23=0,"缺总工时",IF(ROUND($O23-$E23,2)&gt;0,"工时超出","√")))</f>
        <v/>
      </c>
      <c r="R23" s="27"/>
    </row>
    <row r="24" customFormat="false" ht="19.5" hidden="false" customHeight="true" outlineLevel="0" collapsed="false">
      <c r="B24" s="6" t="n">
        <v>18</v>
      </c>
      <c r="C24" s="7"/>
      <c r="D24" s="27"/>
      <c r="E24" s="18"/>
      <c r="F24" s="19" t="str">
        <f aca="false">IF($C24="","",$E24-$O24)</f>
        <v/>
      </c>
      <c r="G24" s="18"/>
      <c r="H24" s="18"/>
      <c r="I24" s="18"/>
      <c r="J24" s="18"/>
      <c r="K24" s="18"/>
      <c r="L24" s="18"/>
      <c r="M24" s="18"/>
      <c r="N24" s="18"/>
      <c r="O24" s="19" t="str">
        <f aca="false">IF($C24="","",SUM(G24:N24))</f>
        <v/>
      </c>
      <c r="P24" s="20" t="str">
        <f aca="false">IF(OR($C24="",$E24=0),"",$O24/$E24)</f>
        <v/>
      </c>
      <c r="Q24" s="21" t="str">
        <f aca="false">IF($C24="","",IF($E24=0,"缺总工时",IF(ROUND($O24-$E24,2)&gt;0,"工时超出","√")))</f>
        <v/>
      </c>
      <c r="R24" s="27"/>
    </row>
    <row r="25" customFormat="false" ht="19.5" hidden="false" customHeight="true" outlineLevel="0" collapsed="false">
      <c r="B25" s="6" t="n">
        <v>19</v>
      </c>
      <c r="C25" s="7"/>
      <c r="D25" s="27"/>
      <c r="E25" s="18"/>
      <c r="F25" s="19" t="str">
        <f aca="false">IF($C25="","",$E25-$O25)</f>
        <v/>
      </c>
      <c r="G25" s="18"/>
      <c r="H25" s="18"/>
      <c r="I25" s="18"/>
      <c r="J25" s="18"/>
      <c r="K25" s="18"/>
      <c r="L25" s="18"/>
      <c r="M25" s="18"/>
      <c r="N25" s="18"/>
      <c r="O25" s="19" t="str">
        <f aca="false">IF($C25="","",SUM(G25:N25))</f>
        <v/>
      </c>
      <c r="P25" s="20" t="str">
        <f aca="false">IF(OR($C25="",$E25=0),"",$O25/$E25)</f>
        <v/>
      </c>
      <c r="Q25" s="21" t="str">
        <f aca="false">IF($C25="","",IF($E25=0,"缺总工时",IF(ROUND($O25-$E25,2)&gt;0,"工时超出","√")))</f>
        <v/>
      </c>
      <c r="R25" s="27"/>
    </row>
    <row r="26" customFormat="false" ht="19.5" hidden="false" customHeight="true" outlineLevel="0" collapsed="false">
      <c r="B26" s="6" t="n">
        <v>20</v>
      </c>
      <c r="C26" s="7"/>
      <c r="D26" s="27"/>
      <c r="E26" s="18"/>
      <c r="F26" s="19" t="str">
        <f aca="false">IF($C26="","",$E26-$O26)</f>
        <v/>
      </c>
      <c r="G26" s="18"/>
      <c r="H26" s="18"/>
      <c r="I26" s="18"/>
      <c r="J26" s="18"/>
      <c r="K26" s="18"/>
      <c r="L26" s="18"/>
      <c r="M26" s="18"/>
      <c r="N26" s="18"/>
      <c r="O26" s="19" t="str">
        <f aca="false">IF($C26="","",SUM(G26:N26))</f>
        <v/>
      </c>
      <c r="P26" s="20" t="str">
        <f aca="false">IF(OR($C26="",$E26=0),"",$O26/$E26)</f>
        <v/>
      </c>
      <c r="Q26" s="21" t="str">
        <f aca="false">IF($C26="","",IF($E26=0,"缺总工时",IF(ROUND($O26-$E26,2)&gt;0,"工时超出","√")))</f>
        <v/>
      </c>
      <c r="R26" s="27"/>
    </row>
    <row r="27" customFormat="false" ht="15" hidden="false" customHeight="true" outlineLevel="0" collapsed="false">
      <c r="B27" s="22" t="s">
        <v>61</v>
      </c>
      <c r="C27" s="22"/>
      <c r="D27" s="22"/>
      <c r="E27" s="23" t="n">
        <f aca="false">SUM(E7:E26)</f>
        <v>1080</v>
      </c>
      <c r="F27" s="23" t="n">
        <f aca="false">SUM(F7:F26)</f>
        <v>504</v>
      </c>
      <c r="G27" s="23" t="n">
        <f aca="false">SUM(G7:G26)</f>
        <v>108</v>
      </c>
      <c r="H27" s="23" t="n">
        <f aca="false">SUM(H7:H26)</f>
        <v>108</v>
      </c>
      <c r="I27" s="23" t="n">
        <f aca="false">SUM(I7:I26)</f>
        <v>144</v>
      </c>
      <c r="J27" s="23" t="n">
        <f aca="false">SUM(J7:J26)</f>
        <v>108</v>
      </c>
      <c r="K27" s="23" t="n">
        <f aca="false">SUM(K7:K26)</f>
        <v>108</v>
      </c>
      <c r="L27" s="23" t="n">
        <f aca="false">SUM(L7:L26)</f>
        <v>0</v>
      </c>
      <c r="M27" s="23" t="n">
        <f aca="false">SUM(M7:M26)</f>
        <v>0</v>
      </c>
      <c r="N27" s="23" t="n">
        <f aca="false">SUM(N7:N26)</f>
        <v>0</v>
      </c>
      <c r="O27" s="23" t="n">
        <f aca="false">SUM(O7:O26)</f>
        <v>576</v>
      </c>
      <c r="P27" s="24" t="n">
        <f aca="false">IF($E27=0,"",$O27/$E27)</f>
        <v>0.533333333333333</v>
      </c>
      <c r="Q27" s="25"/>
      <c r="R27" s="25"/>
    </row>
    <row r="29" customFormat="false" ht="15" hidden="false" customHeight="false" outlineLevel="0" collapsed="false">
      <c r="E29" s="26" t="s">
        <v>62</v>
      </c>
      <c r="N29" s="26" t="s">
        <v>63</v>
      </c>
    </row>
    <row r="31" customFormat="false" ht="156.7" hidden="false" customHeight="false" outlineLevel="0" collapsed="false">
      <c r="B31" s="10" t="s">
        <v>64</v>
      </c>
    </row>
  </sheetData>
  <mergeCells count="13">
    <mergeCell ref="B2:R2"/>
    <mergeCell ref="Q3:R3"/>
    <mergeCell ref="B4:B6"/>
    <mergeCell ref="C4:C6"/>
    <mergeCell ref="D4:D6"/>
    <mergeCell ref="E4:E6"/>
    <mergeCell ref="F4:F6"/>
    <mergeCell ref="G4:O4"/>
    <mergeCell ref="Q4:Q6"/>
    <mergeCell ref="R4:R6"/>
    <mergeCell ref="O5:O6"/>
    <mergeCell ref="P5:P6"/>
    <mergeCell ref="B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R1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16" min="5" style="0" width="11"/>
    <col collapsed="false" customWidth="true" hidden="false" outlineLevel="0" max="17" min="17" style="0" width="16"/>
    <col collapsed="false" customWidth="true" hidden="false" outlineLevel="0" max="18" min="18" style="0" width="11"/>
  </cols>
  <sheetData>
    <row r="2" customFormat="false" ht="30" hidden="false" customHeight="true" outlineLevel="0" collapsed="false">
      <c r="B2" s="1" t="s">
        <v>108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P3" s="12" t="s">
        <v>109</v>
      </c>
      <c r="Q3" s="7" t="s">
        <v>110</v>
      </c>
    </row>
    <row r="4" customFormat="false" ht="19.5" hidden="false" customHeight="true" outlineLevel="0" collapsed="false">
      <c r="B4" s="14" t="s">
        <v>111</v>
      </c>
      <c r="C4" s="14" t="s">
        <v>15</v>
      </c>
      <c r="D4" s="14" t="s">
        <v>52</v>
      </c>
      <c r="E4" s="14" t="s">
        <v>53</v>
      </c>
      <c r="F4" s="14" t="s">
        <v>54</v>
      </c>
      <c r="G4" s="15" t="s">
        <v>55</v>
      </c>
      <c r="H4" s="15"/>
      <c r="I4" s="15"/>
      <c r="J4" s="15"/>
      <c r="K4" s="15"/>
      <c r="L4" s="15"/>
      <c r="M4" s="15"/>
      <c r="N4" s="15"/>
      <c r="O4" s="15"/>
      <c r="P4" s="5" t="s">
        <v>56</v>
      </c>
      <c r="Q4" s="14" t="s">
        <v>21</v>
      </c>
      <c r="R4" s="14" t="s">
        <v>57</v>
      </c>
    </row>
    <row r="5" customFormat="false" ht="19.5" hidden="false" customHeight="true" outlineLevel="0" collapsed="false">
      <c r="B5" s="14"/>
      <c r="C5" s="14"/>
      <c r="D5" s="14"/>
      <c r="E5" s="14"/>
      <c r="F5" s="14"/>
      <c r="G5" s="16" t="str">
        <f aca="false">说明与项目清单!$C$20</f>
        <v>RD01</v>
      </c>
      <c r="H5" s="16" t="str">
        <f aca="false">说明与项目清单!$C$21</f>
        <v>RD02</v>
      </c>
      <c r="I5" s="16" t="str">
        <f aca="false">说明与项目清单!$C$22</f>
        <v>RD03</v>
      </c>
      <c r="J5" s="16" t="str">
        <f aca="false">说明与项目清单!$C$23</f>
        <v>RD04</v>
      </c>
      <c r="K5" s="16" t="str">
        <f aca="false">说明与项目清单!$C$24</f>
        <v>RD05</v>
      </c>
      <c r="L5" s="16" t="str">
        <f aca="false">说明与项目清单!$C$25</f>
        <v>RD06</v>
      </c>
      <c r="M5" s="16" t="str">
        <f aca="false">说明与项目清单!$C$26</f>
        <v>RD07</v>
      </c>
      <c r="N5" s="16" t="str">
        <f aca="false">说明与项目清单!$C$27</f>
        <v>RD08</v>
      </c>
      <c r="O5" s="14" t="s">
        <v>58</v>
      </c>
      <c r="P5" s="17" t="s">
        <v>59</v>
      </c>
      <c r="Q5" s="14"/>
      <c r="R5" s="14"/>
    </row>
    <row r="6" customFormat="false" ht="19.5" hidden="false" customHeight="true" outlineLevel="0" collapsed="false">
      <c r="B6" s="14"/>
      <c r="C6" s="14"/>
      <c r="D6" s="14"/>
      <c r="E6" s="14"/>
      <c r="F6" s="14"/>
      <c r="G6" s="16" t="str">
        <f aca="false">说明与项目清单!$D$20</f>
        <v>高导热复合胶带研发</v>
      </c>
      <c r="H6" s="16" t="str">
        <f aca="false">说明与项目清单!$D$21</f>
        <v>低介电泡棉材料研发</v>
      </c>
      <c r="I6" s="16" t="str">
        <f aca="false">说明与项目清单!$D$22</f>
        <v>精密分切工艺改进</v>
      </c>
      <c r="J6" s="16" t="str">
        <f aca="false">说明与项目清单!$D$23</f>
        <v>抗静电表面处理技术</v>
      </c>
      <c r="K6" s="16" t="str">
        <f aca="false">说明与项目清单!$D$24</f>
        <v>超薄贴合工艺开发</v>
      </c>
      <c r="L6" s="16" t="n">
        <f aca="false">说明与项目清单!$D$25</f>
        <v>0</v>
      </c>
      <c r="M6" s="16" t="n">
        <f aca="false">说明与项目清单!$D$26</f>
        <v>0</v>
      </c>
      <c r="N6" s="16" t="n">
        <f aca="false">说明与项目清单!$D$27</f>
        <v>0</v>
      </c>
      <c r="O6" s="14"/>
      <c r="P6" s="14"/>
      <c r="Q6" s="14"/>
      <c r="R6" s="14"/>
    </row>
    <row r="7" customFormat="false" ht="18.75" hidden="false" customHeight="true" outlineLevel="0" collapsed="false">
      <c r="B7" s="28" t="n">
        <v>9</v>
      </c>
      <c r="C7" s="7" t="n">
        <v>1</v>
      </c>
      <c r="D7" s="9" t="s">
        <v>26</v>
      </c>
      <c r="E7" s="18" t="n">
        <v>172.5</v>
      </c>
      <c r="F7" s="19" t="n">
        <f aca="false">IF($D7="","",$E7-$O7)</f>
        <v>42.5</v>
      </c>
      <c r="G7" s="18" t="n">
        <v>60</v>
      </c>
      <c r="H7" s="18" t="n">
        <v>40</v>
      </c>
      <c r="I7" s="18" t="n">
        <v>30</v>
      </c>
      <c r="J7" s="18"/>
      <c r="K7" s="18"/>
      <c r="L7" s="18"/>
      <c r="M7" s="18"/>
      <c r="N7" s="18"/>
      <c r="O7" s="19" t="n">
        <f aca="false">IF($D7="","",SUM(G7:N7))</f>
        <v>130</v>
      </c>
      <c r="P7" s="20" t="n">
        <f aca="false">IF(OR($D7="",$E7=0),"",$O7/$E7)</f>
        <v>0.753623188405797</v>
      </c>
      <c r="Q7" s="8" t="s">
        <v>60</v>
      </c>
      <c r="R7" s="21" t="str">
        <f aca="false">IF($D7="","",IF($B7="","缺月份",IF($E7=0,"缺总工时",IF(ROUND($O7-$E7,2)&gt;0,"工时超出","√"))))</f>
        <v>√</v>
      </c>
    </row>
    <row r="8" customFormat="false" ht="18.75" hidden="false" customHeight="true" outlineLevel="0" collapsed="false">
      <c r="B8" s="28" t="n">
        <v>9</v>
      </c>
      <c r="C8" s="7" t="n">
        <v>2</v>
      </c>
      <c r="D8" s="9" t="s">
        <v>32</v>
      </c>
      <c r="E8" s="18" t="n">
        <v>172.5</v>
      </c>
      <c r="F8" s="19" t="n">
        <f aca="false">IF($D8="","",$E8-$O8)</f>
        <v>62.5</v>
      </c>
      <c r="G8" s="18"/>
      <c r="H8" s="18" t="n">
        <v>50</v>
      </c>
      <c r="I8" s="18"/>
      <c r="J8" s="18" t="n">
        <v>60</v>
      </c>
      <c r="K8" s="18"/>
      <c r="L8" s="18"/>
      <c r="M8" s="18"/>
      <c r="N8" s="18"/>
      <c r="O8" s="19" t="n">
        <f aca="false">IF($D8="","",SUM(G8:N8))</f>
        <v>110</v>
      </c>
      <c r="P8" s="20" t="n">
        <f aca="false">IF(OR($D8="",$E8=0),"",$O8/$E8)</f>
        <v>0.63768115942029</v>
      </c>
      <c r="Q8" s="27"/>
      <c r="R8" s="21" t="str">
        <f aca="false">IF($D8="","",IF($B8="","缺月份",IF($E8=0,"缺总工时",IF(ROUND($O8-$E8,2)&gt;0,"工时超出","√"))))</f>
        <v>√</v>
      </c>
    </row>
    <row r="9" customFormat="false" ht="18.75" hidden="false" customHeight="true" outlineLevel="0" collapsed="false">
      <c r="B9" s="28" t="n">
        <v>9</v>
      </c>
      <c r="C9" s="7" t="n">
        <v>3</v>
      </c>
      <c r="D9" s="9" t="s">
        <v>37</v>
      </c>
      <c r="E9" s="18" t="n">
        <v>172.5</v>
      </c>
      <c r="F9" s="19" t="n">
        <f aca="false">IF($D9="","",$E9-$O9)</f>
        <v>52.5</v>
      </c>
      <c r="G9" s="18" t="n">
        <v>45</v>
      </c>
      <c r="H9" s="18"/>
      <c r="I9" s="18" t="n">
        <v>45</v>
      </c>
      <c r="J9" s="18"/>
      <c r="K9" s="18" t="n">
        <v>30</v>
      </c>
      <c r="L9" s="18"/>
      <c r="M9" s="18"/>
      <c r="N9" s="18"/>
      <c r="O9" s="19" t="n">
        <f aca="false">IF($D9="","",SUM(G9:N9))</f>
        <v>120</v>
      </c>
      <c r="P9" s="20" t="n">
        <f aca="false">IF(OR($D9="",$E9=0),"",$O9/$E9)</f>
        <v>0.695652173913044</v>
      </c>
      <c r="Q9" s="27"/>
      <c r="R9" s="21" t="str">
        <f aca="false">IF($D9="","",IF($B9="","缺月份",IF($E9=0,"缺总工时",IF(ROUND($O9-$E9,2)&gt;0,"工时超出","√"))))</f>
        <v>√</v>
      </c>
    </row>
    <row r="10" customFormat="false" ht="18.75" hidden="false" customHeight="true" outlineLevel="0" collapsed="false">
      <c r="B10" s="28" t="n">
        <v>9</v>
      </c>
      <c r="C10" s="7" t="n">
        <v>4</v>
      </c>
      <c r="D10" s="9" t="s">
        <v>41</v>
      </c>
      <c r="E10" s="18" t="n">
        <v>172.5</v>
      </c>
      <c r="F10" s="19" t="n">
        <f aca="false">IF($D10="","",$E10-$O10)</f>
        <v>52.5</v>
      </c>
      <c r="G10" s="18"/>
      <c r="H10" s="18"/>
      <c r="I10" s="18" t="n">
        <v>70</v>
      </c>
      <c r="J10" s="18" t="n">
        <v>50</v>
      </c>
      <c r="K10" s="18"/>
      <c r="L10" s="18"/>
      <c r="M10" s="18"/>
      <c r="N10" s="18"/>
      <c r="O10" s="19" t="n">
        <f aca="false">IF($D10="","",SUM(G10:N10))</f>
        <v>120</v>
      </c>
      <c r="P10" s="20" t="n">
        <f aca="false">IF(OR($D10="",$E10=0),"",$O10/$E10)</f>
        <v>0.695652173913044</v>
      </c>
      <c r="Q10" s="27"/>
      <c r="R10" s="21" t="str">
        <f aca="false">IF($D10="","",IF($B10="","缺月份",IF($E10=0,"缺总工时",IF(ROUND($O10-$E10,2)&gt;0,"工时超出","√"))))</f>
        <v>√</v>
      </c>
    </row>
    <row r="11" customFormat="false" ht="18.75" hidden="false" customHeight="true" outlineLevel="0" collapsed="false">
      <c r="B11" s="28" t="n">
        <v>9</v>
      </c>
      <c r="C11" s="7" t="n">
        <v>5</v>
      </c>
      <c r="D11" s="9" t="s">
        <v>45</v>
      </c>
      <c r="E11" s="18" t="n">
        <v>172.5</v>
      </c>
      <c r="F11" s="19" t="n">
        <f aca="false">IF($D11="","",$E11-$O11)</f>
        <v>32.5</v>
      </c>
      <c r="G11" s="18" t="n">
        <v>30</v>
      </c>
      <c r="H11" s="18" t="n">
        <v>30</v>
      </c>
      <c r="I11" s="18"/>
      <c r="J11" s="18"/>
      <c r="K11" s="18" t="n">
        <v>80</v>
      </c>
      <c r="L11" s="18"/>
      <c r="M11" s="18"/>
      <c r="N11" s="18"/>
      <c r="O11" s="19" t="n">
        <f aca="false">IF($D11="","",SUM(G11:N11))</f>
        <v>140</v>
      </c>
      <c r="P11" s="20" t="n">
        <f aca="false">IF(OR($D11="",$E11=0),"",$O11/$E11)</f>
        <v>0.811594202898551</v>
      </c>
      <c r="Q11" s="27"/>
      <c r="R11" s="21" t="str">
        <f aca="false">IF($D11="","",IF($B11="","缺月份",IF($E11=0,"缺总工时",IF(ROUND($O11-$E11,2)&gt;0,"工时超出","√"))))</f>
        <v>√</v>
      </c>
    </row>
    <row r="12" customFormat="false" ht="18.75" hidden="false" customHeight="true" outlineLevel="0" collapsed="false">
      <c r="B12" s="28"/>
      <c r="C12" s="7"/>
      <c r="D12" s="7"/>
      <c r="E12" s="18"/>
      <c r="F12" s="19" t="str">
        <f aca="false">IF($D12="","",$E12-$O12)</f>
        <v/>
      </c>
      <c r="G12" s="18"/>
      <c r="H12" s="18"/>
      <c r="I12" s="18"/>
      <c r="J12" s="18"/>
      <c r="K12" s="18"/>
      <c r="L12" s="18"/>
      <c r="M12" s="18"/>
      <c r="N12" s="18"/>
      <c r="O12" s="19" t="str">
        <f aca="false">IF($D12="","",SUM(G12:N12))</f>
        <v/>
      </c>
      <c r="P12" s="20" t="str">
        <f aca="false">IF(OR($D12="",$E12=0),"",$O12/$E12)</f>
        <v/>
      </c>
      <c r="Q12" s="27"/>
      <c r="R12" s="21" t="str">
        <f aca="false">IF($D12="","",IF($B12="","缺月份",IF($E12=0,"缺总工时",IF(ROUND($O12-$E12,2)&gt;0,"工时超出","√"))))</f>
        <v/>
      </c>
    </row>
    <row r="13" customFormat="false" ht="18.75" hidden="false" customHeight="true" outlineLevel="0" collapsed="false">
      <c r="B13" s="28"/>
      <c r="C13" s="7"/>
      <c r="D13" s="7"/>
      <c r="E13" s="18"/>
      <c r="F13" s="19" t="str">
        <f aca="false">IF($D13="","",$E13-$O13)</f>
        <v/>
      </c>
      <c r="G13" s="18"/>
      <c r="H13" s="18"/>
      <c r="I13" s="18"/>
      <c r="J13" s="18"/>
      <c r="K13" s="18"/>
      <c r="L13" s="18"/>
      <c r="M13" s="18"/>
      <c r="N13" s="18"/>
      <c r="O13" s="19" t="str">
        <f aca="false">IF($D13="","",SUM(G13:N13))</f>
        <v/>
      </c>
      <c r="P13" s="20" t="str">
        <f aca="false">IF(OR($D13="",$E13=0),"",$O13/$E13)</f>
        <v/>
      </c>
      <c r="Q13" s="27"/>
      <c r="R13" s="21" t="str">
        <f aca="false">IF($D13="","",IF($B13="","缺月份",IF($E13=0,"缺总工时",IF(ROUND($O13-$E13,2)&gt;0,"工时超出","√"))))</f>
        <v/>
      </c>
    </row>
    <row r="14" customFormat="false" ht="18.75" hidden="false" customHeight="true" outlineLevel="0" collapsed="false">
      <c r="B14" s="28"/>
      <c r="C14" s="7"/>
      <c r="D14" s="7"/>
      <c r="E14" s="18"/>
      <c r="F14" s="19" t="str">
        <f aca="false">IF($D14="","",$E14-$O14)</f>
        <v/>
      </c>
      <c r="G14" s="18"/>
      <c r="H14" s="18"/>
      <c r="I14" s="18"/>
      <c r="J14" s="18"/>
      <c r="K14" s="18"/>
      <c r="L14" s="18"/>
      <c r="M14" s="18"/>
      <c r="N14" s="18"/>
      <c r="O14" s="19" t="str">
        <f aca="false">IF($D14="","",SUM(G14:N14))</f>
        <v/>
      </c>
      <c r="P14" s="20" t="str">
        <f aca="false">IF(OR($D14="",$E14=0),"",$O14/$E14)</f>
        <v/>
      </c>
      <c r="Q14" s="27"/>
      <c r="R14" s="21" t="str">
        <f aca="false">IF($D14="","",IF($B14="","缺月份",IF($E14=0,"缺总工时",IF(ROUND($O14-$E14,2)&gt;0,"工时超出","√"))))</f>
        <v/>
      </c>
    </row>
    <row r="15" customFormat="false" ht="18.75" hidden="false" customHeight="true" outlineLevel="0" collapsed="false">
      <c r="B15" s="28"/>
      <c r="C15" s="7"/>
      <c r="D15" s="7"/>
      <c r="E15" s="18"/>
      <c r="F15" s="19" t="str">
        <f aca="false">IF($D15="","",$E15-$O15)</f>
        <v/>
      </c>
      <c r="G15" s="18"/>
      <c r="H15" s="18"/>
      <c r="I15" s="18"/>
      <c r="J15" s="18"/>
      <c r="K15" s="18"/>
      <c r="L15" s="18"/>
      <c r="M15" s="18"/>
      <c r="N15" s="18"/>
      <c r="O15" s="19" t="str">
        <f aca="false">IF($D15="","",SUM(G15:N15))</f>
        <v/>
      </c>
      <c r="P15" s="20" t="str">
        <f aca="false">IF(OR($D15="",$E15=0),"",$O15/$E15)</f>
        <v/>
      </c>
      <c r="Q15" s="27"/>
      <c r="R15" s="21" t="str">
        <f aca="false">IF($D15="","",IF($B15="","缺月份",IF($E15=0,"缺总工时",IF(ROUND($O15-$E15,2)&gt;0,"工时超出","√"))))</f>
        <v/>
      </c>
    </row>
    <row r="16" customFormat="false" ht="18.75" hidden="false" customHeight="true" outlineLevel="0" collapsed="false">
      <c r="B16" s="28"/>
      <c r="C16" s="7"/>
      <c r="D16" s="7"/>
      <c r="E16" s="18"/>
      <c r="F16" s="19" t="str">
        <f aca="false">IF($D16="","",$E16-$O16)</f>
        <v/>
      </c>
      <c r="G16" s="18"/>
      <c r="H16" s="18"/>
      <c r="I16" s="18"/>
      <c r="J16" s="18"/>
      <c r="K16" s="18"/>
      <c r="L16" s="18"/>
      <c r="M16" s="18"/>
      <c r="N16" s="18"/>
      <c r="O16" s="19" t="str">
        <f aca="false">IF($D16="","",SUM(G16:N16))</f>
        <v/>
      </c>
      <c r="P16" s="20" t="str">
        <f aca="false">IF(OR($D16="",$E16=0),"",$O16/$E16)</f>
        <v/>
      </c>
      <c r="Q16" s="27"/>
      <c r="R16" s="21" t="str">
        <f aca="false">IF($D16="","",IF($B16="","缺月份",IF($E16=0,"缺总工时",IF(ROUND($O16-$E16,2)&gt;0,"工时超出","√"))))</f>
        <v/>
      </c>
    </row>
    <row r="17" customFormat="false" ht="18.75" hidden="false" customHeight="true" outlineLevel="0" collapsed="false">
      <c r="B17" s="28"/>
      <c r="C17" s="7"/>
      <c r="D17" s="7"/>
      <c r="E17" s="18"/>
      <c r="F17" s="19" t="str">
        <f aca="false">IF($D17="","",$E17-$O17)</f>
        <v/>
      </c>
      <c r="G17" s="18"/>
      <c r="H17" s="18"/>
      <c r="I17" s="18"/>
      <c r="J17" s="18"/>
      <c r="K17" s="18"/>
      <c r="L17" s="18"/>
      <c r="M17" s="18"/>
      <c r="N17" s="18"/>
      <c r="O17" s="19" t="str">
        <f aca="false">IF($D17="","",SUM(G17:N17))</f>
        <v/>
      </c>
      <c r="P17" s="20" t="str">
        <f aca="false">IF(OR($D17="",$E17=0),"",$O17/$E17)</f>
        <v/>
      </c>
      <c r="Q17" s="27"/>
      <c r="R17" s="21" t="str">
        <f aca="false">IF($D17="","",IF($B17="","缺月份",IF($E17=0,"缺总工时",IF(ROUND($O17-$E17,2)&gt;0,"工时超出","√"))))</f>
        <v/>
      </c>
    </row>
    <row r="18" customFormat="false" ht="18.75" hidden="false" customHeight="true" outlineLevel="0" collapsed="false">
      <c r="B18" s="28"/>
      <c r="C18" s="7"/>
      <c r="D18" s="7"/>
      <c r="E18" s="18"/>
      <c r="F18" s="19" t="str">
        <f aca="false">IF($D18="","",$E18-$O18)</f>
        <v/>
      </c>
      <c r="G18" s="18"/>
      <c r="H18" s="18"/>
      <c r="I18" s="18"/>
      <c r="J18" s="18"/>
      <c r="K18" s="18"/>
      <c r="L18" s="18"/>
      <c r="M18" s="18"/>
      <c r="N18" s="18"/>
      <c r="O18" s="19" t="str">
        <f aca="false">IF($D18="","",SUM(G18:N18))</f>
        <v/>
      </c>
      <c r="P18" s="20" t="str">
        <f aca="false">IF(OR($D18="",$E18=0),"",$O18/$E18)</f>
        <v/>
      </c>
      <c r="Q18" s="27"/>
      <c r="R18" s="21" t="str">
        <f aca="false">IF($D18="","",IF($B18="","缺月份",IF($E18=0,"缺总工时",IF(ROUND($O18-$E18,2)&gt;0,"工时超出","√"))))</f>
        <v/>
      </c>
    </row>
    <row r="19" customFormat="false" ht="18.75" hidden="false" customHeight="true" outlineLevel="0" collapsed="false">
      <c r="B19" s="28"/>
      <c r="C19" s="7"/>
      <c r="D19" s="7"/>
      <c r="E19" s="18"/>
      <c r="F19" s="19" t="str">
        <f aca="false">IF($D19="","",$E19-$O19)</f>
        <v/>
      </c>
      <c r="G19" s="18"/>
      <c r="H19" s="18"/>
      <c r="I19" s="18"/>
      <c r="J19" s="18"/>
      <c r="K19" s="18"/>
      <c r="L19" s="18"/>
      <c r="M19" s="18"/>
      <c r="N19" s="18"/>
      <c r="O19" s="19" t="str">
        <f aca="false">IF($D19="","",SUM(G19:N19))</f>
        <v/>
      </c>
      <c r="P19" s="20" t="str">
        <f aca="false">IF(OR($D19="",$E19=0),"",$O19/$E19)</f>
        <v/>
      </c>
      <c r="Q19" s="27"/>
      <c r="R19" s="21" t="str">
        <f aca="false">IF($D19="","",IF($B19="","缺月份",IF($E19=0,"缺总工时",IF(ROUND($O19-$E19,2)&gt;0,"工时超出","√"))))</f>
        <v/>
      </c>
    </row>
    <row r="20" customFormat="false" ht="18.75" hidden="false" customHeight="true" outlineLevel="0" collapsed="false">
      <c r="B20" s="28"/>
      <c r="C20" s="7"/>
      <c r="D20" s="7"/>
      <c r="E20" s="18"/>
      <c r="F20" s="19" t="str">
        <f aca="false">IF($D20="","",$E20-$O20)</f>
        <v/>
      </c>
      <c r="G20" s="18"/>
      <c r="H20" s="18"/>
      <c r="I20" s="18"/>
      <c r="J20" s="18"/>
      <c r="K20" s="18"/>
      <c r="L20" s="18"/>
      <c r="M20" s="18"/>
      <c r="N20" s="18"/>
      <c r="O20" s="19" t="str">
        <f aca="false">IF($D20="","",SUM(G20:N20))</f>
        <v/>
      </c>
      <c r="P20" s="20" t="str">
        <f aca="false">IF(OR($D20="",$E20=0),"",$O20/$E20)</f>
        <v/>
      </c>
      <c r="Q20" s="27"/>
      <c r="R20" s="21" t="str">
        <f aca="false">IF($D20="","",IF($B20="","缺月份",IF($E20=0,"缺总工时",IF(ROUND($O20-$E20,2)&gt;0,"工时超出","√"))))</f>
        <v/>
      </c>
    </row>
    <row r="21" customFormat="false" ht="18.75" hidden="false" customHeight="true" outlineLevel="0" collapsed="false">
      <c r="B21" s="28"/>
      <c r="C21" s="7"/>
      <c r="D21" s="7"/>
      <c r="E21" s="18"/>
      <c r="F21" s="19" t="str">
        <f aca="false">IF($D21="","",$E21-$O21)</f>
        <v/>
      </c>
      <c r="G21" s="18"/>
      <c r="H21" s="18"/>
      <c r="I21" s="18"/>
      <c r="J21" s="18"/>
      <c r="K21" s="18"/>
      <c r="L21" s="18"/>
      <c r="M21" s="18"/>
      <c r="N21" s="18"/>
      <c r="O21" s="19" t="str">
        <f aca="false">IF($D21="","",SUM(G21:N21))</f>
        <v/>
      </c>
      <c r="P21" s="20" t="str">
        <f aca="false">IF(OR($D21="",$E21=0),"",$O21/$E21)</f>
        <v/>
      </c>
      <c r="Q21" s="27"/>
      <c r="R21" s="21" t="str">
        <f aca="false">IF($D21="","",IF($B21="","缺月份",IF($E21=0,"缺总工时",IF(ROUND($O21-$E21,2)&gt;0,"工时超出","√"))))</f>
        <v/>
      </c>
    </row>
    <row r="22" customFormat="false" ht="18.75" hidden="false" customHeight="true" outlineLevel="0" collapsed="false">
      <c r="B22" s="28"/>
      <c r="C22" s="7"/>
      <c r="D22" s="7"/>
      <c r="E22" s="18"/>
      <c r="F22" s="19" t="str">
        <f aca="false">IF($D22="","",$E22-$O22)</f>
        <v/>
      </c>
      <c r="G22" s="18"/>
      <c r="H22" s="18"/>
      <c r="I22" s="18"/>
      <c r="J22" s="18"/>
      <c r="K22" s="18"/>
      <c r="L22" s="18"/>
      <c r="M22" s="18"/>
      <c r="N22" s="18"/>
      <c r="O22" s="19" t="str">
        <f aca="false">IF($D22="","",SUM(G22:N22))</f>
        <v/>
      </c>
      <c r="P22" s="20" t="str">
        <f aca="false">IF(OR($D22="",$E22=0),"",$O22/$E22)</f>
        <v/>
      </c>
      <c r="Q22" s="27"/>
      <c r="R22" s="21" t="str">
        <f aca="false">IF($D22="","",IF($B22="","缺月份",IF($E22=0,"缺总工时",IF(ROUND($O22-$E22,2)&gt;0,"工时超出","√"))))</f>
        <v/>
      </c>
    </row>
    <row r="23" customFormat="false" ht="18.75" hidden="false" customHeight="true" outlineLevel="0" collapsed="false">
      <c r="B23" s="28"/>
      <c r="C23" s="7"/>
      <c r="D23" s="7"/>
      <c r="E23" s="18"/>
      <c r="F23" s="19" t="str">
        <f aca="false">IF($D23="","",$E23-$O23)</f>
        <v/>
      </c>
      <c r="G23" s="18"/>
      <c r="H23" s="18"/>
      <c r="I23" s="18"/>
      <c r="J23" s="18"/>
      <c r="K23" s="18"/>
      <c r="L23" s="18"/>
      <c r="M23" s="18"/>
      <c r="N23" s="18"/>
      <c r="O23" s="19" t="str">
        <f aca="false">IF($D23="","",SUM(G23:N23))</f>
        <v/>
      </c>
      <c r="P23" s="20" t="str">
        <f aca="false">IF(OR($D23="",$E23=0),"",$O23/$E23)</f>
        <v/>
      </c>
      <c r="Q23" s="27"/>
      <c r="R23" s="21" t="str">
        <f aca="false">IF($D23="","",IF($B23="","缺月份",IF($E23=0,"缺总工时",IF(ROUND($O23-$E23,2)&gt;0,"工时超出","√"))))</f>
        <v/>
      </c>
    </row>
    <row r="24" customFormat="false" ht="18.75" hidden="false" customHeight="true" outlineLevel="0" collapsed="false">
      <c r="B24" s="28"/>
      <c r="C24" s="7"/>
      <c r="D24" s="7"/>
      <c r="E24" s="18"/>
      <c r="F24" s="19" t="str">
        <f aca="false">IF($D24="","",$E24-$O24)</f>
        <v/>
      </c>
      <c r="G24" s="18"/>
      <c r="H24" s="18"/>
      <c r="I24" s="18"/>
      <c r="J24" s="18"/>
      <c r="K24" s="18"/>
      <c r="L24" s="18"/>
      <c r="M24" s="18"/>
      <c r="N24" s="18"/>
      <c r="O24" s="19" t="str">
        <f aca="false">IF($D24="","",SUM(G24:N24))</f>
        <v/>
      </c>
      <c r="P24" s="20" t="str">
        <f aca="false">IF(OR($D24="",$E24=0),"",$O24/$E24)</f>
        <v/>
      </c>
      <c r="Q24" s="27"/>
      <c r="R24" s="21" t="str">
        <f aca="false">IF($D24="","",IF($B24="","缺月份",IF($E24=0,"缺总工时",IF(ROUND($O24-$E24,2)&gt;0,"工时超出","√"))))</f>
        <v/>
      </c>
    </row>
    <row r="25" customFormat="false" ht="18.75" hidden="false" customHeight="true" outlineLevel="0" collapsed="false">
      <c r="B25" s="28"/>
      <c r="C25" s="7"/>
      <c r="D25" s="7"/>
      <c r="E25" s="18"/>
      <c r="F25" s="19" t="str">
        <f aca="false">IF($D25="","",$E25-$O25)</f>
        <v/>
      </c>
      <c r="G25" s="18"/>
      <c r="H25" s="18"/>
      <c r="I25" s="18"/>
      <c r="J25" s="18"/>
      <c r="K25" s="18"/>
      <c r="L25" s="18"/>
      <c r="M25" s="18"/>
      <c r="N25" s="18"/>
      <c r="O25" s="19" t="str">
        <f aca="false">IF($D25="","",SUM(G25:N25))</f>
        <v/>
      </c>
      <c r="P25" s="20" t="str">
        <f aca="false">IF(OR($D25="",$E25=0),"",$O25/$E25)</f>
        <v/>
      </c>
      <c r="Q25" s="27"/>
      <c r="R25" s="21" t="str">
        <f aca="false">IF($D25="","",IF($B25="","缺月份",IF($E25=0,"缺总工时",IF(ROUND($O25-$E25,2)&gt;0,"工时超出","√"))))</f>
        <v/>
      </c>
    </row>
    <row r="26" customFormat="false" ht="18.75" hidden="false" customHeight="true" outlineLevel="0" collapsed="false">
      <c r="B26" s="28"/>
      <c r="C26" s="7"/>
      <c r="D26" s="7"/>
      <c r="E26" s="18"/>
      <c r="F26" s="19" t="str">
        <f aca="false">IF($D26="","",$E26-$O26)</f>
        <v/>
      </c>
      <c r="G26" s="18"/>
      <c r="H26" s="18"/>
      <c r="I26" s="18"/>
      <c r="J26" s="18"/>
      <c r="K26" s="18"/>
      <c r="L26" s="18"/>
      <c r="M26" s="18"/>
      <c r="N26" s="18"/>
      <c r="O26" s="19" t="str">
        <f aca="false">IF($D26="","",SUM(G26:N26))</f>
        <v/>
      </c>
      <c r="P26" s="20" t="str">
        <f aca="false">IF(OR($D26="",$E26=0),"",$O26/$E26)</f>
        <v/>
      </c>
      <c r="Q26" s="27"/>
      <c r="R26" s="21" t="str">
        <f aca="false">IF($D26="","",IF($B26="","缺月份",IF($E26=0,"缺总工时",IF(ROUND($O26-$E26,2)&gt;0,"工时超出","√"))))</f>
        <v/>
      </c>
    </row>
    <row r="27" customFormat="false" ht="18.75" hidden="false" customHeight="true" outlineLevel="0" collapsed="false">
      <c r="B27" s="28"/>
      <c r="C27" s="7"/>
      <c r="D27" s="7"/>
      <c r="E27" s="18"/>
      <c r="F27" s="19" t="str">
        <f aca="false">IF($D27="","",$E27-$O27)</f>
        <v/>
      </c>
      <c r="G27" s="18"/>
      <c r="H27" s="18"/>
      <c r="I27" s="18"/>
      <c r="J27" s="18"/>
      <c r="K27" s="18"/>
      <c r="L27" s="18"/>
      <c r="M27" s="18"/>
      <c r="N27" s="18"/>
      <c r="O27" s="19" t="str">
        <f aca="false">IF($D27="","",SUM(G27:N27))</f>
        <v/>
      </c>
      <c r="P27" s="20" t="str">
        <f aca="false">IF(OR($D27="",$E27=0),"",$O27/$E27)</f>
        <v/>
      </c>
      <c r="Q27" s="27"/>
      <c r="R27" s="21" t="str">
        <f aca="false">IF($D27="","",IF($B27="","缺月份",IF($E27=0,"缺总工时",IF(ROUND($O27-$E27,2)&gt;0,"工时超出","√"))))</f>
        <v/>
      </c>
    </row>
    <row r="28" customFormat="false" ht="18.75" hidden="false" customHeight="true" outlineLevel="0" collapsed="false">
      <c r="B28" s="28"/>
      <c r="C28" s="7"/>
      <c r="D28" s="7"/>
      <c r="E28" s="18"/>
      <c r="F28" s="19" t="str">
        <f aca="false">IF($D28="","",$E28-$O28)</f>
        <v/>
      </c>
      <c r="G28" s="18"/>
      <c r="H28" s="18"/>
      <c r="I28" s="18"/>
      <c r="J28" s="18"/>
      <c r="K28" s="18"/>
      <c r="L28" s="18"/>
      <c r="M28" s="18"/>
      <c r="N28" s="18"/>
      <c r="O28" s="19" t="str">
        <f aca="false">IF($D28="","",SUM(G28:N28))</f>
        <v/>
      </c>
      <c r="P28" s="20" t="str">
        <f aca="false">IF(OR($D28="",$E28=0),"",$O28/$E28)</f>
        <v/>
      </c>
      <c r="Q28" s="27"/>
      <c r="R28" s="21" t="str">
        <f aca="false">IF($D28="","",IF($B28="","缺月份",IF($E28=0,"缺总工时",IF(ROUND($O28-$E28,2)&gt;0,"工时超出","√"))))</f>
        <v/>
      </c>
    </row>
    <row r="29" customFormat="false" ht="18.75" hidden="false" customHeight="true" outlineLevel="0" collapsed="false">
      <c r="B29" s="28"/>
      <c r="C29" s="7"/>
      <c r="D29" s="7"/>
      <c r="E29" s="18"/>
      <c r="F29" s="19" t="str">
        <f aca="false">IF($D29="","",$E29-$O29)</f>
        <v/>
      </c>
      <c r="G29" s="18"/>
      <c r="H29" s="18"/>
      <c r="I29" s="18"/>
      <c r="J29" s="18"/>
      <c r="K29" s="18"/>
      <c r="L29" s="18"/>
      <c r="M29" s="18"/>
      <c r="N29" s="18"/>
      <c r="O29" s="19" t="str">
        <f aca="false">IF($D29="","",SUM(G29:N29))</f>
        <v/>
      </c>
      <c r="P29" s="20" t="str">
        <f aca="false">IF(OR($D29="",$E29=0),"",$O29/$E29)</f>
        <v/>
      </c>
      <c r="Q29" s="27"/>
      <c r="R29" s="21" t="str">
        <f aca="false">IF($D29="","",IF($B29="","缺月份",IF($E29=0,"缺总工时",IF(ROUND($O29-$E29,2)&gt;0,"工时超出","√"))))</f>
        <v/>
      </c>
    </row>
    <row r="30" customFormat="false" ht="18.75" hidden="false" customHeight="true" outlineLevel="0" collapsed="false">
      <c r="B30" s="28"/>
      <c r="C30" s="7"/>
      <c r="D30" s="7"/>
      <c r="E30" s="18"/>
      <c r="F30" s="19" t="str">
        <f aca="false">IF($D30="","",$E30-$O30)</f>
        <v/>
      </c>
      <c r="G30" s="18"/>
      <c r="H30" s="18"/>
      <c r="I30" s="18"/>
      <c r="J30" s="18"/>
      <c r="K30" s="18"/>
      <c r="L30" s="18"/>
      <c r="M30" s="18"/>
      <c r="N30" s="18"/>
      <c r="O30" s="19" t="str">
        <f aca="false">IF($D30="","",SUM(G30:N30))</f>
        <v/>
      </c>
      <c r="P30" s="20" t="str">
        <f aca="false">IF(OR($D30="",$E30=0),"",$O30/$E30)</f>
        <v/>
      </c>
      <c r="Q30" s="27"/>
      <c r="R30" s="21" t="str">
        <f aca="false">IF($D30="","",IF($B30="","缺月份",IF($E30=0,"缺总工时",IF(ROUND($O30-$E30,2)&gt;0,"工时超出","√"))))</f>
        <v/>
      </c>
    </row>
    <row r="31" customFormat="false" ht="18.75" hidden="false" customHeight="true" outlineLevel="0" collapsed="false">
      <c r="B31" s="28"/>
      <c r="C31" s="7"/>
      <c r="D31" s="7"/>
      <c r="E31" s="18"/>
      <c r="F31" s="19" t="str">
        <f aca="false">IF($D31="","",$E31-$O31)</f>
        <v/>
      </c>
      <c r="G31" s="18"/>
      <c r="H31" s="18"/>
      <c r="I31" s="18"/>
      <c r="J31" s="18"/>
      <c r="K31" s="18"/>
      <c r="L31" s="18"/>
      <c r="M31" s="18"/>
      <c r="N31" s="18"/>
      <c r="O31" s="19" t="str">
        <f aca="false">IF($D31="","",SUM(G31:N31))</f>
        <v/>
      </c>
      <c r="P31" s="20" t="str">
        <f aca="false">IF(OR($D31="",$E31=0),"",$O31/$E31)</f>
        <v/>
      </c>
      <c r="Q31" s="27"/>
      <c r="R31" s="21" t="str">
        <f aca="false">IF($D31="","",IF($B31="","缺月份",IF($E31=0,"缺总工时",IF(ROUND($O31-$E31,2)&gt;0,"工时超出","√"))))</f>
        <v/>
      </c>
    </row>
    <row r="32" customFormat="false" ht="18.75" hidden="false" customHeight="true" outlineLevel="0" collapsed="false">
      <c r="B32" s="28"/>
      <c r="C32" s="7"/>
      <c r="D32" s="7"/>
      <c r="E32" s="18"/>
      <c r="F32" s="19" t="str">
        <f aca="false">IF($D32="","",$E32-$O32)</f>
        <v/>
      </c>
      <c r="G32" s="18"/>
      <c r="H32" s="18"/>
      <c r="I32" s="18"/>
      <c r="J32" s="18"/>
      <c r="K32" s="18"/>
      <c r="L32" s="18"/>
      <c r="M32" s="18"/>
      <c r="N32" s="18"/>
      <c r="O32" s="19" t="str">
        <f aca="false">IF($D32="","",SUM(G32:N32))</f>
        <v/>
      </c>
      <c r="P32" s="20" t="str">
        <f aca="false">IF(OR($D32="",$E32=0),"",$O32/$E32)</f>
        <v/>
      </c>
      <c r="Q32" s="27"/>
      <c r="R32" s="21" t="str">
        <f aca="false">IF($D32="","",IF($B32="","缺月份",IF($E32=0,"缺总工时",IF(ROUND($O32-$E32,2)&gt;0,"工时超出","√"))))</f>
        <v/>
      </c>
    </row>
    <row r="33" customFormat="false" ht="18.75" hidden="false" customHeight="true" outlineLevel="0" collapsed="false">
      <c r="B33" s="28"/>
      <c r="C33" s="7"/>
      <c r="D33" s="7"/>
      <c r="E33" s="18"/>
      <c r="F33" s="19" t="str">
        <f aca="false">IF($D33="","",$E33-$O33)</f>
        <v/>
      </c>
      <c r="G33" s="18"/>
      <c r="H33" s="18"/>
      <c r="I33" s="18"/>
      <c r="J33" s="18"/>
      <c r="K33" s="18"/>
      <c r="L33" s="18"/>
      <c r="M33" s="18"/>
      <c r="N33" s="18"/>
      <c r="O33" s="19" t="str">
        <f aca="false">IF($D33="","",SUM(G33:N33))</f>
        <v/>
      </c>
      <c r="P33" s="20" t="str">
        <f aca="false">IF(OR($D33="",$E33=0),"",$O33/$E33)</f>
        <v/>
      </c>
      <c r="Q33" s="27"/>
      <c r="R33" s="21" t="str">
        <f aca="false">IF($D33="","",IF($B33="","缺月份",IF($E33=0,"缺总工时",IF(ROUND($O33-$E33,2)&gt;0,"工时超出","√"))))</f>
        <v/>
      </c>
    </row>
    <row r="34" customFormat="false" ht="18.75" hidden="false" customHeight="true" outlineLevel="0" collapsed="false">
      <c r="B34" s="28"/>
      <c r="C34" s="7"/>
      <c r="D34" s="7"/>
      <c r="E34" s="18"/>
      <c r="F34" s="19" t="str">
        <f aca="false">IF($D34="","",$E34-$O34)</f>
        <v/>
      </c>
      <c r="G34" s="18"/>
      <c r="H34" s="18"/>
      <c r="I34" s="18"/>
      <c r="J34" s="18"/>
      <c r="K34" s="18"/>
      <c r="L34" s="18"/>
      <c r="M34" s="18"/>
      <c r="N34" s="18"/>
      <c r="O34" s="19" t="str">
        <f aca="false">IF($D34="","",SUM(G34:N34))</f>
        <v/>
      </c>
      <c r="P34" s="20" t="str">
        <f aca="false">IF(OR($D34="",$E34=0),"",$O34/$E34)</f>
        <v/>
      </c>
      <c r="Q34" s="27"/>
      <c r="R34" s="21" t="str">
        <f aca="false">IF($D34="","",IF($B34="","缺月份",IF($E34=0,"缺总工时",IF(ROUND($O34-$E34,2)&gt;0,"工时超出","√"))))</f>
        <v/>
      </c>
    </row>
    <row r="35" customFormat="false" ht="18.75" hidden="false" customHeight="true" outlineLevel="0" collapsed="false">
      <c r="B35" s="28"/>
      <c r="C35" s="7"/>
      <c r="D35" s="7"/>
      <c r="E35" s="18"/>
      <c r="F35" s="19" t="str">
        <f aca="false">IF($D35="","",$E35-$O35)</f>
        <v/>
      </c>
      <c r="G35" s="18"/>
      <c r="H35" s="18"/>
      <c r="I35" s="18"/>
      <c r="J35" s="18"/>
      <c r="K35" s="18"/>
      <c r="L35" s="18"/>
      <c r="M35" s="18"/>
      <c r="N35" s="18"/>
      <c r="O35" s="19" t="str">
        <f aca="false">IF($D35="","",SUM(G35:N35))</f>
        <v/>
      </c>
      <c r="P35" s="20" t="str">
        <f aca="false">IF(OR($D35="",$E35=0),"",$O35/$E35)</f>
        <v/>
      </c>
      <c r="Q35" s="27"/>
      <c r="R35" s="21" t="str">
        <f aca="false">IF($D35="","",IF($B35="","缺月份",IF($E35=0,"缺总工时",IF(ROUND($O35-$E35,2)&gt;0,"工时超出","√"))))</f>
        <v/>
      </c>
    </row>
    <row r="36" customFormat="false" ht="18.75" hidden="false" customHeight="true" outlineLevel="0" collapsed="false">
      <c r="B36" s="28"/>
      <c r="C36" s="7"/>
      <c r="D36" s="7"/>
      <c r="E36" s="18"/>
      <c r="F36" s="19" t="str">
        <f aca="false">IF($D36="","",$E36-$O36)</f>
        <v/>
      </c>
      <c r="G36" s="18"/>
      <c r="H36" s="18"/>
      <c r="I36" s="18"/>
      <c r="J36" s="18"/>
      <c r="K36" s="18"/>
      <c r="L36" s="18"/>
      <c r="M36" s="18"/>
      <c r="N36" s="18"/>
      <c r="O36" s="19" t="str">
        <f aca="false">IF($D36="","",SUM(G36:N36))</f>
        <v/>
      </c>
      <c r="P36" s="20" t="str">
        <f aca="false">IF(OR($D36="",$E36=0),"",$O36/$E36)</f>
        <v/>
      </c>
      <c r="Q36" s="27"/>
      <c r="R36" s="21" t="str">
        <f aca="false">IF($D36="","",IF($B36="","缺月份",IF($E36=0,"缺总工时",IF(ROUND($O36-$E36,2)&gt;0,"工时超出","√"))))</f>
        <v/>
      </c>
    </row>
    <row r="37" customFormat="false" ht="18.75" hidden="false" customHeight="true" outlineLevel="0" collapsed="false">
      <c r="B37" s="28"/>
      <c r="C37" s="7"/>
      <c r="D37" s="7"/>
      <c r="E37" s="18"/>
      <c r="F37" s="19" t="str">
        <f aca="false">IF($D37="","",$E37-$O37)</f>
        <v/>
      </c>
      <c r="G37" s="18"/>
      <c r="H37" s="18"/>
      <c r="I37" s="18"/>
      <c r="J37" s="18"/>
      <c r="K37" s="18"/>
      <c r="L37" s="18"/>
      <c r="M37" s="18"/>
      <c r="N37" s="18"/>
      <c r="O37" s="19" t="str">
        <f aca="false">IF($D37="","",SUM(G37:N37))</f>
        <v/>
      </c>
      <c r="P37" s="20" t="str">
        <f aca="false">IF(OR($D37="",$E37=0),"",$O37/$E37)</f>
        <v/>
      </c>
      <c r="Q37" s="27"/>
      <c r="R37" s="21" t="str">
        <f aca="false">IF($D37="","",IF($B37="","缺月份",IF($E37=0,"缺总工时",IF(ROUND($O37-$E37,2)&gt;0,"工时超出","√"))))</f>
        <v/>
      </c>
    </row>
    <row r="38" customFormat="false" ht="18.75" hidden="false" customHeight="true" outlineLevel="0" collapsed="false">
      <c r="B38" s="28"/>
      <c r="C38" s="7"/>
      <c r="D38" s="7"/>
      <c r="E38" s="18"/>
      <c r="F38" s="19" t="str">
        <f aca="false">IF($D38="","",$E38-$O38)</f>
        <v/>
      </c>
      <c r="G38" s="18"/>
      <c r="H38" s="18"/>
      <c r="I38" s="18"/>
      <c r="J38" s="18"/>
      <c r="K38" s="18"/>
      <c r="L38" s="18"/>
      <c r="M38" s="18"/>
      <c r="N38" s="18"/>
      <c r="O38" s="19" t="str">
        <f aca="false">IF($D38="","",SUM(G38:N38))</f>
        <v/>
      </c>
      <c r="P38" s="20" t="str">
        <f aca="false">IF(OR($D38="",$E38=0),"",$O38/$E38)</f>
        <v/>
      </c>
      <c r="Q38" s="27"/>
      <c r="R38" s="21" t="str">
        <f aca="false">IF($D38="","",IF($B38="","缺月份",IF($E38=0,"缺总工时",IF(ROUND($O38-$E38,2)&gt;0,"工时超出","√"))))</f>
        <v/>
      </c>
    </row>
    <row r="39" customFormat="false" ht="18.75" hidden="false" customHeight="true" outlineLevel="0" collapsed="false">
      <c r="B39" s="28"/>
      <c r="C39" s="7"/>
      <c r="D39" s="7"/>
      <c r="E39" s="18"/>
      <c r="F39" s="19" t="str">
        <f aca="false">IF($D39="","",$E39-$O39)</f>
        <v/>
      </c>
      <c r="G39" s="18"/>
      <c r="H39" s="18"/>
      <c r="I39" s="18"/>
      <c r="J39" s="18"/>
      <c r="K39" s="18"/>
      <c r="L39" s="18"/>
      <c r="M39" s="18"/>
      <c r="N39" s="18"/>
      <c r="O39" s="19" t="str">
        <f aca="false">IF($D39="","",SUM(G39:N39))</f>
        <v/>
      </c>
      <c r="P39" s="20" t="str">
        <f aca="false">IF(OR($D39="",$E39=0),"",$O39/$E39)</f>
        <v/>
      </c>
      <c r="Q39" s="27"/>
      <c r="R39" s="21" t="str">
        <f aca="false">IF($D39="","",IF($B39="","缺月份",IF($E39=0,"缺总工时",IF(ROUND($O39-$E39,2)&gt;0,"工时超出","√"))))</f>
        <v/>
      </c>
    </row>
    <row r="40" customFormat="false" ht="18.75" hidden="false" customHeight="true" outlineLevel="0" collapsed="false">
      <c r="B40" s="28"/>
      <c r="C40" s="7"/>
      <c r="D40" s="7"/>
      <c r="E40" s="18"/>
      <c r="F40" s="19" t="str">
        <f aca="false">IF($D40="","",$E40-$O40)</f>
        <v/>
      </c>
      <c r="G40" s="18"/>
      <c r="H40" s="18"/>
      <c r="I40" s="18"/>
      <c r="J40" s="18"/>
      <c r="K40" s="18"/>
      <c r="L40" s="18"/>
      <c r="M40" s="18"/>
      <c r="N40" s="18"/>
      <c r="O40" s="19" t="str">
        <f aca="false">IF($D40="","",SUM(G40:N40))</f>
        <v/>
      </c>
      <c r="P40" s="20" t="str">
        <f aca="false">IF(OR($D40="",$E40=0),"",$O40/$E40)</f>
        <v/>
      </c>
      <c r="Q40" s="27"/>
      <c r="R40" s="21" t="str">
        <f aca="false">IF($D40="","",IF($B40="","缺月份",IF($E40=0,"缺总工时",IF(ROUND($O40-$E40,2)&gt;0,"工时超出","√"))))</f>
        <v/>
      </c>
    </row>
    <row r="41" customFormat="false" ht="18.75" hidden="false" customHeight="true" outlineLevel="0" collapsed="false">
      <c r="B41" s="28"/>
      <c r="C41" s="7"/>
      <c r="D41" s="7"/>
      <c r="E41" s="18"/>
      <c r="F41" s="19" t="str">
        <f aca="false">IF($D41="","",$E41-$O41)</f>
        <v/>
      </c>
      <c r="G41" s="18"/>
      <c r="H41" s="18"/>
      <c r="I41" s="18"/>
      <c r="J41" s="18"/>
      <c r="K41" s="18"/>
      <c r="L41" s="18"/>
      <c r="M41" s="18"/>
      <c r="N41" s="18"/>
      <c r="O41" s="19" t="str">
        <f aca="false">IF($D41="","",SUM(G41:N41))</f>
        <v/>
      </c>
      <c r="P41" s="20" t="str">
        <f aca="false">IF(OR($D41="",$E41=0),"",$O41/$E41)</f>
        <v/>
      </c>
      <c r="Q41" s="27"/>
      <c r="R41" s="21" t="str">
        <f aca="false">IF($D41="","",IF($B41="","缺月份",IF($E41=0,"缺总工时",IF(ROUND($O41-$E41,2)&gt;0,"工时超出","√"))))</f>
        <v/>
      </c>
    </row>
    <row r="42" customFormat="false" ht="18.75" hidden="false" customHeight="true" outlineLevel="0" collapsed="false">
      <c r="B42" s="28"/>
      <c r="C42" s="7"/>
      <c r="D42" s="7"/>
      <c r="E42" s="18"/>
      <c r="F42" s="19" t="str">
        <f aca="false">IF($D42="","",$E42-$O42)</f>
        <v/>
      </c>
      <c r="G42" s="18"/>
      <c r="H42" s="18"/>
      <c r="I42" s="18"/>
      <c r="J42" s="18"/>
      <c r="K42" s="18"/>
      <c r="L42" s="18"/>
      <c r="M42" s="18"/>
      <c r="N42" s="18"/>
      <c r="O42" s="19" t="str">
        <f aca="false">IF($D42="","",SUM(G42:N42))</f>
        <v/>
      </c>
      <c r="P42" s="20" t="str">
        <f aca="false">IF(OR($D42="",$E42=0),"",$O42/$E42)</f>
        <v/>
      </c>
      <c r="Q42" s="27"/>
      <c r="R42" s="21" t="str">
        <f aca="false">IF($D42="","",IF($B42="","缺月份",IF($E42=0,"缺总工时",IF(ROUND($O42-$E42,2)&gt;0,"工时超出","√"))))</f>
        <v/>
      </c>
    </row>
    <row r="43" customFormat="false" ht="18.75" hidden="false" customHeight="true" outlineLevel="0" collapsed="false">
      <c r="B43" s="28"/>
      <c r="C43" s="7"/>
      <c r="D43" s="7"/>
      <c r="E43" s="18"/>
      <c r="F43" s="19" t="str">
        <f aca="false">IF($D43="","",$E43-$O43)</f>
        <v/>
      </c>
      <c r="G43" s="18"/>
      <c r="H43" s="18"/>
      <c r="I43" s="18"/>
      <c r="J43" s="18"/>
      <c r="K43" s="18"/>
      <c r="L43" s="18"/>
      <c r="M43" s="18"/>
      <c r="N43" s="18"/>
      <c r="O43" s="19" t="str">
        <f aca="false">IF($D43="","",SUM(G43:N43))</f>
        <v/>
      </c>
      <c r="P43" s="20" t="str">
        <f aca="false">IF(OR($D43="",$E43=0),"",$O43/$E43)</f>
        <v/>
      </c>
      <c r="Q43" s="27"/>
      <c r="R43" s="21" t="str">
        <f aca="false">IF($D43="","",IF($B43="","缺月份",IF($E43=0,"缺总工时",IF(ROUND($O43-$E43,2)&gt;0,"工时超出","√"))))</f>
        <v/>
      </c>
    </row>
    <row r="44" customFormat="false" ht="18.75" hidden="false" customHeight="true" outlineLevel="0" collapsed="false">
      <c r="B44" s="28"/>
      <c r="C44" s="7"/>
      <c r="D44" s="7"/>
      <c r="E44" s="18"/>
      <c r="F44" s="19" t="str">
        <f aca="false">IF($D44="","",$E44-$O44)</f>
        <v/>
      </c>
      <c r="G44" s="18"/>
      <c r="H44" s="18"/>
      <c r="I44" s="18"/>
      <c r="J44" s="18"/>
      <c r="K44" s="18"/>
      <c r="L44" s="18"/>
      <c r="M44" s="18"/>
      <c r="N44" s="18"/>
      <c r="O44" s="19" t="str">
        <f aca="false">IF($D44="","",SUM(G44:N44))</f>
        <v/>
      </c>
      <c r="P44" s="20" t="str">
        <f aca="false">IF(OR($D44="",$E44=0),"",$O44/$E44)</f>
        <v/>
      </c>
      <c r="Q44" s="27"/>
      <c r="R44" s="21" t="str">
        <f aca="false">IF($D44="","",IF($B44="","缺月份",IF($E44=0,"缺总工时",IF(ROUND($O44-$E44,2)&gt;0,"工时超出","√"))))</f>
        <v/>
      </c>
    </row>
    <row r="45" customFormat="false" ht="18.75" hidden="false" customHeight="true" outlineLevel="0" collapsed="false">
      <c r="B45" s="28"/>
      <c r="C45" s="7"/>
      <c r="D45" s="7"/>
      <c r="E45" s="18"/>
      <c r="F45" s="19" t="str">
        <f aca="false">IF($D45="","",$E45-$O45)</f>
        <v/>
      </c>
      <c r="G45" s="18"/>
      <c r="H45" s="18"/>
      <c r="I45" s="18"/>
      <c r="J45" s="18"/>
      <c r="K45" s="18"/>
      <c r="L45" s="18"/>
      <c r="M45" s="18"/>
      <c r="N45" s="18"/>
      <c r="O45" s="19" t="str">
        <f aca="false">IF($D45="","",SUM(G45:N45))</f>
        <v/>
      </c>
      <c r="P45" s="20" t="str">
        <f aca="false">IF(OR($D45="",$E45=0),"",$O45/$E45)</f>
        <v/>
      </c>
      <c r="Q45" s="27"/>
      <c r="R45" s="21" t="str">
        <f aca="false">IF($D45="","",IF($B45="","缺月份",IF($E45=0,"缺总工时",IF(ROUND($O45-$E45,2)&gt;0,"工时超出","√"))))</f>
        <v/>
      </c>
    </row>
    <row r="46" customFormat="false" ht="18.75" hidden="false" customHeight="true" outlineLevel="0" collapsed="false">
      <c r="B46" s="28"/>
      <c r="C46" s="7"/>
      <c r="D46" s="7"/>
      <c r="E46" s="18"/>
      <c r="F46" s="19" t="str">
        <f aca="false">IF($D46="","",$E46-$O46)</f>
        <v/>
      </c>
      <c r="G46" s="18"/>
      <c r="H46" s="18"/>
      <c r="I46" s="18"/>
      <c r="J46" s="18"/>
      <c r="K46" s="18"/>
      <c r="L46" s="18"/>
      <c r="M46" s="18"/>
      <c r="N46" s="18"/>
      <c r="O46" s="19" t="str">
        <f aca="false">IF($D46="","",SUM(G46:N46))</f>
        <v/>
      </c>
      <c r="P46" s="20" t="str">
        <f aca="false">IF(OR($D46="",$E46=0),"",$O46/$E46)</f>
        <v/>
      </c>
      <c r="Q46" s="27"/>
      <c r="R46" s="21" t="str">
        <f aca="false">IF($D46="","",IF($B46="","缺月份",IF($E46=0,"缺总工时",IF(ROUND($O46-$E46,2)&gt;0,"工时超出","√"))))</f>
        <v/>
      </c>
    </row>
    <row r="47" customFormat="false" ht="18.75" hidden="false" customHeight="true" outlineLevel="0" collapsed="false">
      <c r="B47" s="28"/>
      <c r="C47" s="7"/>
      <c r="D47" s="7"/>
      <c r="E47" s="18"/>
      <c r="F47" s="19" t="str">
        <f aca="false">IF($D47="","",$E47-$O47)</f>
        <v/>
      </c>
      <c r="G47" s="18"/>
      <c r="H47" s="18"/>
      <c r="I47" s="18"/>
      <c r="J47" s="18"/>
      <c r="K47" s="18"/>
      <c r="L47" s="18"/>
      <c r="M47" s="18"/>
      <c r="N47" s="18"/>
      <c r="O47" s="19" t="str">
        <f aca="false">IF($D47="","",SUM(G47:N47))</f>
        <v/>
      </c>
      <c r="P47" s="20" t="str">
        <f aca="false">IF(OR($D47="",$E47=0),"",$O47/$E47)</f>
        <v/>
      </c>
      <c r="Q47" s="27"/>
      <c r="R47" s="21" t="str">
        <f aca="false">IF($D47="","",IF($B47="","缺月份",IF($E47=0,"缺总工时",IF(ROUND($O47-$E47,2)&gt;0,"工时超出","√"))))</f>
        <v/>
      </c>
    </row>
    <row r="48" customFormat="false" ht="18.75" hidden="false" customHeight="true" outlineLevel="0" collapsed="false">
      <c r="B48" s="28"/>
      <c r="C48" s="7"/>
      <c r="D48" s="7"/>
      <c r="E48" s="18"/>
      <c r="F48" s="19" t="str">
        <f aca="false">IF($D48="","",$E48-$O48)</f>
        <v/>
      </c>
      <c r="G48" s="18"/>
      <c r="H48" s="18"/>
      <c r="I48" s="18"/>
      <c r="J48" s="18"/>
      <c r="K48" s="18"/>
      <c r="L48" s="18"/>
      <c r="M48" s="18"/>
      <c r="N48" s="18"/>
      <c r="O48" s="19" t="str">
        <f aca="false">IF($D48="","",SUM(G48:N48))</f>
        <v/>
      </c>
      <c r="P48" s="20" t="str">
        <f aca="false">IF(OR($D48="",$E48=0),"",$O48/$E48)</f>
        <v/>
      </c>
      <c r="Q48" s="27"/>
      <c r="R48" s="21" t="str">
        <f aca="false">IF($D48="","",IF($B48="","缺月份",IF($E48=0,"缺总工时",IF(ROUND($O48-$E48,2)&gt;0,"工时超出","√"))))</f>
        <v/>
      </c>
    </row>
    <row r="49" customFormat="false" ht="18.75" hidden="false" customHeight="true" outlineLevel="0" collapsed="false">
      <c r="B49" s="28"/>
      <c r="C49" s="7"/>
      <c r="D49" s="7"/>
      <c r="E49" s="18"/>
      <c r="F49" s="19" t="str">
        <f aca="false">IF($D49="","",$E49-$O49)</f>
        <v/>
      </c>
      <c r="G49" s="18"/>
      <c r="H49" s="18"/>
      <c r="I49" s="18"/>
      <c r="J49" s="18"/>
      <c r="K49" s="18"/>
      <c r="L49" s="18"/>
      <c r="M49" s="18"/>
      <c r="N49" s="18"/>
      <c r="O49" s="19" t="str">
        <f aca="false">IF($D49="","",SUM(G49:N49))</f>
        <v/>
      </c>
      <c r="P49" s="20" t="str">
        <f aca="false">IF(OR($D49="",$E49=0),"",$O49/$E49)</f>
        <v/>
      </c>
      <c r="Q49" s="27"/>
      <c r="R49" s="21" t="str">
        <f aca="false">IF($D49="","",IF($B49="","缺月份",IF($E49=0,"缺总工时",IF(ROUND($O49-$E49,2)&gt;0,"工时超出","√"))))</f>
        <v/>
      </c>
    </row>
    <row r="50" customFormat="false" ht="18.75" hidden="false" customHeight="true" outlineLevel="0" collapsed="false">
      <c r="B50" s="28"/>
      <c r="C50" s="7"/>
      <c r="D50" s="7"/>
      <c r="E50" s="18"/>
      <c r="F50" s="19" t="str">
        <f aca="false">IF($D50="","",$E50-$O50)</f>
        <v/>
      </c>
      <c r="G50" s="18"/>
      <c r="H50" s="18"/>
      <c r="I50" s="18"/>
      <c r="J50" s="18"/>
      <c r="K50" s="18"/>
      <c r="L50" s="18"/>
      <c r="M50" s="18"/>
      <c r="N50" s="18"/>
      <c r="O50" s="19" t="str">
        <f aca="false">IF($D50="","",SUM(G50:N50))</f>
        <v/>
      </c>
      <c r="P50" s="20" t="str">
        <f aca="false">IF(OR($D50="",$E50=0),"",$O50/$E50)</f>
        <v/>
      </c>
      <c r="Q50" s="27"/>
      <c r="R50" s="21" t="str">
        <f aca="false">IF($D50="","",IF($B50="","缺月份",IF($E50=0,"缺总工时",IF(ROUND($O50-$E50,2)&gt;0,"工时超出","√"))))</f>
        <v/>
      </c>
    </row>
    <row r="51" customFormat="false" ht="18.75" hidden="false" customHeight="true" outlineLevel="0" collapsed="false">
      <c r="B51" s="28"/>
      <c r="C51" s="7"/>
      <c r="D51" s="7"/>
      <c r="E51" s="18"/>
      <c r="F51" s="19" t="str">
        <f aca="false">IF($D51="","",$E51-$O51)</f>
        <v/>
      </c>
      <c r="G51" s="18"/>
      <c r="H51" s="18"/>
      <c r="I51" s="18"/>
      <c r="J51" s="18"/>
      <c r="K51" s="18"/>
      <c r="L51" s="18"/>
      <c r="M51" s="18"/>
      <c r="N51" s="18"/>
      <c r="O51" s="19" t="str">
        <f aca="false">IF($D51="","",SUM(G51:N51))</f>
        <v/>
      </c>
      <c r="P51" s="20" t="str">
        <f aca="false">IF(OR($D51="",$E51=0),"",$O51/$E51)</f>
        <v/>
      </c>
      <c r="Q51" s="27"/>
      <c r="R51" s="21" t="str">
        <f aca="false">IF($D51="","",IF($B51="","缺月份",IF($E51=0,"缺总工时",IF(ROUND($O51-$E51,2)&gt;0,"工时超出","√"))))</f>
        <v/>
      </c>
    </row>
    <row r="52" customFormat="false" ht="18.75" hidden="false" customHeight="true" outlineLevel="0" collapsed="false">
      <c r="B52" s="28"/>
      <c r="C52" s="7"/>
      <c r="D52" s="7"/>
      <c r="E52" s="18"/>
      <c r="F52" s="19" t="str">
        <f aca="false">IF($D52="","",$E52-$O52)</f>
        <v/>
      </c>
      <c r="G52" s="18"/>
      <c r="H52" s="18"/>
      <c r="I52" s="18"/>
      <c r="J52" s="18"/>
      <c r="K52" s="18"/>
      <c r="L52" s="18"/>
      <c r="M52" s="18"/>
      <c r="N52" s="18"/>
      <c r="O52" s="19" t="str">
        <f aca="false">IF($D52="","",SUM(G52:N52))</f>
        <v/>
      </c>
      <c r="P52" s="20" t="str">
        <f aca="false">IF(OR($D52="",$E52=0),"",$O52/$E52)</f>
        <v/>
      </c>
      <c r="Q52" s="27"/>
      <c r="R52" s="21" t="str">
        <f aca="false">IF($D52="","",IF($B52="","缺月份",IF($E52=0,"缺总工时",IF(ROUND($O52-$E52,2)&gt;0,"工时超出","√"))))</f>
        <v/>
      </c>
    </row>
    <row r="53" customFormat="false" ht="18.75" hidden="false" customHeight="true" outlineLevel="0" collapsed="false">
      <c r="B53" s="28"/>
      <c r="C53" s="7"/>
      <c r="D53" s="7"/>
      <c r="E53" s="18"/>
      <c r="F53" s="19" t="str">
        <f aca="false">IF($D53="","",$E53-$O53)</f>
        <v/>
      </c>
      <c r="G53" s="18"/>
      <c r="H53" s="18"/>
      <c r="I53" s="18"/>
      <c r="J53" s="18"/>
      <c r="K53" s="18"/>
      <c r="L53" s="18"/>
      <c r="M53" s="18"/>
      <c r="N53" s="18"/>
      <c r="O53" s="19" t="str">
        <f aca="false">IF($D53="","",SUM(G53:N53))</f>
        <v/>
      </c>
      <c r="P53" s="20" t="str">
        <f aca="false">IF(OR($D53="",$E53=0),"",$O53/$E53)</f>
        <v/>
      </c>
      <c r="Q53" s="27"/>
      <c r="R53" s="21" t="str">
        <f aca="false">IF($D53="","",IF($B53="","缺月份",IF($E53=0,"缺总工时",IF(ROUND($O53-$E53,2)&gt;0,"工时超出","√"))))</f>
        <v/>
      </c>
    </row>
    <row r="54" customFormat="false" ht="18.75" hidden="false" customHeight="true" outlineLevel="0" collapsed="false">
      <c r="B54" s="28"/>
      <c r="C54" s="7"/>
      <c r="D54" s="7"/>
      <c r="E54" s="18"/>
      <c r="F54" s="19" t="str">
        <f aca="false">IF($D54="","",$E54-$O54)</f>
        <v/>
      </c>
      <c r="G54" s="18"/>
      <c r="H54" s="18"/>
      <c r="I54" s="18"/>
      <c r="J54" s="18"/>
      <c r="K54" s="18"/>
      <c r="L54" s="18"/>
      <c r="M54" s="18"/>
      <c r="N54" s="18"/>
      <c r="O54" s="19" t="str">
        <f aca="false">IF($D54="","",SUM(G54:N54))</f>
        <v/>
      </c>
      <c r="P54" s="20" t="str">
        <f aca="false">IF(OR($D54="",$E54=0),"",$O54/$E54)</f>
        <v/>
      </c>
      <c r="Q54" s="27"/>
      <c r="R54" s="21" t="str">
        <f aca="false">IF($D54="","",IF($B54="","缺月份",IF($E54=0,"缺总工时",IF(ROUND($O54-$E54,2)&gt;0,"工时超出","√"))))</f>
        <v/>
      </c>
    </row>
    <row r="55" customFormat="false" ht="18.75" hidden="false" customHeight="true" outlineLevel="0" collapsed="false">
      <c r="B55" s="28"/>
      <c r="C55" s="7"/>
      <c r="D55" s="7"/>
      <c r="E55" s="18"/>
      <c r="F55" s="19" t="str">
        <f aca="false">IF($D55="","",$E55-$O55)</f>
        <v/>
      </c>
      <c r="G55" s="18"/>
      <c r="H55" s="18"/>
      <c r="I55" s="18"/>
      <c r="J55" s="18"/>
      <c r="K55" s="18"/>
      <c r="L55" s="18"/>
      <c r="M55" s="18"/>
      <c r="N55" s="18"/>
      <c r="O55" s="19" t="str">
        <f aca="false">IF($D55="","",SUM(G55:N55))</f>
        <v/>
      </c>
      <c r="P55" s="20" t="str">
        <f aca="false">IF(OR($D55="",$E55=0),"",$O55/$E55)</f>
        <v/>
      </c>
      <c r="Q55" s="27"/>
      <c r="R55" s="21" t="str">
        <f aca="false">IF($D55="","",IF($B55="","缺月份",IF($E55=0,"缺总工时",IF(ROUND($O55-$E55,2)&gt;0,"工时超出","√"))))</f>
        <v/>
      </c>
    </row>
    <row r="56" customFormat="false" ht="18.75" hidden="false" customHeight="true" outlineLevel="0" collapsed="false">
      <c r="B56" s="28"/>
      <c r="C56" s="7"/>
      <c r="D56" s="7"/>
      <c r="E56" s="18"/>
      <c r="F56" s="19" t="str">
        <f aca="false">IF($D56="","",$E56-$O56)</f>
        <v/>
      </c>
      <c r="G56" s="18"/>
      <c r="H56" s="18"/>
      <c r="I56" s="18"/>
      <c r="J56" s="18"/>
      <c r="K56" s="18"/>
      <c r="L56" s="18"/>
      <c r="M56" s="18"/>
      <c r="N56" s="18"/>
      <c r="O56" s="19" t="str">
        <f aca="false">IF($D56="","",SUM(G56:N56))</f>
        <v/>
      </c>
      <c r="P56" s="20" t="str">
        <f aca="false">IF(OR($D56="",$E56=0),"",$O56/$E56)</f>
        <v/>
      </c>
      <c r="Q56" s="27"/>
      <c r="R56" s="21" t="str">
        <f aca="false">IF($D56="","",IF($B56="","缺月份",IF($E56=0,"缺总工时",IF(ROUND($O56-$E56,2)&gt;0,"工时超出","√"))))</f>
        <v/>
      </c>
    </row>
    <row r="57" customFormat="false" ht="18.75" hidden="false" customHeight="true" outlineLevel="0" collapsed="false">
      <c r="B57" s="28"/>
      <c r="C57" s="7"/>
      <c r="D57" s="7"/>
      <c r="E57" s="18"/>
      <c r="F57" s="19" t="str">
        <f aca="false">IF($D57="","",$E57-$O57)</f>
        <v/>
      </c>
      <c r="G57" s="18"/>
      <c r="H57" s="18"/>
      <c r="I57" s="18"/>
      <c r="J57" s="18"/>
      <c r="K57" s="18"/>
      <c r="L57" s="18"/>
      <c r="M57" s="18"/>
      <c r="N57" s="18"/>
      <c r="O57" s="19" t="str">
        <f aca="false">IF($D57="","",SUM(G57:N57))</f>
        <v/>
      </c>
      <c r="P57" s="20" t="str">
        <f aca="false">IF(OR($D57="",$E57=0),"",$O57/$E57)</f>
        <v/>
      </c>
      <c r="Q57" s="27"/>
      <c r="R57" s="21" t="str">
        <f aca="false">IF($D57="","",IF($B57="","缺月份",IF($E57=0,"缺总工时",IF(ROUND($O57-$E57,2)&gt;0,"工时超出","√"))))</f>
        <v/>
      </c>
    </row>
    <row r="58" customFormat="false" ht="18.75" hidden="false" customHeight="true" outlineLevel="0" collapsed="false">
      <c r="B58" s="28"/>
      <c r="C58" s="7"/>
      <c r="D58" s="7"/>
      <c r="E58" s="18"/>
      <c r="F58" s="19" t="str">
        <f aca="false">IF($D58="","",$E58-$O58)</f>
        <v/>
      </c>
      <c r="G58" s="18"/>
      <c r="H58" s="18"/>
      <c r="I58" s="18"/>
      <c r="J58" s="18"/>
      <c r="K58" s="18"/>
      <c r="L58" s="18"/>
      <c r="M58" s="18"/>
      <c r="N58" s="18"/>
      <c r="O58" s="19" t="str">
        <f aca="false">IF($D58="","",SUM(G58:N58))</f>
        <v/>
      </c>
      <c r="P58" s="20" t="str">
        <f aca="false">IF(OR($D58="",$E58=0),"",$O58/$E58)</f>
        <v/>
      </c>
      <c r="Q58" s="27"/>
      <c r="R58" s="21" t="str">
        <f aca="false">IF($D58="","",IF($B58="","缺月份",IF($E58=0,"缺总工时",IF(ROUND($O58-$E58,2)&gt;0,"工时超出","√"))))</f>
        <v/>
      </c>
    </row>
    <row r="59" customFormat="false" ht="18.75" hidden="false" customHeight="true" outlineLevel="0" collapsed="false">
      <c r="B59" s="28"/>
      <c r="C59" s="7"/>
      <c r="D59" s="7"/>
      <c r="E59" s="18"/>
      <c r="F59" s="19" t="str">
        <f aca="false">IF($D59="","",$E59-$O59)</f>
        <v/>
      </c>
      <c r="G59" s="18"/>
      <c r="H59" s="18"/>
      <c r="I59" s="18"/>
      <c r="J59" s="18"/>
      <c r="K59" s="18"/>
      <c r="L59" s="18"/>
      <c r="M59" s="18"/>
      <c r="N59" s="18"/>
      <c r="O59" s="19" t="str">
        <f aca="false">IF($D59="","",SUM(G59:N59))</f>
        <v/>
      </c>
      <c r="P59" s="20" t="str">
        <f aca="false">IF(OR($D59="",$E59=0),"",$O59/$E59)</f>
        <v/>
      </c>
      <c r="Q59" s="27"/>
      <c r="R59" s="21" t="str">
        <f aca="false">IF($D59="","",IF($B59="","缺月份",IF($E59=0,"缺总工时",IF(ROUND($O59-$E59,2)&gt;0,"工时超出","√"))))</f>
        <v/>
      </c>
    </row>
    <row r="60" customFormat="false" ht="18.75" hidden="false" customHeight="true" outlineLevel="0" collapsed="false">
      <c r="B60" s="28"/>
      <c r="C60" s="7"/>
      <c r="D60" s="7"/>
      <c r="E60" s="18"/>
      <c r="F60" s="19" t="str">
        <f aca="false">IF($D60="","",$E60-$O60)</f>
        <v/>
      </c>
      <c r="G60" s="18"/>
      <c r="H60" s="18"/>
      <c r="I60" s="18"/>
      <c r="J60" s="18"/>
      <c r="K60" s="18"/>
      <c r="L60" s="18"/>
      <c r="M60" s="18"/>
      <c r="N60" s="18"/>
      <c r="O60" s="19" t="str">
        <f aca="false">IF($D60="","",SUM(G60:N60))</f>
        <v/>
      </c>
      <c r="P60" s="20" t="str">
        <f aca="false">IF(OR($D60="",$E60=0),"",$O60/$E60)</f>
        <v/>
      </c>
      <c r="Q60" s="27"/>
      <c r="R60" s="21" t="str">
        <f aca="false">IF($D60="","",IF($B60="","缺月份",IF($E60=0,"缺总工时",IF(ROUND($O60-$E60,2)&gt;0,"工时超出","√"))))</f>
        <v/>
      </c>
    </row>
    <row r="61" customFormat="false" ht="18.75" hidden="false" customHeight="true" outlineLevel="0" collapsed="false">
      <c r="B61" s="28"/>
      <c r="C61" s="7"/>
      <c r="D61" s="7"/>
      <c r="E61" s="18"/>
      <c r="F61" s="19" t="str">
        <f aca="false">IF($D61="","",$E61-$O61)</f>
        <v/>
      </c>
      <c r="G61" s="18"/>
      <c r="H61" s="18"/>
      <c r="I61" s="18"/>
      <c r="J61" s="18"/>
      <c r="K61" s="18"/>
      <c r="L61" s="18"/>
      <c r="M61" s="18"/>
      <c r="N61" s="18"/>
      <c r="O61" s="19" t="str">
        <f aca="false">IF($D61="","",SUM(G61:N61))</f>
        <v/>
      </c>
      <c r="P61" s="20" t="str">
        <f aca="false">IF(OR($D61="",$E61=0),"",$O61/$E61)</f>
        <v/>
      </c>
      <c r="Q61" s="27"/>
      <c r="R61" s="21" t="str">
        <f aca="false">IF($D61="","",IF($B61="","缺月份",IF($E61=0,"缺总工时",IF(ROUND($O61-$E61,2)&gt;0,"工时超出","√"))))</f>
        <v/>
      </c>
    </row>
    <row r="62" customFormat="false" ht="18.75" hidden="false" customHeight="true" outlineLevel="0" collapsed="false">
      <c r="B62" s="28"/>
      <c r="C62" s="7"/>
      <c r="D62" s="7"/>
      <c r="E62" s="18"/>
      <c r="F62" s="19" t="str">
        <f aca="false">IF($D62="","",$E62-$O62)</f>
        <v/>
      </c>
      <c r="G62" s="18"/>
      <c r="H62" s="18"/>
      <c r="I62" s="18"/>
      <c r="J62" s="18"/>
      <c r="K62" s="18"/>
      <c r="L62" s="18"/>
      <c r="M62" s="18"/>
      <c r="N62" s="18"/>
      <c r="O62" s="19" t="str">
        <f aca="false">IF($D62="","",SUM(G62:N62))</f>
        <v/>
      </c>
      <c r="P62" s="20" t="str">
        <f aca="false">IF(OR($D62="",$E62=0),"",$O62/$E62)</f>
        <v/>
      </c>
      <c r="Q62" s="27"/>
      <c r="R62" s="21" t="str">
        <f aca="false">IF($D62="","",IF($B62="","缺月份",IF($E62=0,"缺总工时",IF(ROUND($O62-$E62,2)&gt;0,"工时超出","√"))))</f>
        <v/>
      </c>
    </row>
    <row r="63" customFormat="false" ht="18.75" hidden="false" customHeight="true" outlineLevel="0" collapsed="false">
      <c r="B63" s="28"/>
      <c r="C63" s="7"/>
      <c r="D63" s="7"/>
      <c r="E63" s="18"/>
      <c r="F63" s="19" t="str">
        <f aca="false">IF($D63="","",$E63-$O63)</f>
        <v/>
      </c>
      <c r="G63" s="18"/>
      <c r="H63" s="18"/>
      <c r="I63" s="18"/>
      <c r="J63" s="18"/>
      <c r="K63" s="18"/>
      <c r="L63" s="18"/>
      <c r="M63" s="18"/>
      <c r="N63" s="18"/>
      <c r="O63" s="19" t="str">
        <f aca="false">IF($D63="","",SUM(G63:N63))</f>
        <v/>
      </c>
      <c r="P63" s="20" t="str">
        <f aca="false">IF(OR($D63="",$E63=0),"",$O63/$E63)</f>
        <v/>
      </c>
      <c r="Q63" s="27"/>
      <c r="R63" s="21" t="str">
        <f aca="false">IF($D63="","",IF($B63="","缺月份",IF($E63=0,"缺总工时",IF(ROUND($O63-$E63,2)&gt;0,"工时超出","√"))))</f>
        <v/>
      </c>
    </row>
    <row r="64" customFormat="false" ht="18.75" hidden="false" customHeight="true" outlineLevel="0" collapsed="false">
      <c r="B64" s="28"/>
      <c r="C64" s="7"/>
      <c r="D64" s="7"/>
      <c r="E64" s="18"/>
      <c r="F64" s="19" t="str">
        <f aca="false">IF($D64="","",$E64-$O64)</f>
        <v/>
      </c>
      <c r="G64" s="18"/>
      <c r="H64" s="18"/>
      <c r="I64" s="18"/>
      <c r="J64" s="18"/>
      <c r="K64" s="18"/>
      <c r="L64" s="18"/>
      <c r="M64" s="18"/>
      <c r="N64" s="18"/>
      <c r="O64" s="19" t="str">
        <f aca="false">IF($D64="","",SUM(G64:N64))</f>
        <v/>
      </c>
      <c r="P64" s="20" t="str">
        <f aca="false">IF(OR($D64="",$E64=0),"",$O64/$E64)</f>
        <v/>
      </c>
      <c r="Q64" s="27"/>
      <c r="R64" s="21" t="str">
        <f aca="false">IF($D64="","",IF($B64="","缺月份",IF($E64=0,"缺总工时",IF(ROUND($O64-$E64,2)&gt;0,"工时超出","√"))))</f>
        <v/>
      </c>
    </row>
    <row r="65" customFormat="false" ht="18.75" hidden="false" customHeight="true" outlineLevel="0" collapsed="false">
      <c r="B65" s="28"/>
      <c r="C65" s="7"/>
      <c r="D65" s="7"/>
      <c r="E65" s="18"/>
      <c r="F65" s="19" t="str">
        <f aca="false">IF($D65="","",$E65-$O65)</f>
        <v/>
      </c>
      <c r="G65" s="18"/>
      <c r="H65" s="18"/>
      <c r="I65" s="18"/>
      <c r="J65" s="18"/>
      <c r="K65" s="18"/>
      <c r="L65" s="18"/>
      <c r="M65" s="18"/>
      <c r="N65" s="18"/>
      <c r="O65" s="19" t="str">
        <f aca="false">IF($D65="","",SUM(G65:N65))</f>
        <v/>
      </c>
      <c r="P65" s="20" t="str">
        <f aca="false">IF(OR($D65="",$E65=0),"",$O65/$E65)</f>
        <v/>
      </c>
      <c r="Q65" s="27"/>
      <c r="R65" s="21" t="str">
        <f aca="false">IF($D65="","",IF($B65="","缺月份",IF($E65=0,"缺总工时",IF(ROUND($O65-$E65,2)&gt;0,"工时超出","√"))))</f>
        <v/>
      </c>
    </row>
    <row r="66" customFormat="false" ht="18.75" hidden="false" customHeight="true" outlineLevel="0" collapsed="false">
      <c r="B66" s="28"/>
      <c r="C66" s="7"/>
      <c r="D66" s="7"/>
      <c r="E66" s="18"/>
      <c r="F66" s="19" t="str">
        <f aca="false">IF($D66="","",$E66-$O66)</f>
        <v/>
      </c>
      <c r="G66" s="18"/>
      <c r="H66" s="18"/>
      <c r="I66" s="18"/>
      <c r="J66" s="18"/>
      <c r="K66" s="18"/>
      <c r="L66" s="18"/>
      <c r="M66" s="18"/>
      <c r="N66" s="18"/>
      <c r="O66" s="19" t="str">
        <f aca="false">IF($D66="","",SUM(G66:N66))</f>
        <v/>
      </c>
      <c r="P66" s="20" t="str">
        <f aca="false">IF(OR($D66="",$E66=0),"",$O66/$E66)</f>
        <v/>
      </c>
      <c r="Q66" s="27"/>
      <c r="R66" s="21" t="str">
        <f aca="false">IF($D66="","",IF($B66="","缺月份",IF($E66=0,"缺总工时",IF(ROUND($O66-$E66,2)&gt;0,"工时超出","√"))))</f>
        <v/>
      </c>
    </row>
    <row r="67" customFormat="false" ht="18.75" hidden="false" customHeight="true" outlineLevel="0" collapsed="false">
      <c r="B67" s="28"/>
      <c r="C67" s="7"/>
      <c r="D67" s="7"/>
      <c r="E67" s="18"/>
      <c r="F67" s="19" t="str">
        <f aca="false">IF($D67="","",$E67-$O67)</f>
        <v/>
      </c>
      <c r="G67" s="18"/>
      <c r="H67" s="18"/>
      <c r="I67" s="18"/>
      <c r="J67" s="18"/>
      <c r="K67" s="18"/>
      <c r="L67" s="18"/>
      <c r="M67" s="18"/>
      <c r="N67" s="18"/>
      <c r="O67" s="19" t="str">
        <f aca="false">IF($D67="","",SUM(G67:N67))</f>
        <v/>
      </c>
      <c r="P67" s="20" t="str">
        <f aca="false">IF(OR($D67="",$E67=0),"",$O67/$E67)</f>
        <v/>
      </c>
      <c r="Q67" s="27"/>
      <c r="R67" s="21" t="str">
        <f aca="false">IF($D67="","",IF($B67="","缺月份",IF($E67=0,"缺总工时",IF(ROUND($O67-$E67,2)&gt;0,"工时超出","√"))))</f>
        <v/>
      </c>
    </row>
    <row r="68" customFormat="false" ht="18.75" hidden="false" customHeight="true" outlineLevel="0" collapsed="false">
      <c r="B68" s="28"/>
      <c r="C68" s="7"/>
      <c r="D68" s="7"/>
      <c r="E68" s="18"/>
      <c r="F68" s="19" t="str">
        <f aca="false">IF($D68="","",$E68-$O68)</f>
        <v/>
      </c>
      <c r="G68" s="18"/>
      <c r="H68" s="18"/>
      <c r="I68" s="18"/>
      <c r="J68" s="18"/>
      <c r="K68" s="18"/>
      <c r="L68" s="18"/>
      <c r="M68" s="18"/>
      <c r="N68" s="18"/>
      <c r="O68" s="19" t="str">
        <f aca="false">IF($D68="","",SUM(G68:N68))</f>
        <v/>
      </c>
      <c r="P68" s="20" t="str">
        <f aca="false">IF(OR($D68="",$E68=0),"",$O68/$E68)</f>
        <v/>
      </c>
      <c r="Q68" s="27"/>
      <c r="R68" s="21" t="str">
        <f aca="false">IF($D68="","",IF($B68="","缺月份",IF($E68=0,"缺总工时",IF(ROUND($O68-$E68,2)&gt;0,"工时超出","√"))))</f>
        <v/>
      </c>
    </row>
    <row r="69" customFormat="false" ht="18.75" hidden="false" customHeight="true" outlineLevel="0" collapsed="false">
      <c r="B69" s="28"/>
      <c r="C69" s="7"/>
      <c r="D69" s="7"/>
      <c r="E69" s="18"/>
      <c r="F69" s="19" t="str">
        <f aca="false">IF($D69="","",$E69-$O69)</f>
        <v/>
      </c>
      <c r="G69" s="18"/>
      <c r="H69" s="18"/>
      <c r="I69" s="18"/>
      <c r="J69" s="18"/>
      <c r="K69" s="18"/>
      <c r="L69" s="18"/>
      <c r="M69" s="18"/>
      <c r="N69" s="18"/>
      <c r="O69" s="19" t="str">
        <f aca="false">IF($D69="","",SUM(G69:N69))</f>
        <v/>
      </c>
      <c r="P69" s="20" t="str">
        <f aca="false">IF(OR($D69="",$E69=0),"",$O69/$E69)</f>
        <v/>
      </c>
      <c r="Q69" s="27"/>
      <c r="R69" s="21" t="str">
        <f aca="false">IF($D69="","",IF($B69="","缺月份",IF($E69=0,"缺总工时",IF(ROUND($O69-$E69,2)&gt;0,"工时超出","√"))))</f>
        <v/>
      </c>
    </row>
    <row r="70" customFormat="false" ht="18.75" hidden="false" customHeight="true" outlineLevel="0" collapsed="false">
      <c r="B70" s="28"/>
      <c r="C70" s="7"/>
      <c r="D70" s="7"/>
      <c r="E70" s="18"/>
      <c r="F70" s="19" t="str">
        <f aca="false">IF($D70="","",$E70-$O70)</f>
        <v/>
      </c>
      <c r="G70" s="18"/>
      <c r="H70" s="18"/>
      <c r="I70" s="18"/>
      <c r="J70" s="18"/>
      <c r="K70" s="18"/>
      <c r="L70" s="18"/>
      <c r="M70" s="18"/>
      <c r="N70" s="18"/>
      <c r="O70" s="19" t="str">
        <f aca="false">IF($D70="","",SUM(G70:N70))</f>
        <v/>
      </c>
      <c r="P70" s="20" t="str">
        <f aca="false">IF(OR($D70="",$E70=0),"",$O70/$E70)</f>
        <v/>
      </c>
      <c r="Q70" s="27"/>
      <c r="R70" s="21" t="str">
        <f aca="false">IF($D70="","",IF($B70="","缺月份",IF($E70=0,"缺总工时",IF(ROUND($O70-$E70,2)&gt;0,"工时超出","√"))))</f>
        <v/>
      </c>
    </row>
    <row r="71" customFormat="false" ht="18.75" hidden="false" customHeight="true" outlineLevel="0" collapsed="false">
      <c r="B71" s="28"/>
      <c r="C71" s="7"/>
      <c r="D71" s="7"/>
      <c r="E71" s="18"/>
      <c r="F71" s="19" t="str">
        <f aca="false">IF($D71="","",$E71-$O71)</f>
        <v/>
      </c>
      <c r="G71" s="18"/>
      <c r="H71" s="18"/>
      <c r="I71" s="18"/>
      <c r="J71" s="18"/>
      <c r="K71" s="18"/>
      <c r="L71" s="18"/>
      <c r="M71" s="18"/>
      <c r="N71" s="18"/>
      <c r="O71" s="19" t="str">
        <f aca="false">IF($D71="","",SUM(G71:N71))</f>
        <v/>
      </c>
      <c r="P71" s="20" t="str">
        <f aca="false">IF(OR($D71="",$E71=0),"",$O71/$E71)</f>
        <v/>
      </c>
      <c r="Q71" s="27"/>
      <c r="R71" s="21" t="str">
        <f aca="false">IF($D71="","",IF($B71="","缺月份",IF($E71=0,"缺总工时",IF(ROUND($O71-$E71,2)&gt;0,"工时超出","√"))))</f>
        <v/>
      </c>
    </row>
    <row r="72" customFormat="false" ht="18.75" hidden="false" customHeight="true" outlineLevel="0" collapsed="false">
      <c r="B72" s="28"/>
      <c r="C72" s="7"/>
      <c r="D72" s="7"/>
      <c r="E72" s="18"/>
      <c r="F72" s="19" t="str">
        <f aca="false">IF($D72="","",$E72-$O72)</f>
        <v/>
      </c>
      <c r="G72" s="18"/>
      <c r="H72" s="18"/>
      <c r="I72" s="18"/>
      <c r="J72" s="18"/>
      <c r="K72" s="18"/>
      <c r="L72" s="18"/>
      <c r="M72" s="18"/>
      <c r="N72" s="18"/>
      <c r="O72" s="19" t="str">
        <f aca="false">IF($D72="","",SUM(G72:N72))</f>
        <v/>
      </c>
      <c r="P72" s="20" t="str">
        <f aca="false">IF(OR($D72="",$E72=0),"",$O72/$E72)</f>
        <v/>
      </c>
      <c r="Q72" s="27"/>
      <c r="R72" s="21" t="str">
        <f aca="false">IF($D72="","",IF($B72="","缺月份",IF($E72=0,"缺总工时",IF(ROUND($O72-$E72,2)&gt;0,"工时超出","√"))))</f>
        <v/>
      </c>
    </row>
    <row r="73" customFormat="false" ht="18.75" hidden="false" customHeight="true" outlineLevel="0" collapsed="false">
      <c r="B73" s="28"/>
      <c r="C73" s="7"/>
      <c r="D73" s="7"/>
      <c r="E73" s="18"/>
      <c r="F73" s="19" t="str">
        <f aca="false">IF($D73="","",$E73-$O73)</f>
        <v/>
      </c>
      <c r="G73" s="18"/>
      <c r="H73" s="18"/>
      <c r="I73" s="18"/>
      <c r="J73" s="18"/>
      <c r="K73" s="18"/>
      <c r="L73" s="18"/>
      <c r="M73" s="18"/>
      <c r="N73" s="18"/>
      <c r="O73" s="19" t="str">
        <f aca="false">IF($D73="","",SUM(G73:N73))</f>
        <v/>
      </c>
      <c r="P73" s="20" t="str">
        <f aca="false">IF(OR($D73="",$E73=0),"",$O73/$E73)</f>
        <v/>
      </c>
      <c r="Q73" s="27"/>
      <c r="R73" s="21" t="str">
        <f aca="false">IF($D73="","",IF($B73="","缺月份",IF($E73=0,"缺总工时",IF(ROUND($O73-$E73,2)&gt;0,"工时超出","√"))))</f>
        <v/>
      </c>
    </row>
    <row r="74" customFormat="false" ht="18.75" hidden="false" customHeight="true" outlineLevel="0" collapsed="false">
      <c r="B74" s="28"/>
      <c r="C74" s="7"/>
      <c r="D74" s="7"/>
      <c r="E74" s="18"/>
      <c r="F74" s="19" t="str">
        <f aca="false">IF($D74="","",$E74-$O74)</f>
        <v/>
      </c>
      <c r="G74" s="18"/>
      <c r="H74" s="18"/>
      <c r="I74" s="18"/>
      <c r="J74" s="18"/>
      <c r="K74" s="18"/>
      <c r="L74" s="18"/>
      <c r="M74" s="18"/>
      <c r="N74" s="18"/>
      <c r="O74" s="19" t="str">
        <f aca="false">IF($D74="","",SUM(G74:N74))</f>
        <v/>
      </c>
      <c r="P74" s="20" t="str">
        <f aca="false">IF(OR($D74="",$E74=0),"",$O74/$E74)</f>
        <v/>
      </c>
      <c r="Q74" s="27"/>
      <c r="R74" s="21" t="str">
        <f aca="false">IF($D74="","",IF($B74="","缺月份",IF($E74=0,"缺总工时",IF(ROUND($O74-$E74,2)&gt;0,"工时超出","√"))))</f>
        <v/>
      </c>
    </row>
    <row r="75" customFormat="false" ht="18.75" hidden="false" customHeight="true" outlineLevel="0" collapsed="false">
      <c r="B75" s="28"/>
      <c r="C75" s="7"/>
      <c r="D75" s="7"/>
      <c r="E75" s="18"/>
      <c r="F75" s="19" t="str">
        <f aca="false">IF($D75="","",$E75-$O75)</f>
        <v/>
      </c>
      <c r="G75" s="18"/>
      <c r="H75" s="18"/>
      <c r="I75" s="18"/>
      <c r="J75" s="18"/>
      <c r="K75" s="18"/>
      <c r="L75" s="18"/>
      <c r="M75" s="18"/>
      <c r="N75" s="18"/>
      <c r="O75" s="19" t="str">
        <f aca="false">IF($D75="","",SUM(G75:N75))</f>
        <v/>
      </c>
      <c r="P75" s="20" t="str">
        <f aca="false">IF(OR($D75="",$E75=0),"",$O75/$E75)</f>
        <v/>
      </c>
      <c r="Q75" s="27"/>
      <c r="R75" s="21" t="str">
        <f aca="false">IF($D75="","",IF($B75="","缺月份",IF($E75=0,"缺总工时",IF(ROUND($O75-$E75,2)&gt;0,"工时超出","√"))))</f>
        <v/>
      </c>
    </row>
    <row r="76" customFormat="false" ht="18.75" hidden="false" customHeight="true" outlineLevel="0" collapsed="false">
      <c r="B76" s="28"/>
      <c r="C76" s="7"/>
      <c r="D76" s="7"/>
      <c r="E76" s="18"/>
      <c r="F76" s="19" t="str">
        <f aca="false">IF($D76="","",$E76-$O76)</f>
        <v/>
      </c>
      <c r="G76" s="18"/>
      <c r="H76" s="18"/>
      <c r="I76" s="18"/>
      <c r="J76" s="18"/>
      <c r="K76" s="18"/>
      <c r="L76" s="18"/>
      <c r="M76" s="18"/>
      <c r="N76" s="18"/>
      <c r="O76" s="19" t="str">
        <f aca="false">IF($D76="","",SUM(G76:N76))</f>
        <v/>
      </c>
      <c r="P76" s="20" t="str">
        <f aca="false">IF(OR($D76="",$E76=0),"",$O76/$E76)</f>
        <v/>
      </c>
      <c r="Q76" s="27"/>
      <c r="R76" s="21" t="str">
        <f aca="false">IF($D76="","",IF($B76="","缺月份",IF($E76=0,"缺总工时",IF(ROUND($O76-$E76,2)&gt;0,"工时超出","√"))))</f>
        <v/>
      </c>
    </row>
    <row r="77" customFormat="false" ht="18.75" hidden="false" customHeight="true" outlineLevel="0" collapsed="false">
      <c r="B77" s="28"/>
      <c r="C77" s="7"/>
      <c r="D77" s="7"/>
      <c r="E77" s="18"/>
      <c r="F77" s="19" t="str">
        <f aca="false">IF($D77="","",$E77-$O77)</f>
        <v/>
      </c>
      <c r="G77" s="18"/>
      <c r="H77" s="18"/>
      <c r="I77" s="18"/>
      <c r="J77" s="18"/>
      <c r="K77" s="18"/>
      <c r="L77" s="18"/>
      <c r="M77" s="18"/>
      <c r="N77" s="18"/>
      <c r="O77" s="19" t="str">
        <f aca="false">IF($D77="","",SUM(G77:N77))</f>
        <v/>
      </c>
      <c r="P77" s="20" t="str">
        <f aca="false">IF(OR($D77="",$E77=0),"",$O77/$E77)</f>
        <v/>
      </c>
      <c r="Q77" s="27"/>
      <c r="R77" s="21" t="str">
        <f aca="false">IF($D77="","",IF($B77="","缺月份",IF($E77=0,"缺总工时",IF(ROUND($O77-$E77,2)&gt;0,"工时超出","√"))))</f>
        <v/>
      </c>
    </row>
    <row r="78" customFormat="false" ht="18.75" hidden="false" customHeight="true" outlineLevel="0" collapsed="false">
      <c r="B78" s="28"/>
      <c r="C78" s="7"/>
      <c r="D78" s="7"/>
      <c r="E78" s="18"/>
      <c r="F78" s="19" t="str">
        <f aca="false">IF($D78="","",$E78-$O78)</f>
        <v/>
      </c>
      <c r="G78" s="18"/>
      <c r="H78" s="18"/>
      <c r="I78" s="18"/>
      <c r="J78" s="18"/>
      <c r="K78" s="18"/>
      <c r="L78" s="18"/>
      <c r="M78" s="18"/>
      <c r="N78" s="18"/>
      <c r="O78" s="19" t="str">
        <f aca="false">IF($D78="","",SUM(G78:N78))</f>
        <v/>
      </c>
      <c r="P78" s="20" t="str">
        <f aca="false">IF(OR($D78="",$E78=0),"",$O78/$E78)</f>
        <v/>
      </c>
      <c r="Q78" s="27"/>
      <c r="R78" s="21" t="str">
        <f aca="false">IF($D78="","",IF($B78="","缺月份",IF($E78=0,"缺总工时",IF(ROUND($O78-$E78,2)&gt;0,"工时超出","√"))))</f>
        <v/>
      </c>
    </row>
    <row r="79" customFormat="false" ht="18.75" hidden="false" customHeight="true" outlineLevel="0" collapsed="false">
      <c r="B79" s="28"/>
      <c r="C79" s="7"/>
      <c r="D79" s="7"/>
      <c r="E79" s="18"/>
      <c r="F79" s="19" t="str">
        <f aca="false">IF($D79="","",$E79-$O79)</f>
        <v/>
      </c>
      <c r="G79" s="18"/>
      <c r="H79" s="18"/>
      <c r="I79" s="18"/>
      <c r="J79" s="18"/>
      <c r="K79" s="18"/>
      <c r="L79" s="18"/>
      <c r="M79" s="18"/>
      <c r="N79" s="18"/>
      <c r="O79" s="19" t="str">
        <f aca="false">IF($D79="","",SUM(G79:N79))</f>
        <v/>
      </c>
      <c r="P79" s="20" t="str">
        <f aca="false">IF(OR($D79="",$E79=0),"",$O79/$E79)</f>
        <v/>
      </c>
      <c r="Q79" s="27"/>
      <c r="R79" s="21" t="str">
        <f aca="false">IF($D79="","",IF($B79="","缺月份",IF($E79=0,"缺总工时",IF(ROUND($O79-$E79,2)&gt;0,"工时超出","√"))))</f>
        <v/>
      </c>
    </row>
    <row r="80" customFormat="false" ht="18.75" hidden="false" customHeight="true" outlineLevel="0" collapsed="false">
      <c r="B80" s="28"/>
      <c r="C80" s="7"/>
      <c r="D80" s="7"/>
      <c r="E80" s="18"/>
      <c r="F80" s="19" t="str">
        <f aca="false">IF($D80="","",$E80-$O80)</f>
        <v/>
      </c>
      <c r="G80" s="18"/>
      <c r="H80" s="18"/>
      <c r="I80" s="18"/>
      <c r="J80" s="18"/>
      <c r="K80" s="18"/>
      <c r="L80" s="18"/>
      <c r="M80" s="18"/>
      <c r="N80" s="18"/>
      <c r="O80" s="19" t="str">
        <f aca="false">IF($D80="","",SUM(G80:N80))</f>
        <v/>
      </c>
      <c r="P80" s="20" t="str">
        <f aca="false">IF(OR($D80="",$E80=0),"",$O80/$E80)</f>
        <v/>
      </c>
      <c r="Q80" s="27"/>
      <c r="R80" s="21" t="str">
        <f aca="false">IF($D80="","",IF($B80="","缺月份",IF($E80=0,"缺总工时",IF(ROUND($O80-$E80,2)&gt;0,"工时超出","√"))))</f>
        <v/>
      </c>
    </row>
    <row r="81" customFormat="false" ht="18.75" hidden="false" customHeight="true" outlineLevel="0" collapsed="false">
      <c r="B81" s="28"/>
      <c r="C81" s="7"/>
      <c r="D81" s="7"/>
      <c r="E81" s="18"/>
      <c r="F81" s="19" t="str">
        <f aca="false">IF($D81="","",$E81-$O81)</f>
        <v/>
      </c>
      <c r="G81" s="18"/>
      <c r="H81" s="18"/>
      <c r="I81" s="18"/>
      <c r="J81" s="18"/>
      <c r="K81" s="18"/>
      <c r="L81" s="18"/>
      <c r="M81" s="18"/>
      <c r="N81" s="18"/>
      <c r="O81" s="19" t="str">
        <f aca="false">IF($D81="","",SUM(G81:N81))</f>
        <v/>
      </c>
      <c r="P81" s="20" t="str">
        <f aca="false">IF(OR($D81="",$E81=0),"",$O81/$E81)</f>
        <v/>
      </c>
      <c r="Q81" s="27"/>
      <c r="R81" s="21" t="str">
        <f aca="false">IF($D81="","",IF($B81="","缺月份",IF($E81=0,"缺总工时",IF(ROUND($O81-$E81,2)&gt;0,"工时超出","√"))))</f>
        <v/>
      </c>
    </row>
    <row r="82" customFormat="false" ht="18.75" hidden="false" customHeight="true" outlineLevel="0" collapsed="false">
      <c r="B82" s="28"/>
      <c r="C82" s="7"/>
      <c r="D82" s="7"/>
      <c r="E82" s="18"/>
      <c r="F82" s="19" t="str">
        <f aca="false">IF($D82="","",$E82-$O82)</f>
        <v/>
      </c>
      <c r="G82" s="18"/>
      <c r="H82" s="18"/>
      <c r="I82" s="18"/>
      <c r="J82" s="18"/>
      <c r="K82" s="18"/>
      <c r="L82" s="18"/>
      <c r="M82" s="18"/>
      <c r="N82" s="18"/>
      <c r="O82" s="19" t="str">
        <f aca="false">IF($D82="","",SUM(G82:N82))</f>
        <v/>
      </c>
      <c r="P82" s="20" t="str">
        <f aca="false">IF(OR($D82="",$E82=0),"",$O82/$E82)</f>
        <v/>
      </c>
      <c r="Q82" s="27"/>
      <c r="R82" s="21" t="str">
        <f aca="false">IF($D82="","",IF($B82="","缺月份",IF($E82=0,"缺总工时",IF(ROUND($O82-$E82,2)&gt;0,"工时超出","√"))))</f>
        <v/>
      </c>
    </row>
    <row r="83" customFormat="false" ht="18.75" hidden="false" customHeight="true" outlineLevel="0" collapsed="false">
      <c r="B83" s="28"/>
      <c r="C83" s="7"/>
      <c r="D83" s="7"/>
      <c r="E83" s="18"/>
      <c r="F83" s="19" t="str">
        <f aca="false">IF($D83="","",$E83-$O83)</f>
        <v/>
      </c>
      <c r="G83" s="18"/>
      <c r="H83" s="18"/>
      <c r="I83" s="18"/>
      <c r="J83" s="18"/>
      <c r="K83" s="18"/>
      <c r="L83" s="18"/>
      <c r="M83" s="18"/>
      <c r="N83" s="18"/>
      <c r="O83" s="19" t="str">
        <f aca="false">IF($D83="","",SUM(G83:N83))</f>
        <v/>
      </c>
      <c r="P83" s="20" t="str">
        <f aca="false">IF(OR($D83="",$E83=0),"",$O83/$E83)</f>
        <v/>
      </c>
      <c r="Q83" s="27"/>
      <c r="R83" s="21" t="str">
        <f aca="false">IF($D83="","",IF($B83="","缺月份",IF($E83=0,"缺总工时",IF(ROUND($O83-$E83,2)&gt;0,"工时超出","√"))))</f>
        <v/>
      </c>
    </row>
    <row r="84" customFormat="false" ht="18.75" hidden="false" customHeight="true" outlineLevel="0" collapsed="false">
      <c r="B84" s="28"/>
      <c r="C84" s="7"/>
      <c r="D84" s="7"/>
      <c r="E84" s="18"/>
      <c r="F84" s="19" t="str">
        <f aca="false">IF($D84="","",$E84-$O84)</f>
        <v/>
      </c>
      <c r="G84" s="18"/>
      <c r="H84" s="18"/>
      <c r="I84" s="18"/>
      <c r="J84" s="18"/>
      <c r="K84" s="18"/>
      <c r="L84" s="18"/>
      <c r="M84" s="18"/>
      <c r="N84" s="18"/>
      <c r="O84" s="19" t="str">
        <f aca="false">IF($D84="","",SUM(G84:N84))</f>
        <v/>
      </c>
      <c r="P84" s="20" t="str">
        <f aca="false">IF(OR($D84="",$E84=0),"",$O84/$E84)</f>
        <v/>
      </c>
      <c r="Q84" s="27"/>
      <c r="R84" s="21" t="str">
        <f aca="false">IF($D84="","",IF($B84="","缺月份",IF($E84=0,"缺总工时",IF(ROUND($O84-$E84,2)&gt;0,"工时超出","√"))))</f>
        <v/>
      </c>
    </row>
    <row r="85" customFormat="false" ht="18.75" hidden="false" customHeight="true" outlineLevel="0" collapsed="false">
      <c r="B85" s="28"/>
      <c r="C85" s="7"/>
      <c r="D85" s="7"/>
      <c r="E85" s="18"/>
      <c r="F85" s="19" t="str">
        <f aca="false">IF($D85="","",$E85-$O85)</f>
        <v/>
      </c>
      <c r="G85" s="18"/>
      <c r="H85" s="18"/>
      <c r="I85" s="18"/>
      <c r="J85" s="18"/>
      <c r="K85" s="18"/>
      <c r="L85" s="18"/>
      <c r="M85" s="18"/>
      <c r="N85" s="18"/>
      <c r="O85" s="19" t="str">
        <f aca="false">IF($D85="","",SUM(G85:N85))</f>
        <v/>
      </c>
      <c r="P85" s="20" t="str">
        <f aca="false">IF(OR($D85="",$E85=0),"",$O85/$E85)</f>
        <v/>
      </c>
      <c r="Q85" s="27"/>
      <c r="R85" s="21" t="str">
        <f aca="false">IF($D85="","",IF($B85="","缺月份",IF($E85=0,"缺总工时",IF(ROUND($O85-$E85,2)&gt;0,"工时超出","√"))))</f>
        <v/>
      </c>
    </row>
    <row r="86" customFormat="false" ht="18.75" hidden="false" customHeight="true" outlineLevel="0" collapsed="false">
      <c r="B86" s="28"/>
      <c r="C86" s="7"/>
      <c r="D86" s="7"/>
      <c r="E86" s="18"/>
      <c r="F86" s="19" t="str">
        <f aca="false">IF($D86="","",$E86-$O86)</f>
        <v/>
      </c>
      <c r="G86" s="18"/>
      <c r="H86" s="18"/>
      <c r="I86" s="18"/>
      <c r="J86" s="18"/>
      <c r="K86" s="18"/>
      <c r="L86" s="18"/>
      <c r="M86" s="18"/>
      <c r="N86" s="18"/>
      <c r="O86" s="19" t="str">
        <f aca="false">IF($D86="","",SUM(G86:N86))</f>
        <v/>
      </c>
      <c r="P86" s="20" t="str">
        <f aca="false">IF(OR($D86="",$E86=0),"",$O86/$E86)</f>
        <v/>
      </c>
      <c r="Q86" s="27"/>
      <c r="R86" s="21" t="str">
        <f aca="false">IF($D86="","",IF($B86="","缺月份",IF($E86=0,"缺总工时",IF(ROUND($O86-$E86,2)&gt;0,"工时超出","√"))))</f>
        <v/>
      </c>
    </row>
    <row r="87" customFormat="false" ht="18.75" hidden="false" customHeight="true" outlineLevel="0" collapsed="false">
      <c r="B87" s="28"/>
      <c r="C87" s="7"/>
      <c r="D87" s="7"/>
      <c r="E87" s="18"/>
      <c r="F87" s="19" t="str">
        <f aca="false">IF($D87="","",$E87-$O87)</f>
        <v/>
      </c>
      <c r="G87" s="18"/>
      <c r="H87" s="18"/>
      <c r="I87" s="18"/>
      <c r="J87" s="18"/>
      <c r="K87" s="18"/>
      <c r="L87" s="18"/>
      <c r="M87" s="18"/>
      <c r="N87" s="18"/>
      <c r="O87" s="19" t="str">
        <f aca="false">IF($D87="","",SUM(G87:N87))</f>
        <v/>
      </c>
      <c r="P87" s="20" t="str">
        <f aca="false">IF(OR($D87="",$E87=0),"",$O87/$E87)</f>
        <v/>
      </c>
      <c r="Q87" s="27"/>
      <c r="R87" s="21" t="str">
        <f aca="false">IF($D87="","",IF($B87="","缺月份",IF($E87=0,"缺总工时",IF(ROUND($O87-$E87,2)&gt;0,"工时超出","√"))))</f>
        <v/>
      </c>
    </row>
    <row r="88" customFormat="false" ht="18.75" hidden="false" customHeight="true" outlineLevel="0" collapsed="false">
      <c r="B88" s="28"/>
      <c r="C88" s="7"/>
      <c r="D88" s="7"/>
      <c r="E88" s="18"/>
      <c r="F88" s="19" t="str">
        <f aca="false">IF($D88="","",$E88-$O88)</f>
        <v/>
      </c>
      <c r="G88" s="18"/>
      <c r="H88" s="18"/>
      <c r="I88" s="18"/>
      <c r="J88" s="18"/>
      <c r="K88" s="18"/>
      <c r="L88" s="18"/>
      <c r="M88" s="18"/>
      <c r="N88" s="18"/>
      <c r="O88" s="19" t="str">
        <f aca="false">IF($D88="","",SUM(G88:N88))</f>
        <v/>
      </c>
      <c r="P88" s="20" t="str">
        <f aca="false">IF(OR($D88="",$E88=0),"",$O88/$E88)</f>
        <v/>
      </c>
      <c r="Q88" s="27"/>
      <c r="R88" s="21" t="str">
        <f aca="false">IF($D88="","",IF($B88="","缺月份",IF($E88=0,"缺总工时",IF(ROUND($O88-$E88,2)&gt;0,"工时超出","√"))))</f>
        <v/>
      </c>
    </row>
    <row r="89" customFormat="false" ht="18.75" hidden="false" customHeight="true" outlineLevel="0" collapsed="false">
      <c r="B89" s="28"/>
      <c r="C89" s="7"/>
      <c r="D89" s="7"/>
      <c r="E89" s="18"/>
      <c r="F89" s="19" t="str">
        <f aca="false">IF($D89="","",$E89-$O89)</f>
        <v/>
      </c>
      <c r="G89" s="18"/>
      <c r="H89" s="18"/>
      <c r="I89" s="18"/>
      <c r="J89" s="18"/>
      <c r="K89" s="18"/>
      <c r="L89" s="18"/>
      <c r="M89" s="18"/>
      <c r="N89" s="18"/>
      <c r="O89" s="19" t="str">
        <f aca="false">IF($D89="","",SUM(G89:N89))</f>
        <v/>
      </c>
      <c r="P89" s="20" t="str">
        <f aca="false">IF(OR($D89="",$E89=0),"",$O89/$E89)</f>
        <v/>
      </c>
      <c r="Q89" s="27"/>
      <c r="R89" s="21" t="str">
        <f aca="false">IF($D89="","",IF($B89="","缺月份",IF($E89=0,"缺总工时",IF(ROUND($O89-$E89,2)&gt;0,"工时超出","√"))))</f>
        <v/>
      </c>
    </row>
    <row r="90" customFormat="false" ht="18.75" hidden="false" customHeight="true" outlineLevel="0" collapsed="false">
      <c r="B90" s="28"/>
      <c r="C90" s="7"/>
      <c r="D90" s="7"/>
      <c r="E90" s="18"/>
      <c r="F90" s="19" t="str">
        <f aca="false">IF($D90="","",$E90-$O90)</f>
        <v/>
      </c>
      <c r="G90" s="18"/>
      <c r="H90" s="18"/>
      <c r="I90" s="18"/>
      <c r="J90" s="18"/>
      <c r="K90" s="18"/>
      <c r="L90" s="18"/>
      <c r="M90" s="18"/>
      <c r="N90" s="18"/>
      <c r="O90" s="19" t="str">
        <f aca="false">IF($D90="","",SUM(G90:N90))</f>
        <v/>
      </c>
      <c r="P90" s="20" t="str">
        <f aca="false">IF(OR($D90="",$E90=0),"",$O90/$E90)</f>
        <v/>
      </c>
      <c r="Q90" s="27"/>
      <c r="R90" s="21" t="str">
        <f aca="false">IF($D90="","",IF($B90="","缺月份",IF($E90=0,"缺总工时",IF(ROUND($O90-$E90,2)&gt;0,"工时超出","√"))))</f>
        <v/>
      </c>
    </row>
    <row r="91" customFormat="false" ht="18.75" hidden="false" customHeight="true" outlineLevel="0" collapsed="false">
      <c r="B91" s="28"/>
      <c r="C91" s="7"/>
      <c r="D91" s="7"/>
      <c r="E91" s="18"/>
      <c r="F91" s="19" t="str">
        <f aca="false">IF($D91="","",$E91-$O91)</f>
        <v/>
      </c>
      <c r="G91" s="18"/>
      <c r="H91" s="18"/>
      <c r="I91" s="18"/>
      <c r="J91" s="18"/>
      <c r="K91" s="18"/>
      <c r="L91" s="18"/>
      <c r="M91" s="18"/>
      <c r="N91" s="18"/>
      <c r="O91" s="19" t="str">
        <f aca="false">IF($D91="","",SUM(G91:N91))</f>
        <v/>
      </c>
      <c r="P91" s="20" t="str">
        <f aca="false">IF(OR($D91="",$E91=0),"",$O91/$E91)</f>
        <v/>
      </c>
      <c r="Q91" s="27"/>
      <c r="R91" s="21" t="str">
        <f aca="false">IF($D91="","",IF($B91="","缺月份",IF($E91=0,"缺总工时",IF(ROUND($O91-$E91,2)&gt;0,"工时超出","√"))))</f>
        <v/>
      </c>
    </row>
    <row r="92" customFormat="false" ht="18.75" hidden="false" customHeight="true" outlineLevel="0" collapsed="false">
      <c r="B92" s="28"/>
      <c r="C92" s="7"/>
      <c r="D92" s="7"/>
      <c r="E92" s="18"/>
      <c r="F92" s="19" t="str">
        <f aca="false">IF($D92="","",$E92-$O92)</f>
        <v/>
      </c>
      <c r="G92" s="18"/>
      <c r="H92" s="18"/>
      <c r="I92" s="18"/>
      <c r="J92" s="18"/>
      <c r="K92" s="18"/>
      <c r="L92" s="18"/>
      <c r="M92" s="18"/>
      <c r="N92" s="18"/>
      <c r="O92" s="19" t="str">
        <f aca="false">IF($D92="","",SUM(G92:N92))</f>
        <v/>
      </c>
      <c r="P92" s="20" t="str">
        <f aca="false">IF(OR($D92="",$E92=0),"",$O92/$E92)</f>
        <v/>
      </c>
      <c r="Q92" s="27"/>
      <c r="R92" s="21" t="str">
        <f aca="false">IF($D92="","",IF($B92="","缺月份",IF($E92=0,"缺总工时",IF(ROUND($O92-$E92,2)&gt;0,"工时超出","√"))))</f>
        <v/>
      </c>
    </row>
    <row r="93" customFormat="false" ht="18.75" hidden="false" customHeight="true" outlineLevel="0" collapsed="false">
      <c r="B93" s="28"/>
      <c r="C93" s="7"/>
      <c r="D93" s="7"/>
      <c r="E93" s="18"/>
      <c r="F93" s="19" t="str">
        <f aca="false">IF($D93="","",$E93-$O93)</f>
        <v/>
      </c>
      <c r="G93" s="18"/>
      <c r="H93" s="18"/>
      <c r="I93" s="18"/>
      <c r="J93" s="18"/>
      <c r="K93" s="18"/>
      <c r="L93" s="18"/>
      <c r="M93" s="18"/>
      <c r="N93" s="18"/>
      <c r="O93" s="19" t="str">
        <f aca="false">IF($D93="","",SUM(G93:N93))</f>
        <v/>
      </c>
      <c r="P93" s="20" t="str">
        <f aca="false">IF(OR($D93="",$E93=0),"",$O93/$E93)</f>
        <v/>
      </c>
      <c r="Q93" s="27"/>
      <c r="R93" s="21" t="str">
        <f aca="false">IF($D93="","",IF($B93="","缺月份",IF($E93=0,"缺总工时",IF(ROUND($O93-$E93,2)&gt;0,"工时超出","√"))))</f>
        <v/>
      </c>
    </row>
    <row r="94" customFormat="false" ht="18.75" hidden="false" customHeight="true" outlineLevel="0" collapsed="false">
      <c r="B94" s="28"/>
      <c r="C94" s="7"/>
      <c r="D94" s="7"/>
      <c r="E94" s="18"/>
      <c r="F94" s="19" t="str">
        <f aca="false">IF($D94="","",$E94-$O94)</f>
        <v/>
      </c>
      <c r="G94" s="18"/>
      <c r="H94" s="18"/>
      <c r="I94" s="18"/>
      <c r="J94" s="18"/>
      <c r="K94" s="18"/>
      <c r="L94" s="18"/>
      <c r="M94" s="18"/>
      <c r="N94" s="18"/>
      <c r="O94" s="19" t="str">
        <f aca="false">IF($D94="","",SUM(G94:N94))</f>
        <v/>
      </c>
      <c r="P94" s="20" t="str">
        <f aca="false">IF(OR($D94="",$E94=0),"",$O94/$E94)</f>
        <v/>
      </c>
      <c r="Q94" s="27"/>
      <c r="R94" s="21" t="str">
        <f aca="false">IF($D94="","",IF($B94="","缺月份",IF($E94=0,"缺总工时",IF(ROUND($O94-$E94,2)&gt;0,"工时超出","√"))))</f>
        <v/>
      </c>
    </row>
    <row r="95" customFormat="false" ht="18.75" hidden="false" customHeight="true" outlineLevel="0" collapsed="false">
      <c r="B95" s="28"/>
      <c r="C95" s="7"/>
      <c r="D95" s="7"/>
      <c r="E95" s="18"/>
      <c r="F95" s="19" t="str">
        <f aca="false">IF($D95="","",$E95-$O95)</f>
        <v/>
      </c>
      <c r="G95" s="18"/>
      <c r="H95" s="18"/>
      <c r="I95" s="18"/>
      <c r="J95" s="18"/>
      <c r="K95" s="18"/>
      <c r="L95" s="18"/>
      <c r="M95" s="18"/>
      <c r="N95" s="18"/>
      <c r="O95" s="19" t="str">
        <f aca="false">IF($D95="","",SUM(G95:N95))</f>
        <v/>
      </c>
      <c r="P95" s="20" t="str">
        <f aca="false">IF(OR($D95="",$E95=0),"",$O95/$E95)</f>
        <v/>
      </c>
      <c r="Q95" s="27"/>
      <c r="R95" s="21" t="str">
        <f aca="false">IF($D95="","",IF($B95="","缺月份",IF($E95=0,"缺总工时",IF(ROUND($O95-$E95,2)&gt;0,"工时超出","√"))))</f>
        <v/>
      </c>
    </row>
    <row r="96" customFormat="false" ht="18.75" hidden="false" customHeight="true" outlineLevel="0" collapsed="false">
      <c r="B96" s="28"/>
      <c r="C96" s="7"/>
      <c r="D96" s="7"/>
      <c r="E96" s="18"/>
      <c r="F96" s="19" t="str">
        <f aca="false">IF($D96="","",$E96-$O96)</f>
        <v/>
      </c>
      <c r="G96" s="18"/>
      <c r="H96" s="18"/>
      <c r="I96" s="18"/>
      <c r="J96" s="18"/>
      <c r="K96" s="18"/>
      <c r="L96" s="18"/>
      <c r="M96" s="18"/>
      <c r="N96" s="18"/>
      <c r="O96" s="19" t="str">
        <f aca="false">IF($D96="","",SUM(G96:N96))</f>
        <v/>
      </c>
      <c r="P96" s="20" t="str">
        <f aca="false">IF(OR($D96="",$E96=0),"",$O96/$E96)</f>
        <v/>
      </c>
      <c r="Q96" s="27"/>
      <c r="R96" s="21" t="str">
        <f aca="false">IF($D96="","",IF($B96="","缺月份",IF($E96=0,"缺总工时",IF(ROUND($O96-$E96,2)&gt;0,"工时超出","√"))))</f>
        <v/>
      </c>
    </row>
    <row r="97" customFormat="false" ht="18.75" hidden="false" customHeight="true" outlineLevel="0" collapsed="false">
      <c r="B97" s="28"/>
      <c r="C97" s="7"/>
      <c r="D97" s="7"/>
      <c r="E97" s="18"/>
      <c r="F97" s="19" t="str">
        <f aca="false">IF($D97="","",$E97-$O97)</f>
        <v/>
      </c>
      <c r="G97" s="18"/>
      <c r="H97" s="18"/>
      <c r="I97" s="18"/>
      <c r="J97" s="18"/>
      <c r="K97" s="18"/>
      <c r="L97" s="18"/>
      <c r="M97" s="18"/>
      <c r="N97" s="18"/>
      <c r="O97" s="19" t="str">
        <f aca="false">IF($D97="","",SUM(G97:N97))</f>
        <v/>
      </c>
      <c r="P97" s="20" t="str">
        <f aca="false">IF(OR($D97="",$E97=0),"",$O97/$E97)</f>
        <v/>
      </c>
      <c r="Q97" s="27"/>
      <c r="R97" s="21" t="str">
        <f aca="false">IF($D97="","",IF($B97="","缺月份",IF($E97=0,"缺总工时",IF(ROUND($O97-$E97,2)&gt;0,"工时超出","√"))))</f>
        <v/>
      </c>
    </row>
    <row r="98" customFormat="false" ht="18.75" hidden="false" customHeight="true" outlineLevel="0" collapsed="false">
      <c r="B98" s="28"/>
      <c r="C98" s="7"/>
      <c r="D98" s="7"/>
      <c r="E98" s="18"/>
      <c r="F98" s="19" t="str">
        <f aca="false">IF($D98="","",$E98-$O98)</f>
        <v/>
      </c>
      <c r="G98" s="18"/>
      <c r="H98" s="18"/>
      <c r="I98" s="18"/>
      <c r="J98" s="18"/>
      <c r="K98" s="18"/>
      <c r="L98" s="18"/>
      <c r="M98" s="18"/>
      <c r="N98" s="18"/>
      <c r="O98" s="19" t="str">
        <f aca="false">IF($D98="","",SUM(G98:N98))</f>
        <v/>
      </c>
      <c r="P98" s="20" t="str">
        <f aca="false">IF(OR($D98="",$E98=0),"",$O98/$E98)</f>
        <v/>
      </c>
      <c r="Q98" s="27"/>
      <c r="R98" s="21" t="str">
        <f aca="false">IF($D98="","",IF($B98="","缺月份",IF($E98=0,"缺总工时",IF(ROUND($O98-$E98,2)&gt;0,"工时超出","√"))))</f>
        <v/>
      </c>
    </row>
    <row r="99" customFormat="false" ht="18.75" hidden="false" customHeight="true" outlineLevel="0" collapsed="false">
      <c r="B99" s="28"/>
      <c r="C99" s="7"/>
      <c r="D99" s="7"/>
      <c r="E99" s="18"/>
      <c r="F99" s="19" t="str">
        <f aca="false">IF($D99="","",$E99-$O99)</f>
        <v/>
      </c>
      <c r="G99" s="18"/>
      <c r="H99" s="18"/>
      <c r="I99" s="18"/>
      <c r="J99" s="18"/>
      <c r="K99" s="18"/>
      <c r="L99" s="18"/>
      <c r="M99" s="18"/>
      <c r="N99" s="18"/>
      <c r="O99" s="19" t="str">
        <f aca="false">IF($D99="","",SUM(G99:N99))</f>
        <v/>
      </c>
      <c r="P99" s="20" t="str">
        <f aca="false">IF(OR($D99="",$E99=0),"",$O99/$E99)</f>
        <v/>
      </c>
      <c r="Q99" s="27"/>
      <c r="R99" s="21" t="str">
        <f aca="false">IF($D99="","",IF($B99="","缺月份",IF($E99=0,"缺总工时",IF(ROUND($O99-$E99,2)&gt;0,"工时超出","√"))))</f>
        <v/>
      </c>
    </row>
    <row r="100" customFormat="false" ht="18.75" hidden="false" customHeight="true" outlineLevel="0" collapsed="false">
      <c r="B100" s="28"/>
      <c r="C100" s="7"/>
      <c r="D100" s="7"/>
      <c r="E100" s="18"/>
      <c r="F100" s="19" t="str">
        <f aca="false">IF($D100="","",$E100-$O100)</f>
        <v/>
      </c>
      <c r="G100" s="18"/>
      <c r="H100" s="18"/>
      <c r="I100" s="18"/>
      <c r="J100" s="18"/>
      <c r="K100" s="18"/>
      <c r="L100" s="18"/>
      <c r="M100" s="18"/>
      <c r="N100" s="18"/>
      <c r="O100" s="19" t="str">
        <f aca="false">IF($D100="","",SUM(G100:N100))</f>
        <v/>
      </c>
      <c r="P100" s="20" t="str">
        <f aca="false">IF(OR($D100="",$E100=0),"",$O100/$E100)</f>
        <v/>
      </c>
      <c r="Q100" s="27"/>
      <c r="R100" s="21" t="str">
        <f aca="false">IF($D100="","",IF($B100="","缺月份",IF($E100=0,"缺总工时",IF(ROUND($O100-$E100,2)&gt;0,"工时超出","√"))))</f>
        <v/>
      </c>
    </row>
    <row r="101" customFormat="false" ht="18.75" hidden="false" customHeight="true" outlineLevel="0" collapsed="false">
      <c r="B101" s="28"/>
      <c r="C101" s="7"/>
      <c r="D101" s="7"/>
      <c r="E101" s="18"/>
      <c r="F101" s="19" t="str">
        <f aca="false">IF($D101="","",$E101-$O101)</f>
        <v/>
      </c>
      <c r="G101" s="18"/>
      <c r="H101" s="18"/>
      <c r="I101" s="18"/>
      <c r="J101" s="18"/>
      <c r="K101" s="18"/>
      <c r="L101" s="18"/>
      <c r="M101" s="18"/>
      <c r="N101" s="18"/>
      <c r="O101" s="19" t="str">
        <f aca="false">IF($D101="","",SUM(G101:N101))</f>
        <v/>
      </c>
      <c r="P101" s="20" t="str">
        <f aca="false">IF(OR($D101="",$E101=0),"",$O101/$E101)</f>
        <v/>
      </c>
      <c r="Q101" s="27"/>
      <c r="R101" s="21" t="str">
        <f aca="false">IF($D101="","",IF($B101="","缺月份",IF($E101=0,"缺总工时",IF(ROUND($O101-$E101,2)&gt;0,"工时超出","√"))))</f>
        <v/>
      </c>
    </row>
    <row r="102" customFormat="false" ht="18.75" hidden="false" customHeight="true" outlineLevel="0" collapsed="false">
      <c r="B102" s="28"/>
      <c r="C102" s="7"/>
      <c r="D102" s="7"/>
      <c r="E102" s="18"/>
      <c r="F102" s="19" t="str">
        <f aca="false">IF($D102="","",$E102-$O102)</f>
        <v/>
      </c>
      <c r="G102" s="18"/>
      <c r="H102" s="18"/>
      <c r="I102" s="18"/>
      <c r="J102" s="18"/>
      <c r="K102" s="18"/>
      <c r="L102" s="18"/>
      <c r="M102" s="18"/>
      <c r="N102" s="18"/>
      <c r="O102" s="19" t="str">
        <f aca="false">IF($D102="","",SUM(G102:N102))</f>
        <v/>
      </c>
      <c r="P102" s="20" t="str">
        <f aca="false">IF(OR($D102="",$E102=0),"",$O102/$E102)</f>
        <v/>
      </c>
      <c r="Q102" s="27"/>
      <c r="R102" s="21" t="str">
        <f aca="false">IF($D102="","",IF($B102="","缺月份",IF($E102=0,"缺总工时",IF(ROUND($O102-$E102,2)&gt;0,"工时超出","√"))))</f>
        <v/>
      </c>
    </row>
    <row r="103" customFormat="false" ht="18.75" hidden="false" customHeight="true" outlineLevel="0" collapsed="false">
      <c r="B103" s="28"/>
      <c r="C103" s="7"/>
      <c r="D103" s="7"/>
      <c r="E103" s="18"/>
      <c r="F103" s="19" t="str">
        <f aca="false">IF($D103="","",$E103-$O103)</f>
        <v/>
      </c>
      <c r="G103" s="18"/>
      <c r="H103" s="18"/>
      <c r="I103" s="18"/>
      <c r="J103" s="18"/>
      <c r="K103" s="18"/>
      <c r="L103" s="18"/>
      <c r="M103" s="18"/>
      <c r="N103" s="18"/>
      <c r="O103" s="19" t="str">
        <f aca="false">IF($D103="","",SUM(G103:N103))</f>
        <v/>
      </c>
      <c r="P103" s="20" t="str">
        <f aca="false">IF(OR($D103="",$E103=0),"",$O103/$E103)</f>
        <v/>
      </c>
      <c r="Q103" s="27"/>
      <c r="R103" s="21" t="str">
        <f aca="false">IF($D103="","",IF($B103="","缺月份",IF($E103=0,"缺总工时",IF(ROUND($O103-$E103,2)&gt;0,"工时超出","√"))))</f>
        <v/>
      </c>
    </row>
    <row r="104" customFormat="false" ht="18.75" hidden="false" customHeight="true" outlineLevel="0" collapsed="false">
      <c r="B104" s="28"/>
      <c r="C104" s="7"/>
      <c r="D104" s="7"/>
      <c r="E104" s="18"/>
      <c r="F104" s="19" t="str">
        <f aca="false">IF($D104="","",$E104-$O104)</f>
        <v/>
      </c>
      <c r="G104" s="18"/>
      <c r="H104" s="18"/>
      <c r="I104" s="18"/>
      <c r="J104" s="18"/>
      <c r="K104" s="18"/>
      <c r="L104" s="18"/>
      <c r="M104" s="18"/>
      <c r="N104" s="18"/>
      <c r="O104" s="19" t="str">
        <f aca="false">IF($D104="","",SUM(G104:N104))</f>
        <v/>
      </c>
      <c r="P104" s="20" t="str">
        <f aca="false">IF(OR($D104="",$E104=0),"",$O104/$E104)</f>
        <v/>
      </c>
      <c r="Q104" s="27"/>
      <c r="R104" s="21" t="str">
        <f aca="false">IF($D104="","",IF($B104="","缺月份",IF($E104=0,"缺总工时",IF(ROUND($O104-$E104,2)&gt;0,"工时超出","√"))))</f>
        <v/>
      </c>
    </row>
    <row r="105" customFormat="false" ht="18.75" hidden="false" customHeight="true" outlineLevel="0" collapsed="false">
      <c r="B105" s="28"/>
      <c r="C105" s="7"/>
      <c r="D105" s="7"/>
      <c r="E105" s="18"/>
      <c r="F105" s="19" t="str">
        <f aca="false">IF($D105="","",$E105-$O105)</f>
        <v/>
      </c>
      <c r="G105" s="18"/>
      <c r="H105" s="18"/>
      <c r="I105" s="18"/>
      <c r="J105" s="18"/>
      <c r="K105" s="18"/>
      <c r="L105" s="18"/>
      <c r="M105" s="18"/>
      <c r="N105" s="18"/>
      <c r="O105" s="19" t="str">
        <f aca="false">IF($D105="","",SUM(G105:N105))</f>
        <v/>
      </c>
      <c r="P105" s="20" t="str">
        <f aca="false">IF(OR($D105="",$E105=0),"",$O105/$E105)</f>
        <v/>
      </c>
      <c r="Q105" s="27"/>
      <c r="R105" s="21" t="str">
        <f aca="false">IF($D105="","",IF($B105="","缺月份",IF($E105=0,"缺总工时",IF(ROUND($O105-$E105,2)&gt;0,"工时超出","√"))))</f>
        <v/>
      </c>
    </row>
    <row r="106" customFormat="false" ht="18.75" hidden="false" customHeight="true" outlineLevel="0" collapsed="false">
      <c r="B106" s="28"/>
      <c r="C106" s="7"/>
      <c r="D106" s="7"/>
      <c r="E106" s="18"/>
      <c r="F106" s="19" t="str">
        <f aca="false">IF($D106="","",$E106-$O106)</f>
        <v/>
      </c>
      <c r="G106" s="18"/>
      <c r="H106" s="18"/>
      <c r="I106" s="18"/>
      <c r="J106" s="18"/>
      <c r="K106" s="18"/>
      <c r="L106" s="18"/>
      <c r="M106" s="18"/>
      <c r="N106" s="18"/>
      <c r="O106" s="19" t="str">
        <f aca="false">IF($D106="","",SUM(G106:N106))</f>
        <v/>
      </c>
      <c r="P106" s="20" t="str">
        <f aca="false">IF(OR($D106="",$E106=0),"",$O106/$E106)</f>
        <v/>
      </c>
      <c r="Q106" s="27"/>
      <c r="R106" s="21" t="str">
        <f aca="false">IF($D106="","",IF($B106="","缺月份",IF($E106=0,"缺总工时",IF(ROUND($O106-$E106,2)&gt;0,"工时超出","√"))))</f>
        <v/>
      </c>
    </row>
    <row r="107" customFormat="false" ht="18.75" hidden="false" customHeight="true" outlineLevel="0" collapsed="false">
      <c r="B107" s="28"/>
      <c r="C107" s="7"/>
      <c r="D107" s="7"/>
      <c r="E107" s="18"/>
      <c r="F107" s="19" t="str">
        <f aca="false">IF($D107="","",$E107-$O107)</f>
        <v/>
      </c>
      <c r="G107" s="18"/>
      <c r="H107" s="18"/>
      <c r="I107" s="18"/>
      <c r="J107" s="18"/>
      <c r="K107" s="18"/>
      <c r="L107" s="18"/>
      <c r="M107" s="18"/>
      <c r="N107" s="18"/>
      <c r="O107" s="19" t="str">
        <f aca="false">IF($D107="","",SUM(G107:N107))</f>
        <v/>
      </c>
      <c r="P107" s="20" t="str">
        <f aca="false">IF(OR($D107="",$E107=0),"",$O107/$E107)</f>
        <v/>
      </c>
      <c r="Q107" s="27"/>
      <c r="R107" s="21" t="str">
        <f aca="false">IF($D107="","",IF($B107="","缺月份",IF($E107=0,"缺总工时",IF(ROUND($O107-$E107,2)&gt;0,"工时超出","√"))))</f>
        <v/>
      </c>
    </row>
    <row r="108" customFormat="false" ht="18.75" hidden="false" customHeight="true" outlineLevel="0" collapsed="false">
      <c r="B108" s="28"/>
      <c r="C108" s="7"/>
      <c r="D108" s="7"/>
      <c r="E108" s="18"/>
      <c r="F108" s="19" t="str">
        <f aca="false">IF($D108="","",$E108-$O108)</f>
        <v/>
      </c>
      <c r="G108" s="18"/>
      <c r="H108" s="18"/>
      <c r="I108" s="18"/>
      <c r="J108" s="18"/>
      <c r="K108" s="18"/>
      <c r="L108" s="18"/>
      <c r="M108" s="18"/>
      <c r="N108" s="18"/>
      <c r="O108" s="19" t="str">
        <f aca="false">IF($D108="","",SUM(G108:N108))</f>
        <v/>
      </c>
      <c r="P108" s="20" t="str">
        <f aca="false">IF(OR($D108="",$E108=0),"",$O108/$E108)</f>
        <v/>
      </c>
      <c r="Q108" s="27"/>
      <c r="R108" s="21" t="str">
        <f aca="false">IF($D108="","",IF($B108="","缺月份",IF($E108=0,"缺总工时",IF(ROUND($O108-$E108,2)&gt;0,"工时超出","√"))))</f>
        <v/>
      </c>
    </row>
    <row r="109" customFormat="false" ht="18.75" hidden="false" customHeight="true" outlineLevel="0" collapsed="false">
      <c r="B109" s="28"/>
      <c r="C109" s="7"/>
      <c r="D109" s="7"/>
      <c r="E109" s="18"/>
      <c r="F109" s="19" t="str">
        <f aca="false">IF($D109="","",$E109-$O109)</f>
        <v/>
      </c>
      <c r="G109" s="18"/>
      <c r="H109" s="18"/>
      <c r="I109" s="18"/>
      <c r="J109" s="18"/>
      <c r="K109" s="18"/>
      <c r="L109" s="18"/>
      <c r="M109" s="18"/>
      <c r="N109" s="18"/>
      <c r="O109" s="19" t="str">
        <f aca="false">IF($D109="","",SUM(G109:N109))</f>
        <v/>
      </c>
      <c r="P109" s="20" t="str">
        <f aca="false">IF(OR($D109="",$E109=0),"",$O109/$E109)</f>
        <v/>
      </c>
      <c r="Q109" s="27"/>
      <c r="R109" s="21" t="str">
        <f aca="false">IF($D109="","",IF($B109="","缺月份",IF($E109=0,"缺总工时",IF(ROUND($O109-$E109,2)&gt;0,"工时超出","√"))))</f>
        <v/>
      </c>
    </row>
    <row r="110" customFormat="false" ht="18.75" hidden="false" customHeight="true" outlineLevel="0" collapsed="false">
      <c r="B110" s="28"/>
      <c r="C110" s="7"/>
      <c r="D110" s="7"/>
      <c r="E110" s="18"/>
      <c r="F110" s="19" t="str">
        <f aca="false">IF($D110="","",$E110-$O110)</f>
        <v/>
      </c>
      <c r="G110" s="18"/>
      <c r="H110" s="18"/>
      <c r="I110" s="18"/>
      <c r="J110" s="18"/>
      <c r="K110" s="18"/>
      <c r="L110" s="18"/>
      <c r="M110" s="18"/>
      <c r="N110" s="18"/>
      <c r="O110" s="19" t="str">
        <f aca="false">IF($D110="","",SUM(G110:N110))</f>
        <v/>
      </c>
      <c r="P110" s="20" t="str">
        <f aca="false">IF(OR($D110="",$E110=0),"",$O110/$E110)</f>
        <v/>
      </c>
      <c r="Q110" s="27"/>
      <c r="R110" s="21" t="str">
        <f aca="false">IF($D110="","",IF($B110="","缺月份",IF($E110=0,"缺总工时",IF(ROUND($O110-$E110,2)&gt;0,"工时超出","√"))))</f>
        <v/>
      </c>
    </row>
    <row r="111" customFormat="false" ht="18.75" hidden="false" customHeight="true" outlineLevel="0" collapsed="false">
      <c r="B111" s="28"/>
      <c r="C111" s="7"/>
      <c r="D111" s="7"/>
      <c r="E111" s="18"/>
      <c r="F111" s="19" t="str">
        <f aca="false">IF($D111="","",$E111-$O111)</f>
        <v/>
      </c>
      <c r="G111" s="18"/>
      <c r="H111" s="18"/>
      <c r="I111" s="18"/>
      <c r="J111" s="18"/>
      <c r="K111" s="18"/>
      <c r="L111" s="18"/>
      <c r="M111" s="18"/>
      <c r="N111" s="18"/>
      <c r="O111" s="19" t="str">
        <f aca="false">IF($D111="","",SUM(G111:N111))</f>
        <v/>
      </c>
      <c r="P111" s="20" t="str">
        <f aca="false">IF(OR($D111="",$E111=0),"",$O111/$E111)</f>
        <v/>
      </c>
      <c r="Q111" s="27"/>
      <c r="R111" s="21" t="str">
        <f aca="false">IF($D111="","",IF($B111="","缺月份",IF($E111=0,"缺总工时",IF(ROUND($O111-$E111,2)&gt;0,"工时超出","√"))))</f>
        <v/>
      </c>
    </row>
    <row r="112" customFormat="false" ht="18.75" hidden="false" customHeight="true" outlineLevel="0" collapsed="false">
      <c r="B112" s="28"/>
      <c r="C112" s="7"/>
      <c r="D112" s="7"/>
      <c r="E112" s="18"/>
      <c r="F112" s="19" t="str">
        <f aca="false">IF($D112="","",$E112-$O112)</f>
        <v/>
      </c>
      <c r="G112" s="18"/>
      <c r="H112" s="18"/>
      <c r="I112" s="18"/>
      <c r="J112" s="18"/>
      <c r="K112" s="18"/>
      <c r="L112" s="18"/>
      <c r="M112" s="18"/>
      <c r="N112" s="18"/>
      <c r="O112" s="19" t="str">
        <f aca="false">IF($D112="","",SUM(G112:N112))</f>
        <v/>
      </c>
      <c r="P112" s="20" t="str">
        <f aca="false">IF(OR($D112="",$E112=0),"",$O112/$E112)</f>
        <v/>
      </c>
      <c r="Q112" s="27"/>
      <c r="R112" s="21" t="str">
        <f aca="false">IF($D112="","",IF($B112="","缺月份",IF($E112=0,"缺总工时",IF(ROUND($O112-$E112,2)&gt;0,"工时超出","√"))))</f>
        <v/>
      </c>
    </row>
    <row r="113" customFormat="false" ht="18.75" hidden="false" customHeight="true" outlineLevel="0" collapsed="false">
      <c r="B113" s="28"/>
      <c r="C113" s="7"/>
      <c r="D113" s="7"/>
      <c r="E113" s="18"/>
      <c r="F113" s="19" t="str">
        <f aca="false">IF($D113="","",$E113-$O113)</f>
        <v/>
      </c>
      <c r="G113" s="18"/>
      <c r="H113" s="18"/>
      <c r="I113" s="18"/>
      <c r="J113" s="18"/>
      <c r="K113" s="18"/>
      <c r="L113" s="18"/>
      <c r="M113" s="18"/>
      <c r="N113" s="18"/>
      <c r="O113" s="19" t="str">
        <f aca="false">IF($D113="","",SUM(G113:N113))</f>
        <v/>
      </c>
      <c r="P113" s="20" t="str">
        <f aca="false">IF(OR($D113="",$E113=0),"",$O113/$E113)</f>
        <v/>
      </c>
      <c r="Q113" s="27"/>
      <c r="R113" s="21" t="str">
        <f aca="false">IF($D113="","",IF($B113="","缺月份",IF($E113=0,"缺总工时",IF(ROUND($O113-$E113,2)&gt;0,"工时超出","√"))))</f>
        <v/>
      </c>
    </row>
    <row r="114" customFormat="false" ht="18.75" hidden="false" customHeight="true" outlineLevel="0" collapsed="false">
      <c r="B114" s="28"/>
      <c r="C114" s="7"/>
      <c r="D114" s="7"/>
      <c r="E114" s="18"/>
      <c r="F114" s="19" t="str">
        <f aca="false">IF($D114="","",$E114-$O114)</f>
        <v/>
      </c>
      <c r="G114" s="18"/>
      <c r="H114" s="18"/>
      <c r="I114" s="18"/>
      <c r="J114" s="18"/>
      <c r="K114" s="18"/>
      <c r="L114" s="18"/>
      <c r="M114" s="18"/>
      <c r="N114" s="18"/>
      <c r="O114" s="19" t="str">
        <f aca="false">IF($D114="","",SUM(G114:N114))</f>
        <v/>
      </c>
      <c r="P114" s="20" t="str">
        <f aca="false">IF(OR($D114="",$E114=0),"",$O114/$E114)</f>
        <v/>
      </c>
      <c r="Q114" s="27"/>
      <c r="R114" s="21" t="str">
        <f aca="false">IF($D114="","",IF($B114="","缺月份",IF($E114=0,"缺总工时",IF(ROUND($O114-$E114,2)&gt;0,"工时超出","√"))))</f>
        <v/>
      </c>
    </row>
    <row r="115" customFormat="false" ht="18.75" hidden="false" customHeight="true" outlineLevel="0" collapsed="false">
      <c r="B115" s="28"/>
      <c r="C115" s="7"/>
      <c r="D115" s="7"/>
      <c r="E115" s="18"/>
      <c r="F115" s="19" t="str">
        <f aca="false">IF($D115="","",$E115-$O115)</f>
        <v/>
      </c>
      <c r="G115" s="18"/>
      <c r="H115" s="18"/>
      <c r="I115" s="18"/>
      <c r="J115" s="18"/>
      <c r="K115" s="18"/>
      <c r="L115" s="18"/>
      <c r="M115" s="18"/>
      <c r="N115" s="18"/>
      <c r="O115" s="19" t="str">
        <f aca="false">IF($D115="","",SUM(G115:N115))</f>
        <v/>
      </c>
      <c r="P115" s="20" t="str">
        <f aca="false">IF(OR($D115="",$E115=0),"",$O115/$E115)</f>
        <v/>
      </c>
      <c r="Q115" s="27"/>
      <c r="R115" s="21" t="str">
        <f aca="false">IF($D115="","",IF($B115="","缺月份",IF($E115=0,"缺总工时",IF(ROUND($O115-$E115,2)&gt;0,"工时超出","√"))))</f>
        <v/>
      </c>
    </row>
    <row r="116" customFormat="false" ht="18.75" hidden="false" customHeight="true" outlineLevel="0" collapsed="false">
      <c r="B116" s="28"/>
      <c r="C116" s="7"/>
      <c r="D116" s="7"/>
      <c r="E116" s="18"/>
      <c r="F116" s="19" t="str">
        <f aca="false">IF($D116="","",$E116-$O116)</f>
        <v/>
      </c>
      <c r="G116" s="18"/>
      <c r="H116" s="18"/>
      <c r="I116" s="18"/>
      <c r="J116" s="18"/>
      <c r="K116" s="18"/>
      <c r="L116" s="18"/>
      <c r="M116" s="18"/>
      <c r="N116" s="18"/>
      <c r="O116" s="19" t="str">
        <f aca="false">IF($D116="","",SUM(G116:N116))</f>
        <v/>
      </c>
      <c r="P116" s="20" t="str">
        <f aca="false">IF(OR($D116="",$E116=0),"",$O116/$E116)</f>
        <v/>
      </c>
      <c r="Q116" s="27"/>
      <c r="R116" s="21" t="str">
        <f aca="false">IF($D116="","",IF($B116="","缺月份",IF($E116=0,"缺总工时",IF(ROUND($O116-$E116,2)&gt;0,"工时超出","√"))))</f>
        <v/>
      </c>
    </row>
    <row r="117" customFormat="false" ht="18.75" hidden="false" customHeight="true" outlineLevel="0" collapsed="false">
      <c r="B117" s="28"/>
      <c r="C117" s="7"/>
      <c r="D117" s="7"/>
      <c r="E117" s="18"/>
      <c r="F117" s="19" t="str">
        <f aca="false">IF($D117="","",$E117-$O117)</f>
        <v/>
      </c>
      <c r="G117" s="18"/>
      <c r="H117" s="18"/>
      <c r="I117" s="18"/>
      <c r="J117" s="18"/>
      <c r="K117" s="18"/>
      <c r="L117" s="18"/>
      <c r="M117" s="18"/>
      <c r="N117" s="18"/>
      <c r="O117" s="19" t="str">
        <f aca="false">IF($D117="","",SUM(G117:N117))</f>
        <v/>
      </c>
      <c r="P117" s="20" t="str">
        <f aca="false">IF(OR($D117="",$E117=0),"",$O117/$E117)</f>
        <v/>
      </c>
      <c r="Q117" s="27"/>
      <c r="R117" s="21" t="str">
        <f aca="false">IF($D117="","",IF($B117="","缺月份",IF($E117=0,"缺总工时",IF(ROUND($O117-$E117,2)&gt;0,"工时超出","√"))))</f>
        <v/>
      </c>
    </row>
    <row r="118" customFormat="false" ht="18.75" hidden="false" customHeight="true" outlineLevel="0" collapsed="false">
      <c r="B118" s="28"/>
      <c r="C118" s="7"/>
      <c r="D118" s="7"/>
      <c r="E118" s="18"/>
      <c r="F118" s="19" t="str">
        <f aca="false">IF($D118="","",$E118-$O118)</f>
        <v/>
      </c>
      <c r="G118" s="18"/>
      <c r="H118" s="18"/>
      <c r="I118" s="18"/>
      <c r="J118" s="18"/>
      <c r="K118" s="18"/>
      <c r="L118" s="18"/>
      <c r="M118" s="18"/>
      <c r="N118" s="18"/>
      <c r="O118" s="19" t="str">
        <f aca="false">IF($D118="","",SUM(G118:N118))</f>
        <v/>
      </c>
      <c r="P118" s="20" t="str">
        <f aca="false">IF(OR($D118="",$E118=0),"",$O118/$E118)</f>
        <v/>
      </c>
      <c r="Q118" s="27"/>
      <c r="R118" s="21" t="str">
        <f aca="false">IF($D118="","",IF($B118="","缺月份",IF($E118=0,"缺总工时",IF(ROUND($O118-$E118,2)&gt;0,"工时超出","√"))))</f>
        <v/>
      </c>
    </row>
    <row r="119" customFormat="false" ht="18.75" hidden="false" customHeight="true" outlineLevel="0" collapsed="false">
      <c r="B119" s="28"/>
      <c r="C119" s="7"/>
      <c r="D119" s="7"/>
      <c r="E119" s="18"/>
      <c r="F119" s="19" t="str">
        <f aca="false">IF($D119="","",$E119-$O119)</f>
        <v/>
      </c>
      <c r="G119" s="18"/>
      <c r="H119" s="18"/>
      <c r="I119" s="18"/>
      <c r="J119" s="18"/>
      <c r="K119" s="18"/>
      <c r="L119" s="18"/>
      <c r="M119" s="18"/>
      <c r="N119" s="18"/>
      <c r="O119" s="19" t="str">
        <f aca="false">IF($D119="","",SUM(G119:N119))</f>
        <v/>
      </c>
      <c r="P119" s="20" t="str">
        <f aca="false">IF(OR($D119="",$E119=0),"",$O119/$E119)</f>
        <v/>
      </c>
      <c r="Q119" s="27"/>
      <c r="R119" s="21" t="str">
        <f aca="false">IF($D119="","",IF($B119="","缺月份",IF($E119=0,"缺总工时",IF(ROUND($O119-$E119,2)&gt;0,"工时超出","√"))))</f>
        <v/>
      </c>
    </row>
    <row r="120" customFormat="false" ht="18.75" hidden="false" customHeight="true" outlineLevel="0" collapsed="false">
      <c r="B120" s="28"/>
      <c r="C120" s="7"/>
      <c r="D120" s="7"/>
      <c r="E120" s="18"/>
      <c r="F120" s="19" t="str">
        <f aca="false">IF($D120="","",$E120-$O120)</f>
        <v/>
      </c>
      <c r="G120" s="18"/>
      <c r="H120" s="18"/>
      <c r="I120" s="18"/>
      <c r="J120" s="18"/>
      <c r="K120" s="18"/>
      <c r="L120" s="18"/>
      <c r="M120" s="18"/>
      <c r="N120" s="18"/>
      <c r="O120" s="19" t="str">
        <f aca="false">IF($D120="","",SUM(G120:N120))</f>
        <v/>
      </c>
      <c r="P120" s="20" t="str">
        <f aca="false">IF(OR($D120="",$E120=0),"",$O120/$E120)</f>
        <v/>
      </c>
      <c r="Q120" s="27"/>
      <c r="R120" s="21" t="str">
        <f aca="false">IF($D120="","",IF($B120="","缺月份",IF($E120=0,"缺总工时",IF(ROUND($O120-$E120,2)&gt;0,"工时超出","√"))))</f>
        <v/>
      </c>
    </row>
    <row r="121" customFormat="false" ht="18.75" hidden="false" customHeight="true" outlineLevel="0" collapsed="false">
      <c r="B121" s="28"/>
      <c r="C121" s="7"/>
      <c r="D121" s="7"/>
      <c r="E121" s="18"/>
      <c r="F121" s="19" t="str">
        <f aca="false">IF($D121="","",$E121-$O121)</f>
        <v/>
      </c>
      <c r="G121" s="18"/>
      <c r="H121" s="18"/>
      <c r="I121" s="18"/>
      <c r="J121" s="18"/>
      <c r="K121" s="18"/>
      <c r="L121" s="18"/>
      <c r="M121" s="18"/>
      <c r="N121" s="18"/>
      <c r="O121" s="19" t="str">
        <f aca="false">IF($D121="","",SUM(G121:N121))</f>
        <v/>
      </c>
      <c r="P121" s="20" t="str">
        <f aca="false">IF(OR($D121="",$E121=0),"",$O121/$E121)</f>
        <v/>
      </c>
      <c r="Q121" s="27"/>
      <c r="R121" s="21" t="str">
        <f aca="false">IF($D121="","",IF($B121="","缺月份",IF($E121=0,"缺总工时",IF(ROUND($O121-$E121,2)&gt;0,"工时超出","√"))))</f>
        <v/>
      </c>
    </row>
    <row r="122" customFormat="false" ht="18.75" hidden="false" customHeight="true" outlineLevel="0" collapsed="false">
      <c r="B122" s="28"/>
      <c r="C122" s="7"/>
      <c r="D122" s="7"/>
      <c r="E122" s="18"/>
      <c r="F122" s="19" t="str">
        <f aca="false">IF($D122="","",$E122-$O122)</f>
        <v/>
      </c>
      <c r="G122" s="18"/>
      <c r="H122" s="18"/>
      <c r="I122" s="18"/>
      <c r="J122" s="18"/>
      <c r="K122" s="18"/>
      <c r="L122" s="18"/>
      <c r="M122" s="18"/>
      <c r="N122" s="18"/>
      <c r="O122" s="19" t="str">
        <f aca="false">IF($D122="","",SUM(G122:N122))</f>
        <v/>
      </c>
      <c r="P122" s="20" t="str">
        <f aca="false">IF(OR($D122="",$E122=0),"",$O122/$E122)</f>
        <v/>
      </c>
      <c r="Q122" s="27"/>
      <c r="R122" s="21" t="str">
        <f aca="false">IF($D122="","",IF($B122="","缺月份",IF($E122=0,"缺总工时",IF(ROUND($O122-$E122,2)&gt;0,"工时超出","√"))))</f>
        <v/>
      </c>
    </row>
    <row r="123" customFormat="false" ht="18.75" hidden="false" customHeight="true" outlineLevel="0" collapsed="false">
      <c r="B123" s="28"/>
      <c r="C123" s="7"/>
      <c r="D123" s="7"/>
      <c r="E123" s="18"/>
      <c r="F123" s="19" t="str">
        <f aca="false">IF($D123="","",$E123-$O123)</f>
        <v/>
      </c>
      <c r="G123" s="18"/>
      <c r="H123" s="18"/>
      <c r="I123" s="18"/>
      <c r="J123" s="18"/>
      <c r="K123" s="18"/>
      <c r="L123" s="18"/>
      <c r="M123" s="18"/>
      <c r="N123" s="18"/>
      <c r="O123" s="19" t="str">
        <f aca="false">IF($D123="","",SUM(G123:N123))</f>
        <v/>
      </c>
      <c r="P123" s="20" t="str">
        <f aca="false">IF(OR($D123="",$E123=0),"",$O123/$E123)</f>
        <v/>
      </c>
      <c r="Q123" s="27"/>
      <c r="R123" s="21" t="str">
        <f aca="false">IF($D123="","",IF($B123="","缺月份",IF($E123=0,"缺总工时",IF(ROUND($O123-$E123,2)&gt;0,"工时超出","√"))))</f>
        <v/>
      </c>
    </row>
    <row r="124" customFormat="false" ht="18.75" hidden="false" customHeight="true" outlineLevel="0" collapsed="false">
      <c r="B124" s="28"/>
      <c r="C124" s="7"/>
      <c r="D124" s="7"/>
      <c r="E124" s="18"/>
      <c r="F124" s="19" t="str">
        <f aca="false">IF($D124="","",$E124-$O124)</f>
        <v/>
      </c>
      <c r="G124" s="18"/>
      <c r="H124" s="18"/>
      <c r="I124" s="18"/>
      <c r="J124" s="18"/>
      <c r="K124" s="18"/>
      <c r="L124" s="18"/>
      <c r="M124" s="18"/>
      <c r="N124" s="18"/>
      <c r="O124" s="19" t="str">
        <f aca="false">IF($D124="","",SUM(G124:N124))</f>
        <v/>
      </c>
      <c r="P124" s="20" t="str">
        <f aca="false">IF(OR($D124="",$E124=0),"",$O124/$E124)</f>
        <v/>
      </c>
      <c r="Q124" s="27"/>
      <c r="R124" s="21" t="str">
        <f aca="false">IF($D124="","",IF($B124="","缺月份",IF($E124=0,"缺总工时",IF(ROUND($O124-$E124,2)&gt;0,"工时超出","√"))))</f>
        <v/>
      </c>
    </row>
    <row r="125" customFormat="false" ht="18.75" hidden="false" customHeight="true" outlineLevel="0" collapsed="false">
      <c r="B125" s="28"/>
      <c r="C125" s="7"/>
      <c r="D125" s="7"/>
      <c r="E125" s="18"/>
      <c r="F125" s="19" t="str">
        <f aca="false">IF($D125="","",$E125-$O125)</f>
        <v/>
      </c>
      <c r="G125" s="18"/>
      <c r="H125" s="18"/>
      <c r="I125" s="18"/>
      <c r="J125" s="18"/>
      <c r="K125" s="18"/>
      <c r="L125" s="18"/>
      <c r="M125" s="18"/>
      <c r="N125" s="18"/>
      <c r="O125" s="19" t="str">
        <f aca="false">IF($D125="","",SUM(G125:N125))</f>
        <v/>
      </c>
      <c r="P125" s="20" t="str">
        <f aca="false">IF(OR($D125="",$E125=0),"",$O125/$E125)</f>
        <v/>
      </c>
      <c r="Q125" s="27"/>
      <c r="R125" s="21" t="str">
        <f aca="false">IF($D125="","",IF($B125="","缺月份",IF($E125=0,"缺总工时",IF(ROUND($O125-$E125,2)&gt;0,"工时超出","√"))))</f>
        <v/>
      </c>
    </row>
    <row r="126" customFormat="false" ht="18.75" hidden="false" customHeight="true" outlineLevel="0" collapsed="false">
      <c r="B126" s="28"/>
      <c r="C126" s="7"/>
      <c r="D126" s="7"/>
      <c r="E126" s="18"/>
      <c r="F126" s="19" t="str">
        <f aca="false">IF($D126="","",$E126-$O126)</f>
        <v/>
      </c>
      <c r="G126" s="18"/>
      <c r="H126" s="18"/>
      <c r="I126" s="18"/>
      <c r="J126" s="18"/>
      <c r="K126" s="18"/>
      <c r="L126" s="18"/>
      <c r="M126" s="18"/>
      <c r="N126" s="18"/>
      <c r="O126" s="19" t="str">
        <f aca="false">IF($D126="","",SUM(G126:N126))</f>
        <v/>
      </c>
      <c r="P126" s="20" t="str">
        <f aca="false">IF(OR($D126="",$E126=0),"",$O126/$E126)</f>
        <v/>
      </c>
      <c r="Q126" s="27"/>
      <c r="R126" s="21" t="str">
        <f aca="false">IF($D126="","",IF($B126="","缺月份",IF($E126=0,"缺总工时",IF(ROUND($O126-$E126,2)&gt;0,"工时超出","√"))))</f>
        <v/>
      </c>
    </row>
  </sheetData>
  <mergeCells count="11">
    <mergeCell ref="B2:R2"/>
    <mergeCell ref="B4:B6"/>
    <mergeCell ref="C4:C6"/>
    <mergeCell ref="D4:D6"/>
    <mergeCell ref="E4:E6"/>
    <mergeCell ref="F4:F6"/>
    <mergeCell ref="G4:O4"/>
    <mergeCell ref="Q4:Q6"/>
    <mergeCell ref="R4:R6"/>
    <mergeCell ref="O5:O6"/>
    <mergeCell ref="P5:P6"/>
  </mergeCells>
  <dataValidations count="1">
    <dataValidation allowBlank="true" error="请填写 1—12 的数字月份" errorStyle="stop" errorTitle="月份有误" operator="between" showDropDown="false" showErrorMessage="true" showInputMessage="false" sqref="B7:B126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S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17" min="6" style="0" width="11"/>
    <col collapsed="false" customWidth="true" hidden="false" outlineLevel="0" max="18" min="18" style="0" width="16"/>
    <col collapsed="false" customWidth="true" hidden="false" outlineLevel="0" max="19" min="19" style="0" width="11"/>
  </cols>
  <sheetData>
    <row r="2" customFormat="false" ht="30" hidden="false" customHeight="true" outlineLevel="0" collapsed="false">
      <c r="B2" s="1" t="s">
        <v>112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5" hidden="false" customHeight="false" outlineLevel="0" collapsed="false">
      <c r="Q3" s="12" t="s">
        <v>109</v>
      </c>
      <c r="R3" s="7" t="s">
        <v>110</v>
      </c>
    </row>
    <row r="4" customFormat="false" ht="19.5" hidden="false" customHeight="true" outlineLevel="0" collapsed="false">
      <c r="B4" s="14" t="s">
        <v>111</v>
      </c>
      <c r="C4" s="14" t="s">
        <v>15</v>
      </c>
      <c r="D4" s="14" t="s">
        <v>66</v>
      </c>
      <c r="E4" s="14" t="s">
        <v>67</v>
      </c>
      <c r="F4" s="14" t="s">
        <v>68</v>
      </c>
      <c r="G4" s="14" t="s">
        <v>54</v>
      </c>
      <c r="H4" s="15" t="s">
        <v>55</v>
      </c>
      <c r="I4" s="15"/>
      <c r="J4" s="15"/>
      <c r="K4" s="15"/>
      <c r="L4" s="15"/>
      <c r="M4" s="15"/>
      <c r="N4" s="15"/>
      <c r="O4" s="15"/>
      <c r="P4" s="15"/>
      <c r="Q4" s="5" t="s">
        <v>56</v>
      </c>
      <c r="R4" s="14" t="s">
        <v>21</v>
      </c>
      <c r="S4" s="14" t="s">
        <v>57</v>
      </c>
    </row>
    <row r="5" customFormat="false" ht="19.5" hidden="false" customHeight="true" outlineLevel="0" collapsed="false">
      <c r="B5" s="14"/>
      <c r="C5" s="14"/>
      <c r="D5" s="14"/>
      <c r="E5" s="14"/>
      <c r="F5" s="14"/>
      <c r="G5" s="14"/>
      <c r="H5" s="16" t="str">
        <f aca="false">说明与项目清单!$C$20</f>
        <v>RD01</v>
      </c>
      <c r="I5" s="16" t="str">
        <f aca="false">说明与项目清单!$C$21</f>
        <v>RD02</v>
      </c>
      <c r="J5" s="16" t="str">
        <f aca="false">说明与项目清单!$C$22</f>
        <v>RD03</v>
      </c>
      <c r="K5" s="16" t="str">
        <f aca="false">说明与项目清单!$C$23</f>
        <v>RD04</v>
      </c>
      <c r="L5" s="16" t="str">
        <f aca="false">说明与项目清单!$C$24</f>
        <v>RD05</v>
      </c>
      <c r="M5" s="16" t="str">
        <f aca="false">说明与项目清单!$C$25</f>
        <v>RD06</v>
      </c>
      <c r="N5" s="16" t="str">
        <f aca="false">说明与项目清单!$C$26</f>
        <v>RD07</v>
      </c>
      <c r="O5" s="16" t="str">
        <f aca="false">说明与项目清单!$C$27</f>
        <v>RD08</v>
      </c>
      <c r="P5" s="14" t="s">
        <v>58</v>
      </c>
      <c r="Q5" s="17" t="s">
        <v>59</v>
      </c>
      <c r="R5" s="14"/>
      <c r="S5" s="14"/>
    </row>
    <row r="6" customFormat="false" ht="19.5" hidden="false" customHeight="true" outlineLevel="0" collapsed="false">
      <c r="B6" s="14"/>
      <c r="C6" s="14"/>
      <c r="D6" s="14"/>
      <c r="E6" s="14"/>
      <c r="F6" s="14"/>
      <c r="G6" s="14"/>
      <c r="H6" s="16" t="str">
        <f aca="false">说明与项目清单!$D$20</f>
        <v>高导热复合胶带研发</v>
      </c>
      <c r="I6" s="16" t="str">
        <f aca="false">说明与项目清单!$D$21</f>
        <v>低介电泡棉材料研发</v>
      </c>
      <c r="J6" s="16" t="str">
        <f aca="false">说明与项目清单!$D$22</f>
        <v>精密分切工艺改进</v>
      </c>
      <c r="K6" s="16" t="str">
        <f aca="false">说明与项目清单!$D$23</f>
        <v>抗静电表面处理技术</v>
      </c>
      <c r="L6" s="16" t="str">
        <f aca="false">说明与项目清单!$D$24</f>
        <v>超薄贴合工艺开发</v>
      </c>
      <c r="M6" s="16" t="n">
        <f aca="false">说明与项目清单!$D$25</f>
        <v>0</v>
      </c>
      <c r="N6" s="16" t="n">
        <f aca="false">说明与项目清单!$D$26</f>
        <v>0</v>
      </c>
      <c r="O6" s="16" t="n">
        <f aca="false">说明与项目清单!$D$27</f>
        <v>0</v>
      </c>
      <c r="P6" s="14"/>
      <c r="Q6" s="14"/>
      <c r="R6" s="14"/>
      <c r="S6" s="14"/>
    </row>
    <row r="7" customFormat="false" ht="18.75" hidden="false" customHeight="true" outlineLevel="0" collapsed="false">
      <c r="B7" s="28" t="n">
        <v>9</v>
      </c>
      <c r="C7" s="7" t="n">
        <v>1</v>
      </c>
      <c r="D7" s="7" t="s">
        <v>69</v>
      </c>
      <c r="E7" s="8" t="s">
        <v>70</v>
      </c>
      <c r="F7" s="18" t="n">
        <v>180</v>
      </c>
      <c r="G7" s="19" t="n">
        <f aca="false">IF($D7="","",$F7-$P7)</f>
        <v>36</v>
      </c>
      <c r="H7" s="18" t="n">
        <v>36</v>
      </c>
      <c r="I7" s="18" t="n">
        <v>36</v>
      </c>
      <c r="J7" s="18"/>
      <c r="K7" s="18" t="n">
        <v>36</v>
      </c>
      <c r="L7" s="18" t="n">
        <v>36</v>
      </c>
      <c r="M7" s="18"/>
      <c r="N7" s="18"/>
      <c r="O7" s="18"/>
      <c r="P7" s="19" t="n">
        <f aca="false">IF($D7="","",SUM(H7:O7))</f>
        <v>144</v>
      </c>
      <c r="Q7" s="20" t="n">
        <f aca="false">IF(OR($D7="",$F7=0),"",$P7/$F7)</f>
        <v>0.8</v>
      </c>
      <c r="R7" s="8" t="s">
        <v>113</v>
      </c>
      <c r="S7" s="21" t="str">
        <f aca="false">IF($D7="","",IF($B7="","缺月份",IF($F7=0,"缺总工时",IF(ROUND($P7-$F7,2)&gt;0,"工时超出","√"))))</f>
        <v>√</v>
      </c>
    </row>
    <row r="8" customFormat="false" ht="18.75" hidden="false" customHeight="true" outlineLevel="0" collapsed="false">
      <c r="B8" s="28" t="n">
        <v>9</v>
      </c>
      <c r="C8" s="7" t="n">
        <v>2</v>
      </c>
      <c r="D8" s="7" t="s">
        <v>72</v>
      </c>
      <c r="E8" s="8" t="s">
        <v>73</v>
      </c>
      <c r="F8" s="18" t="n">
        <v>180</v>
      </c>
      <c r="G8" s="19" t="n">
        <f aca="false">IF($D8="","",$F8-$P8)</f>
        <v>72</v>
      </c>
      <c r="H8" s="18"/>
      <c r="I8" s="18" t="n">
        <v>36</v>
      </c>
      <c r="J8" s="18" t="n">
        <v>36</v>
      </c>
      <c r="K8" s="18" t="n">
        <v>36</v>
      </c>
      <c r="L8" s="18"/>
      <c r="M8" s="18"/>
      <c r="N8" s="18"/>
      <c r="O8" s="18"/>
      <c r="P8" s="19" t="n">
        <f aca="false">IF($D8="","",SUM(H8:O8))</f>
        <v>108</v>
      </c>
      <c r="Q8" s="20" t="n">
        <f aca="false">IF(OR($D8="",$F8=0),"",$P8/$F8)</f>
        <v>0.6</v>
      </c>
      <c r="R8" s="8" t="s">
        <v>71</v>
      </c>
      <c r="S8" s="21" t="str">
        <f aca="false">IF($D8="","",IF($B8="","缺月份",IF($F8=0,"缺总工时",IF(ROUND($P8-$F8,2)&gt;0,"工时超出","√"))))</f>
        <v>√</v>
      </c>
    </row>
    <row r="9" customFormat="false" ht="18.75" hidden="false" customHeight="true" outlineLevel="0" collapsed="false">
      <c r="B9" s="28" t="n">
        <v>9</v>
      </c>
      <c r="C9" s="7" t="n">
        <v>3</v>
      </c>
      <c r="D9" s="7" t="s">
        <v>74</v>
      </c>
      <c r="E9" s="27" t="s">
        <v>75</v>
      </c>
      <c r="F9" s="18" t="n">
        <v>180</v>
      </c>
      <c r="G9" s="19" t="n">
        <f aca="false">IF($D9="","",$F9-$P9)</f>
        <v>36</v>
      </c>
      <c r="H9" s="18" t="n">
        <v>36</v>
      </c>
      <c r="I9" s="18" t="n">
        <v>36</v>
      </c>
      <c r="J9" s="18" t="n">
        <v>36</v>
      </c>
      <c r="K9" s="18"/>
      <c r="L9" s="18" t="n">
        <v>36</v>
      </c>
      <c r="M9" s="18"/>
      <c r="N9" s="18"/>
      <c r="O9" s="18"/>
      <c r="P9" s="19" t="n">
        <f aca="false">IF($D9="","",SUM(H9:O9))</f>
        <v>144</v>
      </c>
      <c r="Q9" s="20" t="n">
        <f aca="false">IF(OR($D9="",$F9=0),"",$P9/$F9)</f>
        <v>0.8</v>
      </c>
      <c r="R9" s="8" t="s">
        <v>71</v>
      </c>
      <c r="S9" s="21" t="str">
        <f aca="false">IF($D9="","",IF($B9="","缺月份",IF($F9=0,"缺总工时",IF(ROUND($P9-$F9,2)&gt;0,"工时超出","√"))))</f>
        <v>√</v>
      </c>
    </row>
    <row r="10" customFormat="false" ht="18.75" hidden="false" customHeight="true" outlineLevel="0" collapsed="false">
      <c r="B10" s="28" t="n">
        <v>9</v>
      </c>
      <c r="C10" s="7" t="n">
        <v>4</v>
      </c>
      <c r="D10" s="7" t="s">
        <v>76</v>
      </c>
      <c r="E10" s="27" t="s">
        <v>77</v>
      </c>
      <c r="F10" s="18" t="n">
        <v>180</v>
      </c>
      <c r="G10" s="19" t="n">
        <f aca="false">IF($D10="","",$F10-$P10)</f>
        <v>72</v>
      </c>
      <c r="H10" s="18"/>
      <c r="I10" s="18"/>
      <c r="J10" s="18" t="n">
        <v>36</v>
      </c>
      <c r="K10" s="18" t="n">
        <v>36</v>
      </c>
      <c r="L10" s="18" t="n">
        <v>36</v>
      </c>
      <c r="M10" s="18"/>
      <c r="N10" s="18"/>
      <c r="O10" s="18"/>
      <c r="P10" s="19" t="n">
        <f aca="false">IF($D10="","",SUM(H10:O10))</f>
        <v>108</v>
      </c>
      <c r="Q10" s="20" t="n">
        <f aca="false">IF(OR($D10="",$F10=0),"",$P10/$F10)</f>
        <v>0.6</v>
      </c>
      <c r="R10" s="8" t="s">
        <v>71</v>
      </c>
      <c r="S10" s="21" t="str">
        <f aca="false">IF($D10="","",IF($B10="","缺月份",IF($F10=0,"缺总工时",IF(ROUND($P10-$F10,2)&gt;0,"工时超出","√"))))</f>
        <v>√</v>
      </c>
    </row>
    <row r="11" customFormat="false" ht="18.75" hidden="false" customHeight="true" outlineLevel="0" collapsed="false">
      <c r="B11" s="28" t="n">
        <v>9</v>
      </c>
      <c r="C11" s="7" t="n">
        <v>5</v>
      </c>
      <c r="D11" s="7" t="s">
        <v>78</v>
      </c>
      <c r="E11" s="27" t="s">
        <v>79</v>
      </c>
      <c r="F11" s="18" t="n">
        <v>180</v>
      </c>
      <c r="G11" s="19" t="n">
        <f aca="false">IF($D11="","",$F11-$P11)</f>
        <v>108</v>
      </c>
      <c r="H11" s="18"/>
      <c r="I11" s="18"/>
      <c r="J11" s="18" t="n">
        <v>36</v>
      </c>
      <c r="K11" s="18"/>
      <c r="L11" s="18" t="n">
        <v>36</v>
      </c>
      <c r="M11" s="18"/>
      <c r="N11" s="18"/>
      <c r="O11" s="18"/>
      <c r="P11" s="19" t="n">
        <f aca="false">IF($D11="","",SUM(H11:O11))</f>
        <v>72</v>
      </c>
      <c r="Q11" s="20" t="n">
        <f aca="false">IF(OR($D11="",$F11=0),"",$P11/$F11)</f>
        <v>0.4</v>
      </c>
      <c r="R11" s="8" t="s">
        <v>71</v>
      </c>
      <c r="S11" s="21" t="str">
        <f aca="false">IF($D11="","",IF($B11="","缺月份",IF($F11=0,"缺总工时",IF(ROUND($P11-$F11,2)&gt;0,"工时超出","√"))))</f>
        <v>√</v>
      </c>
    </row>
    <row r="12" customFormat="false" ht="18.75" hidden="false" customHeight="true" outlineLevel="0" collapsed="false">
      <c r="B12" s="28" t="n">
        <v>9</v>
      </c>
      <c r="C12" s="7" t="n">
        <v>6</v>
      </c>
      <c r="D12" s="7" t="s">
        <v>80</v>
      </c>
      <c r="E12" s="8" t="s">
        <v>81</v>
      </c>
      <c r="F12" s="18" t="n">
        <v>180</v>
      </c>
      <c r="G12" s="19" t="n">
        <f aca="false">IF($D12="","",$F12-$P12)</f>
        <v>144</v>
      </c>
      <c r="H12" s="18"/>
      <c r="I12" s="18"/>
      <c r="J12" s="18" t="n">
        <v>36</v>
      </c>
      <c r="K12" s="18"/>
      <c r="L12" s="18"/>
      <c r="M12" s="18"/>
      <c r="N12" s="18"/>
      <c r="O12" s="18"/>
      <c r="P12" s="19" t="n">
        <f aca="false">IF($D12="","",SUM(H12:O12))</f>
        <v>36</v>
      </c>
      <c r="Q12" s="20" t="n">
        <f aca="false">IF(OR($D12="",$F12=0),"",$P12/$F12)</f>
        <v>0.2</v>
      </c>
      <c r="R12" s="8" t="s">
        <v>71</v>
      </c>
      <c r="S12" s="21" t="str">
        <f aca="false">IF($D12="","",IF($B12="","缺月份",IF($F12=0,"缺总工时",IF(ROUND($P12-$F12,2)&gt;0,"工时超出","√"))))</f>
        <v>√</v>
      </c>
    </row>
    <row r="13" customFormat="false" ht="18.75" hidden="false" customHeight="true" outlineLevel="0" collapsed="false">
      <c r="B13" s="28" t="n">
        <v>9</v>
      </c>
      <c r="C13" s="7" t="n">
        <v>7</v>
      </c>
      <c r="D13" s="7" t="s">
        <v>82</v>
      </c>
      <c r="E13" s="8" t="s">
        <v>83</v>
      </c>
      <c r="F13" s="18" t="n">
        <v>180</v>
      </c>
      <c r="G13" s="19" t="n">
        <f aca="false">IF($D13="","",$F13-$P13)</f>
        <v>144</v>
      </c>
      <c r="H13" s="18"/>
      <c r="I13" s="18"/>
      <c r="J13" s="18" t="n">
        <v>36</v>
      </c>
      <c r="K13" s="18"/>
      <c r="L13" s="18"/>
      <c r="M13" s="18"/>
      <c r="N13" s="18"/>
      <c r="O13" s="18"/>
      <c r="P13" s="19" t="n">
        <f aca="false">IF($D13="","",SUM(H13:O13))</f>
        <v>36</v>
      </c>
      <c r="Q13" s="20" t="n">
        <f aca="false">IF(OR($D13="",$F13=0),"",$P13/$F13)</f>
        <v>0.2</v>
      </c>
      <c r="R13" s="8" t="s">
        <v>71</v>
      </c>
      <c r="S13" s="21" t="str">
        <f aca="false">IF($D13="","",IF($B13="","缺月份",IF($F13=0,"缺总工时",IF(ROUND($P13-$F13,2)&gt;0,"工时超出","√"))))</f>
        <v>√</v>
      </c>
    </row>
    <row r="14" customFormat="false" ht="18.75" hidden="false" customHeight="true" outlineLevel="0" collapsed="false">
      <c r="B14" s="28" t="n">
        <v>9</v>
      </c>
      <c r="C14" s="7" t="n">
        <v>8</v>
      </c>
      <c r="D14" s="7" t="s">
        <v>84</v>
      </c>
      <c r="E14" s="8" t="s">
        <v>85</v>
      </c>
      <c r="F14" s="18" t="n">
        <v>180</v>
      </c>
      <c r="G14" s="19" t="n">
        <f aca="false">IF($D14="","",$F14-$P14)</f>
        <v>180</v>
      </c>
      <c r="H14" s="18"/>
      <c r="I14" s="18"/>
      <c r="J14" s="18"/>
      <c r="K14" s="18"/>
      <c r="L14" s="18"/>
      <c r="M14" s="18"/>
      <c r="N14" s="18"/>
      <c r="O14" s="18"/>
      <c r="P14" s="19" t="n">
        <f aca="false">IF($D14="","",SUM(H14:O14))</f>
        <v>0</v>
      </c>
      <c r="Q14" s="20" t="n">
        <f aca="false">IF(OR($D14="",$F14=0),"",$P14/$F14)</f>
        <v>0</v>
      </c>
      <c r="R14" s="8" t="s">
        <v>71</v>
      </c>
      <c r="S14" s="21" t="str">
        <f aca="false">IF($D14="","",IF($B14="","缺月份",IF($F14=0,"缺总工时",IF(ROUND($P14-$F14,2)&gt;0,"工时超出","√"))))</f>
        <v>√</v>
      </c>
    </row>
    <row r="15" customFormat="false" ht="18.75" hidden="false" customHeight="true" outlineLevel="0" collapsed="false">
      <c r="B15" s="28" t="n">
        <v>9</v>
      </c>
      <c r="C15" s="7" t="n">
        <v>9</v>
      </c>
      <c r="D15" s="7" t="s">
        <v>86</v>
      </c>
      <c r="E15" s="27" t="s">
        <v>87</v>
      </c>
      <c r="F15" s="18" t="n">
        <v>180</v>
      </c>
      <c r="G15" s="19" t="n">
        <f aca="false">IF($D15="","",$F15-$P15)</f>
        <v>144</v>
      </c>
      <c r="H15" s="18"/>
      <c r="I15" s="18" t="n">
        <v>36</v>
      </c>
      <c r="J15" s="18"/>
      <c r="K15" s="18"/>
      <c r="L15" s="18"/>
      <c r="M15" s="18"/>
      <c r="N15" s="18"/>
      <c r="O15" s="18"/>
      <c r="P15" s="19" t="n">
        <f aca="false">IF($D15="","",SUM(H15:O15))</f>
        <v>36</v>
      </c>
      <c r="Q15" s="20" t="n">
        <f aca="false">IF(OR($D15="",$F15=0),"",$P15/$F15)</f>
        <v>0.2</v>
      </c>
      <c r="R15" s="8" t="s">
        <v>71</v>
      </c>
      <c r="S15" s="21" t="str">
        <f aca="false">IF($D15="","",IF($B15="","缺月份",IF($F15=0,"缺总工时",IF(ROUND($P15-$F15,2)&gt;0,"工时超出","√"))))</f>
        <v>√</v>
      </c>
    </row>
    <row r="16" customFormat="false" ht="18.75" hidden="false" customHeight="true" outlineLevel="0" collapsed="false">
      <c r="B16" s="28" t="n">
        <v>9</v>
      </c>
      <c r="C16" s="7" t="n">
        <v>10</v>
      </c>
      <c r="D16" s="7" t="s">
        <v>88</v>
      </c>
      <c r="E16" s="27" t="s">
        <v>89</v>
      </c>
      <c r="F16" s="18" t="n">
        <v>180</v>
      </c>
      <c r="G16" s="19" t="n">
        <f aca="false">IF($D16="","",$F16-$P16)</f>
        <v>144</v>
      </c>
      <c r="H16" s="18"/>
      <c r="I16" s="18" t="n">
        <v>36</v>
      </c>
      <c r="J16" s="18"/>
      <c r="K16" s="18"/>
      <c r="L16" s="18"/>
      <c r="M16" s="18"/>
      <c r="N16" s="18"/>
      <c r="O16" s="18"/>
      <c r="P16" s="19" t="n">
        <f aca="false">IF($D16="","",SUM(H16:O16))</f>
        <v>36</v>
      </c>
      <c r="Q16" s="20" t="n">
        <f aca="false">IF(OR($D16="",$F16=0),"",$P16/$F16)</f>
        <v>0.2</v>
      </c>
      <c r="R16" s="8" t="s">
        <v>71</v>
      </c>
      <c r="S16" s="21" t="str">
        <f aca="false">IF($D16="","",IF($B16="","缺月份",IF($F16=0,"缺总工时",IF(ROUND($P16-$F16,2)&gt;0,"工时超出","√"))))</f>
        <v>√</v>
      </c>
    </row>
    <row r="17" customFormat="false" ht="18.75" hidden="false" customHeight="true" outlineLevel="0" collapsed="false">
      <c r="B17" s="28" t="n">
        <v>9</v>
      </c>
      <c r="C17" s="7" t="n">
        <v>11</v>
      </c>
      <c r="D17" s="7" t="s">
        <v>90</v>
      </c>
      <c r="E17" s="8" t="s">
        <v>91</v>
      </c>
      <c r="F17" s="18" t="n">
        <v>180</v>
      </c>
      <c r="G17" s="19" t="n">
        <f aca="false">IF($D17="","",$F17-$P17)</f>
        <v>0</v>
      </c>
      <c r="H17" s="18" t="n">
        <v>36</v>
      </c>
      <c r="I17" s="18" t="n">
        <v>36</v>
      </c>
      <c r="J17" s="18" t="n">
        <v>36</v>
      </c>
      <c r="K17" s="18" t="n">
        <v>36</v>
      </c>
      <c r="L17" s="18" t="n">
        <v>36</v>
      </c>
      <c r="M17" s="18"/>
      <c r="N17" s="18"/>
      <c r="O17" s="18"/>
      <c r="P17" s="19" t="n">
        <f aca="false">IF($D17="","",SUM(H17:O17))</f>
        <v>180</v>
      </c>
      <c r="Q17" s="20" t="n">
        <f aca="false">IF(OR($D17="",$F17=0),"",$P17/$F17)</f>
        <v>1</v>
      </c>
      <c r="R17" s="8" t="s">
        <v>92</v>
      </c>
      <c r="S17" s="21" t="str">
        <f aca="false">IF($D17="","",IF($B17="","缺月份",IF($F17=0,"缺总工时",IF(ROUND($P17-$F17,2)&gt;0,"工时超出","√"))))</f>
        <v>√</v>
      </c>
    </row>
    <row r="18" customFormat="false" ht="18.75" hidden="false" customHeight="true" outlineLevel="0" collapsed="false">
      <c r="B18" s="28"/>
      <c r="C18" s="7"/>
      <c r="D18" s="7"/>
      <c r="E18" s="27"/>
      <c r="F18" s="18"/>
      <c r="G18" s="19" t="str">
        <f aca="false">IF($D18="","",$F18-$P18)</f>
        <v/>
      </c>
      <c r="H18" s="18"/>
      <c r="I18" s="18"/>
      <c r="J18" s="18"/>
      <c r="K18" s="18"/>
      <c r="L18" s="18"/>
      <c r="M18" s="18"/>
      <c r="N18" s="18"/>
      <c r="O18" s="18"/>
      <c r="P18" s="19" t="str">
        <f aca="false">IF($D18="","",SUM(H18:O18))</f>
        <v/>
      </c>
      <c r="Q18" s="20" t="str">
        <f aca="false">IF(OR($D18="",$F18=0),"",$P18/$F18)</f>
        <v/>
      </c>
      <c r="R18" s="27"/>
      <c r="S18" s="21" t="str">
        <f aca="false">IF($D18="","",IF($B18="","缺月份",IF($F18=0,"缺总工时",IF(ROUND($P18-$F18,2)&gt;0,"工时超出","√"))))</f>
        <v/>
      </c>
    </row>
    <row r="19" customFormat="false" ht="18.75" hidden="false" customHeight="true" outlineLevel="0" collapsed="false">
      <c r="B19" s="28"/>
      <c r="C19" s="7"/>
      <c r="D19" s="7"/>
      <c r="E19" s="27"/>
      <c r="F19" s="18"/>
      <c r="G19" s="19" t="str">
        <f aca="false">IF($D19="","",$F19-$P19)</f>
        <v/>
      </c>
      <c r="H19" s="18"/>
      <c r="I19" s="18"/>
      <c r="J19" s="18"/>
      <c r="K19" s="18"/>
      <c r="L19" s="18"/>
      <c r="M19" s="18"/>
      <c r="N19" s="18"/>
      <c r="O19" s="18"/>
      <c r="P19" s="19" t="str">
        <f aca="false">IF($D19="","",SUM(H19:O19))</f>
        <v/>
      </c>
      <c r="Q19" s="20" t="str">
        <f aca="false">IF(OR($D19="",$F19=0),"",$P19/$F19)</f>
        <v/>
      </c>
      <c r="R19" s="27"/>
      <c r="S19" s="21" t="str">
        <f aca="false">IF($D19="","",IF($B19="","缺月份",IF($F19=0,"缺总工时",IF(ROUND($P19-$F19,2)&gt;0,"工时超出","√"))))</f>
        <v/>
      </c>
    </row>
    <row r="20" customFormat="false" ht="18.75" hidden="false" customHeight="true" outlineLevel="0" collapsed="false">
      <c r="B20" s="28"/>
      <c r="C20" s="7"/>
      <c r="D20" s="7"/>
      <c r="E20" s="27"/>
      <c r="F20" s="18"/>
      <c r="G20" s="19" t="str">
        <f aca="false">IF($D20="","",$F20-$P20)</f>
        <v/>
      </c>
      <c r="H20" s="18"/>
      <c r="I20" s="18"/>
      <c r="J20" s="18"/>
      <c r="K20" s="18"/>
      <c r="L20" s="18"/>
      <c r="M20" s="18"/>
      <c r="N20" s="18"/>
      <c r="O20" s="18"/>
      <c r="P20" s="19" t="str">
        <f aca="false">IF($D20="","",SUM(H20:O20))</f>
        <v/>
      </c>
      <c r="Q20" s="20" t="str">
        <f aca="false">IF(OR($D20="",$F20=0),"",$P20/$F20)</f>
        <v/>
      </c>
      <c r="R20" s="27"/>
      <c r="S20" s="21" t="str">
        <f aca="false">IF($D20="","",IF($B20="","缺月份",IF($F20=0,"缺总工时",IF(ROUND($P20-$F20,2)&gt;0,"工时超出","√"))))</f>
        <v/>
      </c>
    </row>
    <row r="21" customFormat="false" ht="18.75" hidden="false" customHeight="true" outlineLevel="0" collapsed="false">
      <c r="B21" s="28"/>
      <c r="C21" s="7"/>
      <c r="D21" s="7"/>
      <c r="E21" s="27"/>
      <c r="F21" s="18"/>
      <c r="G21" s="19" t="str">
        <f aca="false">IF($D21="","",$F21-$P21)</f>
        <v/>
      </c>
      <c r="H21" s="18"/>
      <c r="I21" s="18"/>
      <c r="J21" s="18"/>
      <c r="K21" s="18"/>
      <c r="L21" s="18"/>
      <c r="M21" s="18"/>
      <c r="N21" s="18"/>
      <c r="O21" s="18"/>
      <c r="P21" s="19" t="str">
        <f aca="false">IF($D21="","",SUM(H21:O21))</f>
        <v/>
      </c>
      <c r="Q21" s="20" t="str">
        <f aca="false">IF(OR($D21="",$F21=0),"",$P21/$F21)</f>
        <v/>
      </c>
      <c r="R21" s="27"/>
      <c r="S21" s="21" t="str">
        <f aca="false">IF($D21="","",IF($B21="","缺月份",IF($F21=0,"缺总工时",IF(ROUND($P21-$F21,2)&gt;0,"工时超出","√"))))</f>
        <v/>
      </c>
    </row>
    <row r="22" customFormat="false" ht="18.75" hidden="false" customHeight="true" outlineLevel="0" collapsed="false">
      <c r="B22" s="28"/>
      <c r="C22" s="7"/>
      <c r="D22" s="7"/>
      <c r="E22" s="27"/>
      <c r="F22" s="18"/>
      <c r="G22" s="19" t="str">
        <f aca="false">IF($D22="","",$F22-$P22)</f>
        <v/>
      </c>
      <c r="H22" s="18"/>
      <c r="I22" s="18"/>
      <c r="J22" s="18"/>
      <c r="K22" s="18"/>
      <c r="L22" s="18"/>
      <c r="M22" s="18"/>
      <c r="N22" s="18"/>
      <c r="O22" s="18"/>
      <c r="P22" s="19" t="str">
        <f aca="false">IF($D22="","",SUM(H22:O22))</f>
        <v/>
      </c>
      <c r="Q22" s="20" t="str">
        <f aca="false">IF(OR($D22="",$F22=0),"",$P22/$F22)</f>
        <v/>
      </c>
      <c r="R22" s="27"/>
      <c r="S22" s="21" t="str">
        <f aca="false">IF($D22="","",IF($B22="","缺月份",IF($F22=0,"缺总工时",IF(ROUND($P22-$F22,2)&gt;0,"工时超出","√"))))</f>
        <v/>
      </c>
    </row>
    <row r="23" customFormat="false" ht="18.75" hidden="false" customHeight="true" outlineLevel="0" collapsed="false">
      <c r="B23" s="28"/>
      <c r="C23" s="7"/>
      <c r="D23" s="7"/>
      <c r="E23" s="27"/>
      <c r="F23" s="18"/>
      <c r="G23" s="19" t="str">
        <f aca="false">IF($D23="","",$F23-$P23)</f>
        <v/>
      </c>
      <c r="H23" s="18"/>
      <c r="I23" s="18"/>
      <c r="J23" s="18"/>
      <c r="K23" s="18"/>
      <c r="L23" s="18"/>
      <c r="M23" s="18"/>
      <c r="N23" s="18"/>
      <c r="O23" s="18"/>
      <c r="P23" s="19" t="str">
        <f aca="false">IF($D23="","",SUM(H23:O23))</f>
        <v/>
      </c>
      <c r="Q23" s="20" t="str">
        <f aca="false">IF(OR($D23="",$F23=0),"",$P23/$F23)</f>
        <v/>
      </c>
      <c r="R23" s="27"/>
      <c r="S23" s="21" t="str">
        <f aca="false">IF($D23="","",IF($B23="","缺月份",IF($F23=0,"缺总工时",IF(ROUND($P23-$F23,2)&gt;0,"工时超出","√"))))</f>
        <v/>
      </c>
    </row>
    <row r="24" customFormat="false" ht="18.75" hidden="false" customHeight="true" outlineLevel="0" collapsed="false">
      <c r="B24" s="28"/>
      <c r="C24" s="7"/>
      <c r="D24" s="7"/>
      <c r="E24" s="27"/>
      <c r="F24" s="18"/>
      <c r="G24" s="19" t="str">
        <f aca="false">IF($D24="","",$F24-$P24)</f>
        <v/>
      </c>
      <c r="H24" s="18"/>
      <c r="I24" s="18"/>
      <c r="J24" s="18"/>
      <c r="K24" s="18"/>
      <c r="L24" s="18"/>
      <c r="M24" s="18"/>
      <c r="N24" s="18"/>
      <c r="O24" s="18"/>
      <c r="P24" s="19" t="str">
        <f aca="false">IF($D24="","",SUM(H24:O24))</f>
        <v/>
      </c>
      <c r="Q24" s="20" t="str">
        <f aca="false">IF(OR($D24="",$F24=0),"",$P24/$F24)</f>
        <v/>
      </c>
      <c r="R24" s="27"/>
      <c r="S24" s="21" t="str">
        <f aca="false">IF($D24="","",IF($B24="","缺月份",IF($F24=0,"缺总工时",IF(ROUND($P24-$F24,2)&gt;0,"工时超出","√"))))</f>
        <v/>
      </c>
    </row>
    <row r="25" customFormat="false" ht="18.75" hidden="false" customHeight="true" outlineLevel="0" collapsed="false">
      <c r="B25" s="28"/>
      <c r="C25" s="7"/>
      <c r="D25" s="7"/>
      <c r="E25" s="27"/>
      <c r="F25" s="18"/>
      <c r="G25" s="19" t="str">
        <f aca="false">IF($D25="","",$F25-$P25)</f>
        <v/>
      </c>
      <c r="H25" s="18"/>
      <c r="I25" s="18"/>
      <c r="J25" s="18"/>
      <c r="K25" s="18"/>
      <c r="L25" s="18"/>
      <c r="M25" s="18"/>
      <c r="N25" s="18"/>
      <c r="O25" s="18"/>
      <c r="P25" s="19" t="str">
        <f aca="false">IF($D25="","",SUM(H25:O25))</f>
        <v/>
      </c>
      <c r="Q25" s="20" t="str">
        <f aca="false">IF(OR($D25="",$F25=0),"",$P25/$F25)</f>
        <v/>
      </c>
      <c r="R25" s="27"/>
      <c r="S25" s="21" t="str">
        <f aca="false">IF($D25="","",IF($B25="","缺月份",IF($F25=0,"缺总工时",IF(ROUND($P25-$F25,2)&gt;0,"工时超出","√"))))</f>
        <v/>
      </c>
    </row>
    <row r="26" customFormat="false" ht="18.75" hidden="false" customHeight="true" outlineLevel="0" collapsed="false">
      <c r="B26" s="28"/>
      <c r="C26" s="7"/>
      <c r="D26" s="7"/>
      <c r="E26" s="27"/>
      <c r="F26" s="18"/>
      <c r="G26" s="19" t="str">
        <f aca="false">IF($D26="","",$F26-$P26)</f>
        <v/>
      </c>
      <c r="H26" s="18"/>
      <c r="I26" s="18"/>
      <c r="J26" s="18"/>
      <c r="K26" s="18"/>
      <c r="L26" s="18"/>
      <c r="M26" s="18"/>
      <c r="N26" s="18"/>
      <c r="O26" s="18"/>
      <c r="P26" s="19" t="str">
        <f aca="false">IF($D26="","",SUM(H26:O26))</f>
        <v/>
      </c>
      <c r="Q26" s="20" t="str">
        <f aca="false">IF(OR($D26="",$F26=0),"",$P26/$F26)</f>
        <v/>
      </c>
      <c r="R26" s="27"/>
      <c r="S26" s="21" t="str">
        <f aca="false">IF($D26="","",IF($B26="","缺月份",IF($F26=0,"缺总工时",IF(ROUND($P26-$F26,2)&gt;0,"工时超出","√"))))</f>
        <v/>
      </c>
    </row>
    <row r="27" customFormat="false" ht="18.75" hidden="false" customHeight="true" outlineLevel="0" collapsed="false">
      <c r="B27" s="28"/>
      <c r="C27" s="7"/>
      <c r="D27" s="7"/>
      <c r="E27" s="27"/>
      <c r="F27" s="18"/>
      <c r="G27" s="19" t="str">
        <f aca="false">IF($D27="","",$F27-$P27)</f>
        <v/>
      </c>
      <c r="H27" s="18"/>
      <c r="I27" s="18"/>
      <c r="J27" s="18"/>
      <c r="K27" s="18"/>
      <c r="L27" s="18"/>
      <c r="M27" s="18"/>
      <c r="N27" s="18"/>
      <c r="O27" s="18"/>
      <c r="P27" s="19" t="str">
        <f aca="false">IF($D27="","",SUM(H27:O27))</f>
        <v/>
      </c>
      <c r="Q27" s="20" t="str">
        <f aca="false">IF(OR($D27="",$F27=0),"",$P27/$F27)</f>
        <v/>
      </c>
      <c r="R27" s="27"/>
      <c r="S27" s="21" t="str">
        <f aca="false">IF($D27="","",IF($B27="","缺月份",IF($F27=0,"缺总工时",IF(ROUND($P27-$F27,2)&gt;0,"工时超出","√"))))</f>
        <v/>
      </c>
    </row>
    <row r="28" customFormat="false" ht="18.75" hidden="false" customHeight="true" outlineLevel="0" collapsed="false">
      <c r="B28" s="28"/>
      <c r="C28" s="7"/>
      <c r="D28" s="7"/>
      <c r="E28" s="27"/>
      <c r="F28" s="18"/>
      <c r="G28" s="19" t="str">
        <f aca="false">IF($D28="","",$F28-$P28)</f>
        <v/>
      </c>
      <c r="H28" s="18"/>
      <c r="I28" s="18"/>
      <c r="J28" s="18"/>
      <c r="K28" s="18"/>
      <c r="L28" s="18"/>
      <c r="M28" s="18"/>
      <c r="N28" s="18"/>
      <c r="O28" s="18"/>
      <c r="P28" s="19" t="str">
        <f aca="false">IF($D28="","",SUM(H28:O28))</f>
        <v/>
      </c>
      <c r="Q28" s="20" t="str">
        <f aca="false">IF(OR($D28="",$F28=0),"",$P28/$F28)</f>
        <v/>
      </c>
      <c r="R28" s="27"/>
      <c r="S28" s="21" t="str">
        <f aca="false">IF($D28="","",IF($B28="","缺月份",IF($F28=0,"缺总工时",IF(ROUND($P28-$F28,2)&gt;0,"工时超出","√"))))</f>
        <v/>
      </c>
    </row>
    <row r="29" customFormat="false" ht="18.75" hidden="false" customHeight="true" outlineLevel="0" collapsed="false">
      <c r="B29" s="28"/>
      <c r="C29" s="7"/>
      <c r="D29" s="7"/>
      <c r="E29" s="27"/>
      <c r="F29" s="18"/>
      <c r="G29" s="19" t="str">
        <f aca="false">IF($D29="","",$F29-$P29)</f>
        <v/>
      </c>
      <c r="H29" s="18"/>
      <c r="I29" s="18"/>
      <c r="J29" s="18"/>
      <c r="K29" s="18"/>
      <c r="L29" s="18"/>
      <c r="M29" s="18"/>
      <c r="N29" s="18"/>
      <c r="O29" s="18"/>
      <c r="P29" s="19" t="str">
        <f aca="false">IF($D29="","",SUM(H29:O29))</f>
        <v/>
      </c>
      <c r="Q29" s="20" t="str">
        <f aca="false">IF(OR($D29="",$F29=0),"",$P29/$F29)</f>
        <v/>
      </c>
      <c r="R29" s="27"/>
      <c r="S29" s="21" t="str">
        <f aca="false">IF($D29="","",IF($B29="","缺月份",IF($F29=0,"缺总工时",IF(ROUND($P29-$F29,2)&gt;0,"工时超出","√"))))</f>
        <v/>
      </c>
    </row>
    <row r="30" customFormat="false" ht="18.75" hidden="false" customHeight="true" outlineLevel="0" collapsed="false">
      <c r="B30" s="28"/>
      <c r="C30" s="7"/>
      <c r="D30" s="7"/>
      <c r="E30" s="27"/>
      <c r="F30" s="18"/>
      <c r="G30" s="19" t="str">
        <f aca="false">IF($D30="","",$F30-$P30)</f>
        <v/>
      </c>
      <c r="H30" s="18"/>
      <c r="I30" s="18"/>
      <c r="J30" s="18"/>
      <c r="K30" s="18"/>
      <c r="L30" s="18"/>
      <c r="M30" s="18"/>
      <c r="N30" s="18"/>
      <c r="O30" s="18"/>
      <c r="P30" s="19" t="str">
        <f aca="false">IF($D30="","",SUM(H30:O30))</f>
        <v/>
      </c>
      <c r="Q30" s="20" t="str">
        <f aca="false">IF(OR($D30="",$F30=0),"",$P30/$F30)</f>
        <v/>
      </c>
      <c r="R30" s="27"/>
      <c r="S30" s="21" t="str">
        <f aca="false">IF($D30="","",IF($B30="","缺月份",IF($F30=0,"缺总工时",IF(ROUND($P30-$F30,2)&gt;0,"工时超出","√"))))</f>
        <v/>
      </c>
    </row>
    <row r="31" customFormat="false" ht="18.75" hidden="false" customHeight="true" outlineLevel="0" collapsed="false">
      <c r="B31" s="28"/>
      <c r="C31" s="7"/>
      <c r="D31" s="7"/>
      <c r="E31" s="27"/>
      <c r="F31" s="18"/>
      <c r="G31" s="19" t="str">
        <f aca="false">IF($D31="","",$F31-$P31)</f>
        <v/>
      </c>
      <c r="H31" s="18"/>
      <c r="I31" s="18"/>
      <c r="J31" s="18"/>
      <c r="K31" s="18"/>
      <c r="L31" s="18"/>
      <c r="M31" s="18"/>
      <c r="N31" s="18"/>
      <c r="O31" s="18"/>
      <c r="P31" s="19" t="str">
        <f aca="false">IF($D31="","",SUM(H31:O31))</f>
        <v/>
      </c>
      <c r="Q31" s="20" t="str">
        <f aca="false">IF(OR($D31="",$F31=0),"",$P31/$F31)</f>
        <v/>
      </c>
      <c r="R31" s="27"/>
      <c r="S31" s="21" t="str">
        <f aca="false">IF($D31="","",IF($B31="","缺月份",IF($F31=0,"缺总工时",IF(ROUND($P31-$F31,2)&gt;0,"工时超出","√"))))</f>
        <v/>
      </c>
    </row>
    <row r="32" customFormat="false" ht="18.75" hidden="false" customHeight="true" outlineLevel="0" collapsed="false">
      <c r="B32" s="28"/>
      <c r="C32" s="7"/>
      <c r="D32" s="7"/>
      <c r="E32" s="27"/>
      <c r="F32" s="18"/>
      <c r="G32" s="19" t="str">
        <f aca="false">IF($D32="","",$F32-$P32)</f>
        <v/>
      </c>
      <c r="H32" s="18"/>
      <c r="I32" s="18"/>
      <c r="J32" s="18"/>
      <c r="K32" s="18"/>
      <c r="L32" s="18"/>
      <c r="M32" s="18"/>
      <c r="N32" s="18"/>
      <c r="O32" s="18"/>
      <c r="P32" s="19" t="str">
        <f aca="false">IF($D32="","",SUM(H32:O32))</f>
        <v/>
      </c>
      <c r="Q32" s="20" t="str">
        <f aca="false">IF(OR($D32="",$F32=0),"",$P32/$F32)</f>
        <v/>
      </c>
      <c r="R32" s="27"/>
      <c r="S32" s="21" t="str">
        <f aca="false">IF($D32="","",IF($B32="","缺月份",IF($F32=0,"缺总工时",IF(ROUND($P32-$F32,2)&gt;0,"工时超出","√"))))</f>
        <v/>
      </c>
    </row>
    <row r="33" customFormat="false" ht="18.75" hidden="false" customHeight="true" outlineLevel="0" collapsed="false">
      <c r="B33" s="28"/>
      <c r="C33" s="7"/>
      <c r="D33" s="7"/>
      <c r="E33" s="27"/>
      <c r="F33" s="18"/>
      <c r="G33" s="19" t="str">
        <f aca="false">IF($D33="","",$F33-$P33)</f>
        <v/>
      </c>
      <c r="H33" s="18"/>
      <c r="I33" s="18"/>
      <c r="J33" s="18"/>
      <c r="K33" s="18"/>
      <c r="L33" s="18"/>
      <c r="M33" s="18"/>
      <c r="N33" s="18"/>
      <c r="O33" s="18"/>
      <c r="P33" s="19" t="str">
        <f aca="false">IF($D33="","",SUM(H33:O33))</f>
        <v/>
      </c>
      <c r="Q33" s="20" t="str">
        <f aca="false">IF(OR($D33="",$F33=0),"",$P33/$F33)</f>
        <v/>
      </c>
      <c r="R33" s="27"/>
      <c r="S33" s="21" t="str">
        <f aca="false">IF($D33="","",IF($B33="","缺月份",IF($F33=0,"缺总工时",IF(ROUND($P33-$F33,2)&gt;0,"工时超出","√"))))</f>
        <v/>
      </c>
    </row>
    <row r="34" customFormat="false" ht="18.75" hidden="false" customHeight="true" outlineLevel="0" collapsed="false">
      <c r="B34" s="28"/>
      <c r="C34" s="7"/>
      <c r="D34" s="7"/>
      <c r="E34" s="27"/>
      <c r="F34" s="18"/>
      <c r="G34" s="19" t="str">
        <f aca="false">IF($D34="","",$F34-$P34)</f>
        <v/>
      </c>
      <c r="H34" s="18"/>
      <c r="I34" s="18"/>
      <c r="J34" s="18"/>
      <c r="K34" s="18"/>
      <c r="L34" s="18"/>
      <c r="M34" s="18"/>
      <c r="N34" s="18"/>
      <c r="O34" s="18"/>
      <c r="P34" s="19" t="str">
        <f aca="false">IF($D34="","",SUM(H34:O34))</f>
        <v/>
      </c>
      <c r="Q34" s="20" t="str">
        <f aca="false">IF(OR($D34="",$F34=0),"",$P34/$F34)</f>
        <v/>
      </c>
      <c r="R34" s="27"/>
      <c r="S34" s="21" t="str">
        <f aca="false">IF($D34="","",IF($B34="","缺月份",IF($F34=0,"缺总工时",IF(ROUND($P34-$F34,2)&gt;0,"工时超出","√"))))</f>
        <v/>
      </c>
    </row>
    <row r="35" customFormat="false" ht="18.75" hidden="false" customHeight="true" outlineLevel="0" collapsed="false">
      <c r="B35" s="28"/>
      <c r="C35" s="7"/>
      <c r="D35" s="7"/>
      <c r="E35" s="27"/>
      <c r="F35" s="18"/>
      <c r="G35" s="19" t="str">
        <f aca="false">IF($D35="","",$F35-$P35)</f>
        <v/>
      </c>
      <c r="H35" s="18"/>
      <c r="I35" s="18"/>
      <c r="J35" s="18"/>
      <c r="K35" s="18"/>
      <c r="L35" s="18"/>
      <c r="M35" s="18"/>
      <c r="N35" s="18"/>
      <c r="O35" s="18"/>
      <c r="P35" s="19" t="str">
        <f aca="false">IF($D35="","",SUM(H35:O35))</f>
        <v/>
      </c>
      <c r="Q35" s="20" t="str">
        <f aca="false">IF(OR($D35="",$F35=0),"",$P35/$F35)</f>
        <v/>
      </c>
      <c r="R35" s="27"/>
      <c r="S35" s="21" t="str">
        <f aca="false">IF($D35="","",IF($B35="","缺月份",IF($F35=0,"缺总工时",IF(ROUND($P35-$F35,2)&gt;0,"工时超出","√"))))</f>
        <v/>
      </c>
    </row>
    <row r="36" customFormat="false" ht="18.75" hidden="false" customHeight="true" outlineLevel="0" collapsed="false">
      <c r="B36" s="28"/>
      <c r="C36" s="7"/>
      <c r="D36" s="7"/>
      <c r="E36" s="27"/>
      <c r="F36" s="18"/>
      <c r="G36" s="19" t="str">
        <f aca="false">IF($D36="","",$F36-$P36)</f>
        <v/>
      </c>
      <c r="H36" s="18"/>
      <c r="I36" s="18"/>
      <c r="J36" s="18"/>
      <c r="K36" s="18"/>
      <c r="L36" s="18"/>
      <c r="M36" s="18"/>
      <c r="N36" s="18"/>
      <c r="O36" s="18"/>
      <c r="P36" s="19" t="str">
        <f aca="false">IF($D36="","",SUM(H36:O36))</f>
        <v/>
      </c>
      <c r="Q36" s="20" t="str">
        <f aca="false">IF(OR($D36="",$F36=0),"",$P36/$F36)</f>
        <v/>
      </c>
      <c r="R36" s="27"/>
      <c r="S36" s="21" t="str">
        <f aca="false">IF($D36="","",IF($B36="","缺月份",IF($F36=0,"缺总工时",IF(ROUND($P36-$F36,2)&gt;0,"工时超出","√"))))</f>
        <v/>
      </c>
    </row>
    <row r="37" customFormat="false" ht="18.75" hidden="false" customHeight="true" outlineLevel="0" collapsed="false">
      <c r="B37" s="28"/>
      <c r="C37" s="7"/>
      <c r="D37" s="7"/>
      <c r="E37" s="27"/>
      <c r="F37" s="18"/>
      <c r="G37" s="19" t="str">
        <f aca="false">IF($D37="","",$F37-$P37)</f>
        <v/>
      </c>
      <c r="H37" s="18"/>
      <c r="I37" s="18"/>
      <c r="J37" s="18"/>
      <c r="K37" s="18"/>
      <c r="L37" s="18"/>
      <c r="M37" s="18"/>
      <c r="N37" s="18"/>
      <c r="O37" s="18"/>
      <c r="P37" s="19" t="str">
        <f aca="false">IF($D37="","",SUM(H37:O37))</f>
        <v/>
      </c>
      <c r="Q37" s="20" t="str">
        <f aca="false">IF(OR($D37="",$F37=0),"",$P37/$F37)</f>
        <v/>
      </c>
      <c r="R37" s="27"/>
      <c r="S37" s="21" t="str">
        <f aca="false">IF($D37="","",IF($B37="","缺月份",IF($F37=0,"缺总工时",IF(ROUND($P37-$F37,2)&gt;0,"工时超出","√"))))</f>
        <v/>
      </c>
    </row>
    <row r="38" customFormat="false" ht="18.75" hidden="false" customHeight="true" outlineLevel="0" collapsed="false">
      <c r="B38" s="28"/>
      <c r="C38" s="7"/>
      <c r="D38" s="7"/>
      <c r="E38" s="27"/>
      <c r="F38" s="18"/>
      <c r="G38" s="19" t="str">
        <f aca="false">IF($D38="","",$F38-$P38)</f>
        <v/>
      </c>
      <c r="H38" s="18"/>
      <c r="I38" s="18"/>
      <c r="J38" s="18"/>
      <c r="K38" s="18"/>
      <c r="L38" s="18"/>
      <c r="M38" s="18"/>
      <c r="N38" s="18"/>
      <c r="O38" s="18"/>
      <c r="P38" s="19" t="str">
        <f aca="false">IF($D38="","",SUM(H38:O38))</f>
        <v/>
      </c>
      <c r="Q38" s="20" t="str">
        <f aca="false">IF(OR($D38="",$F38=0),"",$P38/$F38)</f>
        <v/>
      </c>
      <c r="R38" s="27"/>
      <c r="S38" s="21" t="str">
        <f aca="false">IF($D38="","",IF($B38="","缺月份",IF($F38=0,"缺总工时",IF(ROUND($P38-$F38,2)&gt;0,"工时超出","√"))))</f>
        <v/>
      </c>
    </row>
    <row r="39" customFormat="false" ht="18.75" hidden="false" customHeight="true" outlineLevel="0" collapsed="false">
      <c r="B39" s="28"/>
      <c r="C39" s="7"/>
      <c r="D39" s="7"/>
      <c r="E39" s="27"/>
      <c r="F39" s="18"/>
      <c r="G39" s="19" t="str">
        <f aca="false">IF($D39="","",$F39-$P39)</f>
        <v/>
      </c>
      <c r="H39" s="18"/>
      <c r="I39" s="18"/>
      <c r="J39" s="18"/>
      <c r="K39" s="18"/>
      <c r="L39" s="18"/>
      <c r="M39" s="18"/>
      <c r="N39" s="18"/>
      <c r="O39" s="18"/>
      <c r="P39" s="19" t="str">
        <f aca="false">IF($D39="","",SUM(H39:O39))</f>
        <v/>
      </c>
      <c r="Q39" s="20" t="str">
        <f aca="false">IF(OR($D39="",$F39=0),"",$P39/$F39)</f>
        <v/>
      </c>
      <c r="R39" s="27"/>
      <c r="S39" s="21" t="str">
        <f aca="false">IF($D39="","",IF($B39="","缺月份",IF($F39=0,"缺总工时",IF(ROUND($P39-$F39,2)&gt;0,"工时超出","√"))))</f>
        <v/>
      </c>
    </row>
    <row r="40" customFormat="false" ht="18.75" hidden="false" customHeight="true" outlineLevel="0" collapsed="false">
      <c r="B40" s="28"/>
      <c r="C40" s="7"/>
      <c r="D40" s="7"/>
      <c r="E40" s="27"/>
      <c r="F40" s="18"/>
      <c r="G40" s="19" t="str">
        <f aca="false">IF($D40="","",$F40-$P40)</f>
        <v/>
      </c>
      <c r="H40" s="18"/>
      <c r="I40" s="18"/>
      <c r="J40" s="18"/>
      <c r="K40" s="18"/>
      <c r="L40" s="18"/>
      <c r="M40" s="18"/>
      <c r="N40" s="18"/>
      <c r="O40" s="18"/>
      <c r="P40" s="19" t="str">
        <f aca="false">IF($D40="","",SUM(H40:O40))</f>
        <v/>
      </c>
      <c r="Q40" s="20" t="str">
        <f aca="false">IF(OR($D40="",$F40=0),"",$P40/$F40)</f>
        <v/>
      </c>
      <c r="R40" s="27"/>
      <c r="S40" s="21" t="str">
        <f aca="false">IF($D40="","",IF($B40="","缺月份",IF($F40=0,"缺总工时",IF(ROUND($P40-$F40,2)&gt;0,"工时超出","√"))))</f>
        <v/>
      </c>
    </row>
    <row r="41" customFormat="false" ht="18.75" hidden="false" customHeight="true" outlineLevel="0" collapsed="false">
      <c r="B41" s="28"/>
      <c r="C41" s="7"/>
      <c r="D41" s="7"/>
      <c r="E41" s="27"/>
      <c r="F41" s="18"/>
      <c r="G41" s="19" t="str">
        <f aca="false">IF($D41="","",$F41-$P41)</f>
        <v/>
      </c>
      <c r="H41" s="18"/>
      <c r="I41" s="18"/>
      <c r="J41" s="18"/>
      <c r="K41" s="18"/>
      <c r="L41" s="18"/>
      <c r="M41" s="18"/>
      <c r="N41" s="18"/>
      <c r="O41" s="18"/>
      <c r="P41" s="19" t="str">
        <f aca="false">IF($D41="","",SUM(H41:O41))</f>
        <v/>
      </c>
      <c r="Q41" s="20" t="str">
        <f aca="false">IF(OR($D41="",$F41=0),"",$P41/$F41)</f>
        <v/>
      </c>
      <c r="R41" s="27"/>
      <c r="S41" s="21" t="str">
        <f aca="false">IF($D41="","",IF($B41="","缺月份",IF($F41=0,"缺总工时",IF(ROUND($P41-$F41,2)&gt;0,"工时超出","√"))))</f>
        <v/>
      </c>
    </row>
    <row r="42" customFormat="false" ht="18.75" hidden="false" customHeight="true" outlineLevel="0" collapsed="false">
      <c r="B42" s="28"/>
      <c r="C42" s="7"/>
      <c r="D42" s="7"/>
      <c r="E42" s="27"/>
      <c r="F42" s="18"/>
      <c r="G42" s="19" t="str">
        <f aca="false">IF($D42="","",$F42-$P42)</f>
        <v/>
      </c>
      <c r="H42" s="18"/>
      <c r="I42" s="18"/>
      <c r="J42" s="18"/>
      <c r="K42" s="18"/>
      <c r="L42" s="18"/>
      <c r="M42" s="18"/>
      <c r="N42" s="18"/>
      <c r="O42" s="18"/>
      <c r="P42" s="19" t="str">
        <f aca="false">IF($D42="","",SUM(H42:O42))</f>
        <v/>
      </c>
      <c r="Q42" s="20" t="str">
        <f aca="false">IF(OR($D42="",$F42=0),"",$P42/$F42)</f>
        <v/>
      </c>
      <c r="R42" s="27"/>
      <c r="S42" s="21" t="str">
        <f aca="false">IF($D42="","",IF($B42="","缺月份",IF($F42=0,"缺总工时",IF(ROUND($P42-$F42,2)&gt;0,"工时超出","√"))))</f>
        <v/>
      </c>
    </row>
    <row r="43" customFormat="false" ht="18.75" hidden="false" customHeight="true" outlineLevel="0" collapsed="false">
      <c r="B43" s="28"/>
      <c r="C43" s="7"/>
      <c r="D43" s="7"/>
      <c r="E43" s="27"/>
      <c r="F43" s="18"/>
      <c r="G43" s="19" t="str">
        <f aca="false">IF($D43="","",$F43-$P43)</f>
        <v/>
      </c>
      <c r="H43" s="18"/>
      <c r="I43" s="18"/>
      <c r="J43" s="18"/>
      <c r="K43" s="18"/>
      <c r="L43" s="18"/>
      <c r="M43" s="18"/>
      <c r="N43" s="18"/>
      <c r="O43" s="18"/>
      <c r="P43" s="19" t="str">
        <f aca="false">IF($D43="","",SUM(H43:O43))</f>
        <v/>
      </c>
      <c r="Q43" s="20" t="str">
        <f aca="false">IF(OR($D43="",$F43=0),"",$P43/$F43)</f>
        <v/>
      </c>
      <c r="R43" s="27"/>
      <c r="S43" s="21" t="str">
        <f aca="false">IF($D43="","",IF($B43="","缺月份",IF($F43=0,"缺总工时",IF(ROUND($P43-$F43,2)&gt;0,"工时超出","√"))))</f>
        <v/>
      </c>
    </row>
    <row r="44" customFormat="false" ht="18.75" hidden="false" customHeight="true" outlineLevel="0" collapsed="false">
      <c r="B44" s="28"/>
      <c r="C44" s="7"/>
      <c r="D44" s="7"/>
      <c r="E44" s="27"/>
      <c r="F44" s="18"/>
      <c r="G44" s="19" t="str">
        <f aca="false">IF($D44="","",$F44-$P44)</f>
        <v/>
      </c>
      <c r="H44" s="18"/>
      <c r="I44" s="18"/>
      <c r="J44" s="18"/>
      <c r="K44" s="18"/>
      <c r="L44" s="18"/>
      <c r="M44" s="18"/>
      <c r="N44" s="18"/>
      <c r="O44" s="18"/>
      <c r="P44" s="19" t="str">
        <f aca="false">IF($D44="","",SUM(H44:O44))</f>
        <v/>
      </c>
      <c r="Q44" s="20" t="str">
        <f aca="false">IF(OR($D44="",$F44=0),"",$P44/$F44)</f>
        <v/>
      </c>
      <c r="R44" s="27"/>
      <c r="S44" s="21" t="str">
        <f aca="false">IF($D44="","",IF($B44="","缺月份",IF($F44=0,"缺总工时",IF(ROUND($P44-$F44,2)&gt;0,"工时超出","√"))))</f>
        <v/>
      </c>
    </row>
    <row r="45" customFormat="false" ht="18.75" hidden="false" customHeight="true" outlineLevel="0" collapsed="false">
      <c r="B45" s="28"/>
      <c r="C45" s="7"/>
      <c r="D45" s="7"/>
      <c r="E45" s="27"/>
      <c r="F45" s="18"/>
      <c r="G45" s="19" t="str">
        <f aca="false">IF($D45="","",$F45-$P45)</f>
        <v/>
      </c>
      <c r="H45" s="18"/>
      <c r="I45" s="18"/>
      <c r="J45" s="18"/>
      <c r="K45" s="18"/>
      <c r="L45" s="18"/>
      <c r="M45" s="18"/>
      <c r="N45" s="18"/>
      <c r="O45" s="18"/>
      <c r="P45" s="19" t="str">
        <f aca="false">IF($D45="","",SUM(H45:O45))</f>
        <v/>
      </c>
      <c r="Q45" s="20" t="str">
        <f aca="false">IF(OR($D45="",$F45=0),"",$P45/$F45)</f>
        <v/>
      </c>
      <c r="R45" s="27"/>
      <c r="S45" s="21" t="str">
        <f aca="false">IF($D45="","",IF($B45="","缺月份",IF($F45=0,"缺总工时",IF(ROUND($P45-$F45,2)&gt;0,"工时超出","√"))))</f>
        <v/>
      </c>
    </row>
    <row r="46" customFormat="false" ht="18.75" hidden="false" customHeight="true" outlineLevel="0" collapsed="false">
      <c r="B46" s="28"/>
      <c r="C46" s="7"/>
      <c r="D46" s="7"/>
      <c r="E46" s="27"/>
      <c r="F46" s="18"/>
      <c r="G46" s="19" t="str">
        <f aca="false">IF($D46="","",$F46-$P46)</f>
        <v/>
      </c>
      <c r="H46" s="18"/>
      <c r="I46" s="18"/>
      <c r="J46" s="18"/>
      <c r="K46" s="18"/>
      <c r="L46" s="18"/>
      <c r="M46" s="18"/>
      <c r="N46" s="18"/>
      <c r="O46" s="18"/>
      <c r="P46" s="19" t="str">
        <f aca="false">IF($D46="","",SUM(H46:O46))</f>
        <v/>
      </c>
      <c r="Q46" s="20" t="str">
        <f aca="false">IF(OR($D46="",$F46=0),"",$P46/$F46)</f>
        <v/>
      </c>
      <c r="R46" s="27"/>
      <c r="S46" s="21" t="str">
        <f aca="false">IF($D46="","",IF($B46="","缺月份",IF($F46=0,"缺总工时",IF(ROUND($P46-$F46,2)&gt;0,"工时超出","√"))))</f>
        <v/>
      </c>
    </row>
    <row r="47" customFormat="false" ht="18.75" hidden="false" customHeight="true" outlineLevel="0" collapsed="false">
      <c r="B47" s="28"/>
      <c r="C47" s="7"/>
      <c r="D47" s="7"/>
      <c r="E47" s="27"/>
      <c r="F47" s="18"/>
      <c r="G47" s="19" t="str">
        <f aca="false">IF($D47="","",$F47-$P47)</f>
        <v/>
      </c>
      <c r="H47" s="18"/>
      <c r="I47" s="18"/>
      <c r="J47" s="18"/>
      <c r="K47" s="18"/>
      <c r="L47" s="18"/>
      <c r="M47" s="18"/>
      <c r="N47" s="18"/>
      <c r="O47" s="18"/>
      <c r="P47" s="19" t="str">
        <f aca="false">IF($D47="","",SUM(H47:O47))</f>
        <v/>
      </c>
      <c r="Q47" s="20" t="str">
        <f aca="false">IF(OR($D47="",$F47=0),"",$P47/$F47)</f>
        <v/>
      </c>
      <c r="R47" s="27"/>
      <c r="S47" s="21" t="str">
        <f aca="false">IF($D47="","",IF($B47="","缺月份",IF($F47=0,"缺总工时",IF(ROUND($P47-$F47,2)&gt;0,"工时超出","√"))))</f>
        <v/>
      </c>
    </row>
    <row r="48" customFormat="false" ht="18.75" hidden="false" customHeight="true" outlineLevel="0" collapsed="false">
      <c r="B48" s="28"/>
      <c r="C48" s="7"/>
      <c r="D48" s="7"/>
      <c r="E48" s="27"/>
      <c r="F48" s="18"/>
      <c r="G48" s="19" t="str">
        <f aca="false">IF($D48="","",$F48-$P48)</f>
        <v/>
      </c>
      <c r="H48" s="18"/>
      <c r="I48" s="18"/>
      <c r="J48" s="18"/>
      <c r="K48" s="18"/>
      <c r="L48" s="18"/>
      <c r="M48" s="18"/>
      <c r="N48" s="18"/>
      <c r="O48" s="18"/>
      <c r="P48" s="19" t="str">
        <f aca="false">IF($D48="","",SUM(H48:O48))</f>
        <v/>
      </c>
      <c r="Q48" s="20" t="str">
        <f aca="false">IF(OR($D48="",$F48=0),"",$P48/$F48)</f>
        <v/>
      </c>
      <c r="R48" s="27"/>
      <c r="S48" s="21" t="str">
        <f aca="false">IF($D48="","",IF($B48="","缺月份",IF($F48=0,"缺总工时",IF(ROUND($P48-$F48,2)&gt;0,"工时超出","√"))))</f>
        <v/>
      </c>
    </row>
    <row r="49" customFormat="false" ht="18.75" hidden="false" customHeight="true" outlineLevel="0" collapsed="false">
      <c r="B49" s="28"/>
      <c r="C49" s="7"/>
      <c r="D49" s="7"/>
      <c r="E49" s="27"/>
      <c r="F49" s="18"/>
      <c r="G49" s="19" t="str">
        <f aca="false">IF($D49="","",$F49-$P49)</f>
        <v/>
      </c>
      <c r="H49" s="18"/>
      <c r="I49" s="18"/>
      <c r="J49" s="18"/>
      <c r="K49" s="18"/>
      <c r="L49" s="18"/>
      <c r="M49" s="18"/>
      <c r="N49" s="18"/>
      <c r="O49" s="18"/>
      <c r="P49" s="19" t="str">
        <f aca="false">IF($D49="","",SUM(H49:O49))</f>
        <v/>
      </c>
      <c r="Q49" s="20" t="str">
        <f aca="false">IF(OR($D49="",$F49=0),"",$P49/$F49)</f>
        <v/>
      </c>
      <c r="R49" s="27"/>
      <c r="S49" s="21" t="str">
        <f aca="false">IF($D49="","",IF($B49="","缺月份",IF($F49=0,"缺总工时",IF(ROUND($P49-$F49,2)&gt;0,"工时超出","√"))))</f>
        <v/>
      </c>
    </row>
    <row r="50" customFormat="false" ht="18.75" hidden="false" customHeight="true" outlineLevel="0" collapsed="false">
      <c r="B50" s="28"/>
      <c r="C50" s="7"/>
      <c r="D50" s="7"/>
      <c r="E50" s="27"/>
      <c r="F50" s="18"/>
      <c r="G50" s="19" t="str">
        <f aca="false">IF($D50="","",$F50-$P50)</f>
        <v/>
      </c>
      <c r="H50" s="18"/>
      <c r="I50" s="18"/>
      <c r="J50" s="18"/>
      <c r="K50" s="18"/>
      <c r="L50" s="18"/>
      <c r="M50" s="18"/>
      <c r="N50" s="18"/>
      <c r="O50" s="18"/>
      <c r="P50" s="19" t="str">
        <f aca="false">IF($D50="","",SUM(H50:O50))</f>
        <v/>
      </c>
      <c r="Q50" s="20" t="str">
        <f aca="false">IF(OR($D50="",$F50=0),"",$P50/$F50)</f>
        <v/>
      </c>
      <c r="R50" s="27"/>
      <c r="S50" s="21" t="str">
        <f aca="false">IF($D50="","",IF($B50="","缺月份",IF($F50=0,"缺总工时",IF(ROUND($P50-$F50,2)&gt;0,"工时超出","√"))))</f>
        <v/>
      </c>
    </row>
    <row r="51" customFormat="false" ht="18.75" hidden="false" customHeight="true" outlineLevel="0" collapsed="false">
      <c r="B51" s="28"/>
      <c r="C51" s="7"/>
      <c r="D51" s="7"/>
      <c r="E51" s="27"/>
      <c r="F51" s="18"/>
      <c r="G51" s="19" t="str">
        <f aca="false">IF($D51="","",$F51-$P51)</f>
        <v/>
      </c>
      <c r="H51" s="18"/>
      <c r="I51" s="18"/>
      <c r="J51" s="18"/>
      <c r="K51" s="18"/>
      <c r="L51" s="18"/>
      <c r="M51" s="18"/>
      <c r="N51" s="18"/>
      <c r="O51" s="18"/>
      <c r="P51" s="19" t="str">
        <f aca="false">IF($D51="","",SUM(H51:O51))</f>
        <v/>
      </c>
      <c r="Q51" s="20" t="str">
        <f aca="false">IF(OR($D51="",$F51=0),"",$P51/$F51)</f>
        <v/>
      </c>
      <c r="R51" s="27"/>
      <c r="S51" s="21" t="str">
        <f aca="false">IF($D51="","",IF($B51="","缺月份",IF($F51=0,"缺总工时",IF(ROUND($P51-$F51,2)&gt;0,"工时超出","√"))))</f>
        <v/>
      </c>
    </row>
    <row r="52" customFormat="false" ht="18.75" hidden="false" customHeight="true" outlineLevel="0" collapsed="false">
      <c r="B52" s="28"/>
      <c r="C52" s="7"/>
      <c r="D52" s="7"/>
      <c r="E52" s="27"/>
      <c r="F52" s="18"/>
      <c r="G52" s="19" t="str">
        <f aca="false">IF($D52="","",$F52-$P52)</f>
        <v/>
      </c>
      <c r="H52" s="18"/>
      <c r="I52" s="18"/>
      <c r="J52" s="18"/>
      <c r="K52" s="18"/>
      <c r="L52" s="18"/>
      <c r="M52" s="18"/>
      <c r="N52" s="18"/>
      <c r="O52" s="18"/>
      <c r="P52" s="19" t="str">
        <f aca="false">IF($D52="","",SUM(H52:O52))</f>
        <v/>
      </c>
      <c r="Q52" s="20" t="str">
        <f aca="false">IF(OR($D52="",$F52=0),"",$P52/$F52)</f>
        <v/>
      </c>
      <c r="R52" s="27"/>
      <c r="S52" s="21" t="str">
        <f aca="false">IF($D52="","",IF($B52="","缺月份",IF($F52=0,"缺总工时",IF(ROUND($P52-$F52,2)&gt;0,"工时超出","√"))))</f>
        <v/>
      </c>
    </row>
    <row r="53" customFormat="false" ht="18.75" hidden="false" customHeight="true" outlineLevel="0" collapsed="false">
      <c r="B53" s="28"/>
      <c r="C53" s="7"/>
      <c r="D53" s="7"/>
      <c r="E53" s="27"/>
      <c r="F53" s="18"/>
      <c r="G53" s="19" t="str">
        <f aca="false">IF($D53="","",$F53-$P53)</f>
        <v/>
      </c>
      <c r="H53" s="18"/>
      <c r="I53" s="18"/>
      <c r="J53" s="18"/>
      <c r="K53" s="18"/>
      <c r="L53" s="18"/>
      <c r="M53" s="18"/>
      <c r="N53" s="18"/>
      <c r="O53" s="18"/>
      <c r="P53" s="19" t="str">
        <f aca="false">IF($D53="","",SUM(H53:O53))</f>
        <v/>
      </c>
      <c r="Q53" s="20" t="str">
        <f aca="false">IF(OR($D53="",$F53=0),"",$P53/$F53)</f>
        <v/>
      </c>
      <c r="R53" s="27"/>
      <c r="S53" s="21" t="str">
        <f aca="false">IF($D53="","",IF($B53="","缺月份",IF($F53=0,"缺总工时",IF(ROUND($P53-$F53,2)&gt;0,"工时超出","√"))))</f>
        <v/>
      </c>
    </row>
    <row r="54" customFormat="false" ht="18.75" hidden="false" customHeight="true" outlineLevel="0" collapsed="false">
      <c r="B54" s="28"/>
      <c r="C54" s="7"/>
      <c r="D54" s="7"/>
      <c r="E54" s="27"/>
      <c r="F54" s="18"/>
      <c r="G54" s="19" t="str">
        <f aca="false">IF($D54="","",$F54-$P54)</f>
        <v/>
      </c>
      <c r="H54" s="18"/>
      <c r="I54" s="18"/>
      <c r="J54" s="18"/>
      <c r="K54" s="18"/>
      <c r="L54" s="18"/>
      <c r="M54" s="18"/>
      <c r="N54" s="18"/>
      <c r="O54" s="18"/>
      <c r="P54" s="19" t="str">
        <f aca="false">IF($D54="","",SUM(H54:O54))</f>
        <v/>
      </c>
      <c r="Q54" s="20" t="str">
        <f aca="false">IF(OR($D54="",$F54=0),"",$P54/$F54)</f>
        <v/>
      </c>
      <c r="R54" s="27"/>
      <c r="S54" s="21" t="str">
        <f aca="false">IF($D54="","",IF($B54="","缺月份",IF($F54=0,"缺总工时",IF(ROUND($P54-$F54,2)&gt;0,"工时超出","√"))))</f>
        <v/>
      </c>
    </row>
    <row r="55" customFormat="false" ht="18.75" hidden="false" customHeight="true" outlineLevel="0" collapsed="false">
      <c r="B55" s="28"/>
      <c r="C55" s="7"/>
      <c r="D55" s="7"/>
      <c r="E55" s="27"/>
      <c r="F55" s="18"/>
      <c r="G55" s="19" t="str">
        <f aca="false">IF($D55="","",$F55-$P55)</f>
        <v/>
      </c>
      <c r="H55" s="18"/>
      <c r="I55" s="18"/>
      <c r="J55" s="18"/>
      <c r="K55" s="18"/>
      <c r="L55" s="18"/>
      <c r="M55" s="18"/>
      <c r="N55" s="18"/>
      <c r="O55" s="18"/>
      <c r="P55" s="19" t="str">
        <f aca="false">IF($D55="","",SUM(H55:O55))</f>
        <v/>
      </c>
      <c r="Q55" s="20" t="str">
        <f aca="false">IF(OR($D55="",$F55=0),"",$P55/$F55)</f>
        <v/>
      </c>
      <c r="R55" s="27"/>
      <c r="S55" s="21" t="str">
        <f aca="false">IF($D55="","",IF($B55="","缺月份",IF($F55=0,"缺总工时",IF(ROUND($P55-$F55,2)&gt;0,"工时超出","√"))))</f>
        <v/>
      </c>
    </row>
    <row r="56" customFormat="false" ht="18.75" hidden="false" customHeight="true" outlineLevel="0" collapsed="false">
      <c r="B56" s="28"/>
      <c r="C56" s="7"/>
      <c r="D56" s="7"/>
      <c r="E56" s="27"/>
      <c r="F56" s="18"/>
      <c r="G56" s="19" t="str">
        <f aca="false">IF($D56="","",$F56-$P56)</f>
        <v/>
      </c>
      <c r="H56" s="18"/>
      <c r="I56" s="18"/>
      <c r="J56" s="18"/>
      <c r="K56" s="18"/>
      <c r="L56" s="18"/>
      <c r="M56" s="18"/>
      <c r="N56" s="18"/>
      <c r="O56" s="18"/>
      <c r="P56" s="19" t="str">
        <f aca="false">IF($D56="","",SUM(H56:O56))</f>
        <v/>
      </c>
      <c r="Q56" s="20" t="str">
        <f aca="false">IF(OR($D56="",$F56=0),"",$P56/$F56)</f>
        <v/>
      </c>
      <c r="R56" s="27"/>
      <c r="S56" s="21" t="str">
        <f aca="false">IF($D56="","",IF($B56="","缺月份",IF($F56=0,"缺总工时",IF(ROUND($P56-$F56,2)&gt;0,"工时超出","√"))))</f>
        <v/>
      </c>
    </row>
    <row r="57" customFormat="false" ht="18.75" hidden="false" customHeight="true" outlineLevel="0" collapsed="false">
      <c r="B57" s="28"/>
      <c r="C57" s="7"/>
      <c r="D57" s="7"/>
      <c r="E57" s="27"/>
      <c r="F57" s="18"/>
      <c r="G57" s="19" t="str">
        <f aca="false">IF($D57="","",$F57-$P57)</f>
        <v/>
      </c>
      <c r="H57" s="18"/>
      <c r="I57" s="18"/>
      <c r="J57" s="18"/>
      <c r="K57" s="18"/>
      <c r="L57" s="18"/>
      <c r="M57" s="18"/>
      <c r="N57" s="18"/>
      <c r="O57" s="18"/>
      <c r="P57" s="19" t="str">
        <f aca="false">IF($D57="","",SUM(H57:O57))</f>
        <v/>
      </c>
      <c r="Q57" s="20" t="str">
        <f aca="false">IF(OR($D57="",$F57=0),"",$P57/$F57)</f>
        <v/>
      </c>
      <c r="R57" s="27"/>
      <c r="S57" s="21" t="str">
        <f aca="false">IF($D57="","",IF($B57="","缺月份",IF($F57=0,"缺总工时",IF(ROUND($P57-$F57,2)&gt;0,"工时超出","√"))))</f>
        <v/>
      </c>
    </row>
    <row r="58" customFormat="false" ht="18.75" hidden="false" customHeight="true" outlineLevel="0" collapsed="false">
      <c r="B58" s="28"/>
      <c r="C58" s="7"/>
      <c r="D58" s="7"/>
      <c r="E58" s="27"/>
      <c r="F58" s="18"/>
      <c r="G58" s="19" t="str">
        <f aca="false">IF($D58="","",$F58-$P58)</f>
        <v/>
      </c>
      <c r="H58" s="18"/>
      <c r="I58" s="18"/>
      <c r="J58" s="18"/>
      <c r="K58" s="18"/>
      <c r="L58" s="18"/>
      <c r="M58" s="18"/>
      <c r="N58" s="18"/>
      <c r="O58" s="18"/>
      <c r="P58" s="19" t="str">
        <f aca="false">IF($D58="","",SUM(H58:O58))</f>
        <v/>
      </c>
      <c r="Q58" s="20" t="str">
        <f aca="false">IF(OR($D58="",$F58=0),"",$P58/$F58)</f>
        <v/>
      </c>
      <c r="R58" s="27"/>
      <c r="S58" s="21" t="str">
        <f aca="false">IF($D58="","",IF($B58="","缺月份",IF($F58=0,"缺总工时",IF(ROUND($P58-$F58,2)&gt;0,"工时超出","√"))))</f>
        <v/>
      </c>
    </row>
    <row r="59" customFormat="false" ht="18.75" hidden="false" customHeight="true" outlineLevel="0" collapsed="false">
      <c r="B59" s="28"/>
      <c r="C59" s="7"/>
      <c r="D59" s="7"/>
      <c r="E59" s="27"/>
      <c r="F59" s="18"/>
      <c r="G59" s="19" t="str">
        <f aca="false">IF($D59="","",$F59-$P59)</f>
        <v/>
      </c>
      <c r="H59" s="18"/>
      <c r="I59" s="18"/>
      <c r="J59" s="18"/>
      <c r="K59" s="18"/>
      <c r="L59" s="18"/>
      <c r="M59" s="18"/>
      <c r="N59" s="18"/>
      <c r="O59" s="18"/>
      <c r="P59" s="19" t="str">
        <f aca="false">IF($D59="","",SUM(H59:O59))</f>
        <v/>
      </c>
      <c r="Q59" s="20" t="str">
        <f aca="false">IF(OR($D59="",$F59=0),"",$P59/$F59)</f>
        <v/>
      </c>
      <c r="R59" s="27"/>
      <c r="S59" s="21" t="str">
        <f aca="false">IF($D59="","",IF($B59="","缺月份",IF($F59=0,"缺总工时",IF(ROUND($P59-$F59,2)&gt;0,"工时超出","√"))))</f>
        <v/>
      </c>
    </row>
    <row r="60" customFormat="false" ht="18.75" hidden="false" customHeight="true" outlineLevel="0" collapsed="false">
      <c r="B60" s="28"/>
      <c r="C60" s="7"/>
      <c r="D60" s="7"/>
      <c r="E60" s="27"/>
      <c r="F60" s="18"/>
      <c r="G60" s="19" t="str">
        <f aca="false">IF($D60="","",$F60-$P60)</f>
        <v/>
      </c>
      <c r="H60" s="18"/>
      <c r="I60" s="18"/>
      <c r="J60" s="18"/>
      <c r="K60" s="18"/>
      <c r="L60" s="18"/>
      <c r="M60" s="18"/>
      <c r="N60" s="18"/>
      <c r="O60" s="18"/>
      <c r="P60" s="19" t="str">
        <f aca="false">IF($D60="","",SUM(H60:O60))</f>
        <v/>
      </c>
      <c r="Q60" s="20" t="str">
        <f aca="false">IF(OR($D60="",$F60=0),"",$P60/$F60)</f>
        <v/>
      </c>
      <c r="R60" s="27"/>
      <c r="S60" s="21" t="str">
        <f aca="false">IF($D60="","",IF($B60="","缺月份",IF($F60=0,"缺总工时",IF(ROUND($P60-$F60,2)&gt;0,"工时超出","√"))))</f>
        <v/>
      </c>
    </row>
    <row r="61" customFormat="false" ht="18.75" hidden="false" customHeight="true" outlineLevel="0" collapsed="false">
      <c r="B61" s="28"/>
      <c r="C61" s="7"/>
      <c r="D61" s="7"/>
      <c r="E61" s="27"/>
      <c r="F61" s="18"/>
      <c r="G61" s="19" t="str">
        <f aca="false">IF($D61="","",$F61-$P61)</f>
        <v/>
      </c>
      <c r="H61" s="18"/>
      <c r="I61" s="18"/>
      <c r="J61" s="18"/>
      <c r="K61" s="18"/>
      <c r="L61" s="18"/>
      <c r="M61" s="18"/>
      <c r="N61" s="18"/>
      <c r="O61" s="18"/>
      <c r="P61" s="19" t="str">
        <f aca="false">IF($D61="","",SUM(H61:O61))</f>
        <v/>
      </c>
      <c r="Q61" s="20" t="str">
        <f aca="false">IF(OR($D61="",$F61=0),"",$P61/$F61)</f>
        <v/>
      </c>
      <c r="R61" s="27"/>
      <c r="S61" s="21" t="str">
        <f aca="false">IF($D61="","",IF($B61="","缺月份",IF($F61=0,"缺总工时",IF(ROUND($P61-$F61,2)&gt;0,"工时超出","√"))))</f>
        <v/>
      </c>
    </row>
    <row r="62" customFormat="false" ht="18.75" hidden="false" customHeight="true" outlineLevel="0" collapsed="false">
      <c r="B62" s="28"/>
      <c r="C62" s="7"/>
      <c r="D62" s="7"/>
      <c r="E62" s="27"/>
      <c r="F62" s="18"/>
      <c r="G62" s="19" t="str">
        <f aca="false">IF($D62="","",$F62-$P62)</f>
        <v/>
      </c>
      <c r="H62" s="18"/>
      <c r="I62" s="18"/>
      <c r="J62" s="18"/>
      <c r="K62" s="18"/>
      <c r="L62" s="18"/>
      <c r="M62" s="18"/>
      <c r="N62" s="18"/>
      <c r="O62" s="18"/>
      <c r="P62" s="19" t="str">
        <f aca="false">IF($D62="","",SUM(H62:O62))</f>
        <v/>
      </c>
      <c r="Q62" s="20" t="str">
        <f aca="false">IF(OR($D62="",$F62=0),"",$P62/$F62)</f>
        <v/>
      </c>
      <c r="R62" s="27"/>
      <c r="S62" s="21" t="str">
        <f aca="false">IF($D62="","",IF($B62="","缺月份",IF($F62=0,"缺总工时",IF(ROUND($P62-$F62,2)&gt;0,"工时超出","√"))))</f>
        <v/>
      </c>
    </row>
    <row r="63" customFormat="false" ht="18.75" hidden="false" customHeight="true" outlineLevel="0" collapsed="false">
      <c r="B63" s="28"/>
      <c r="C63" s="7"/>
      <c r="D63" s="7"/>
      <c r="E63" s="27"/>
      <c r="F63" s="18"/>
      <c r="G63" s="19" t="str">
        <f aca="false">IF($D63="","",$F63-$P63)</f>
        <v/>
      </c>
      <c r="H63" s="18"/>
      <c r="I63" s="18"/>
      <c r="J63" s="18"/>
      <c r="K63" s="18"/>
      <c r="L63" s="18"/>
      <c r="M63" s="18"/>
      <c r="N63" s="18"/>
      <c r="O63" s="18"/>
      <c r="P63" s="19" t="str">
        <f aca="false">IF($D63="","",SUM(H63:O63))</f>
        <v/>
      </c>
      <c r="Q63" s="20" t="str">
        <f aca="false">IF(OR($D63="",$F63=0),"",$P63/$F63)</f>
        <v/>
      </c>
      <c r="R63" s="27"/>
      <c r="S63" s="21" t="str">
        <f aca="false">IF($D63="","",IF($B63="","缺月份",IF($F63=0,"缺总工时",IF(ROUND($P63-$F63,2)&gt;0,"工时超出","√"))))</f>
        <v/>
      </c>
    </row>
    <row r="64" customFormat="false" ht="18.75" hidden="false" customHeight="true" outlineLevel="0" collapsed="false">
      <c r="B64" s="28"/>
      <c r="C64" s="7"/>
      <c r="D64" s="7"/>
      <c r="E64" s="27"/>
      <c r="F64" s="18"/>
      <c r="G64" s="19" t="str">
        <f aca="false">IF($D64="","",$F64-$P64)</f>
        <v/>
      </c>
      <c r="H64" s="18"/>
      <c r="I64" s="18"/>
      <c r="J64" s="18"/>
      <c r="K64" s="18"/>
      <c r="L64" s="18"/>
      <c r="M64" s="18"/>
      <c r="N64" s="18"/>
      <c r="O64" s="18"/>
      <c r="P64" s="19" t="str">
        <f aca="false">IF($D64="","",SUM(H64:O64))</f>
        <v/>
      </c>
      <c r="Q64" s="20" t="str">
        <f aca="false">IF(OR($D64="",$F64=0),"",$P64/$F64)</f>
        <v/>
      </c>
      <c r="R64" s="27"/>
      <c r="S64" s="21" t="str">
        <f aca="false">IF($D64="","",IF($B64="","缺月份",IF($F64=0,"缺总工时",IF(ROUND($P64-$F64,2)&gt;0,"工时超出","√"))))</f>
        <v/>
      </c>
    </row>
    <row r="65" customFormat="false" ht="18.75" hidden="false" customHeight="true" outlineLevel="0" collapsed="false">
      <c r="B65" s="28"/>
      <c r="C65" s="7"/>
      <c r="D65" s="7"/>
      <c r="E65" s="27"/>
      <c r="F65" s="18"/>
      <c r="G65" s="19" t="str">
        <f aca="false">IF($D65="","",$F65-$P65)</f>
        <v/>
      </c>
      <c r="H65" s="18"/>
      <c r="I65" s="18"/>
      <c r="J65" s="18"/>
      <c r="K65" s="18"/>
      <c r="L65" s="18"/>
      <c r="M65" s="18"/>
      <c r="N65" s="18"/>
      <c r="O65" s="18"/>
      <c r="P65" s="19" t="str">
        <f aca="false">IF($D65="","",SUM(H65:O65))</f>
        <v/>
      </c>
      <c r="Q65" s="20" t="str">
        <f aca="false">IF(OR($D65="",$F65=0),"",$P65/$F65)</f>
        <v/>
      </c>
      <c r="R65" s="27"/>
      <c r="S65" s="21" t="str">
        <f aca="false">IF($D65="","",IF($B65="","缺月份",IF($F65=0,"缺总工时",IF(ROUND($P65-$F65,2)&gt;0,"工时超出","√"))))</f>
        <v/>
      </c>
    </row>
    <row r="66" customFormat="false" ht="18.75" hidden="false" customHeight="true" outlineLevel="0" collapsed="false">
      <c r="B66" s="28"/>
      <c r="C66" s="7"/>
      <c r="D66" s="7"/>
      <c r="E66" s="27"/>
      <c r="F66" s="18"/>
      <c r="G66" s="19" t="str">
        <f aca="false">IF($D66="","",$F66-$P66)</f>
        <v/>
      </c>
      <c r="H66" s="18"/>
      <c r="I66" s="18"/>
      <c r="J66" s="18"/>
      <c r="K66" s="18"/>
      <c r="L66" s="18"/>
      <c r="M66" s="18"/>
      <c r="N66" s="18"/>
      <c r="O66" s="18"/>
      <c r="P66" s="19" t="str">
        <f aca="false">IF($D66="","",SUM(H66:O66))</f>
        <v/>
      </c>
      <c r="Q66" s="20" t="str">
        <f aca="false">IF(OR($D66="",$F66=0),"",$P66/$F66)</f>
        <v/>
      </c>
      <c r="R66" s="27"/>
      <c r="S66" s="21" t="str">
        <f aca="false">IF($D66="","",IF($B66="","缺月份",IF($F66=0,"缺总工时",IF(ROUND($P66-$F66,2)&gt;0,"工时超出","√"))))</f>
        <v/>
      </c>
    </row>
    <row r="67" customFormat="false" ht="18.75" hidden="false" customHeight="true" outlineLevel="0" collapsed="false">
      <c r="B67" s="28"/>
      <c r="C67" s="7"/>
      <c r="D67" s="7"/>
      <c r="E67" s="27"/>
      <c r="F67" s="18"/>
      <c r="G67" s="19" t="str">
        <f aca="false">IF($D67="","",$F67-$P67)</f>
        <v/>
      </c>
      <c r="H67" s="18"/>
      <c r="I67" s="18"/>
      <c r="J67" s="18"/>
      <c r="K67" s="18"/>
      <c r="L67" s="18"/>
      <c r="M67" s="18"/>
      <c r="N67" s="18"/>
      <c r="O67" s="18"/>
      <c r="P67" s="19" t="str">
        <f aca="false">IF($D67="","",SUM(H67:O67))</f>
        <v/>
      </c>
      <c r="Q67" s="20" t="str">
        <f aca="false">IF(OR($D67="",$F67=0),"",$P67/$F67)</f>
        <v/>
      </c>
      <c r="R67" s="27"/>
      <c r="S67" s="21" t="str">
        <f aca="false">IF($D67="","",IF($B67="","缺月份",IF($F67=0,"缺总工时",IF(ROUND($P67-$F67,2)&gt;0,"工时超出","√"))))</f>
        <v/>
      </c>
    </row>
    <row r="68" customFormat="false" ht="18.75" hidden="false" customHeight="true" outlineLevel="0" collapsed="false">
      <c r="B68" s="28"/>
      <c r="C68" s="7"/>
      <c r="D68" s="7"/>
      <c r="E68" s="27"/>
      <c r="F68" s="18"/>
      <c r="G68" s="19" t="str">
        <f aca="false">IF($D68="","",$F68-$P68)</f>
        <v/>
      </c>
      <c r="H68" s="18"/>
      <c r="I68" s="18"/>
      <c r="J68" s="18"/>
      <c r="K68" s="18"/>
      <c r="L68" s="18"/>
      <c r="M68" s="18"/>
      <c r="N68" s="18"/>
      <c r="O68" s="18"/>
      <c r="P68" s="19" t="str">
        <f aca="false">IF($D68="","",SUM(H68:O68))</f>
        <v/>
      </c>
      <c r="Q68" s="20" t="str">
        <f aca="false">IF(OR($D68="",$F68=0),"",$P68/$F68)</f>
        <v/>
      </c>
      <c r="R68" s="27"/>
      <c r="S68" s="21" t="str">
        <f aca="false">IF($D68="","",IF($B68="","缺月份",IF($F68=0,"缺总工时",IF(ROUND($P68-$F68,2)&gt;0,"工时超出","√"))))</f>
        <v/>
      </c>
    </row>
    <row r="69" customFormat="false" ht="18.75" hidden="false" customHeight="true" outlineLevel="0" collapsed="false">
      <c r="B69" s="28"/>
      <c r="C69" s="7"/>
      <c r="D69" s="7"/>
      <c r="E69" s="27"/>
      <c r="F69" s="18"/>
      <c r="G69" s="19" t="str">
        <f aca="false">IF($D69="","",$F69-$P69)</f>
        <v/>
      </c>
      <c r="H69" s="18"/>
      <c r="I69" s="18"/>
      <c r="J69" s="18"/>
      <c r="K69" s="18"/>
      <c r="L69" s="18"/>
      <c r="M69" s="18"/>
      <c r="N69" s="18"/>
      <c r="O69" s="18"/>
      <c r="P69" s="19" t="str">
        <f aca="false">IF($D69="","",SUM(H69:O69))</f>
        <v/>
      </c>
      <c r="Q69" s="20" t="str">
        <f aca="false">IF(OR($D69="",$F69=0),"",$P69/$F69)</f>
        <v/>
      </c>
      <c r="R69" s="27"/>
      <c r="S69" s="21" t="str">
        <f aca="false">IF($D69="","",IF($B69="","缺月份",IF($F69=0,"缺总工时",IF(ROUND($P69-$F69,2)&gt;0,"工时超出","√"))))</f>
        <v/>
      </c>
    </row>
    <row r="70" customFormat="false" ht="18.75" hidden="false" customHeight="true" outlineLevel="0" collapsed="false">
      <c r="B70" s="28"/>
      <c r="C70" s="7"/>
      <c r="D70" s="7"/>
      <c r="E70" s="27"/>
      <c r="F70" s="18"/>
      <c r="G70" s="19" t="str">
        <f aca="false">IF($D70="","",$F70-$P70)</f>
        <v/>
      </c>
      <c r="H70" s="18"/>
      <c r="I70" s="18"/>
      <c r="J70" s="18"/>
      <c r="K70" s="18"/>
      <c r="L70" s="18"/>
      <c r="M70" s="18"/>
      <c r="N70" s="18"/>
      <c r="O70" s="18"/>
      <c r="P70" s="19" t="str">
        <f aca="false">IF($D70="","",SUM(H70:O70))</f>
        <v/>
      </c>
      <c r="Q70" s="20" t="str">
        <f aca="false">IF(OR($D70="",$F70=0),"",$P70/$F70)</f>
        <v/>
      </c>
      <c r="R70" s="27"/>
      <c r="S70" s="21" t="str">
        <f aca="false">IF($D70="","",IF($B70="","缺月份",IF($F70=0,"缺总工时",IF(ROUND($P70-$F70,2)&gt;0,"工时超出","√"))))</f>
        <v/>
      </c>
    </row>
    <row r="71" customFormat="false" ht="18.75" hidden="false" customHeight="true" outlineLevel="0" collapsed="false">
      <c r="B71" s="28"/>
      <c r="C71" s="7"/>
      <c r="D71" s="7"/>
      <c r="E71" s="27"/>
      <c r="F71" s="18"/>
      <c r="G71" s="19" t="str">
        <f aca="false">IF($D71="","",$F71-$P71)</f>
        <v/>
      </c>
      <c r="H71" s="18"/>
      <c r="I71" s="18"/>
      <c r="J71" s="18"/>
      <c r="K71" s="18"/>
      <c r="L71" s="18"/>
      <c r="M71" s="18"/>
      <c r="N71" s="18"/>
      <c r="O71" s="18"/>
      <c r="P71" s="19" t="str">
        <f aca="false">IF($D71="","",SUM(H71:O71))</f>
        <v/>
      </c>
      <c r="Q71" s="20" t="str">
        <f aca="false">IF(OR($D71="",$F71=0),"",$P71/$F71)</f>
        <v/>
      </c>
      <c r="R71" s="27"/>
      <c r="S71" s="21" t="str">
        <f aca="false">IF($D71="","",IF($B71="","缺月份",IF($F71=0,"缺总工时",IF(ROUND($P71-$F71,2)&gt;0,"工时超出","√"))))</f>
        <v/>
      </c>
    </row>
    <row r="72" customFormat="false" ht="18.75" hidden="false" customHeight="true" outlineLevel="0" collapsed="false">
      <c r="B72" s="28"/>
      <c r="C72" s="7"/>
      <c r="D72" s="7"/>
      <c r="E72" s="27"/>
      <c r="F72" s="18"/>
      <c r="G72" s="19" t="str">
        <f aca="false">IF($D72="","",$F72-$P72)</f>
        <v/>
      </c>
      <c r="H72" s="18"/>
      <c r="I72" s="18"/>
      <c r="J72" s="18"/>
      <c r="K72" s="18"/>
      <c r="L72" s="18"/>
      <c r="M72" s="18"/>
      <c r="N72" s="18"/>
      <c r="O72" s="18"/>
      <c r="P72" s="19" t="str">
        <f aca="false">IF($D72="","",SUM(H72:O72))</f>
        <v/>
      </c>
      <c r="Q72" s="20" t="str">
        <f aca="false">IF(OR($D72="",$F72=0),"",$P72/$F72)</f>
        <v/>
      </c>
      <c r="R72" s="27"/>
      <c r="S72" s="21" t="str">
        <f aca="false">IF($D72="","",IF($B72="","缺月份",IF($F72=0,"缺总工时",IF(ROUND($P72-$F72,2)&gt;0,"工时超出","√"))))</f>
        <v/>
      </c>
    </row>
    <row r="73" customFormat="false" ht="18.75" hidden="false" customHeight="true" outlineLevel="0" collapsed="false">
      <c r="B73" s="28"/>
      <c r="C73" s="7"/>
      <c r="D73" s="7"/>
      <c r="E73" s="27"/>
      <c r="F73" s="18"/>
      <c r="G73" s="19" t="str">
        <f aca="false">IF($D73="","",$F73-$P73)</f>
        <v/>
      </c>
      <c r="H73" s="18"/>
      <c r="I73" s="18"/>
      <c r="J73" s="18"/>
      <c r="K73" s="18"/>
      <c r="L73" s="18"/>
      <c r="M73" s="18"/>
      <c r="N73" s="18"/>
      <c r="O73" s="18"/>
      <c r="P73" s="19" t="str">
        <f aca="false">IF($D73="","",SUM(H73:O73))</f>
        <v/>
      </c>
      <c r="Q73" s="20" t="str">
        <f aca="false">IF(OR($D73="",$F73=0),"",$P73/$F73)</f>
        <v/>
      </c>
      <c r="R73" s="27"/>
      <c r="S73" s="21" t="str">
        <f aca="false">IF($D73="","",IF($B73="","缺月份",IF($F73=0,"缺总工时",IF(ROUND($P73-$F73,2)&gt;0,"工时超出","√"))))</f>
        <v/>
      </c>
    </row>
    <row r="74" customFormat="false" ht="18.75" hidden="false" customHeight="true" outlineLevel="0" collapsed="false">
      <c r="B74" s="28"/>
      <c r="C74" s="7"/>
      <c r="D74" s="7"/>
      <c r="E74" s="27"/>
      <c r="F74" s="18"/>
      <c r="G74" s="19" t="str">
        <f aca="false">IF($D74="","",$F74-$P74)</f>
        <v/>
      </c>
      <c r="H74" s="18"/>
      <c r="I74" s="18"/>
      <c r="J74" s="18"/>
      <c r="K74" s="18"/>
      <c r="L74" s="18"/>
      <c r="M74" s="18"/>
      <c r="N74" s="18"/>
      <c r="O74" s="18"/>
      <c r="P74" s="19" t="str">
        <f aca="false">IF($D74="","",SUM(H74:O74))</f>
        <v/>
      </c>
      <c r="Q74" s="20" t="str">
        <f aca="false">IF(OR($D74="",$F74=0),"",$P74/$F74)</f>
        <v/>
      </c>
      <c r="R74" s="27"/>
      <c r="S74" s="21" t="str">
        <f aca="false">IF($D74="","",IF($B74="","缺月份",IF($F74=0,"缺总工时",IF(ROUND($P74-$F74,2)&gt;0,"工时超出","√"))))</f>
        <v/>
      </c>
    </row>
    <row r="75" customFormat="false" ht="18.75" hidden="false" customHeight="true" outlineLevel="0" collapsed="false">
      <c r="B75" s="28"/>
      <c r="C75" s="7"/>
      <c r="D75" s="7"/>
      <c r="E75" s="27"/>
      <c r="F75" s="18"/>
      <c r="G75" s="19" t="str">
        <f aca="false">IF($D75="","",$F75-$P75)</f>
        <v/>
      </c>
      <c r="H75" s="18"/>
      <c r="I75" s="18"/>
      <c r="J75" s="18"/>
      <c r="K75" s="18"/>
      <c r="L75" s="18"/>
      <c r="M75" s="18"/>
      <c r="N75" s="18"/>
      <c r="O75" s="18"/>
      <c r="P75" s="19" t="str">
        <f aca="false">IF($D75="","",SUM(H75:O75))</f>
        <v/>
      </c>
      <c r="Q75" s="20" t="str">
        <f aca="false">IF(OR($D75="",$F75=0),"",$P75/$F75)</f>
        <v/>
      </c>
      <c r="R75" s="27"/>
      <c r="S75" s="21" t="str">
        <f aca="false">IF($D75="","",IF($B75="","缺月份",IF($F75=0,"缺总工时",IF(ROUND($P75-$F75,2)&gt;0,"工时超出","√"))))</f>
        <v/>
      </c>
    </row>
    <row r="76" customFormat="false" ht="18.75" hidden="false" customHeight="true" outlineLevel="0" collapsed="false">
      <c r="B76" s="28"/>
      <c r="C76" s="7"/>
      <c r="D76" s="7"/>
      <c r="E76" s="27"/>
      <c r="F76" s="18"/>
      <c r="G76" s="19" t="str">
        <f aca="false">IF($D76="","",$F76-$P76)</f>
        <v/>
      </c>
      <c r="H76" s="18"/>
      <c r="I76" s="18"/>
      <c r="J76" s="18"/>
      <c r="K76" s="18"/>
      <c r="L76" s="18"/>
      <c r="M76" s="18"/>
      <c r="N76" s="18"/>
      <c r="O76" s="18"/>
      <c r="P76" s="19" t="str">
        <f aca="false">IF($D76="","",SUM(H76:O76))</f>
        <v/>
      </c>
      <c r="Q76" s="20" t="str">
        <f aca="false">IF(OR($D76="",$F76=0),"",$P76/$F76)</f>
        <v/>
      </c>
      <c r="R76" s="27"/>
      <c r="S76" s="21" t="str">
        <f aca="false">IF($D76="","",IF($B76="","缺月份",IF($F76=0,"缺总工时",IF(ROUND($P76-$F76,2)&gt;0,"工时超出","√"))))</f>
        <v/>
      </c>
    </row>
    <row r="77" customFormat="false" ht="18.75" hidden="false" customHeight="true" outlineLevel="0" collapsed="false">
      <c r="B77" s="28"/>
      <c r="C77" s="7"/>
      <c r="D77" s="7"/>
      <c r="E77" s="27"/>
      <c r="F77" s="18"/>
      <c r="G77" s="19" t="str">
        <f aca="false">IF($D77="","",$F77-$P77)</f>
        <v/>
      </c>
      <c r="H77" s="18"/>
      <c r="I77" s="18"/>
      <c r="J77" s="18"/>
      <c r="K77" s="18"/>
      <c r="L77" s="18"/>
      <c r="M77" s="18"/>
      <c r="N77" s="18"/>
      <c r="O77" s="18"/>
      <c r="P77" s="19" t="str">
        <f aca="false">IF($D77="","",SUM(H77:O77))</f>
        <v/>
      </c>
      <c r="Q77" s="20" t="str">
        <f aca="false">IF(OR($D77="",$F77=0),"",$P77/$F77)</f>
        <v/>
      </c>
      <c r="R77" s="27"/>
      <c r="S77" s="21" t="str">
        <f aca="false">IF($D77="","",IF($B77="","缺月份",IF($F77=0,"缺总工时",IF(ROUND($P77-$F77,2)&gt;0,"工时超出","√"))))</f>
        <v/>
      </c>
    </row>
    <row r="78" customFormat="false" ht="18.75" hidden="false" customHeight="true" outlineLevel="0" collapsed="false">
      <c r="B78" s="28"/>
      <c r="C78" s="7"/>
      <c r="D78" s="7"/>
      <c r="E78" s="27"/>
      <c r="F78" s="18"/>
      <c r="G78" s="19" t="str">
        <f aca="false">IF($D78="","",$F78-$P78)</f>
        <v/>
      </c>
      <c r="H78" s="18"/>
      <c r="I78" s="18"/>
      <c r="J78" s="18"/>
      <c r="K78" s="18"/>
      <c r="L78" s="18"/>
      <c r="M78" s="18"/>
      <c r="N78" s="18"/>
      <c r="O78" s="18"/>
      <c r="P78" s="19" t="str">
        <f aca="false">IF($D78="","",SUM(H78:O78))</f>
        <v/>
      </c>
      <c r="Q78" s="20" t="str">
        <f aca="false">IF(OR($D78="",$F78=0),"",$P78/$F78)</f>
        <v/>
      </c>
      <c r="R78" s="27"/>
      <c r="S78" s="21" t="str">
        <f aca="false">IF($D78="","",IF($B78="","缺月份",IF($F78=0,"缺总工时",IF(ROUND($P78-$F78,2)&gt;0,"工时超出","√"))))</f>
        <v/>
      </c>
    </row>
    <row r="79" customFormat="false" ht="18.75" hidden="false" customHeight="true" outlineLevel="0" collapsed="false">
      <c r="B79" s="28"/>
      <c r="C79" s="7"/>
      <c r="D79" s="7"/>
      <c r="E79" s="27"/>
      <c r="F79" s="18"/>
      <c r="G79" s="19" t="str">
        <f aca="false">IF($D79="","",$F79-$P79)</f>
        <v/>
      </c>
      <c r="H79" s="18"/>
      <c r="I79" s="18"/>
      <c r="J79" s="18"/>
      <c r="K79" s="18"/>
      <c r="L79" s="18"/>
      <c r="M79" s="18"/>
      <c r="N79" s="18"/>
      <c r="O79" s="18"/>
      <c r="P79" s="19" t="str">
        <f aca="false">IF($D79="","",SUM(H79:O79))</f>
        <v/>
      </c>
      <c r="Q79" s="20" t="str">
        <f aca="false">IF(OR($D79="",$F79=0),"",$P79/$F79)</f>
        <v/>
      </c>
      <c r="R79" s="27"/>
      <c r="S79" s="21" t="str">
        <f aca="false">IF($D79="","",IF($B79="","缺月份",IF($F79=0,"缺总工时",IF(ROUND($P79-$F79,2)&gt;0,"工时超出","√"))))</f>
        <v/>
      </c>
    </row>
    <row r="80" customFormat="false" ht="18.75" hidden="false" customHeight="true" outlineLevel="0" collapsed="false">
      <c r="B80" s="28"/>
      <c r="C80" s="7"/>
      <c r="D80" s="7"/>
      <c r="E80" s="27"/>
      <c r="F80" s="18"/>
      <c r="G80" s="19" t="str">
        <f aca="false">IF($D80="","",$F80-$P80)</f>
        <v/>
      </c>
      <c r="H80" s="18"/>
      <c r="I80" s="18"/>
      <c r="J80" s="18"/>
      <c r="K80" s="18"/>
      <c r="L80" s="18"/>
      <c r="M80" s="18"/>
      <c r="N80" s="18"/>
      <c r="O80" s="18"/>
      <c r="P80" s="19" t="str">
        <f aca="false">IF($D80="","",SUM(H80:O80))</f>
        <v/>
      </c>
      <c r="Q80" s="20" t="str">
        <f aca="false">IF(OR($D80="",$F80=0),"",$P80/$F80)</f>
        <v/>
      </c>
      <c r="R80" s="27"/>
      <c r="S80" s="21" t="str">
        <f aca="false">IF($D80="","",IF($B80="","缺月份",IF($F80=0,"缺总工时",IF(ROUND($P80-$F80,2)&gt;0,"工时超出","√"))))</f>
        <v/>
      </c>
    </row>
    <row r="81" customFormat="false" ht="18.75" hidden="false" customHeight="true" outlineLevel="0" collapsed="false">
      <c r="B81" s="28"/>
      <c r="C81" s="7"/>
      <c r="D81" s="7"/>
      <c r="E81" s="27"/>
      <c r="F81" s="18"/>
      <c r="G81" s="19" t="str">
        <f aca="false">IF($D81="","",$F81-$P81)</f>
        <v/>
      </c>
      <c r="H81" s="18"/>
      <c r="I81" s="18"/>
      <c r="J81" s="18"/>
      <c r="K81" s="18"/>
      <c r="L81" s="18"/>
      <c r="M81" s="18"/>
      <c r="N81" s="18"/>
      <c r="O81" s="18"/>
      <c r="P81" s="19" t="str">
        <f aca="false">IF($D81="","",SUM(H81:O81))</f>
        <v/>
      </c>
      <c r="Q81" s="20" t="str">
        <f aca="false">IF(OR($D81="",$F81=0),"",$P81/$F81)</f>
        <v/>
      </c>
      <c r="R81" s="27"/>
      <c r="S81" s="21" t="str">
        <f aca="false">IF($D81="","",IF($B81="","缺月份",IF($F81=0,"缺总工时",IF(ROUND($P81-$F81,2)&gt;0,"工时超出","√"))))</f>
        <v/>
      </c>
    </row>
    <row r="82" customFormat="false" ht="18.75" hidden="false" customHeight="true" outlineLevel="0" collapsed="false">
      <c r="B82" s="28"/>
      <c r="C82" s="7"/>
      <c r="D82" s="7"/>
      <c r="E82" s="27"/>
      <c r="F82" s="18"/>
      <c r="G82" s="19" t="str">
        <f aca="false">IF($D82="","",$F82-$P82)</f>
        <v/>
      </c>
      <c r="H82" s="18"/>
      <c r="I82" s="18"/>
      <c r="J82" s="18"/>
      <c r="K82" s="18"/>
      <c r="L82" s="18"/>
      <c r="M82" s="18"/>
      <c r="N82" s="18"/>
      <c r="O82" s="18"/>
      <c r="P82" s="19" t="str">
        <f aca="false">IF($D82="","",SUM(H82:O82))</f>
        <v/>
      </c>
      <c r="Q82" s="20" t="str">
        <f aca="false">IF(OR($D82="",$F82=0),"",$P82/$F82)</f>
        <v/>
      </c>
      <c r="R82" s="27"/>
      <c r="S82" s="21" t="str">
        <f aca="false">IF($D82="","",IF($B82="","缺月份",IF($F82=0,"缺总工时",IF(ROUND($P82-$F82,2)&gt;0,"工时超出","√"))))</f>
        <v/>
      </c>
    </row>
    <row r="83" customFormat="false" ht="18.75" hidden="false" customHeight="true" outlineLevel="0" collapsed="false">
      <c r="B83" s="28"/>
      <c r="C83" s="7"/>
      <c r="D83" s="7"/>
      <c r="E83" s="27"/>
      <c r="F83" s="18"/>
      <c r="G83" s="19" t="str">
        <f aca="false">IF($D83="","",$F83-$P83)</f>
        <v/>
      </c>
      <c r="H83" s="18"/>
      <c r="I83" s="18"/>
      <c r="J83" s="18"/>
      <c r="K83" s="18"/>
      <c r="L83" s="18"/>
      <c r="M83" s="18"/>
      <c r="N83" s="18"/>
      <c r="O83" s="18"/>
      <c r="P83" s="19" t="str">
        <f aca="false">IF($D83="","",SUM(H83:O83))</f>
        <v/>
      </c>
      <c r="Q83" s="20" t="str">
        <f aca="false">IF(OR($D83="",$F83=0),"",$P83/$F83)</f>
        <v/>
      </c>
      <c r="R83" s="27"/>
      <c r="S83" s="21" t="str">
        <f aca="false">IF($D83="","",IF($B83="","缺月份",IF($F83=0,"缺总工时",IF(ROUND($P83-$F83,2)&gt;0,"工时超出","√"))))</f>
        <v/>
      </c>
    </row>
    <row r="84" customFormat="false" ht="18.75" hidden="false" customHeight="true" outlineLevel="0" collapsed="false">
      <c r="B84" s="28"/>
      <c r="C84" s="7"/>
      <c r="D84" s="7"/>
      <c r="E84" s="27"/>
      <c r="F84" s="18"/>
      <c r="G84" s="19" t="str">
        <f aca="false">IF($D84="","",$F84-$P84)</f>
        <v/>
      </c>
      <c r="H84" s="18"/>
      <c r="I84" s="18"/>
      <c r="J84" s="18"/>
      <c r="K84" s="18"/>
      <c r="L84" s="18"/>
      <c r="M84" s="18"/>
      <c r="N84" s="18"/>
      <c r="O84" s="18"/>
      <c r="P84" s="19" t="str">
        <f aca="false">IF($D84="","",SUM(H84:O84))</f>
        <v/>
      </c>
      <c r="Q84" s="20" t="str">
        <f aca="false">IF(OR($D84="",$F84=0),"",$P84/$F84)</f>
        <v/>
      </c>
      <c r="R84" s="27"/>
      <c r="S84" s="21" t="str">
        <f aca="false">IF($D84="","",IF($B84="","缺月份",IF($F84=0,"缺总工时",IF(ROUND($P84-$F84,2)&gt;0,"工时超出","√"))))</f>
        <v/>
      </c>
    </row>
    <row r="85" customFormat="false" ht="18.75" hidden="false" customHeight="true" outlineLevel="0" collapsed="false">
      <c r="B85" s="28"/>
      <c r="C85" s="7"/>
      <c r="D85" s="7"/>
      <c r="E85" s="27"/>
      <c r="F85" s="18"/>
      <c r="G85" s="19" t="str">
        <f aca="false">IF($D85="","",$F85-$P85)</f>
        <v/>
      </c>
      <c r="H85" s="18"/>
      <c r="I85" s="18"/>
      <c r="J85" s="18"/>
      <c r="K85" s="18"/>
      <c r="L85" s="18"/>
      <c r="M85" s="18"/>
      <c r="N85" s="18"/>
      <c r="O85" s="18"/>
      <c r="P85" s="19" t="str">
        <f aca="false">IF($D85="","",SUM(H85:O85))</f>
        <v/>
      </c>
      <c r="Q85" s="20" t="str">
        <f aca="false">IF(OR($D85="",$F85=0),"",$P85/$F85)</f>
        <v/>
      </c>
      <c r="R85" s="27"/>
      <c r="S85" s="21" t="str">
        <f aca="false">IF($D85="","",IF($B85="","缺月份",IF($F85=0,"缺总工时",IF(ROUND($P85-$F85,2)&gt;0,"工时超出","√"))))</f>
        <v/>
      </c>
    </row>
    <row r="86" customFormat="false" ht="18.75" hidden="false" customHeight="true" outlineLevel="0" collapsed="false">
      <c r="B86" s="28"/>
      <c r="C86" s="7"/>
      <c r="D86" s="7"/>
      <c r="E86" s="27"/>
      <c r="F86" s="18"/>
      <c r="G86" s="19" t="str">
        <f aca="false">IF($D86="","",$F86-$P86)</f>
        <v/>
      </c>
      <c r="H86" s="18"/>
      <c r="I86" s="18"/>
      <c r="J86" s="18"/>
      <c r="K86" s="18"/>
      <c r="L86" s="18"/>
      <c r="M86" s="18"/>
      <c r="N86" s="18"/>
      <c r="O86" s="18"/>
      <c r="P86" s="19" t="str">
        <f aca="false">IF($D86="","",SUM(H86:O86))</f>
        <v/>
      </c>
      <c r="Q86" s="20" t="str">
        <f aca="false">IF(OR($D86="",$F86=0),"",$P86/$F86)</f>
        <v/>
      </c>
      <c r="R86" s="27"/>
      <c r="S86" s="21" t="str">
        <f aca="false">IF($D86="","",IF($B86="","缺月份",IF($F86=0,"缺总工时",IF(ROUND($P86-$F86,2)&gt;0,"工时超出","√"))))</f>
        <v/>
      </c>
    </row>
    <row r="87" customFormat="false" ht="18.75" hidden="false" customHeight="true" outlineLevel="0" collapsed="false">
      <c r="B87" s="28"/>
      <c r="C87" s="7"/>
      <c r="D87" s="7"/>
      <c r="E87" s="27"/>
      <c r="F87" s="18"/>
      <c r="G87" s="19" t="str">
        <f aca="false">IF($D87="","",$F87-$P87)</f>
        <v/>
      </c>
      <c r="H87" s="18"/>
      <c r="I87" s="18"/>
      <c r="J87" s="18"/>
      <c r="K87" s="18"/>
      <c r="L87" s="18"/>
      <c r="M87" s="18"/>
      <c r="N87" s="18"/>
      <c r="O87" s="18"/>
      <c r="P87" s="19" t="str">
        <f aca="false">IF($D87="","",SUM(H87:O87))</f>
        <v/>
      </c>
      <c r="Q87" s="20" t="str">
        <f aca="false">IF(OR($D87="",$F87=0),"",$P87/$F87)</f>
        <v/>
      </c>
      <c r="R87" s="27"/>
      <c r="S87" s="21" t="str">
        <f aca="false">IF($D87="","",IF($B87="","缺月份",IF($F87=0,"缺总工时",IF(ROUND($P87-$F87,2)&gt;0,"工时超出","√"))))</f>
        <v/>
      </c>
    </row>
    <row r="88" customFormat="false" ht="18.75" hidden="false" customHeight="true" outlineLevel="0" collapsed="false">
      <c r="B88" s="28"/>
      <c r="C88" s="7"/>
      <c r="D88" s="7"/>
      <c r="E88" s="27"/>
      <c r="F88" s="18"/>
      <c r="G88" s="19" t="str">
        <f aca="false">IF($D88="","",$F88-$P88)</f>
        <v/>
      </c>
      <c r="H88" s="18"/>
      <c r="I88" s="18"/>
      <c r="J88" s="18"/>
      <c r="K88" s="18"/>
      <c r="L88" s="18"/>
      <c r="M88" s="18"/>
      <c r="N88" s="18"/>
      <c r="O88" s="18"/>
      <c r="P88" s="19" t="str">
        <f aca="false">IF($D88="","",SUM(H88:O88))</f>
        <v/>
      </c>
      <c r="Q88" s="20" t="str">
        <f aca="false">IF(OR($D88="",$F88=0),"",$P88/$F88)</f>
        <v/>
      </c>
      <c r="R88" s="27"/>
      <c r="S88" s="21" t="str">
        <f aca="false">IF($D88="","",IF($B88="","缺月份",IF($F88=0,"缺总工时",IF(ROUND($P88-$F88,2)&gt;0,"工时超出","√"))))</f>
        <v/>
      </c>
    </row>
    <row r="89" customFormat="false" ht="18.75" hidden="false" customHeight="true" outlineLevel="0" collapsed="false">
      <c r="B89" s="28"/>
      <c r="C89" s="7"/>
      <c r="D89" s="7"/>
      <c r="E89" s="27"/>
      <c r="F89" s="18"/>
      <c r="G89" s="19" t="str">
        <f aca="false">IF($D89="","",$F89-$P89)</f>
        <v/>
      </c>
      <c r="H89" s="18"/>
      <c r="I89" s="18"/>
      <c r="J89" s="18"/>
      <c r="K89" s="18"/>
      <c r="L89" s="18"/>
      <c r="M89" s="18"/>
      <c r="N89" s="18"/>
      <c r="O89" s="18"/>
      <c r="P89" s="19" t="str">
        <f aca="false">IF($D89="","",SUM(H89:O89))</f>
        <v/>
      </c>
      <c r="Q89" s="20" t="str">
        <f aca="false">IF(OR($D89="",$F89=0),"",$P89/$F89)</f>
        <v/>
      </c>
      <c r="R89" s="27"/>
      <c r="S89" s="21" t="str">
        <f aca="false">IF($D89="","",IF($B89="","缺月份",IF($F89=0,"缺总工时",IF(ROUND($P89-$F89,2)&gt;0,"工时超出","√"))))</f>
        <v/>
      </c>
    </row>
    <row r="90" customFormat="false" ht="18.75" hidden="false" customHeight="true" outlineLevel="0" collapsed="false">
      <c r="B90" s="28"/>
      <c r="C90" s="7"/>
      <c r="D90" s="7"/>
      <c r="E90" s="27"/>
      <c r="F90" s="18"/>
      <c r="G90" s="19" t="str">
        <f aca="false">IF($D90="","",$F90-$P90)</f>
        <v/>
      </c>
      <c r="H90" s="18"/>
      <c r="I90" s="18"/>
      <c r="J90" s="18"/>
      <c r="K90" s="18"/>
      <c r="L90" s="18"/>
      <c r="M90" s="18"/>
      <c r="N90" s="18"/>
      <c r="O90" s="18"/>
      <c r="P90" s="19" t="str">
        <f aca="false">IF($D90="","",SUM(H90:O90))</f>
        <v/>
      </c>
      <c r="Q90" s="20" t="str">
        <f aca="false">IF(OR($D90="",$F90=0),"",$P90/$F90)</f>
        <v/>
      </c>
      <c r="R90" s="27"/>
      <c r="S90" s="21" t="str">
        <f aca="false">IF($D90="","",IF($B90="","缺月份",IF($F90=0,"缺总工时",IF(ROUND($P90-$F90,2)&gt;0,"工时超出","√"))))</f>
        <v/>
      </c>
    </row>
    <row r="91" customFormat="false" ht="18.75" hidden="false" customHeight="true" outlineLevel="0" collapsed="false">
      <c r="B91" s="28"/>
      <c r="C91" s="7"/>
      <c r="D91" s="7"/>
      <c r="E91" s="27"/>
      <c r="F91" s="18"/>
      <c r="G91" s="19" t="str">
        <f aca="false">IF($D91="","",$F91-$P91)</f>
        <v/>
      </c>
      <c r="H91" s="18"/>
      <c r="I91" s="18"/>
      <c r="J91" s="18"/>
      <c r="K91" s="18"/>
      <c r="L91" s="18"/>
      <c r="M91" s="18"/>
      <c r="N91" s="18"/>
      <c r="O91" s="18"/>
      <c r="P91" s="19" t="str">
        <f aca="false">IF($D91="","",SUM(H91:O91))</f>
        <v/>
      </c>
      <c r="Q91" s="20" t="str">
        <f aca="false">IF(OR($D91="",$F91=0),"",$P91/$F91)</f>
        <v/>
      </c>
      <c r="R91" s="27"/>
      <c r="S91" s="21" t="str">
        <f aca="false">IF($D91="","",IF($B91="","缺月份",IF($F91=0,"缺总工时",IF(ROUND($P91-$F91,2)&gt;0,"工时超出","√"))))</f>
        <v/>
      </c>
    </row>
    <row r="92" customFormat="false" ht="18.75" hidden="false" customHeight="true" outlineLevel="0" collapsed="false">
      <c r="B92" s="28"/>
      <c r="C92" s="7"/>
      <c r="D92" s="7"/>
      <c r="E92" s="27"/>
      <c r="F92" s="18"/>
      <c r="G92" s="19" t="str">
        <f aca="false">IF($D92="","",$F92-$P92)</f>
        <v/>
      </c>
      <c r="H92" s="18"/>
      <c r="I92" s="18"/>
      <c r="J92" s="18"/>
      <c r="K92" s="18"/>
      <c r="L92" s="18"/>
      <c r="M92" s="18"/>
      <c r="N92" s="18"/>
      <c r="O92" s="18"/>
      <c r="P92" s="19" t="str">
        <f aca="false">IF($D92="","",SUM(H92:O92))</f>
        <v/>
      </c>
      <c r="Q92" s="20" t="str">
        <f aca="false">IF(OR($D92="",$F92=0),"",$P92/$F92)</f>
        <v/>
      </c>
      <c r="R92" s="27"/>
      <c r="S92" s="21" t="str">
        <f aca="false">IF($D92="","",IF($B92="","缺月份",IF($F92=0,"缺总工时",IF(ROUND($P92-$F92,2)&gt;0,"工时超出","√"))))</f>
        <v/>
      </c>
    </row>
    <row r="93" customFormat="false" ht="18.75" hidden="false" customHeight="true" outlineLevel="0" collapsed="false">
      <c r="B93" s="28"/>
      <c r="C93" s="7"/>
      <c r="D93" s="7"/>
      <c r="E93" s="27"/>
      <c r="F93" s="18"/>
      <c r="G93" s="19" t="str">
        <f aca="false">IF($D93="","",$F93-$P93)</f>
        <v/>
      </c>
      <c r="H93" s="18"/>
      <c r="I93" s="18"/>
      <c r="J93" s="18"/>
      <c r="K93" s="18"/>
      <c r="L93" s="18"/>
      <c r="M93" s="18"/>
      <c r="N93" s="18"/>
      <c r="O93" s="18"/>
      <c r="P93" s="19" t="str">
        <f aca="false">IF($D93="","",SUM(H93:O93))</f>
        <v/>
      </c>
      <c r="Q93" s="20" t="str">
        <f aca="false">IF(OR($D93="",$F93=0),"",$P93/$F93)</f>
        <v/>
      </c>
      <c r="R93" s="27"/>
      <c r="S93" s="21" t="str">
        <f aca="false">IF($D93="","",IF($B93="","缺月份",IF($F93=0,"缺总工时",IF(ROUND($P93-$F93,2)&gt;0,"工时超出","√"))))</f>
        <v/>
      </c>
    </row>
    <row r="94" customFormat="false" ht="18.75" hidden="false" customHeight="true" outlineLevel="0" collapsed="false">
      <c r="B94" s="28"/>
      <c r="C94" s="7"/>
      <c r="D94" s="7"/>
      <c r="E94" s="27"/>
      <c r="F94" s="18"/>
      <c r="G94" s="19" t="str">
        <f aca="false">IF($D94="","",$F94-$P94)</f>
        <v/>
      </c>
      <c r="H94" s="18"/>
      <c r="I94" s="18"/>
      <c r="J94" s="18"/>
      <c r="K94" s="18"/>
      <c r="L94" s="18"/>
      <c r="M94" s="18"/>
      <c r="N94" s="18"/>
      <c r="O94" s="18"/>
      <c r="P94" s="19" t="str">
        <f aca="false">IF($D94="","",SUM(H94:O94))</f>
        <v/>
      </c>
      <c r="Q94" s="20" t="str">
        <f aca="false">IF(OR($D94="",$F94=0),"",$P94/$F94)</f>
        <v/>
      </c>
      <c r="R94" s="27"/>
      <c r="S94" s="21" t="str">
        <f aca="false">IF($D94="","",IF($B94="","缺月份",IF($F94=0,"缺总工时",IF(ROUND($P94-$F94,2)&gt;0,"工时超出","√"))))</f>
        <v/>
      </c>
    </row>
    <row r="95" customFormat="false" ht="18.75" hidden="false" customHeight="true" outlineLevel="0" collapsed="false">
      <c r="B95" s="28"/>
      <c r="C95" s="7"/>
      <c r="D95" s="7"/>
      <c r="E95" s="27"/>
      <c r="F95" s="18"/>
      <c r="G95" s="19" t="str">
        <f aca="false">IF($D95="","",$F95-$P95)</f>
        <v/>
      </c>
      <c r="H95" s="18"/>
      <c r="I95" s="18"/>
      <c r="J95" s="18"/>
      <c r="K95" s="18"/>
      <c r="L95" s="18"/>
      <c r="M95" s="18"/>
      <c r="N95" s="18"/>
      <c r="O95" s="18"/>
      <c r="P95" s="19" t="str">
        <f aca="false">IF($D95="","",SUM(H95:O95))</f>
        <v/>
      </c>
      <c r="Q95" s="20" t="str">
        <f aca="false">IF(OR($D95="",$F95=0),"",$P95/$F95)</f>
        <v/>
      </c>
      <c r="R95" s="27"/>
      <c r="S95" s="21" t="str">
        <f aca="false">IF($D95="","",IF($B95="","缺月份",IF($F95=0,"缺总工时",IF(ROUND($P95-$F95,2)&gt;0,"工时超出","√"))))</f>
        <v/>
      </c>
    </row>
    <row r="96" customFormat="false" ht="18.75" hidden="false" customHeight="true" outlineLevel="0" collapsed="false">
      <c r="B96" s="28"/>
      <c r="C96" s="7"/>
      <c r="D96" s="7"/>
      <c r="E96" s="27"/>
      <c r="F96" s="18"/>
      <c r="G96" s="19" t="str">
        <f aca="false">IF($D96="","",$F96-$P96)</f>
        <v/>
      </c>
      <c r="H96" s="18"/>
      <c r="I96" s="18"/>
      <c r="J96" s="18"/>
      <c r="K96" s="18"/>
      <c r="L96" s="18"/>
      <c r="M96" s="18"/>
      <c r="N96" s="18"/>
      <c r="O96" s="18"/>
      <c r="P96" s="19" t="str">
        <f aca="false">IF($D96="","",SUM(H96:O96))</f>
        <v/>
      </c>
      <c r="Q96" s="20" t="str">
        <f aca="false">IF(OR($D96="",$F96=0),"",$P96/$F96)</f>
        <v/>
      </c>
      <c r="R96" s="27"/>
      <c r="S96" s="21" t="str">
        <f aca="false">IF($D96="","",IF($B96="","缺月份",IF($F96=0,"缺总工时",IF(ROUND($P96-$F96,2)&gt;0,"工时超出","√"))))</f>
        <v/>
      </c>
    </row>
    <row r="97" customFormat="false" ht="18.75" hidden="false" customHeight="true" outlineLevel="0" collapsed="false">
      <c r="B97" s="28"/>
      <c r="C97" s="7"/>
      <c r="D97" s="7"/>
      <c r="E97" s="27"/>
      <c r="F97" s="18"/>
      <c r="G97" s="19" t="str">
        <f aca="false">IF($D97="","",$F97-$P97)</f>
        <v/>
      </c>
      <c r="H97" s="18"/>
      <c r="I97" s="18"/>
      <c r="J97" s="18"/>
      <c r="K97" s="18"/>
      <c r="L97" s="18"/>
      <c r="M97" s="18"/>
      <c r="N97" s="18"/>
      <c r="O97" s="18"/>
      <c r="P97" s="19" t="str">
        <f aca="false">IF($D97="","",SUM(H97:O97))</f>
        <v/>
      </c>
      <c r="Q97" s="20" t="str">
        <f aca="false">IF(OR($D97="",$F97=0),"",$P97/$F97)</f>
        <v/>
      </c>
      <c r="R97" s="27"/>
      <c r="S97" s="21" t="str">
        <f aca="false">IF($D97="","",IF($B97="","缺月份",IF($F97=0,"缺总工时",IF(ROUND($P97-$F97,2)&gt;0,"工时超出","√"))))</f>
        <v/>
      </c>
    </row>
    <row r="98" customFormat="false" ht="18.75" hidden="false" customHeight="true" outlineLevel="0" collapsed="false">
      <c r="B98" s="28"/>
      <c r="C98" s="7"/>
      <c r="D98" s="7"/>
      <c r="E98" s="27"/>
      <c r="F98" s="18"/>
      <c r="G98" s="19" t="str">
        <f aca="false">IF($D98="","",$F98-$P98)</f>
        <v/>
      </c>
      <c r="H98" s="18"/>
      <c r="I98" s="18"/>
      <c r="J98" s="18"/>
      <c r="K98" s="18"/>
      <c r="L98" s="18"/>
      <c r="M98" s="18"/>
      <c r="N98" s="18"/>
      <c r="O98" s="18"/>
      <c r="P98" s="19" t="str">
        <f aca="false">IF($D98="","",SUM(H98:O98))</f>
        <v/>
      </c>
      <c r="Q98" s="20" t="str">
        <f aca="false">IF(OR($D98="",$F98=0),"",$P98/$F98)</f>
        <v/>
      </c>
      <c r="R98" s="27"/>
      <c r="S98" s="21" t="str">
        <f aca="false">IF($D98="","",IF($B98="","缺月份",IF($F98=0,"缺总工时",IF(ROUND($P98-$F98,2)&gt;0,"工时超出","√"))))</f>
        <v/>
      </c>
    </row>
    <row r="99" customFormat="false" ht="18.75" hidden="false" customHeight="true" outlineLevel="0" collapsed="false">
      <c r="B99" s="28"/>
      <c r="C99" s="7"/>
      <c r="D99" s="7"/>
      <c r="E99" s="27"/>
      <c r="F99" s="18"/>
      <c r="G99" s="19" t="str">
        <f aca="false">IF($D99="","",$F99-$P99)</f>
        <v/>
      </c>
      <c r="H99" s="18"/>
      <c r="I99" s="18"/>
      <c r="J99" s="18"/>
      <c r="K99" s="18"/>
      <c r="L99" s="18"/>
      <c r="M99" s="18"/>
      <c r="N99" s="18"/>
      <c r="O99" s="18"/>
      <c r="P99" s="19" t="str">
        <f aca="false">IF($D99="","",SUM(H99:O99))</f>
        <v/>
      </c>
      <c r="Q99" s="20" t="str">
        <f aca="false">IF(OR($D99="",$F99=0),"",$P99/$F99)</f>
        <v/>
      </c>
      <c r="R99" s="27"/>
      <c r="S99" s="21" t="str">
        <f aca="false">IF($D99="","",IF($B99="","缺月份",IF($F99=0,"缺总工时",IF(ROUND($P99-$F99,2)&gt;0,"工时超出","√"))))</f>
        <v/>
      </c>
    </row>
    <row r="100" customFormat="false" ht="18.75" hidden="false" customHeight="true" outlineLevel="0" collapsed="false">
      <c r="B100" s="28"/>
      <c r="C100" s="7"/>
      <c r="D100" s="7"/>
      <c r="E100" s="27"/>
      <c r="F100" s="18"/>
      <c r="G100" s="19" t="str">
        <f aca="false">IF($D100="","",$F100-$P100)</f>
        <v/>
      </c>
      <c r="H100" s="18"/>
      <c r="I100" s="18"/>
      <c r="J100" s="18"/>
      <c r="K100" s="18"/>
      <c r="L100" s="18"/>
      <c r="M100" s="18"/>
      <c r="N100" s="18"/>
      <c r="O100" s="18"/>
      <c r="P100" s="19" t="str">
        <f aca="false">IF($D100="","",SUM(H100:O100))</f>
        <v/>
      </c>
      <c r="Q100" s="20" t="str">
        <f aca="false">IF(OR($D100="",$F100=0),"",$P100/$F100)</f>
        <v/>
      </c>
      <c r="R100" s="27"/>
      <c r="S100" s="21" t="str">
        <f aca="false">IF($D100="","",IF($B100="","缺月份",IF($F100=0,"缺总工时",IF(ROUND($P100-$F100,2)&gt;0,"工时超出","√"))))</f>
        <v/>
      </c>
    </row>
    <row r="101" customFormat="false" ht="18.75" hidden="false" customHeight="true" outlineLevel="0" collapsed="false">
      <c r="B101" s="28"/>
      <c r="C101" s="7"/>
      <c r="D101" s="7"/>
      <c r="E101" s="27"/>
      <c r="F101" s="18"/>
      <c r="G101" s="19" t="str">
        <f aca="false">IF($D101="","",$F101-$P101)</f>
        <v/>
      </c>
      <c r="H101" s="18"/>
      <c r="I101" s="18"/>
      <c r="J101" s="18"/>
      <c r="K101" s="18"/>
      <c r="L101" s="18"/>
      <c r="M101" s="18"/>
      <c r="N101" s="18"/>
      <c r="O101" s="18"/>
      <c r="P101" s="19" t="str">
        <f aca="false">IF($D101="","",SUM(H101:O101))</f>
        <v/>
      </c>
      <c r="Q101" s="20" t="str">
        <f aca="false">IF(OR($D101="",$F101=0),"",$P101/$F101)</f>
        <v/>
      </c>
      <c r="R101" s="27"/>
      <c r="S101" s="21" t="str">
        <f aca="false">IF($D101="","",IF($B101="","缺月份",IF($F101=0,"缺总工时",IF(ROUND($P101-$F101,2)&gt;0,"工时超出","√"))))</f>
        <v/>
      </c>
    </row>
    <row r="102" customFormat="false" ht="18.75" hidden="false" customHeight="true" outlineLevel="0" collapsed="false">
      <c r="B102" s="28"/>
      <c r="C102" s="7"/>
      <c r="D102" s="7"/>
      <c r="E102" s="27"/>
      <c r="F102" s="18"/>
      <c r="G102" s="19" t="str">
        <f aca="false">IF($D102="","",$F102-$P102)</f>
        <v/>
      </c>
      <c r="H102" s="18"/>
      <c r="I102" s="18"/>
      <c r="J102" s="18"/>
      <c r="K102" s="18"/>
      <c r="L102" s="18"/>
      <c r="M102" s="18"/>
      <c r="N102" s="18"/>
      <c r="O102" s="18"/>
      <c r="P102" s="19" t="str">
        <f aca="false">IF($D102="","",SUM(H102:O102))</f>
        <v/>
      </c>
      <c r="Q102" s="20" t="str">
        <f aca="false">IF(OR($D102="",$F102=0),"",$P102/$F102)</f>
        <v/>
      </c>
      <c r="R102" s="27"/>
      <c r="S102" s="21" t="str">
        <f aca="false">IF($D102="","",IF($B102="","缺月份",IF($F102=0,"缺总工时",IF(ROUND($P102-$F102,2)&gt;0,"工时超出","√"))))</f>
        <v/>
      </c>
    </row>
    <row r="103" customFormat="false" ht="18.75" hidden="false" customHeight="true" outlineLevel="0" collapsed="false">
      <c r="B103" s="28"/>
      <c r="C103" s="7"/>
      <c r="D103" s="7"/>
      <c r="E103" s="27"/>
      <c r="F103" s="18"/>
      <c r="G103" s="19" t="str">
        <f aca="false">IF($D103="","",$F103-$P103)</f>
        <v/>
      </c>
      <c r="H103" s="18"/>
      <c r="I103" s="18"/>
      <c r="J103" s="18"/>
      <c r="K103" s="18"/>
      <c r="L103" s="18"/>
      <c r="M103" s="18"/>
      <c r="N103" s="18"/>
      <c r="O103" s="18"/>
      <c r="P103" s="19" t="str">
        <f aca="false">IF($D103="","",SUM(H103:O103))</f>
        <v/>
      </c>
      <c r="Q103" s="20" t="str">
        <f aca="false">IF(OR($D103="",$F103=0),"",$P103/$F103)</f>
        <v/>
      </c>
      <c r="R103" s="27"/>
      <c r="S103" s="21" t="str">
        <f aca="false">IF($D103="","",IF($B103="","缺月份",IF($F103=0,"缺总工时",IF(ROUND($P103-$F103,2)&gt;0,"工时超出","√"))))</f>
        <v/>
      </c>
    </row>
    <row r="104" customFormat="false" ht="18.75" hidden="false" customHeight="true" outlineLevel="0" collapsed="false">
      <c r="B104" s="28"/>
      <c r="C104" s="7"/>
      <c r="D104" s="7"/>
      <c r="E104" s="27"/>
      <c r="F104" s="18"/>
      <c r="G104" s="19" t="str">
        <f aca="false">IF($D104="","",$F104-$P104)</f>
        <v/>
      </c>
      <c r="H104" s="18"/>
      <c r="I104" s="18"/>
      <c r="J104" s="18"/>
      <c r="K104" s="18"/>
      <c r="L104" s="18"/>
      <c r="M104" s="18"/>
      <c r="N104" s="18"/>
      <c r="O104" s="18"/>
      <c r="P104" s="19" t="str">
        <f aca="false">IF($D104="","",SUM(H104:O104))</f>
        <v/>
      </c>
      <c r="Q104" s="20" t="str">
        <f aca="false">IF(OR($D104="",$F104=0),"",$P104/$F104)</f>
        <v/>
      </c>
      <c r="R104" s="27"/>
      <c r="S104" s="21" t="str">
        <f aca="false">IF($D104="","",IF($B104="","缺月份",IF($F104=0,"缺总工时",IF(ROUND($P104-$F104,2)&gt;0,"工时超出","√"))))</f>
        <v/>
      </c>
    </row>
    <row r="105" customFormat="false" ht="18.75" hidden="false" customHeight="true" outlineLevel="0" collapsed="false">
      <c r="B105" s="28"/>
      <c r="C105" s="7"/>
      <c r="D105" s="7"/>
      <c r="E105" s="27"/>
      <c r="F105" s="18"/>
      <c r="G105" s="19" t="str">
        <f aca="false">IF($D105="","",$F105-$P105)</f>
        <v/>
      </c>
      <c r="H105" s="18"/>
      <c r="I105" s="18"/>
      <c r="J105" s="18"/>
      <c r="K105" s="18"/>
      <c r="L105" s="18"/>
      <c r="M105" s="18"/>
      <c r="N105" s="18"/>
      <c r="O105" s="18"/>
      <c r="P105" s="19" t="str">
        <f aca="false">IF($D105="","",SUM(H105:O105))</f>
        <v/>
      </c>
      <c r="Q105" s="20" t="str">
        <f aca="false">IF(OR($D105="",$F105=0),"",$P105/$F105)</f>
        <v/>
      </c>
      <c r="R105" s="27"/>
      <c r="S105" s="21" t="str">
        <f aca="false">IF($D105="","",IF($B105="","缺月份",IF($F105=0,"缺总工时",IF(ROUND($P105-$F105,2)&gt;0,"工时超出","√"))))</f>
        <v/>
      </c>
    </row>
    <row r="106" customFormat="false" ht="18.75" hidden="false" customHeight="true" outlineLevel="0" collapsed="false">
      <c r="B106" s="28"/>
      <c r="C106" s="7"/>
      <c r="D106" s="7"/>
      <c r="E106" s="27"/>
      <c r="F106" s="18"/>
      <c r="G106" s="19" t="str">
        <f aca="false">IF($D106="","",$F106-$P106)</f>
        <v/>
      </c>
      <c r="H106" s="18"/>
      <c r="I106" s="18"/>
      <c r="J106" s="18"/>
      <c r="K106" s="18"/>
      <c r="L106" s="18"/>
      <c r="M106" s="18"/>
      <c r="N106" s="18"/>
      <c r="O106" s="18"/>
      <c r="P106" s="19" t="str">
        <f aca="false">IF($D106="","",SUM(H106:O106))</f>
        <v/>
      </c>
      <c r="Q106" s="20" t="str">
        <f aca="false">IF(OR($D106="",$F106=0),"",$P106/$F106)</f>
        <v/>
      </c>
      <c r="R106" s="27"/>
      <c r="S106" s="21" t="str">
        <f aca="false">IF($D106="","",IF($B106="","缺月份",IF($F106=0,"缺总工时",IF(ROUND($P106-$F106,2)&gt;0,"工时超出","√"))))</f>
        <v/>
      </c>
    </row>
    <row r="107" customFormat="false" ht="18.75" hidden="false" customHeight="true" outlineLevel="0" collapsed="false">
      <c r="B107" s="28"/>
      <c r="C107" s="7"/>
      <c r="D107" s="7"/>
      <c r="E107" s="27"/>
      <c r="F107" s="18"/>
      <c r="G107" s="19" t="str">
        <f aca="false">IF($D107="","",$F107-$P107)</f>
        <v/>
      </c>
      <c r="H107" s="18"/>
      <c r="I107" s="18"/>
      <c r="J107" s="18"/>
      <c r="K107" s="18"/>
      <c r="L107" s="18"/>
      <c r="M107" s="18"/>
      <c r="N107" s="18"/>
      <c r="O107" s="18"/>
      <c r="P107" s="19" t="str">
        <f aca="false">IF($D107="","",SUM(H107:O107))</f>
        <v/>
      </c>
      <c r="Q107" s="20" t="str">
        <f aca="false">IF(OR($D107="",$F107=0),"",$P107/$F107)</f>
        <v/>
      </c>
      <c r="R107" s="27"/>
      <c r="S107" s="21" t="str">
        <f aca="false">IF($D107="","",IF($B107="","缺月份",IF($F107=0,"缺总工时",IF(ROUND($P107-$F107,2)&gt;0,"工时超出","√"))))</f>
        <v/>
      </c>
    </row>
    <row r="108" customFormat="false" ht="18.75" hidden="false" customHeight="true" outlineLevel="0" collapsed="false">
      <c r="B108" s="28"/>
      <c r="C108" s="7"/>
      <c r="D108" s="7"/>
      <c r="E108" s="27"/>
      <c r="F108" s="18"/>
      <c r="G108" s="19" t="str">
        <f aca="false">IF($D108="","",$F108-$P108)</f>
        <v/>
      </c>
      <c r="H108" s="18"/>
      <c r="I108" s="18"/>
      <c r="J108" s="18"/>
      <c r="K108" s="18"/>
      <c r="L108" s="18"/>
      <c r="M108" s="18"/>
      <c r="N108" s="18"/>
      <c r="O108" s="18"/>
      <c r="P108" s="19" t="str">
        <f aca="false">IF($D108="","",SUM(H108:O108))</f>
        <v/>
      </c>
      <c r="Q108" s="20" t="str">
        <f aca="false">IF(OR($D108="",$F108=0),"",$P108/$F108)</f>
        <v/>
      </c>
      <c r="R108" s="27"/>
      <c r="S108" s="21" t="str">
        <f aca="false">IF($D108="","",IF($B108="","缺月份",IF($F108=0,"缺总工时",IF(ROUND($P108-$F108,2)&gt;0,"工时超出","√"))))</f>
        <v/>
      </c>
    </row>
    <row r="109" customFormat="false" ht="18.75" hidden="false" customHeight="true" outlineLevel="0" collapsed="false">
      <c r="B109" s="28"/>
      <c r="C109" s="7"/>
      <c r="D109" s="7"/>
      <c r="E109" s="27"/>
      <c r="F109" s="18"/>
      <c r="G109" s="19" t="str">
        <f aca="false">IF($D109="","",$F109-$P109)</f>
        <v/>
      </c>
      <c r="H109" s="18"/>
      <c r="I109" s="18"/>
      <c r="J109" s="18"/>
      <c r="K109" s="18"/>
      <c r="L109" s="18"/>
      <c r="M109" s="18"/>
      <c r="N109" s="18"/>
      <c r="O109" s="18"/>
      <c r="P109" s="19" t="str">
        <f aca="false">IF($D109="","",SUM(H109:O109))</f>
        <v/>
      </c>
      <c r="Q109" s="20" t="str">
        <f aca="false">IF(OR($D109="",$F109=0),"",$P109/$F109)</f>
        <v/>
      </c>
      <c r="R109" s="27"/>
      <c r="S109" s="21" t="str">
        <f aca="false">IF($D109="","",IF($B109="","缺月份",IF($F109=0,"缺总工时",IF(ROUND($P109-$F109,2)&gt;0,"工时超出","√"))))</f>
        <v/>
      </c>
    </row>
    <row r="110" customFormat="false" ht="18.75" hidden="false" customHeight="true" outlineLevel="0" collapsed="false">
      <c r="B110" s="28"/>
      <c r="C110" s="7"/>
      <c r="D110" s="7"/>
      <c r="E110" s="27"/>
      <c r="F110" s="18"/>
      <c r="G110" s="19" t="str">
        <f aca="false">IF($D110="","",$F110-$P110)</f>
        <v/>
      </c>
      <c r="H110" s="18"/>
      <c r="I110" s="18"/>
      <c r="J110" s="18"/>
      <c r="K110" s="18"/>
      <c r="L110" s="18"/>
      <c r="M110" s="18"/>
      <c r="N110" s="18"/>
      <c r="O110" s="18"/>
      <c r="P110" s="19" t="str">
        <f aca="false">IF($D110="","",SUM(H110:O110))</f>
        <v/>
      </c>
      <c r="Q110" s="20" t="str">
        <f aca="false">IF(OR($D110="",$F110=0),"",$P110/$F110)</f>
        <v/>
      </c>
      <c r="R110" s="27"/>
      <c r="S110" s="21" t="str">
        <f aca="false">IF($D110="","",IF($B110="","缺月份",IF($F110=0,"缺总工时",IF(ROUND($P110-$F110,2)&gt;0,"工时超出","√"))))</f>
        <v/>
      </c>
    </row>
    <row r="111" customFormat="false" ht="18.75" hidden="false" customHeight="true" outlineLevel="0" collapsed="false">
      <c r="B111" s="28"/>
      <c r="C111" s="7"/>
      <c r="D111" s="7"/>
      <c r="E111" s="27"/>
      <c r="F111" s="18"/>
      <c r="G111" s="19" t="str">
        <f aca="false">IF($D111="","",$F111-$P111)</f>
        <v/>
      </c>
      <c r="H111" s="18"/>
      <c r="I111" s="18"/>
      <c r="J111" s="18"/>
      <c r="K111" s="18"/>
      <c r="L111" s="18"/>
      <c r="M111" s="18"/>
      <c r="N111" s="18"/>
      <c r="O111" s="18"/>
      <c r="P111" s="19" t="str">
        <f aca="false">IF($D111="","",SUM(H111:O111))</f>
        <v/>
      </c>
      <c r="Q111" s="20" t="str">
        <f aca="false">IF(OR($D111="",$F111=0),"",$P111/$F111)</f>
        <v/>
      </c>
      <c r="R111" s="27"/>
      <c r="S111" s="21" t="str">
        <f aca="false">IF($D111="","",IF($B111="","缺月份",IF($F111=0,"缺总工时",IF(ROUND($P111-$F111,2)&gt;0,"工时超出","√"))))</f>
        <v/>
      </c>
    </row>
    <row r="112" customFormat="false" ht="18.75" hidden="false" customHeight="true" outlineLevel="0" collapsed="false">
      <c r="B112" s="28"/>
      <c r="C112" s="7"/>
      <c r="D112" s="7"/>
      <c r="E112" s="27"/>
      <c r="F112" s="18"/>
      <c r="G112" s="19" t="str">
        <f aca="false">IF($D112="","",$F112-$P112)</f>
        <v/>
      </c>
      <c r="H112" s="18"/>
      <c r="I112" s="18"/>
      <c r="J112" s="18"/>
      <c r="K112" s="18"/>
      <c r="L112" s="18"/>
      <c r="M112" s="18"/>
      <c r="N112" s="18"/>
      <c r="O112" s="18"/>
      <c r="P112" s="19" t="str">
        <f aca="false">IF($D112="","",SUM(H112:O112))</f>
        <v/>
      </c>
      <c r="Q112" s="20" t="str">
        <f aca="false">IF(OR($D112="",$F112=0),"",$P112/$F112)</f>
        <v/>
      </c>
      <c r="R112" s="27"/>
      <c r="S112" s="21" t="str">
        <f aca="false">IF($D112="","",IF($B112="","缺月份",IF($F112=0,"缺总工时",IF(ROUND($P112-$F112,2)&gt;0,"工时超出","√"))))</f>
        <v/>
      </c>
    </row>
    <row r="113" customFormat="false" ht="18.75" hidden="false" customHeight="true" outlineLevel="0" collapsed="false">
      <c r="B113" s="28"/>
      <c r="C113" s="7"/>
      <c r="D113" s="7"/>
      <c r="E113" s="27"/>
      <c r="F113" s="18"/>
      <c r="G113" s="19" t="str">
        <f aca="false">IF($D113="","",$F113-$P113)</f>
        <v/>
      </c>
      <c r="H113" s="18"/>
      <c r="I113" s="18"/>
      <c r="J113" s="18"/>
      <c r="K113" s="18"/>
      <c r="L113" s="18"/>
      <c r="M113" s="18"/>
      <c r="N113" s="18"/>
      <c r="O113" s="18"/>
      <c r="P113" s="19" t="str">
        <f aca="false">IF($D113="","",SUM(H113:O113))</f>
        <v/>
      </c>
      <c r="Q113" s="20" t="str">
        <f aca="false">IF(OR($D113="",$F113=0),"",$P113/$F113)</f>
        <v/>
      </c>
      <c r="R113" s="27"/>
      <c r="S113" s="21" t="str">
        <f aca="false">IF($D113="","",IF($B113="","缺月份",IF($F113=0,"缺总工时",IF(ROUND($P113-$F113,2)&gt;0,"工时超出","√"))))</f>
        <v/>
      </c>
    </row>
    <row r="114" customFormat="false" ht="18.75" hidden="false" customHeight="true" outlineLevel="0" collapsed="false">
      <c r="B114" s="28"/>
      <c r="C114" s="7"/>
      <c r="D114" s="7"/>
      <c r="E114" s="27"/>
      <c r="F114" s="18"/>
      <c r="G114" s="19" t="str">
        <f aca="false">IF($D114="","",$F114-$P114)</f>
        <v/>
      </c>
      <c r="H114" s="18"/>
      <c r="I114" s="18"/>
      <c r="J114" s="18"/>
      <c r="K114" s="18"/>
      <c r="L114" s="18"/>
      <c r="M114" s="18"/>
      <c r="N114" s="18"/>
      <c r="O114" s="18"/>
      <c r="P114" s="19" t="str">
        <f aca="false">IF($D114="","",SUM(H114:O114))</f>
        <v/>
      </c>
      <c r="Q114" s="20" t="str">
        <f aca="false">IF(OR($D114="",$F114=0),"",$P114/$F114)</f>
        <v/>
      </c>
      <c r="R114" s="27"/>
      <c r="S114" s="21" t="str">
        <f aca="false">IF($D114="","",IF($B114="","缺月份",IF($F114=0,"缺总工时",IF(ROUND($P114-$F114,2)&gt;0,"工时超出","√"))))</f>
        <v/>
      </c>
    </row>
    <row r="115" customFormat="false" ht="18.75" hidden="false" customHeight="true" outlineLevel="0" collapsed="false">
      <c r="B115" s="28"/>
      <c r="C115" s="7"/>
      <c r="D115" s="7"/>
      <c r="E115" s="27"/>
      <c r="F115" s="18"/>
      <c r="G115" s="19" t="str">
        <f aca="false">IF($D115="","",$F115-$P115)</f>
        <v/>
      </c>
      <c r="H115" s="18"/>
      <c r="I115" s="18"/>
      <c r="J115" s="18"/>
      <c r="K115" s="18"/>
      <c r="L115" s="18"/>
      <c r="M115" s="18"/>
      <c r="N115" s="18"/>
      <c r="O115" s="18"/>
      <c r="P115" s="19" t="str">
        <f aca="false">IF($D115="","",SUM(H115:O115))</f>
        <v/>
      </c>
      <c r="Q115" s="20" t="str">
        <f aca="false">IF(OR($D115="",$F115=0),"",$P115/$F115)</f>
        <v/>
      </c>
      <c r="R115" s="27"/>
      <c r="S115" s="21" t="str">
        <f aca="false">IF($D115="","",IF($B115="","缺月份",IF($F115=0,"缺总工时",IF(ROUND($P115-$F115,2)&gt;0,"工时超出","√"))))</f>
        <v/>
      </c>
    </row>
    <row r="116" customFormat="false" ht="18.75" hidden="false" customHeight="true" outlineLevel="0" collapsed="false">
      <c r="B116" s="28"/>
      <c r="C116" s="7"/>
      <c r="D116" s="7"/>
      <c r="E116" s="27"/>
      <c r="F116" s="18"/>
      <c r="G116" s="19" t="str">
        <f aca="false">IF($D116="","",$F116-$P116)</f>
        <v/>
      </c>
      <c r="H116" s="18"/>
      <c r="I116" s="18"/>
      <c r="J116" s="18"/>
      <c r="K116" s="18"/>
      <c r="L116" s="18"/>
      <c r="M116" s="18"/>
      <c r="N116" s="18"/>
      <c r="O116" s="18"/>
      <c r="P116" s="19" t="str">
        <f aca="false">IF($D116="","",SUM(H116:O116))</f>
        <v/>
      </c>
      <c r="Q116" s="20" t="str">
        <f aca="false">IF(OR($D116="",$F116=0),"",$P116/$F116)</f>
        <v/>
      </c>
      <c r="R116" s="27"/>
      <c r="S116" s="21" t="str">
        <f aca="false">IF($D116="","",IF($B116="","缺月份",IF($F116=0,"缺总工时",IF(ROUND($P116-$F116,2)&gt;0,"工时超出","√"))))</f>
        <v/>
      </c>
    </row>
    <row r="117" customFormat="false" ht="18.75" hidden="false" customHeight="true" outlineLevel="0" collapsed="false">
      <c r="B117" s="28"/>
      <c r="C117" s="7"/>
      <c r="D117" s="7"/>
      <c r="E117" s="27"/>
      <c r="F117" s="18"/>
      <c r="G117" s="19" t="str">
        <f aca="false">IF($D117="","",$F117-$P117)</f>
        <v/>
      </c>
      <c r="H117" s="18"/>
      <c r="I117" s="18"/>
      <c r="J117" s="18"/>
      <c r="K117" s="18"/>
      <c r="L117" s="18"/>
      <c r="M117" s="18"/>
      <c r="N117" s="18"/>
      <c r="O117" s="18"/>
      <c r="P117" s="19" t="str">
        <f aca="false">IF($D117="","",SUM(H117:O117))</f>
        <v/>
      </c>
      <c r="Q117" s="20" t="str">
        <f aca="false">IF(OR($D117="",$F117=0),"",$P117/$F117)</f>
        <v/>
      </c>
      <c r="R117" s="27"/>
      <c r="S117" s="21" t="str">
        <f aca="false">IF($D117="","",IF($B117="","缺月份",IF($F117=0,"缺总工时",IF(ROUND($P117-$F117,2)&gt;0,"工时超出","√"))))</f>
        <v/>
      </c>
    </row>
    <row r="118" customFormat="false" ht="18.75" hidden="false" customHeight="true" outlineLevel="0" collapsed="false">
      <c r="B118" s="28"/>
      <c r="C118" s="7"/>
      <c r="D118" s="7"/>
      <c r="E118" s="27"/>
      <c r="F118" s="18"/>
      <c r="G118" s="19" t="str">
        <f aca="false">IF($D118="","",$F118-$P118)</f>
        <v/>
      </c>
      <c r="H118" s="18"/>
      <c r="I118" s="18"/>
      <c r="J118" s="18"/>
      <c r="K118" s="18"/>
      <c r="L118" s="18"/>
      <c r="M118" s="18"/>
      <c r="N118" s="18"/>
      <c r="O118" s="18"/>
      <c r="P118" s="19" t="str">
        <f aca="false">IF($D118="","",SUM(H118:O118))</f>
        <v/>
      </c>
      <c r="Q118" s="20" t="str">
        <f aca="false">IF(OR($D118="",$F118=0),"",$P118/$F118)</f>
        <v/>
      </c>
      <c r="R118" s="27"/>
      <c r="S118" s="21" t="str">
        <f aca="false">IF($D118="","",IF($B118="","缺月份",IF($F118=0,"缺总工时",IF(ROUND($P118-$F118,2)&gt;0,"工时超出","√"))))</f>
        <v/>
      </c>
    </row>
    <row r="119" customFormat="false" ht="18.75" hidden="false" customHeight="true" outlineLevel="0" collapsed="false">
      <c r="B119" s="28"/>
      <c r="C119" s="7"/>
      <c r="D119" s="7"/>
      <c r="E119" s="27"/>
      <c r="F119" s="18"/>
      <c r="G119" s="19" t="str">
        <f aca="false">IF($D119="","",$F119-$P119)</f>
        <v/>
      </c>
      <c r="H119" s="18"/>
      <c r="I119" s="18"/>
      <c r="J119" s="18"/>
      <c r="K119" s="18"/>
      <c r="L119" s="18"/>
      <c r="M119" s="18"/>
      <c r="N119" s="18"/>
      <c r="O119" s="18"/>
      <c r="P119" s="19" t="str">
        <f aca="false">IF($D119="","",SUM(H119:O119))</f>
        <v/>
      </c>
      <c r="Q119" s="20" t="str">
        <f aca="false">IF(OR($D119="",$F119=0),"",$P119/$F119)</f>
        <v/>
      </c>
      <c r="R119" s="27"/>
      <c r="S119" s="21" t="str">
        <f aca="false">IF($D119="","",IF($B119="","缺月份",IF($F119=0,"缺总工时",IF(ROUND($P119-$F119,2)&gt;0,"工时超出","√"))))</f>
        <v/>
      </c>
    </row>
    <row r="120" customFormat="false" ht="18.75" hidden="false" customHeight="true" outlineLevel="0" collapsed="false">
      <c r="B120" s="28"/>
      <c r="C120" s="7"/>
      <c r="D120" s="7"/>
      <c r="E120" s="27"/>
      <c r="F120" s="18"/>
      <c r="G120" s="19" t="str">
        <f aca="false">IF($D120="","",$F120-$P120)</f>
        <v/>
      </c>
      <c r="H120" s="18"/>
      <c r="I120" s="18"/>
      <c r="J120" s="18"/>
      <c r="K120" s="18"/>
      <c r="L120" s="18"/>
      <c r="M120" s="18"/>
      <c r="N120" s="18"/>
      <c r="O120" s="18"/>
      <c r="P120" s="19" t="str">
        <f aca="false">IF($D120="","",SUM(H120:O120))</f>
        <v/>
      </c>
      <c r="Q120" s="20" t="str">
        <f aca="false">IF(OR($D120="",$F120=0),"",$P120/$F120)</f>
        <v/>
      </c>
      <c r="R120" s="27"/>
      <c r="S120" s="21" t="str">
        <f aca="false">IF($D120="","",IF($B120="","缺月份",IF($F120=0,"缺总工时",IF(ROUND($P120-$F120,2)&gt;0,"工时超出","√"))))</f>
        <v/>
      </c>
    </row>
    <row r="121" customFormat="false" ht="18.75" hidden="false" customHeight="true" outlineLevel="0" collapsed="false">
      <c r="B121" s="28"/>
      <c r="C121" s="7"/>
      <c r="D121" s="7"/>
      <c r="E121" s="27"/>
      <c r="F121" s="18"/>
      <c r="G121" s="19" t="str">
        <f aca="false">IF($D121="","",$F121-$P121)</f>
        <v/>
      </c>
      <c r="H121" s="18"/>
      <c r="I121" s="18"/>
      <c r="J121" s="18"/>
      <c r="K121" s="18"/>
      <c r="L121" s="18"/>
      <c r="M121" s="18"/>
      <c r="N121" s="18"/>
      <c r="O121" s="18"/>
      <c r="P121" s="19" t="str">
        <f aca="false">IF($D121="","",SUM(H121:O121))</f>
        <v/>
      </c>
      <c r="Q121" s="20" t="str">
        <f aca="false">IF(OR($D121="",$F121=0),"",$P121/$F121)</f>
        <v/>
      </c>
      <c r="R121" s="27"/>
      <c r="S121" s="21" t="str">
        <f aca="false">IF($D121="","",IF($B121="","缺月份",IF($F121=0,"缺总工时",IF(ROUND($P121-$F121,2)&gt;0,"工时超出","√"))))</f>
        <v/>
      </c>
    </row>
    <row r="122" customFormat="false" ht="18.75" hidden="false" customHeight="true" outlineLevel="0" collapsed="false">
      <c r="B122" s="28"/>
      <c r="C122" s="7"/>
      <c r="D122" s="7"/>
      <c r="E122" s="27"/>
      <c r="F122" s="18"/>
      <c r="G122" s="19" t="str">
        <f aca="false">IF($D122="","",$F122-$P122)</f>
        <v/>
      </c>
      <c r="H122" s="18"/>
      <c r="I122" s="18"/>
      <c r="J122" s="18"/>
      <c r="K122" s="18"/>
      <c r="L122" s="18"/>
      <c r="M122" s="18"/>
      <c r="N122" s="18"/>
      <c r="O122" s="18"/>
      <c r="P122" s="19" t="str">
        <f aca="false">IF($D122="","",SUM(H122:O122))</f>
        <v/>
      </c>
      <c r="Q122" s="20" t="str">
        <f aca="false">IF(OR($D122="",$F122=0),"",$P122/$F122)</f>
        <v/>
      </c>
      <c r="R122" s="27"/>
      <c r="S122" s="21" t="str">
        <f aca="false">IF($D122="","",IF($B122="","缺月份",IF($F122=0,"缺总工时",IF(ROUND($P122-$F122,2)&gt;0,"工时超出","√"))))</f>
        <v/>
      </c>
    </row>
    <row r="123" customFormat="false" ht="18.75" hidden="false" customHeight="true" outlineLevel="0" collapsed="false">
      <c r="B123" s="28"/>
      <c r="C123" s="7"/>
      <c r="D123" s="7"/>
      <c r="E123" s="27"/>
      <c r="F123" s="18"/>
      <c r="G123" s="19" t="str">
        <f aca="false">IF($D123="","",$F123-$P123)</f>
        <v/>
      </c>
      <c r="H123" s="18"/>
      <c r="I123" s="18"/>
      <c r="J123" s="18"/>
      <c r="K123" s="18"/>
      <c r="L123" s="18"/>
      <c r="M123" s="18"/>
      <c r="N123" s="18"/>
      <c r="O123" s="18"/>
      <c r="P123" s="19" t="str">
        <f aca="false">IF($D123="","",SUM(H123:O123))</f>
        <v/>
      </c>
      <c r="Q123" s="20" t="str">
        <f aca="false">IF(OR($D123="",$F123=0),"",$P123/$F123)</f>
        <v/>
      </c>
      <c r="R123" s="27"/>
      <c r="S123" s="21" t="str">
        <f aca="false">IF($D123="","",IF($B123="","缺月份",IF($F123=0,"缺总工时",IF(ROUND($P123-$F123,2)&gt;0,"工时超出","√"))))</f>
        <v/>
      </c>
    </row>
    <row r="124" customFormat="false" ht="18.75" hidden="false" customHeight="true" outlineLevel="0" collapsed="false">
      <c r="B124" s="28"/>
      <c r="C124" s="7"/>
      <c r="D124" s="7"/>
      <c r="E124" s="27"/>
      <c r="F124" s="18"/>
      <c r="G124" s="19" t="str">
        <f aca="false">IF($D124="","",$F124-$P124)</f>
        <v/>
      </c>
      <c r="H124" s="18"/>
      <c r="I124" s="18"/>
      <c r="J124" s="18"/>
      <c r="K124" s="18"/>
      <c r="L124" s="18"/>
      <c r="M124" s="18"/>
      <c r="N124" s="18"/>
      <c r="O124" s="18"/>
      <c r="P124" s="19" t="str">
        <f aca="false">IF($D124="","",SUM(H124:O124))</f>
        <v/>
      </c>
      <c r="Q124" s="20" t="str">
        <f aca="false">IF(OR($D124="",$F124=0),"",$P124/$F124)</f>
        <v/>
      </c>
      <c r="R124" s="27"/>
      <c r="S124" s="21" t="str">
        <f aca="false">IF($D124="","",IF($B124="","缺月份",IF($F124=0,"缺总工时",IF(ROUND($P124-$F124,2)&gt;0,"工时超出","√"))))</f>
        <v/>
      </c>
    </row>
    <row r="125" customFormat="false" ht="18.75" hidden="false" customHeight="true" outlineLevel="0" collapsed="false">
      <c r="B125" s="28"/>
      <c r="C125" s="7"/>
      <c r="D125" s="7"/>
      <c r="E125" s="27"/>
      <c r="F125" s="18"/>
      <c r="G125" s="19" t="str">
        <f aca="false">IF($D125="","",$F125-$P125)</f>
        <v/>
      </c>
      <c r="H125" s="18"/>
      <c r="I125" s="18"/>
      <c r="J125" s="18"/>
      <c r="K125" s="18"/>
      <c r="L125" s="18"/>
      <c r="M125" s="18"/>
      <c r="N125" s="18"/>
      <c r="O125" s="18"/>
      <c r="P125" s="19" t="str">
        <f aca="false">IF($D125="","",SUM(H125:O125))</f>
        <v/>
      </c>
      <c r="Q125" s="20" t="str">
        <f aca="false">IF(OR($D125="",$F125=0),"",$P125/$F125)</f>
        <v/>
      </c>
      <c r="R125" s="27"/>
      <c r="S125" s="21" t="str">
        <f aca="false">IF($D125="","",IF($B125="","缺月份",IF($F125=0,"缺总工时",IF(ROUND($P125-$F125,2)&gt;0,"工时超出","√"))))</f>
        <v/>
      </c>
    </row>
    <row r="126" customFormat="false" ht="18.75" hidden="false" customHeight="true" outlineLevel="0" collapsed="false">
      <c r="B126" s="28"/>
      <c r="C126" s="7"/>
      <c r="D126" s="7"/>
      <c r="E126" s="27"/>
      <c r="F126" s="18"/>
      <c r="G126" s="19" t="str">
        <f aca="false">IF($D126="","",$F126-$P126)</f>
        <v/>
      </c>
      <c r="H126" s="18"/>
      <c r="I126" s="18"/>
      <c r="J126" s="18"/>
      <c r="K126" s="18"/>
      <c r="L126" s="18"/>
      <c r="M126" s="18"/>
      <c r="N126" s="18"/>
      <c r="O126" s="18"/>
      <c r="P126" s="19" t="str">
        <f aca="false">IF($D126="","",SUM(H126:O126))</f>
        <v/>
      </c>
      <c r="Q126" s="20" t="str">
        <f aca="false">IF(OR($D126="",$F126=0),"",$P126/$F126)</f>
        <v/>
      </c>
      <c r="R126" s="27"/>
      <c r="S126" s="21" t="str">
        <f aca="false">IF($D126="","",IF($B126="","缺月份",IF($F126=0,"缺总工时",IF(ROUND($P126-$F126,2)&gt;0,"工时超出","√"))))</f>
        <v/>
      </c>
    </row>
    <row r="127" customFormat="false" ht="18.75" hidden="false" customHeight="true" outlineLevel="0" collapsed="false">
      <c r="B127" s="28"/>
      <c r="C127" s="7"/>
      <c r="D127" s="7"/>
      <c r="E127" s="27"/>
      <c r="F127" s="18"/>
      <c r="G127" s="19" t="str">
        <f aca="false">IF($D127="","",$F127-$P127)</f>
        <v/>
      </c>
      <c r="H127" s="18"/>
      <c r="I127" s="18"/>
      <c r="J127" s="18"/>
      <c r="K127" s="18"/>
      <c r="L127" s="18"/>
      <c r="M127" s="18"/>
      <c r="N127" s="18"/>
      <c r="O127" s="18"/>
      <c r="P127" s="19" t="str">
        <f aca="false">IF($D127="","",SUM(H127:O127))</f>
        <v/>
      </c>
      <c r="Q127" s="20" t="str">
        <f aca="false">IF(OR($D127="",$F127=0),"",$P127/$F127)</f>
        <v/>
      </c>
      <c r="R127" s="27"/>
      <c r="S127" s="21" t="str">
        <f aca="false">IF($D127="","",IF($B127="","缺月份",IF($F127=0,"缺总工时",IF(ROUND($P127-$F127,2)&gt;0,"工时超出","√"))))</f>
        <v/>
      </c>
    </row>
    <row r="128" customFormat="false" ht="18.75" hidden="false" customHeight="true" outlineLevel="0" collapsed="false">
      <c r="B128" s="28"/>
      <c r="C128" s="7"/>
      <c r="D128" s="7"/>
      <c r="E128" s="27"/>
      <c r="F128" s="18"/>
      <c r="G128" s="19" t="str">
        <f aca="false">IF($D128="","",$F128-$P128)</f>
        <v/>
      </c>
      <c r="H128" s="18"/>
      <c r="I128" s="18"/>
      <c r="J128" s="18"/>
      <c r="K128" s="18"/>
      <c r="L128" s="18"/>
      <c r="M128" s="18"/>
      <c r="N128" s="18"/>
      <c r="O128" s="18"/>
      <c r="P128" s="19" t="str">
        <f aca="false">IF($D128="","",SUM(H128:O128))</f>
        <v/>
      </c>
      <c r="Q128" s="20" t="str">
        <f aca="false">IF(OR($D128="",$F128=0),"",$P128/$F128)</f>
        <v/>
      </c>
      <c r="R128" s="27"/>
      <c r="S128" s="21" t="str">
        <f aca="false">IF($D128="","",IF($B128="","缺月份",IF($F128=0,"缺总工时",IF(ROUND($P128-$F128,2)&gt;0,"工时超出","√"))))</f>
        <v/>
      </c>
    </row>
    <row r="129" customFormat="false" ht="18.75" hidden="false" customHeight="true" outlineLevel="0" collapsed="false">
      <c r="B129" s="28"/>
      <c r="C129" s="7"/>
      <c r="D129" s="7"/>
      <c r="E129" s="27"/>
      <c r="F129" s="18"/>
      <c r="G129" s="19" t="str">
        <f aca="false">IF($D129="","",$F129-$P129)</f>
        <v/>
      </c>
      <c r="H129" s="18"/>
      <c r="I129" s="18"/>
      <c r="J129" s="18"/>
      <c r="K129" s="18"/>
      <c r="L129" s="18"/>
      <c r="M129" s="18"/>
      <c r="N129" s="18"/>
      <c r="O129" s="18"/>
      <c r="P129" s="19" t="str">
        <f aca="false">IF($D129="","",SUM(H129:O129))</f>
        <v/>
      </c>
      <c r="Q129" s="20" t="str">
        <f aca="false">IF(OR($D129="",$F129=0),"",$P129/$F129)</f>
        <v/>
      </c>
      <c r="R129" s="27"/>
      <c r="S129" s="21" t="str">
        <f aca="false">IF($D129="","",IF($B129="","缺月份",IF($F129=0,"缺总工时",IF(ROUND($P129-$F129,2)&gt;0,"工时超出","√"))))</f>
        <v/>
      </c>
    </row>
    <row r="130" customFormat="false" ht="18.75" hidden="false" customHeight="true" outlineLevel="0" collapsed="false">
      <c r="B130" s="28"/>
      <c r="C130" s="7"/>
      <c r="D130" s="7"/>
      <c r="E130" s="27"/>
      <c r="F130" s="18"/>
      <c r="G130" s="19" t="str">
        <f aca="false">IF($D130="","",$F130-$P130)</f>
        <v/>
      </c>
      <c r="H130" s="18"/>
      <c r="I130" s="18"/>
      <c r="J130" s="18"/>
      <c r="K130" s="18"/>
      <c r="L130" s="18"/>
      <c r="M130" s="18"/>
      <c r="N130" s="18"/>
      <c r="O130" s="18"/>
      <c r="P130" s="19" t="str">
        <f aca="false">IF($D130="","",SUM(H130:O130))</f>
        <v/>
      </c>
      <c r="Q130" s="20" t="str">
        <f aca="false">IF(OR($D130="",$F130=0),"",$P130/$F130)</f>
        <v/>
      </c>
      <c r="R130" s="27"/>
      <c r="S130" s="21" t="str">
        <f aca="false">IF($D130="","",IF($B130="","缺月份",IF($F130=0,"缺总工时",IF(ROUND($P130-$F130,2)&gt;0,"工时超出","√"))))</f>
        <v/>
      </c>
    </row>
    <row r="131" customFormat="false" ht="18.75" hidden="false" customHeight="true" outlineLevel="0" collapsed="false">
      <c r="B131" s="28"/>
      <c r="C131" s="7"/>
      <c r="D131" s="7"/>
      <c r="E131" s="27"/>
      <c r="F131" s="18"/>
      <c r="G131" s="19" t="str">
        <f aca="false">IF($D131="","",$F131-$P131)</f>
        <v/>
      </c>
      <c r="H131" s="18"/>
      <c r="I131" s="18"/>
      <c r="J131" s="18"/>
      <c r="K131" s="18"/>
      <c r="L131" s="18"/>
      <c r="M131" s="18"/>
      <c r="N131" s="18"/>
      <c r="O131" s="18"/>
      <c r="P131" s="19" t="str">
        <f aca="false">IF($D131="","",SUM(H131:O131))</f>
        <v/>
      </c>
      <c r="Q131" s="20" t="str">
        <f aca="false">IF(OR($D131="",$F131=0),"",$P131/$F131)</f>
        <v/>
      </c>
      <c r="R131" s="27"/>
      <c r="S131" s="21" t="str">
        <f aca="false">IF($D131="","",IF($B131="","缺月份",IF($F131=0,"缺总工时",IF(ROUND($P131-$F131,2)&gt;0,"工时超出","√"))))</f>
        <v/>
      </c>
    </row>
    <row r="132" customFormat="false" ht="18.75" hidden="false" customHeight="true" outlineLevel="0" collapsed="false">
      <c r="B132" s="28"/>
      <c r="C132" s="7"/>
      <c r="D132" s="7"/>
      <c r="E132" s="27"/>
      <c r="F132" s="18"/>
      <c r="G132" s="19" t="str">
        <f aca="false">IF($D132="","",$F132-$P132)</f>
        <v/>
      </c>
      <c r="H132" s="18"/>
      <c r="I132" s="18"/>
      <c r="J132" s="18"/>
      <c r="K132" s="18"/>
      <c r="L132" s="18"/>
      <c r="M132" s="18"/>
      <c r="N132" s="18"/>
      <c r="O132" s="18"/>
      <c r="P132" s="19" t="str">
        <f aca="false">IF($D132="","",SUM(H132:O132))</f>
        <v/>
      </c>
      <c r="Q132" s="20" t="str">
        <f aca="false">IF(OR($D132="",$F132=0),"",$P132/$F132)</f>
        <v/>
      </c>
      <c r="R132" s="27"/>
      <c r="S132" s="21" t="str">
        <f aca="false">IF($D132="","",IF($B132="","缺月份",IF($F132=0,"缺总工时",IF(ROUND($P132-$F132,2)&gt;0,"工时超出","√"))))</f>
        <v/>
      </c>
    </row>
    <row r="133" customFormat="false" ht="18.75" hidden="false" customHeight="true" outlineLevel="0" collapsed="false">
      <c r="B133" s="28"/>
      <c r="C133" s="7"/>
      <c r="D133" s="7"/>
      <c r="E133" s="27"/>
      <c r="F133" s="18"/>
      <c r="G133" s="19" t="str">
        <f aca="false">IF($D133="","",$F133-$P133)</f>
        <v/>
      </c>
      <c r="H133" s="18"/>
      <c r="I133" s="18"/>
      <c r="J133" s="18"/>
      <c r="K133" s="18"/>
      <c r="L133" s="18"/>
      <c r="M133" s="18"/>
      <c r="N133" s="18"/>
      <c r="O133" s="18"/>
      <c r="P133" s="19" t="str">
        <f aca="false">IF($D133="","",SUM(H133:O133))</f>
        <v/>
      </c>
      <c r="Q133" s="20" t="str">
        <f aca="false">IF(OR($D133="",$F133=0),"",$P133/$F133)</f>
        <v/>
      </c>
      <c r="R133" s="27"/>
      <c r="S133" s="21" t="str">
        <f aca="false">IF($D133="","",IF($B133="","缺月份",IF($F133=0,"缺总工时",IF(ROUND($P133-$F133,2)&gt;0,"工时超出","√"))))</f>
        <v/>
      </c>
    </row>
    <row r="134" customFormat="false" ht="18.75" hidden="false" customHeight="true" outlineLevel="0" collapsed="false">
      <c r="B134" s="28"/>
      <c r="C134" s="7"/>
      <c r="D134" s="7"/>
      <c r="E134" s="27"/>
      <c r="F134" s="18"/>
      <c r="G134" s="19" t="str">
        <f aca="false">IF($D134="","",$F134-$P134)</f>
        <v/>
      </c>
      <c r="H134" s="18"/>
      <c r="I134" s="18"/>
      <c r="J134" s="18"/>
      <c r="K134" s="18"/>
      <c r="L134" s="18"/>
      <c r="M134" s="18"/>
      <c r="N134" s="18"/>
      <c r="O134" s="18"/>
      <c r="P134" s="19" t="str">
        <f aca="false">IF($D134="","",SUM(H134:O134))</f>
        <v/>
      </c>
      <c r="Q134" s="20" t="str">
        <f aca="false">IF(OR($D134="",$F134=0),"",$P134/$F134)</f>
        <v/>
      </c>
      <c r="R134" s="27"/>
      <c r="S134" s="21" t="str">
        <f aca="false">IF($D134="","",IF($B134="","缺月份",IF($F134=0,"缺总工时",IF(ROUND($P134-$F134,2)&gt;0,"工时超出","√"))))</f>
        <v/>
      </c>
    </row>
    <row r="135" customFormat="false" ht="18.75" hidden="false" customHeight="true" outlineLevel="0" collapsed="false">
      <c r="B135" s="28"/>
      <c r="C135" s="7"/>
      <c r="D135" s="7"/>
      <c r="E135" s="27"/>
      <c r="F135" s="18"/>
      <c r="G135" s="19" t="str">
        <f aca="false">IF($D135="","",$F135-$P135)</f>
        <v/>
      </c>
      <c r="H135" s="18"/>
      <c r="I135" s="18"/>
      <c r="J135" s="18"/>
      <c r="K135" s="18"/>
      <c r="L135" s="18"/>
      <c r="M135" s="18"/>
      <c r="N135" s="18"/>
      <c r="O135" s="18"/>
      <c r="P135" s="19" t="str">
        <f aca="false">IF($D135="","",SUM(H135:O135))</f>
        <v/>
      </c>
      <c r="Q135" s="20" t="str">
        <f aca="false">IF(OR($D135="",$F135=0),"",$P135/$F135)</f>
        <v/>
      </c>
      <c r="R135" s="27"/>
      <c r="S135" s="21" t="str">
        <f aca="false">IF($D135="","",IF($B135="","缺月份",IF($F135=0,"缺总工时",IF(ROUND($P135-$F135,2)&gt;0,"工时超出","√"))))</f>
        <v/>
      </c>
    </row>
    <row r="136" customFormat="false" ht="18.75" hidden="false" customHeight="true" outlineLevel="0" collapsed="false">
      <c r="B136" s="28"/>
      <c r="C136" s="7"/>
      <c r="D136" s="7"/>
      <c r="E136" s="27"/>
      <c r="F136" s="18"/>
      <c r="G136" s="19" t="str">
        <f aca="false">IF($D136="","",$F136-$P136)</f>
        <v/>
      </c>
      <c r="H136" s="18"/>
      <c r="I136" s="18"/>
      <c r="J136" s="18"/>
      <c r="K136" s="18"/>
      <c r="L136" s="18"/>
      <c r="M136" s="18"/>
      <c r="N136" s="18"/>
      <c r="O136" s="18"/>
      <c r="P136" s="19" t="str">
        <f aca="false">IF($D136="","",SUM(H136:O136))</f>
        <v/>
      </c>
      <c r="Q136" s="20" t="str">
        <f aca="false">IF(OR($D136="",$F136=0),"",$P136/$F136)</f>
        <v/>
      </c>
      <c r="R136" s="27"/>
      <c r="S136" s="21" t="str">
        <f aca="false">IF($D136="","",IF($B136="","缺月份",IF($F136=0,"缺总工时",IF(ROUND($P136-$F136,2)&gt;0,"工时超出","√"))))</f>
        <v/>
      </c>
    </row>
    <row r="137" customFormat="false" ht="18.75" hidden="false" customHeight="true" outlineLevel="0" collapsed="false">
      <c r="B137" s="28"/>
      <c r="C137" s="7"/>
      <c r="D137" s="7"/>
      <c r="E137" s="27"/>
      <c r="F137" s="18"/>
      <c r="G137" s="19" t="str">
        <f aca="false">IF($D137="","",$F137-$P137)</f>
        <v/>
      </c>
      <c r="H137" s="18"/>
      <c r="I137" s="18"/>
      <c r="J137" s="18"/>
      <c r="K137" s="18"/>
      <c r="L137" s="18"/>
      <c r="M137" s="18"/>
      <c r="N137" s="18"/>
      <c r="O137" s="18"/>
      <c r="P137" s="19" t="str">
        <f aca="false">IF($D137="","",SUM(H137:O137))</f>
        <v/>
      </c>
      <c r="Q137" s="20" t="str">
        <f aca="false">IF(OR($D137="",$F137=0),"",$P137/$F137)</f>
        <v/>
      </c>
      <c r="R137" s="27"/>
      <c r="S137" s="21" t="str">
        <f aca="false">IF($D137="","",IF($B137="","缺月份",IF($F137=0,"缺总工时",IF(ROUND($P137-$F137,2)&gt;0,"工时超出","√"))))</f>
        <v/>
      </c>
    </row>
    <row r="138" customFormat="false" ht="18.75" hidden="false" customHeight="true" outlineLevel="0" collapsed="false">
      <c r="B138" s="28"/>
      <c r="C138" s="7"/>
      <c r="D138" s="7"/>
      <c r="E138" s="27"/>
      <c r="F138" s="18"/>
      <c r="G138" s="19" t="str">
        <f aca="false">IF($D138="","",$F138-$P138)</f>
        <v/>
      </c>
      <c r="H138" s="18"/>
      <c r="I138" s="18"/>
      <c r="J138" s="18"/>
      <c r="K138" s="18"/>
      <c r="L138" s="18"/>
      <c r="M138" s="18"/>
      <c r="N138" s="18"/>
      <c r="O138" s="18"/>
      <c r="P138" s="19" t="str">
        <f aca="false">IF($D138="","",SUM(H138:O138))</f>
        <v/>
      </c>
      <c r="Q138" s="20" t="str">
        <f aca="false">IF(OR($D138="",$F138=0),"",$P138/$F138)</f>
        <v/>
      </c>
      <c r="R138" s="27"/>
      <c r="S138" s="21" t="str">
        <f aca="false">IF($D138="","",IF($B138="","缺月份",IF($F138=0,"缺总工时",IF(ROUND($P138-$F138,2)&gt;0,"工时超出","√"))))</f>
        <v/>
      </c>
    </row>
    <row r="139" customFormat="false" ht="18.75" hidden="false" customHeight="true" outlineLevel="0" collapsed="false">
      <c r="B139" s="28"/>
      <c r="C139" s="7"/>
      <c r="D139" s="7"/>
      <c r="E139" s="27"/>
      <c r="F139" s="18"/>
      <c r="G139" s="19" t="str">
        <f aca="false">IF($D139="","",$F139-$P139)</f>
        <v/>
      </c>
      <c r="H139" s="18"/>
      <c r="I139" s="18"/>
      <c r="J139" s="18"/>
      <c r="K139" s="18"/>
      <c r="L139" s="18"/>
      <c r="M139" s="18"/>
      <c r="N139" s="18"/>
      <c r="O139" s="18"/>
      <c r="P139" s="19" t="str">
        <f aca="false">IF($D139="","",SUM(H139:O139))</f>
        <v/>
      </c>
      <c r="Q139" s="20" t="str">
        <f aca="false">IF(OR($D139="",$F139=0),"",$P139/$F139)</f>
        <v/>
      </c>
      <c r="R139" s="27"/>
      <c r="S139" s="21" t="str">
        <f aca="false">IF($D139="","",IF($B139="","缺月份",IF($F139=0,"缺总工时",IF(ROUND($P139-$F139,2)&gt;0,"工时超出","√"))))</f>
        <v/>
      </c>
    </row>
    <row r="140" customFormat="false" ht="18.75" hidden="false" customHeight="true" outlineLevel="0" collapsed="false">
      <c r="B140" s="28"/>
      <c r="C140" s="7"/>
      <c r="D140" s="7"/>
      <c r="E140" s="27"/>
      <c r="F140" s="18"/>
      <c r="G140" s="19" t="str">
        <f aca="false">IF($D140="","",$F140-$P140)</f>
        <v/>
      </c>
      <c r="H140" s="18"/>
      <c r="I140" s="18"/>
      <c r="J140" s="18"/>
      <c r="K140" s="18"/>
      <c r="L140" s="18"/>
      <c r="M140" s="18"/>
      <c r="N140" s="18"/>
      <c r="O140" s="18"/>
      <c r="P140" s="19" t="str">
        <f aca="false">IF($D140="","",SUM(H140:O140))</f>
        <v/>
      </c>
      <c r="Q140" s="20" t="str">
        <f aca="false">IF(OR($D140="",$F140=0),"",$P140/$F140)</f>
        <v/>
      </c>
      <c r="R140" s="27"/>
      <c r="S140" s="21" t="str">
        <f aca="false">IF($D140="","",IF($B140="","缺月份",IF($F140=0,"缺总工时",IF(ROUND($P140-$F140,2)&gt;0,"工时超出","√"))))</f>
        <v/>
      </c>
    </row>
    <row r="141" customFormat="false" ht="18.75" hidden="false" customHeight="true" outlineLevel="0" collapsed="false">
      <c r="B141" s="28"/>
      <c r="C141" s="7"/>
      <c r="D141" s="7"/>
      <c r="E141" s="27"/>
      <c r="F141" s="18"/>
      <c r="G141" s="19" t="str">
        <f aca="false">IF($D141="","",$F141-$P141)</f>
        <v/>
      </c>
      <c r="H141" s="18"/>
      <c r="I141" s="18"/>
      <c r="J141" s="18"/>
      <c r="K141" s="18"/>
      <c r="L141" s="18"/>
      <c r="M141" s="18"/>
      <c r="N141" s="18"/>
      <c r="O141" s="18"/>
      <c r="P141" s="19" t="str">
        <f aca="false">IF($D141="","",SUM(H141:O141))</f>
        <v/>
      </c>
      <c r="Q141" s="20" t="str">
        <f aca="false">IF(OR($D141="",$F141=0),"",$P141/$F141)</f>
        <v/>
      </c>
      <c r="R141" s="27"/>
      <c r="S141" s="21" t="str">
        <f aca="false">IF($D141="","",IF($B141="","缺月份",IF($F141=0,"缺总工时",IF(ROUND($P141-$F141,2)&gt;0,"工时超出","√"))))</f>
        <v/>
      </c>
    </row>
    <row r="142" customFormat="false" ht="18.75" hidden="false" customHeight="true" outlineLevel="0" collapsed="false">
      <c r="B142" s="28"/>
      <c r="C142" s="7"/>
      <c r="D142" s="7"/>
      <c r="E142" s="27"/>
      <c r="F142" s="18"/>
      <c r="G142" s="19" t="str">
        <f aca="false">IF($D142="","",$F142-$P142)</f>
        <v/>
      </c>
      <c r="H142" s="18"/>
      <c r="I142" s="18"/>
      <c r="J142" s="18"/>
      <c r="K142" s="18"/>
      <c r="L142" s="18"/>
      <c r="M142" s="18"/>
      <c r="N142" s="18"/>
      <c r="O142" s="18"/>
      <c r="P142" s="19" t="str">
        <f aca="false">IF($D142="","",SUM(H142:O142))</f>
        <v/>
      </c>
      <c r="Q142" s="20" t="str">
        <f aca="false">IF(OR($D142="",$F142=0),"",$P142/$F142)</f>
        <v/>
      </c>
      <c r="R142" s="27"/>
      <c r="S142" s="21" t="str">
        <f aca="false">IF($D142="","",IF($B142="","缺月份",IF($F142=0,"缺总工时",IF(ROUND($P142-$F142,2)&gt;0,"工时超出","√"))))</f>
        <v/>
      </c>
    </row>
    <row r="143" customFormat="false" ht="18.75" hidden="false" customHeight="true" outlineLevel="0" collapsed="false">
      <c r="B143" s="28"/>
      <c r="C143" s="7"/>
      <c r="D143" s="7"/>
      <c r="E143" s="27"/>
      <c r="F143" s="18"/>
      <c r="G143" s="19" t="str">
        <f aca="false">IF($D143="","",$F143-$P143)</f>
        <v/>
      </c>
      <c r="H143" s="18"/>
      <c r="I143" s="18"/>
      <c r="J143" s="18"/>
      <c r="K143" s="18"/>
      <c r="L143" s="18"/>
      <c r="M143" s="18"/>
      <c r="N143" s="18"/>
      <c r="O143" s="18"/>
      <c r="P143" s="19" t="str">
        <f aca="false">IF($D143="","",SUM(H143:O143))</f>
        <v/>
      </c>
      <c r="Q143" s="20" t="str">
        <f aca="false">IF(OR($D143="",$F143=0),"",$P143/$F143)</f>
        <v/>
      </c>
      <c r="R143" s="27"/>
      <c r="S143" s="21" t="str">
        <f aca="false">IF($D143="","",IF($B143="","缺月份",IF($F143=0,"缺总工时",IF(ROUND($P143-$F143,2)&gt;0,"工时超出","√"))))</f>
        <v/>
      </c>
    </row>
    <row r="144" customFormat="false" ht="18.75" hidden="false" customHeight="true" outlineLevel="0" collapsed="false">
      <c r="B144" s="28"/>
      <c r="C144" s="7"/>
      <c r="D144" s="7"/>
      <c r="E144" s="27"/>
      <c r="F144" s="18"/>
      <c r="G144" s="19" t="str">
        <f aca="false">IF($D144="","",$F144-$P144)</f>
        <v/>
      </c>
      <c r="H144" s="18"/>
      <c r="I144" s="18"/>
      <c r="J144" s="18"/>
      <c r="K144" s="18"/>
      <c r="L144" s="18"/>
      <c r="M144" s="18"/>
      <c r="N144" s="18"/>
      <c r="O144" s="18"/>
      <c r="P144" s="19" t="str">
        <f aca="false">IF($D144="","",SUM(H144:O144))</f>
        <v/>
      </c>
      <c r="Q144" s="20" t="str">
        <f aca="false">IF(OR($D144="",$F144=0),"",$P144/$F144)</f>
        <v/>
      </c>
      <c r="R144" s="27"/>
      <c r="S144" s="21" t="str">
        <f aca="false">IF($D144="","",IF($B144="","缺月份",IF($F144=0,"缺总工时",IF(ROUND($P144-$F144,2)&gt;0,"工时超出","√"))))</f>
        <v/>
      </c>
    </row>
    <row r="145" customFormat="false" ht="18.75" hidden="false" customHeight="true" outlineLevel="0" collapsed="false">
      <c r="B145" s="28"/>
      <c r="C145" s="7"/>
      <c r="D145" s="7"/>
      <c r="E145" s="27"/>
      <c r="F145" s="18"/>
      <c r="G145" s="19" t="str">
        <f aca="false">IF($D145="","",$F145-$P145)</f>
        <v/>
      </c>
      <c r="H145" s="18"/>
      <c r="I145" s="18"/>
      <c r="J145" s="18"/>
      <c r="K145" s="18"/>
      <c r="L145" s="18"/>
      <c r="M145" s="18"/>
      <c r="N145" s="18"/>
      <c r="O145" s="18"/>
      <c r="P145" s="19" t="str">
        <f aca="false">IF($D145="","",SUM(H145:O145))</f>
        <v/>
      </c>
      <c r="Q145" s="20" t="str">
        <f aca="false">IF(OR($D145="",$F145=0),"",$P145/$F145)</f>
        <v/>
      </c>
      <c r="R145" s="27"/>
      <c r="S145" s="21" t="str">
        <f aca="false">IF($D145="","",IF($B145="","缺月份",IF($F145=0,"缺总工时",IF(ROUND($P145-$F145,2)&gt;0,"工时超出","√"))))</f>
        <v/>
      </c>
    </row>
    <row r="146" customFormat="false" ht="18.75" hidden="false" customHeight="true" outlineLevel="0" collapsed="false">
      <c r="B146" s="28"/>
      <c r="C146" s="7"/>
      <c r="D146" s="7"/>
      <c r="E146" s="27"/>
      <c r="F146" s="18"/>
      <c r="G146" s="19" t="str">
        <f aca="false">IF($D146="","",$F146-$P146)</f>
        <v/>
      </c>
      <c r="H146" s="18"/>
      <c r="I146" s="18"/>
      <c r="J146" s="18"/>
      <c r="K146" s="18"/>
      <c r="L146" s="18"/>
      <c r="M146" s="18"/>
      <c r="N146" s="18"/>
      <c r="O146" s="18"/>
      <c r="P146" s="19" t="str">
        <f aca="false">IF($D146="","",SUM(H146:O146))</f>
        <v/>
      </c>
      <c r="Q146" s="20" t="str">
        <f aca="false">IF(OR($D146="",$F146=0),"",$P146/$F146)</f>
        <v/>
      </c>
      <c r="R146" s="27"/>
      <c r="S146" s="21" t="str">
        <f aca="false">IF($D146="","",IF($B146="","缺月份",IF($F146=0,"缺总工时",IF(ROUND($P146-$F146,2)&gt;0,"工时超出","√"))))</f>
        <v/>
      </c>
    </row>
    <row r="147" customFormat="false" ht="18.75" hidden="false" customHeight="true" outlineLevel="0" collapsed="false">
      <c r="B147" s="28"/>
      <c r="C147" s="7"/>
      <c r="D147" s="7"/>
      <c r="E147" s="27"/>
      <c r="F147" s="18"/>
      <c r="G147" s="19" t="str">
        <f aca="false">IF($D147="","",$F147-$P147)</f>
        <v/>
      </c>
      <c r="H147" s="18"/>
      <c r="I147" s="18"/>
      <c r="J147" s="18"/>
      <c r="K147" s="18"/>
      <c r="L147" s="18"/>
      <c r="M147" s="18"/>
      <c r="N147" s="18"/>
      <c r="O147" s="18"/>
      <c r="P147" s="19" t="str">
        <f aca="false">IF($D147="","",SUM(H147:O147))</f>
        <v/>
      </c>
      <c r="Q147" s="20" t="str">
        <f aca="false">IF(OR($D147="",$F147=0),"",$P147/$F147)</f>
        <v/>
      </c>
      <c r="R147" s="27"/>
      <c r="S147" s="21" t="str">
        <f aca="false">IF($D147="","",IF($B147="","缺月份",IF($F147=0,"缺总工时",IF(ROUND($P147-$F147,2)&gt;0,"工时超出","√"))))</f>
        <v/>
      </c>
    </row>
    <row r="148" customFormat="false" ht="18.75" hidden="false" customHeight="true" outlineLevel="0" collapsed="false">
      <c r="B148" s="28"/>
      <c r="C148" s="7"/>
      <c r="D148" s="7"/>
      <c r="E148" s="27"/>
      <c r="F148" s="18"/>
      <c r="G148" s="19" t="str">
        <f aca="false">IF($D148="","",$F148-$P148)</f>
        <v/>
      </c>
      <c r="H148" s="18"/>
      <c r="I148" s="18"/>
      <c r="J148" s="18"/>
      <c r="K148" s="18"/>
      <c r="L148" s="18"/>
      <c r="M148" s="18"/>
      <c r="N148" s="18"/>
      <c r="O148" s="18"/>
      <c r="P148" s="19" t="str">
        <f aca="false">IF($D148="","",SUM(H148:O148))</f>
        <v/>
      </c>
      <c r="Q148" s="20" t="str">
        <f aca="false">IF(OR($D148="",$F148=0),"",$P148/$F148)</f>
        <v/>
      </c>
      <c r="R148" s="27"/>
      <c r="S148" s="21" t="str">
        <f aca="false">IF($D148="","",IF($B148="","缺月份",IF($F148=0,"缺总工时",IF(ROUND($P148-$F148,2)&gt;0,"工时超出","√"))))</f>
        <v/>
      </c>
    </row>
    <row r="149" customFormat="false" ht="18.75" hidden="false" customHeight="true" outlineLevel="0" collapsed="false">
      <c r="B149" s="28"/>
      <c r="C149" s="7"/>
      <c r="D149" s="7"/>
      <c r="E149" s="27"/>
      <c r="F149" s="18"/>
      <c r="G149" s="19" t="str">
        <f aca="false">IF($D149="","",$F149-$P149)</f>
        <v/>
      </c>
      <c r="H149" s="18"/>
      <c r="I149" s="18"/>
      <c r="J149" s="18"/>
      <c r="K149" s="18"/>
      <c r="L149" s="18"/>
      <c r="M149" s="18"/>
      <c r="N149" s="18"/>
      <c r="O149" s="18"/>
      <c r="P149" s="19" t="str">
        <f aca="false">IF($D149="","",SUM(H149:O149))</f>
        <v/>
      </c>
      <c r="Q149" s="20" t="str">
        <f aca="false">IF(OR($D149="",$F149=0),"",$P149/$F149)</f>
        <v/>
      </c>
      <c r="R149" s="27"/>
      <c r="S149" s="21" t="str">
        <f aca="false">IF($D149="","",IF($B149="","缺月份",IF($F149=0,"缺总工时",IF(ROUND($P149-$F149,2)&gt;0,"工时超出","√"))))</f>
        <v/>
      </c>
    </row>
    <row r="150" customFormat="false" ht="18.75" hidden="false" customHeight="true" outlineLevel="0" collapsed="false">
      <c r="B150" s="28"/>
      <c r="C150" s="7"/>
      <c r="D150" s="7"/>
      <c r="E150" s="27"/>
      <c r="F150" s="18"/>
      <c r="G150" s="19" t="str">
        <f aca="false">IF($D150="","",$F150-$P150)</f>
        <v/>
      </c>
      <c r="H150" s="18"/>
      <c r="I150" s="18"/>
      <c r="J150" s="18"/>
      <c r="K150" s="18"/>
      <c r="L150" s="18"/>
      <c r="M150" s="18"/>
      <c r="N150" s="18"/>
      <c r="O150" s="18"/>
      <c r="P150" s="19" t="str">
        <f aca="false">IF($D150="","",SUM(H150:O150))</f>
        <v/>
      </c>
      <c r="Q150" s="20" t="str">
        <f aca="false">IF(OR($D150="",$F150=0),"",$P150/$F150)</f>
        <v/>
      </c>
      <c r="R150" s="27"/>
      <c r="S150" s="21" t="str">
        <f aca="false">IF($D150="","",IF($B150="","缺月份",IF($F150=0,"缺总工时",IF(ROUND($P150-$F150,2)&gt;0,"工时超出","√"))))</f>
        <v/>
      </c>
    </row>
  </sheetData>
  <mergeCells count="12">
    <mergeCell ref="B2:S2"/>
    <mergeCell ref="B4:B6"/>
    <mergeCell ref="C4:C6"/>
    <mergeCell ref="D4:D6"/>
    <mergeCell ref="E4:E6"/>
    <mergeCell ref="F4:F6"/>
    <mergeCell ref="G4:G6"/>
    <mergeCell ref="H4:P4"/>
    <mergeCell ref="R4:R6"/>
    <mergeCell ref="S4:S6"/>
    <mergeCell ref="P5:P6"/>
    <mergeCell ref="Q5:Q6"/>
  </mergeCells>
  <dataValidations count="1">
    <dataValidation allowBlank="true" error="请填写 1—12 的数字月份" errorStyle="stop" errorTitle="月份有误" operator="between" showDropDown="false" showErrorMessage="true" showInputMessage="false" sqref="B7:B150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S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17" min="6" style="0" width="11"/>
    <col collapsed="false" customWidth="true" hidden="false" outlineLevel="0" max="18" min="18" style="0" width="16"/>
    <col collapsed="false" customWidth="true" hidden="false" outlineLevel="0" max="19" min="19" style="0" width="11"/>
  </cols>
  <sheetData>
    <row r="2" customFormat="false" ht="30" hidden="false" customHeight="true" outlineLevel="0" collapsed="false">
      <c r="B2" s="1" t="s">
        <v>114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5" hidden="false" customHeight="false" outlineLevel="0" collapsed="false">
      <c r="Q3" s="12" t="s">
        <v>109</v>
      </c>
      <c r="R3" s="7" t="s">
        <v>110</v>
      </c>
    </row>
    <row r="4" customFormat="false" ht="19.5" hidden="false" customHeight="true" outlineLevel="0" collapsed="false">
      <c r="B4" s="14" t="s">
        <v>111</v>
      </c>
      <c r="C4" s="14" t="s">
        <v>15</v>
      </c>
      <c r="D4" s="14" t="s">
        <v>94</v>
      </c>
      <c r="E4" s="14" t="s">
        <v>95</v>
      </c>
      <c r="F4" s="14" t="s">
        <v>68</v>
      </c>
      <c r="G4" s="14" t="s">
        <v>54</v>
      </c>
      <c r="H4" s="15" t="s">
        <v>55</v>
      </c>
      <c r="I4" s="15"/>
      <c r="J4" s="15"/>
      <c r="K4" s="15"/>
      <c r="L4" s="15"/>
      <c r="M4" s="15"/>
      <c r="N4" s="15"/>
      <c r="O4" s="15"/>
      <c r="P4" s="15"/>
      <c r="Q4" s="5" t="s">
        <v>56</v>
      </c>
      <c r="R4" s="14" t="s">
        <v>21</v>
      </c>
      <c r="S4" s="14" t="s">
        <v>57</v>
      </c>
    </row>
    <row r="5" customFormat="false" ht="19.5" hidden="false" customHeight="true" outlineLevel="0" collapsed="false">
      <c r="B5" s="14"/>
      <c r="C5" s="14"/>
      <c r="D5" s="14"/>
      <c r="E5" s="14"/>
      <c r="F5" s="14"/>
      <c r="G5" s="14"/>
      <c r="H5" s="16" t="str">
        <f aca="false">说明与项目清单!$C$20</f>
        <v>RD01</v>
      </c>
      <c r="I5" s="16" t="str">
        <f aca="false">说明与项目清单!$C$21</f>
        <v>RD02</v>
      </c>
      <c r="J5" s="16" t="str">
        <f aca="false">说明与项目清单!$C$22</f>
        <v>RD03</v>
      </c>
      <c r="K5" s="16" t="str">
        <f aca="false">说明与项目清单!$C$23</f>
        <v>RD04</v>
      </c>
      <c r="L5" s="16" t="str">
        <f aca="false">说明与项目清单!$C$24</f>
        <v>RD05</v>
      </c>
      <c r="M5" s="16" t="str">
        <f aca="false">说明与项目清单!$C$25</f>
        <v>RD06</v>
      </c>
      <c r="N5" s="16" t="str">
        <f aca="false">说明与项目清单!$C$26</f>
        <v>RD07</v>
      </c>
      <c r="O5" s="16" t="str">
        <f aca="false">说明与项目清单!$C$27</f>
        <v>RD08</v>
      </c>
      <c r="P5" s="14" t="s">
        <v>58</v>
      </c>
      <c r="Q5" s="17" t="s">
        <v>59</v>
      </c>
      <c r="R5" s="14"/>
      <c r="S5" s="14"/>
    </row>
    <row r="6" customFormat="false" ht="19.5" hidden="false" customHeight="true" outlineLevel="0" collapsed="false">
      <c r="B6" s="14"/>
      <c r="C6" s="14"/>
      <c r="D6" s="14"/>
      <c r="E6" s="14"/>
      <c r="F6" s="14"/>
      <c r="G6" s="14"/>
      <c r="H6" s="16" t="str">
        <f aca="false">说明与项目清单!$D$20</f>
        <v>高导热复合胶带研发</v>
      </c>
      <c r="I6" s="16" t="str">
        <f aca="false">说明与项目清单!$D$21</f>
        <v>低介电泡棉材料研发</v>
      </c>
      <c r="J6" s="16" t="str">
        <f aca="false">说明与项目清单!$D$22</f>
        <v>精密分切工艺改进</v>
      </c>
      <c r="K6" s="16" t="str">
        <f aca="false">说明与项目清单!$D$23</f>
        <v>抗静电表面处理技术</v>
      </c>
      <c r="L6" s="16" t="str">
        <f aca="false">说明与项目清单!$D$24</f>
        <v>超薄贴合工艺开发</v>
      </c>
      <c r="M6" s="16" t="n">
        <f aca="false">说明与项目清单!$D$25</f>
        <v>0</v>
      </c>
      <c r="N6" s="16" t="n">
        <f aca="false">说明与项目清单!$D$26</f>
        <v>0</v>
      </c>
      <c r="O6" s="16" t="n">
        <f aca="false">说明与项目清单!$D$27</f>
        <v>0</v>
      </c>
      <c r="P6" s="14"/>
      <c r="Q6" s="14"/>
      <c r="R6" s="14"/>
      <c r="S6" s="14"/>
    </row>
    <row r="7" customFormat="false" ht="18.75" hidden="false" customHeight="true" outlineLevel="0" collapsed="false">
      <c r="B7" s="28" t="n">
        <v>9</v>
      </c>
      <c r="C7" s="7" t="n">
        <v>1</v>
      </c>
      <c r="D7" s="7" t="s">
        <v>96</v>
      </c>
      <c r="E7" s="8" t="s">
        <v>97</v>
      </c>
      <c r="F7" s="18" t="n">
        <v>180</v>
      </c>
      <c r="G7" s="19" t="n">
        <f aca="false">IF($D7="","",$F7-$P7)</f>
        <v>36</v>
      </c>
      <c r="H7" s="18" t="n">
        <v>36</v>
      </c>
      <c r="I7" s="18" t="n">
        <v>36</v>
      </c>
      <c r="J7" s="18" t="n">
        <v>36</v>
      </c>
      <c r="K7" s="18" t="n">
        <v>36</v>
      </c>
      <c r="L7" s="18"/>
      <c r="M7" s="18"/>
      <c r="N7" s="18"/>
      <c r="O7" s="18"/>
      <c r="P7" s="19" t="n">
        <f aca="false">IF($D7="","",SUM(H7:O7))</f>
        <v>144</v>
      </c>
      <c r="Q7" s="20" t="n">
        <f aca="false">IF(OR($D7="",$F7=0),"",$P7/$F7)</f>
        <v>0.8</v>
      </c>
      <c r="R7" s="8" t="s">
        <v>60</v>
      </c>
      <c r="S7" s="21" t="str">
        <f aca="false">IF($D7="","",IF($B7="","缺月份",IF($F7=0,"缺总工时",IF(ROUND($P7-$F7,2)&gt;0,"工时超出","√"))))</f>
        <v>√</v>
      </c>
    </row>
    <row r="8" customFormat="false" ht="18.75" hidden="false" customHeight="true" outlineLevel="0" collapsed="false">
      <c r="B8" s="28" t="n">
        <v>9</v>
      </c>
      <c r="C8" s="7" t="n">
        <v>2</v>
      </c>
      <c r="D8" s="7" t="s">
        <v>98</v>
      </c>
      <c r="E8" s="8" t="s">
        <v>99</v>
      </c>
      <c r="F8" s="18" t="n">
        <v>180</v>
      </c>
      <c r="G8" s="19" t="n">
        <f aca="false">IF($D8="","",$F8-$P8)</f>
        <v>36</v>
      </c>
      <c r="H8" s="18"/>
      <c r="I8" s="18" t="n">
        <v>36</v>
      </c>
      <c r="J8" s="18" t="n">
        <v>36</v>
      </c>
      <c r="K8" s="18" t="n">
        <v>36</v>
      </c>
      <c r="L8" s="18" t="n">
        <v>36</v>
      </c>
      <c r="M8" s="18"/>
      <c r="N8" s="18"/>
      <c r="O8" s="18"/>
      <c r="P8" s="19" t="n">
        <f aca="false">IF($D8="","",SUM(H8:O8))</f>
        <v>144</v>
      </c>
      <c r="Q8" s="20" t="n">
        <f aca="false">IF(OR($D8="",$F8=0),"",$P8/$F8)</f>
        <v>0.8</v>
      </c>
      <c r="R8" s="27"/>
      <c r="S8" s="21" t="str">
        <f aca="false">IF($D8="","",IF($B8="","缺月份",IF($F8=0,"缺总工时",IF(ROUND($P8-$F8,2)&gt;0,"工时超出","√"))))</f>
        <v>√</v>
      </c>
    </row>
    <row r="9" customFormat="false" ht="18.75" hidden="false" customHeight="true" outlineLevel="0" collapsed="false">
      <c r="B9" s="28" t="n">
        <v>9</v>
      </c>
      <c r="C9" s="7" t="n">
        <v>3</v>
      </c>
      <c r="D9" s="7" t="s">
        <v>100</v>
      </c>
      <c r="E9" s="8" t="s">
        <v>101</v>
      </c>
      <c r="F9" s="18" t="n">
        <v>180</v>
      </c>
      <c r="G9" s="19" t="n">
        <f aca="false">IF($D9="","",$F9-$P9)</f>
        <v>72</v>
      </c>
      <c r="H9" s="18" t="n">
        <v>36</v>
      </c>
      <c r="I9" s="18"/>
      <c r="J9" s="18" t="n">
        <v>36</v>
      </c>
      <c r="K9" s="18"/>
      <c r="L9" s="18" t="n">
        <v>36</v>
      </c>
      <c r="M9" s="18"/>
      <c r="N9" s="18"/>
      <c r="O9" s="18"/>
      <c r="P9" s="19" t="n">
        <f aca="false">IF($D9="","",SUM(H9:O9))</f>
        <v>108</v>
      </c>
      <c r="Q9" s="20" t="n">
        <f aca="false">IF(OR($D9="",$F9=0),"",$P9/$F9)</f>
        <v>0.6</v>
      </c>
      <c r="R9" s="27"/>
      <c r="S9" s="21" t="str">
        <f aca="false">IF($D9="","",IF($B9="","缺月份",IF($F9=0,"缺总工时",IF(ROUND($P9-$F9,2)&gt;0,"工时超出","√"))))</f>
        <v>√</v>
      </c>
    </row>
    <row r="10" customFormat="false" ht="18.75" hidden="false" customHeight="true" outlineLevel="0" collapsed="false">
      <c r="B10" s="28" t="n">
        <v>9</v>
      </c>
      <c r="C10" s="7" t="n">
        <v>4</v>
      </c>
      <c r="D10" s="7" t="s">
        <v>102</v>
      </c>
      <c r="E10" s="8" t="s">
        <v>103</v>
      </c>
      <c r="F10" s="18" t="n">
        <v>180</v>
      </c>
      <c r="G10" s="19" t="n">
        <f aca="false">IF($D10="","",$F10-$P10)</f>
        <v>108</v>
      </c>
      <c r="H10" s="18" t="n">
        <v>36</v>
      </c>
      <c r="I10" s="18" t="n">
        <v>36</v>
      </c>
      <c r="J10" s="18"/>
      <c r="K10" s="18"/>
      <c r="L10" s="18"/>
      <c r="M10" s="18"/>
      <c r="N10" s="18"/>
      <c r="O10" s="18"/>
      <c r="P10" s="19" t="n">
        <f aca="false">IF($D10="","",SUM(H10:O10))</f>
        <v>72</v>
      </c>
      <c r="Q10" s="20" t="n">
        <f aca="false">IF(OR($D10="",$F10=0),"",$P10/$F10)</f>
        <v>0.4</v>
      </c>
      <c r="R10" s="27"/>
      <c r="S10" s="21" t="str">
        <f aca="false">IF($D10="","",IF($B10="","缺月份",IF($F10=0,"缺总工时",IF(ROUND($P10-$F10,2)&gt;0,"工时超出","√"))))</f>
        <v>√</v>
      </c>
    </row>
    <row r="11" customFormat="false" ht="18.75" hidden="false" customHeight="true" outlineLevel="0" collapsed="false">
      <c r="B11" s="28" t="n">
        <v>9</v>
      </c>
      <c r="C11" s="7" t="n">
        <v>5</v>
      </c>
      <c r="D11" s="7" t="s">
        <v>104</v>
      </c>
      <c r="E11" s="8" t="s">
        <v>105</v>
      </c>
      <c r="F11" s="18" t="n">
        <v>180</v>
      </c>
      <c r="G11" s="19" t="n">
        <f aca="false">IF($D11="","",$F11-$P11)</f>
        <v>108</v>
      </c>
      <c r="H11" s="18"/>
      <c r="I11" s="18"/>
      <c r="J11" s="18"/>
      <c r="K11" s="18" t="n">
        <v>36</v>
      </c>
      <c r="L11" s="18" t="n">
        <v>36</v>
      </c>
      <c r="M11" s="18"/>
      <c r="N11" s="18"/>
      <c r="O11" s="18"/>
      <c r="P11" s="19" t="n">
        <f aca="false">IF($D11="","",SUM(H11:O11))</f>
        <v>72</v>
      </c>
      <c r="Q11" s="20" t="n">
        <f aca="false">IF(OR($D11="",$F11=0),"",$P11/$F11)</f>
        <v>0.4</v>
      </c>
      <c r="R11" s="27"/>
      <c r="S11" s="21" t="str">
        <f aca="false">IF($D11="","",IF($B11="","缺月份",IF($F11=0,"缺总工时",IF(ROUND($P11-$F11,2)&gt;0,"工时超出","√"))))</f>
        <v>√</v>
      </c>
    </row>
    <row r="12" customFormat="false" ht="18.75" hidden="false" customHeight="true" outlineLevel="0" collapsed="false">
      <c r="B12" s="28" t="n">
        <v>9</v>
      </c>
      <c r="C12" s="7" t="n">
        <v>6</v>
      </c>
      <c r="D12" s="7" t="s">
        <v>106</v>
      </c>
      <c r="E12" s="8" t="s">
        <v>107</v>
      </c>
      <c r="F12" s="18" t="n">
        <v>180</v>
      </c>
      <c r="G12" s="19" t="n">
        <f aca="false">IF($D12="","",$F12-$P12)</f>
        <v>144</v>
      </c>
      <c r="H12" s="18"/>
      <c r="I12" s="18"/>
      <c r="J12" s="18" t="n">
        <v>36</v>
      </c>
      <c r="K12" s="18"/>
      <c r="L12" s="18"/>
      <c r="M12" s="18"/>
      <c r="N12" s="18"/>
      <c r="O12" s="18"/>
      <c r="P12" s="19" t="n">
        <f aca="false">IF($D12="","",SUM(H12:O12))</f>
        <v>36</v>
      </c>
      <c r="Q12" s="20" t="n">
        <f aca="false">IF(OR($D12="",$F12=0),"",$P12/$F12)</f>
        <v>0.2</v>
      </c>
      <c r="R12" s="27"/>
      <c r="S12" s="21" t="str">
        <f aca="false">IF($D12="","",IF($B12="","缺月份",IF($F12=0,"缺总工时",IF(ROUND($P12-$F12,2)&gt;0,"工时超出","√"))))</f>
        <v>√</v>
      </c>
    </row>
    <row r="13" customFormat="false" ht="18.75" hidden="false" customHeight="true" outlineLevel="0" collapsed="false">
      <c r="B13" s="28"/>
      <c r="C13" s="7"/>
      <c r="D13" s="7"/>
      <c r="E13" s="27"/>
      <c r="F13" s="18"/>
      <c r="G13" s="19" t="str">
        <f aca="false">IF($D13="","",$F13-$P13)</f>
        <v/>
      </c>
      <c r="H13" s="18"/>
      <c r="I13" s="18"/>
      <c r="J13" s="18"/>
      <c r="K13" s="18"/>
      <c r="L13" s="18"/>
      <c r="M13" s="18"/>
      <c r="N13" s="18"/>
      <c r="O13" s="18"/>
      <c r="P13" s="19" t="str">
        <f aca="false">IF($D13="","",SUM(H13:O13))</f>
        <v/>
      </c>
      <c r="Q13" s="20" t="str">
        <f aca="false">IF(OR($D13="",$F13=0),"",$P13/$F13)</f>
        <v/>
      </c>
      <c r="R13" s="27"/>
      <c r="S13" s="21" t="str">
        <f aca="false">IF($D13="","",IF($B13="","缺月份",IF($F13=0,"缺总工时",IF(ROUND($P13-$F13,2)&gt;0,"工时超出","√"))))</f>
        <v/>
      </c>
    </row>
    <row r="14" customFormat="false" ht="18.75" hidden="false" customHeight="true" outlineLevel="0" collapsed="false">
      <c r="B14" s="28"/>
      <c r="C14" s="7"/>
      <c r="D14" s="7"/>
      <c r="E14" s="27"/>
      <c r="F14" s="18"/>
      <c r="G14" s="19" t="str">
        <f aca="false">IF($D14="","",$F14-$P14)</f>
        <v/>
      </c>
      <c r="H14" s="18"/>
      <c r="I14" s="18"/>
      <c r="J14" s="18"/>
      <c r="K14" s="18"/>
      <c r="L14" s="18"/>
      <c r="M14" s="18"/>
      <c r="N14" s="18"/>
      <c r="O14" s="18"/>
      <c r="P14" s="19" t="str">
        <f aca="false">IF($D14="","",SUM(H14:O14))</f>
        <v/>
      </c>
      <c r="Q14" s="20" t="str">
        <f aca="false">IF(OR($D14="",$F14=0),"",$P14/$F14)</f>
        <v/>
      </c>
      <c r="R14" s="27"/>
      <c r="S14" s="21" t="str">
        <f aca="false">IF($D14="","",IF($B14="","缺月份",IF($F14=0,"缺总工时",IF(ROUND($P14-$F14,2)&gt;0,"工时超出","√"))))</f>
        <v/>
      </c>
    </row>
    <row r="15" customFormat="false" ht="18.75" hidden="false" customHeight="true" outlineLevel="0" collapsed="false">
      <c r="B15" s="28"/>
      <c r="C15" s="7"/>
      <c r="D15" s="7"/>
      <c r="E15" s="27"/>
      <c r="F15" s="18"/>
      <c r="G15" s="19" t="str">
        <f aca="false">IF($D15="","",$F15-$P15)</f>
        <v/>
      </c>
      <c r="H15" s="18"/>
      <c r="I15" s="18"/>
      <c r="J15" s="18"/>
      <c r="K15" s="18"/>
      <c r="L15" s="18"/>
      <c r="M15" s="18"/>
      <c r="N15" s="18"/>
      <c r="O15" s="18"/>
      <c r="P15" s="19" t="str">
        <f aca="false">IF($D15="","",SUM(H15:O15))</f>
        <v/>
      </c>
      <c r="Q15" s="20" t="str">
        <f aca="false">IF(OR($D15="",$F15=0),"",$P15/$F15)</f>
        <v/>
      </c>
      <c r="R15" s="27"/>
      <c r="S15" s="21" t="str">
        <f aca="false">IF($D15="","",IF($B15="","缺月份",IF($F15=0,"缺总工时",IF(ROUND($P15-$F15,2)&gt;0,"工时超出","√"))))</f>
        <v/>
      </c>
    </row>
    <row r="16" customFormat="false" ht="18.75" hidden="false" customHeight="true" outlineLevel="0" collapsed="false">
      <c r="B16" s="28"/>
      <c r="C16" s="7"/>
      <c r="D16" s="7"/>
      <c r="E16" s="27"/>
      <c r="F16" s="18"/>
      <c r="G16" s="19" t="str">
        <f aca="false">IF($D16="","",$F16-$P16)</f>
        <v/>
      </c>
      <c r="H16" s="18"/>
      <c r="I16" s="18"/>
      <c r="J16" s="18"/>
      <c r="K16" s="18"/>
      <c r="L16" s="18"/>
      <c r="M16" s="18"/>
      <c r="N16" s="18"/>
      <c r="O16" s="18"/>
      <c r="P16" s="19" t="str">
        <f aca="false">IF($D16="","",SUM(H16:O16))</f>
        <v/>
      </c>
      <c r="Q16" s="20" t="str">
        <f aca="false">IF(OR($D16="",$F16=0),"",$P16/$F16)</f>
        <v/>
      </c>
      <c r="R16" s="27"/>
      <c r="S16" s="21" t="str">
        <f aca="false">IF($D16="","",IF($B16="","缺月份",IF($F16=0,"缺总工时",IF(ROUND($P16-$F16,2)&gt;0,"工时超出","√"))))</f>
        <v/>
      </c>
    </row>
    <row r="17" customFormat="false" ht="18.75" hidden="false" customHeight="true" outlineLevel="0" collapsed="false">
      <c r="B17" s="28"/>
      <c r="C17" s="7"/>
      <c r="D17" s="7"/>
      <c r="E17" s="27"/>
      <c r="F17" s="18"/>
      <c r="G17" s="19" t="str">
        <f aca="false">IF($D17="","",$F17-$P17)</f>
        <v/>
      </c>
      <c r="H17" s="18"/>
      <c r="I17" s="18"/>
      <c r="J17" s="18"/>
      <c r="K17" s="18"/>
      <c r="L17" s="18"/>
      <c r="M17" s="18"/>
      <c r="N17" s="18"/>
      <c r="O17" s="18"/>
      <c r="P17" s="19" t="str">
        <f aca="false">IF($D17="","",SUM(H17:O17))</f>
        <v/>
      </c>
      <c r="Q17" s="20" t="str">
        <f aca="false">IF(OR($D17="",$F17=0),"",$P17/$F17)</f>
        <v/>
      </c>
      <c r="R17" s="27"/>
      <c r="S17" s="21" t="str">
        <f aca="false">IF($D17="","",IF($B17="","缺月份",IF($F17=0,"缺总工时",IF(ROUND($P17-$F17,2)&gt;0,"工时超出","√"))))</f>
        <v/>
      </c>
    </row>
    <row r="18" customFormat="false" ht="18.75" hidden="false" customHeight="true" outlineLevel="0" collapsed="false">
      <c r="B18" s="28"/>
      <c r="C18" s="7"/>
      <c r="D18" s="7"/>
      <c r="E18" s="27"/>
      <c r="F18" s="18"/>
      <c r="G18" s="19" t="str">
        <f aca="false">IF($D18="","",$F18-$P18)</f>
        <v/>
      </c>
      <c r="H18" s="18"/>
      <c r="I18" s="18"/>
      <c r="J18" s="18"/>
      <c r="K18" s="18"/>
      <c r="L18" s="18"/>
      <c r="M18" s="18"/>
      <c r="N18" s="18"/>
      <c r="O18" s="18"/>
      <c r="P18" s="19" t="str">
        <f aca="false">IF($D18="","",SUM(H18:O18))</f>
        <v/>
      </c>
      <c r="Q18" s="20" t="str">
        <f aca="false">IF(OR($D18="",$F18=0),"",$P18/$F18)</f>
        <v/>
      </c>
      <c r="R18" s="27"/>
      <c r="S18" s="21" t="str">
        <f aca="false">IF($D18="","",IF($B18="","缺月份",IF($F18=0,"缺总工时",IF(ROUND($P18-$F18,2)&gt;0,"工时超出","√"))))</f>
        <v/>
      </c>
    </row>
    <row r="19" customFormat="false" ht="18.75" hidden="false" customHeight="true" outlineLevel="0" collapsed="false">
      <c r="B19" s="28"/>
      <c r="C19" s="7"/>
      <c r="D19" s="7"/>
      <c r="E19" s="27"/>
      <c r="F19" s="18"/>
      <c r="G19" s="19" t="str">
        <f aca="false">IF($D19="","",$F19-$P19)</f>
        <v/>
      </c>
      <c r="H19" s="18"/>
      <c r="I19" s="18"/>
      <c r="J19" s="18"/>
      <c r="K19" s="18"/>
      <c r="L19" s="18"/>
      <c r="M19" s="18"/>
      <c r="N19" s="18"/>
      <c r="O19" s="18"/>
      <c r="P19" s="19" t="str">
        <f aca="false">IF($D19="","",SUM(H19:O19))</f>
        <v/>
      </c>
      <c r="Q19" s="20" t="str">
        <f aca="false">IF(OR($D19="",$F19=0),"",$P19/$F19)</f>
        <v/>
      </c>
      <c r="R19" s="27"/>
      <c r="S19" s="21" t="str">
        <f aca="false">IF($D19="","",IF($B19="","缺月份",IF($F19=0,"缺总工时",IF(ROUND($P19-$F19,2)&gt;0,"工时超出","√"))))</f>
        <v/>
      </c>
    </row>
    <row r="20" customFormat="false" ht="18.75" hidden="false" customHeight="true" outlineLevel="0" collapsed="false">
      <c r="B20" s="28"/>
      <c r="C20" s="7"/>
      <c r="D20" s="7"/>
      <c r="E20" s="27"/>
      <c r="F20" s="18"/>
      <c r="G20" s="19" t="str">
        <f aca="false">IF($D20="","",$F20-$P20)</f>
        <v/>
      </c>
      <c r="H20" s="18"/>
      <c r="I20" s="18"/>
      <c r="J20" s="18"/>
      <c r="K20" s="18"/>
      <c r="L20" s="18"/>
      <c r="M20" s="18"/>
      <c r="N20" s="18"/>
      <c r="O20" s="18"/>
      <c r="P20" s="19" t="str">
        <f aca="false">IF($D20="","",SUM(H20:O20))</f>
        <v/>
      </c>
      <c r="Q20" s="20" t="str">
        <f aca="false">IF(OR($D20="",$F20=0),"",$P20/$F20)</f>
        <v/>
      </c>
      <c r="R20" s="27"/>
      <c r="S20" s="21" t="str">
        <f aca="false">IF($D20="","",IF($B20="","缺月份",IF($F20=0,"缺总工时",IF(ROUND($P20-$F20,2)&gt;0,"工时超出","√"))))</f>
        <v/>
      </c>
    </row>
    <row r="21" customFormat="false" ht="18.75" hidden="false" customHeight="true" outlineLevel="0" collapsed="false">
      <c r="B21" s="28"/>
      <c r="C21" s="7"/>
      <c r="D21" s="7"/>
      <c r="E21" s="27"/>
      <c r="F21" s="18"/>
      <c r="G21" s="19" t="str">
        <f aca="false">IF($D21="","",$F21-$P21)</f>
        <v/>
      </c>
      <c r="H21" s="18"/>
      <c r="I21" s="18"/>
      <c r="J21" s="18"/>
      <c r="K21" s="18"/>
      <c r="L21" s="18"/>
      <c r="M21" s="18"/>
      <c r="N21" s="18"/>
      <c r="O21" s="18"/>
      <c r="P21" s="19" t="str">
        <f aca="false">IF($D21="","",SUM(H21:O21))</f>
        <v/>
      </c>
      <c r="Q21" s="20" t="str">
        <f aca="false">IF(OR($D21="",$F21=0),"",$P21/$F21)</f>
        <v/>
      </c>
      <c r="R21" s="27"/>
      <c r="S21" s="21" t="str">
        <f aca="false">IF($D21="","",IF($B21="","缺月份",IF($F21=0,"缺总工时",IF(ROUND($P21-$F21,2)&gt;0,"工时超出","√"))))</f>
        <v/>
      </c>
    </row>
    <row r="22" customFormat="false" ht="18.75" hidden="false" customHeight="true" outlineLevel="0" collapsed="false">
      <c r="B22" s="28"/>
      <c r="C22" s="7"/>
      <c r="D22" s="7"/>
      <c r="E22" s="27"/>
      <c r="F22" s="18"/>
      <c r="G22" s="19" t="str">
        <f aca="false">IF($D22="","",$F22-$P22)</f>
        <v/>
      </c>
      <c r="H22" s="18"/>
      <c r="I22" s="18"/>
      <c r="J22" s="18"/>
      <c r="K22" s="18"/>
      <c r="L22" s="18"/>
      <c r="M22" s="18"/>
      <c r="N22" s="18"/>
      <c r="O22" s="18"/>
      <c r="P22" s="19" t="str">
        <f aca="false">IF($D22="","",SUM(H22:O22))</f>
        <v/>
      </c>
      <c r="Q22" s="20" t="str">
        <f aca="false">IF(OR($D22="",$F22=0),"",$P22/$F22)</f>
        <v/>
      </c>
      <c r="R22" s="27"/>
      <c r="S22" s="21" t="str">
        <f aca="false">IF($D22="","",IF($B22="","缺月份",IF($F22=0,"缺总工时",IF(ROUND($P22-$F22,2)&gt;0,"工时超出","√"))))</f>
        <v/>
      </c>
    </row>
    <row r="23" customFormat="false" ht="18.75" hidden="false" customHeight="true" outlineLevel="0" collapsed="false">
      <c r="B23" s="28"/>
      <c r="C23" s="7"/>
      <c r="D23" s="7"/>
      <c r="E23" s="27"/>
      <c r="F23" s="18"/>
      <c r="G23" s="19" t="str">
        <f aca="false">IF($D23="","",$F23-$P23)</f>
        <v/>
      </c>
      <c r="H23" s="18"/>
      <c r="I23" s="18"/>
      <c r="J23" s="18"/>
      <c r="K23" s="18"/>
      <c r="L23" s="18"/>
      <c r="M23" s="18"/>
      <c r="N23" s="18"/>
      <c r="O23" s="18"/>
      <c r="P23" s="19" t="str">
        <f aca="false">IF($D23="","",SUM(H23:O23))</f>
        <v/>
      </c>
      <c r="Q23" s="20" t="str">
        <f aca="false">IF(OR($D23="",$F23=0),"",$P23/$F23)</f>
        <v/>
      </c>
      <c r="R23" s="27"/>
      <c r="S23" s="21" t="str">
        <f aca="false">IF($D23="","",IF($B23="","缺月份",IF($F23=0,"缺总工时",IF(ROUND($P23-$F23,2)&gt;0,"工时超出","√"))))</f>
        <v/>
      </c>
    </row>
    <row r="24" customFormat="false" ht="18.75" hidden="false" customHeight="true" outlineLevel="0" collapsed="false">
      <c r="B24" s="28"/>
      <c r="C24" s="7"/>
      <c r="D24" s="7"/>
      <c r="E24" s="27"/>
      <c r="F24" s="18"/>
      <c r="G24" s="19" t="str">
        <f aca="false">IF($D24="","",$F24-$P24)</f>
        <v/>
      </c>
      <c r="H24" s="18"/>
      <c r="I24" s="18"/>
      <c r="J24" s="18"/>
      <c r="K24" s="18"/>
      <c r="L24" s="18"/>
      <c r="M24" s="18"/>
      <c r="N24" s="18"/>
      <c r="O24" s="18"/>
      <c r="P24" s="19" t="str">
        <f aca="false">IF($D24="","",SUM(H24:O24))</f>
        <v/>
      </c>
      <c r="Q24" s="20" t="str">
        <f aca="false">IF(OR($D24="",$F24=0),"",$P24/$F24)</f>
        <v/>
      </c>
      <c r="R24" s="27"/>
      <c r="S24" s="21" t="str">
        <f aca="false">IF($D24="","",IF($B24="","缺月份",IF($F24=0,"缺总工时",IF(ROUND($P24-$F24,2)&gt;0,"工时超出","√"))))</f>
        <v/>
      </c>
    </row>
    <row r="25" customFormat="false" ht="18.75" hidden="false" customHeight="true" outlineLevel="0" collapsed="false">
      <c r="B25" s="28"/>
      <c r="C25" s="7"/>
      <c r="D25" s="7"/>
      <c r="E25" s="27"/>
      <c r="F25" s="18"/>
      <c r="G25" s="19" t="str">
        <f aca="false">IF($D25="","",$F25-$P25)</f>
        <v/>
      </c>
      <c r="H25" s="18"/>
      <c r="I25" s="18"/>
      <c r="J25" s="18"/>
      <c r="K25" s="18"/>
      <c r="L25" s="18"/>
      <c r="M25" s="18"/>
      <c r="N25" s="18"/>
      <c r="O25" s="18"/>
      <c r="P25" s="19" t="str">
        <f aca="false">IF($D25="","",SUM(H25:O25))</f>
        <v/>
      </c>
      <c r="Q25" s="20" t="str">
        <f aca="false">IF(OR($D25="",$F25=0),"",$P25/$F25)</f>
        <v/>
      </c>
      <c r="R25" s="27"/>
      <c r="S25" s="21" t="str">
        <f aca="false">IF($D25="","",IF($B25="","缺月份",IF($F25=0,"缺总工时",IF(ROUND($P25-$F25,2)&gt;0,"工时超出","√"))))</f>
        <v/>
      </c>
    </row>
    <row r="26" customFormat="false" ht="18.75" hidden="false" customHeight="true" outlineLevel="0" collapsed="false">
      <c r="B26" s="28"/>
      <c r="C26" s="7"/>
      <c r="D26" s="7"/>
      <c r="E26" s="27"/>
      <c r="F26" s="18"/>
      <c r="G26" s="19" t="str">
        <f aca="false">IF($D26="","",$F26-$P26)</f>
        <v/>
      </c>
      <c r="H26" s="18"/>
      <c r="I26" s="18"/>
      <c r="J26" s="18"/>
      <c r="K26" s="18"/>
      <c r="L26" s="18"/>
      <c r="M26" s="18"/>
      <c r="N26" s="18"/>
      <c r="O26" s="18"/>
      <c r="P26" s="19" t="str">
        <f aca="false">IF($D26="","",SUM(H26:O26))</f>
        <v/>
      </c>
      <c r="Q26" s="20" t="str">
        <f aca="false">IF(OR($D26="",$F26=0),"",$P26/$F26)</f>
        <v/>
      </c>
      <c r="R26" s="27"/>
      <c r="S26" s="21" t="str">
        <f aca="false">IF($D26="","",IF($B26="","缺月份",IF($F26=0,"缺总工时",IF(ROUND($P26-$F26,2)&gt;0,"工时超出","√"))))</f>
        <v/>
      </c>
    </row>
    <row r="27" customFormat="false" ht="18.75" hidden="false" customHeight="true" outlineLevel="0" collapsed="false">
      <c r="B27" s="28"/>
      <c r="C27" s="7"/>
      <c r="D27" s="7"/>
      <c r="E27" s="27"/>
      <c r="F27" s="18"/>
      <c r="G27" s="19" t="str">
        <f aca="false">IF($D27="","",$F27-$P27)</f>
        <v/>
      </c>
      <c r="H27" s="18"/>
      <c r="I27" s="18"/>
      <c r="J27" s="18"/>
      <c r="K27" s="18"/>
      <c r="L27" s="18"/>
      <c r="M27" s="18"/>
      <c r="N27" s="18"/>
      <c r="O27" s="18"/>
      <c r="P27" s="19" t="str">
        <f aca="false">IF($D27="","",SUM(H27:O27))</f>
        <v/>
      </c>
      <c r="Q27" s="20" t="str">
        <f aca="false">IF(OR($D27="",$F27=0),"",$P27/$F27)</f>
        <v/>
      </c>
      <c r="R27" s="27"/>
      <c r="S27" s="21" t="str">
        <f aca="false">IF($D27="","",IF($B27="","缺月份",IF($F27=0,"缺总工时",IF(ROUND($P27-$F27,2)&gt;0,"工时超出","√"))))</f>
        <v/>
      </c>
    </row>
    <row r="28" customFormat="false" ht="18.75" hidden="false" customHeight="true" outlineLevel="0" collapsed="false">
      <c r="B28" s="28"/>
      <c r="C28" s="7"/>
      <c r="D28" s="7"/>
      <c r="E28" s="27"/>
      <c r="F28" s="18"/>
      <c r="G28" s="19" t="str">
        <f aca="false">IF($D28="","",$F28-$P28)</f>
        <v/>
      </c>
      <c r="H28" s="18"/>
      <c r="I28" s="18"/>
      <c r="J28" s="18"/>
      <c r="K28" s="18"/>
      <c r="L28" s="18"/>
      <c r="M28" s="18"/>
      <c r="N28" s="18"/>
      <c r="O28" s="18"/>
      <c r="P28" s="19" t="str">
        <f aca="false">IF($D28="","",SUM(H28:O28))</f>
        <v/>
      </c>
      <c r="Q28" s="20" t="str">
        <f aca="false">IF(OR($D28="",$F28=0),"",$P28/$F28)</f>
        <v/>
      </c>
      <c r="R28" s="27"/>
      <c r="S28" s="21" t="str">
        <f aca="false">IF($D28="","",IF($B28="","缺月份",IF($F28=0,"缺总工时",IF(ROUND($P28-$F28,2)&gt;0,"工时超出","√"))))</f>
        <v/>
      </c>
    </row>
    <row r="29" customFormat="false" ht="18.75" hidden="false" customHeight="true" outlineLevel="0" collapsed="false">
      <c r="B29" s="28"/>
      <c r="C29" s="7"/>
      <c r="D29" s="7"/>
      <c r="E29" s="27"/>
      <c r="F29" s="18"/>
      <c r="G29" s="19" t="str">
        <f aca="false">IF($D29="","",$F29-$P29)</f>
        <v/>
      </c>
      <c r="H29" s="18"/>
      <c r="I29" s="18"/>
      <c r="J29" s="18"/>
      <c r="K29" s="18"/>
      <c r="L29" s="18"/>
      <c r="M29" s="18"/>
      <c r="N29" s="18"/>
      <c r="O29" s="18"/>
      <c r="P29" s="19" t="str">
        <f aca="false">IF($D29="","",SUM(H29:O29))</f>
        <v/>
      </c>
      <c r="Q29" s="20" t="str">
        <f aca="false">IF(OR($D29="",$F29=0),"",$P29/$F29)</f>
        <v/>
      </c>
      <c r="R29" s="27"/>
      <c r="S29" s="21" t="str">
        <f aca="false">IF($D29="","",IF($B29="","缺月份",IF($F29=0,"缺总工时",IF(ROUND($P29-$F29,2)&gt;0,"工时超出","√"))))</f>
        <v/>
      </c>
    </row>
    <row r="30" customFormat="false" ht="18.75" hidden="false" customHeight="true" outlineLevel="0" collapsed="false">
      <c r="B30" s="28"/>
      <c r="C30" s="7"/>
      <c r="D30" s="7"/>
      <c r="E30" s="27"/>
      <c r="F30" s="18"/>
      <c r="G30" s="19" t="str">
        <f aca="false">IF($D30="","",$F30-$P30)</f>
        <v/>
      </c>
      <c r="H30" s="18"/>
      <c r="I30" s="18"/>
      <c r="J30" s="18"/>
      <c r="K30" s="18"/>
      <c r="L30" s="18"/>
      <c r="M30" s="18"/>
      <c r="N30" s="18"/>
      <c r="O30" s="18"/>
      <c r="P30" s="19" t="str">
        <f aca="false">IF($D30="","",SUM(H30:O30))</f>
        <v/>
      </c>
      <c r="Q30" s="20" t="str">
        <f aca="false">IF(OR($D30="",$F30=0),"",$P30/$F30)</f>
        <v/>
      </c>
      <c r="R30" s="27"/>
      <c r="S30" s="21" t="str">
        <f aca="false">IF($D30="","",IF($B30="","缺月份",IF($F30=0,"缺总工时",IF(ROUND($P30-$F30,2)&gt;0,"工时超出","√"))))</f>
        <v/>
      </c>
    </row>
    <row r="31" customFormat="false" ht="18.75" hidden="false" customHeight="true" outlineLevel="0" collapsed="false">
      <c r="B31" s="28"/>
      <c r="C31" s="7"/>
      <c r="D31" s="7"/>
      <c r="E31" s="27"/>
      <c r="F31" s="18"/>
      <c r="G31" s="19" t="str">
        <f aca="false">IF($D31="","",$F31-$P31)</f>
        <v/>
      </c>
      <c r="H31" s="18"/>
      <c r="I31" s="18"/>
      <c r="J31" s="18"/>
      <c r="K31" s="18"/>
      <c r="L31" s="18"/>
      <c r="M31" s="18"/>
      <c r="N31" s="18"/>
      <c r="O31" s="18"/>
      <c r="P31" s="19" t="str">
        <f aca="false">IF($D31="","",SUM(H31:O31))</f>
        <v/>
      </c>
      <c r="Q31" s="20" t="str">
        <f aca="false">IF(OR($D31="",$F31=0),"",$P31/$F31)</f>
        <v/>
      </c>
      <c r="R31" s="27"/>
      <c r="S31" s="21" t="str">
        <f aca="false">IF($D31="","",IF($B31="","缺月份",IF($F31=0,"缺总工时",IF(ROUND($P31-$F31,2)&gt;0,"工时超出","√"))))</f>
        <v/>
      </c>
    </row>
    <row r="32" customFormat="false" ht="18.75" hidden="false" customHeight="true" outlineLevel="0" collapsed="false">
      <c r="B32" s="28"/>
      <c r="C32" s="7"/>
      <c r="D32" s="7"/>
      <c r="E32" s="27"/>
      <c r="F32" s="18"/>
      <c r="G32" s="19" t="str">
        <f aca="false">IF($D32="","",$F32-$P32)</f>
        <v/>
      </c>
      <c r="H32" s="18"/>
      <c r="I32" s="18"/>
      <c r="J32" s="18"/>
      <c r="K32" s="18"/>
      <c r="L32" s="18"/>
      <c r="M32" s="18"/>
      <c r="N32" s="18"/>
      <c r="O32" s="18"/>
      <c r="P32" s="19" t="str">
        <f aca="false">IF($D32="","",SUM(H32:O32))</f>
        <v/>
      </c>
      <c r="Q32" s="20" t="str">
        <f aca="false">IF(OR($D32="",$F32=0),"",$P32/$F32)</f>
        <v/>
      </c>
      <c r="R32" s="27"/>
      <c r="S32" s="21" t="str">
        <f aca="false">IF($D32="","",IF($B32="","缺月份",IF($F32=0,"缺总工时",IF(ROUND($P32-$F32,2)&gt;0,"工时超出","√"))))</f>
        <v/>
      </c>
    </row>
    <row r="33" customFormat="false" ht="18.75" hidden="false" customHeight="true" outlineLevel="0" collapsed="false">
      <c r="B33" s="28"/>
      <c r="C33" s="7"/>
      <c r="D33" s="7"/>
      <c r="E33" s="27"/>
      <c r="F33" s="18"/>
      <c r="G33" s="19" t="str">
        <f aca="false">IF($D33="","",$F33-$P33)</f>
        <v/>
      </c>
      <c r="H33" s="18"/>
      <c r="I33" s="18"/>
      <c r="J33" s="18"/>
      <c r="K33" s="18"/>
      <c r="L33" s="18"/>
      <c r="M33" s="18"/>
      <c r="N33" s="18"/>
      <c r="O33" s="18"/>
      <c r="P33" s="19" t="str">
        <f aca="false">IF($D33="","",SUM(H33:O33))</f>
        <v/>
      </c>
      <c r="Q33" s="20" t="str">
        <f aca="false">IF(OR($D33="",$F33=0),"",$P33/$F33)</f>
        <v/>
      </c>
      <c r="R33" s="27"/>
      <c r="S33" s="21" t="str">
        <f aca="false">IF($D33="","",IF($B33="","缺月份",IF($F33=0,"缺总工时",IF(ROUND($P33-$F33,2)&gt;0,"工时超出","√"))))</f>
        <v/>
      </c>
    </row>
    <row r="34" customFormat="false" ht="18.75" hidden="false" customHeight="true" outlineLevel="0" collapsed="false">
      <c r="B34" s="28"/>
      <c r="C34" s="7"/>
      <c r="D34" s="7"/>
      <c r="E34" s="27"/>
      <c r="F34" s="18"/>
      <c r="G34" s="19" t="str">
        <f aca="false">IF($D34="","",$F34-$P34)</f>
        <v/>
      </c>
      <c r="H34" s="18"/>
      <c r="I34" s="18"/>
      <c r="J34" s="18"/>
      <c r="K34" s="18"/>
      <c r="L34" s="18"/>
      <c r="M34" s="18"/>
      <c r="N34" s="18"/>
      <c r="O34" s="18"/>
      <c r="P34" s="19" t="str">
        <f aca="false">IF($D34="","",SUM(H34:O34))</f>
        <v/>
      </c>
      <c r="Q34" s="20" t="str">
        <f aca="false">IF(OR($D34="",$F34=0),"",$P34/$F34)</f>
        <v/>
      </c>
      <c r="R34" s="27"/>
      <c r="S34" s="21" t="str">
        <f aca="false">IF($D34="","",IF($B34="","缺月份",IF($F34=0,"缺总工时",IF(ROUND($P34-$F34,2)&gt;0,"工时超出","√"))))</f>
        <v/>
      </c>
    </row>
    <row r="35" customFormat="false" ht="18.75" hidden="false" customHeight="true" outlineLevel="0" collapsed="false">
      <c r="B35" s="28"/>
      <c r="C35" s="7"/>
      <c r="D35" s="7"/>
      <c r="E35" s="27"/>
      <c r="F35" s="18"/>
      <c r="G35" s="19" t="str">
        <f aca="false">IF($D35="","",$F35-$P35)</f>
        <v/>
      </c>
      <c r="H35" s="18"/>
      <c r="I35" s="18"/>
      <c r="J35" s="18"/>
      <c r="K35" s="18"/>
      <c r="L35" s="18"/>
      <c r="M35" s="18"/>
      <c r="N35" s="18"/>
      <c r="O35" s="18"/>
      <c r="P35" s="19" t="str">
        <f aca="false">IF($D35="","",SUM(H35:O35))</f>
        <v/>
      </c>
      <c r="Q35" s="20" t="str">
        <f aca="false">IF(OR($D35="",$F35=0),"",$P35/$F35)</f>
        <v/>
      </c>
      <c r="R35" s="27"/>
      <c r="S35" s="21" t="str">
        <f aca="false">IF($D35="","",IF($B35="","缺月份",IF($F35=0,"缺总工时",IF(ROUND($P35-$F35,2)&gt;0,"工时超出","√"))))</f>
        <v/>
      </c>
    </row>
    <row r="36" customFormat="false" ht="18.75" hidden="false" customHeight="true" outlineLevel="0" collapsed="false">
      <c r="B36" s="28"/>
      <c r="C36" s="7"/>
      <c r="D36" s="7"/>
      <c r="E36" s="27"/>
      <c r="F36" s="18"/>
      <c r="G36" s="19" t="str">
        <f aca="false">IF($D36="","",$F36-$P36)</f>
        <v/>
      </c>
      <c r="H36" s="18"/>
      <c r="I36" s="18"/>
      <c r="J36" s="18"/>
      <c r="K36" s="18"/>
      <c r="L36" s="18"/>
      <c r="M36" s="18"/>
      <c r="N36" s="18"/>
      <c r="O36" s="18"/>
      <c r="P36" s="19" t="str">
        <f aca="false">IF($D36="","",SUM(H36:O36))</f>
        <v/>
      </c>
      <c r="Q36" s="20" t="str">
        <f aca="false">IF(OR($D36="",$F36=0),"",$P36/$F36)</f>
        <v/>
      </c>
      <c r="R36" s="27"/>
      <c r="S36" s="21" t="str">
        <f aca="false">IF($D36="","",IF($B36="","缺月份",IF($F36=0,"缺总工时",IF(ROUND($P36-$F36,2)&gt;0,"工时超出","√"))))</f>
        <v/>
      </c>
    </row>
    <row r="37" customFormat="false" ht="18.75" hidden="false" customHeight="true" outlineLevel="0" collapsed="false">
      <c r="B37" s="28"/>
      <c r="C37" s="7"/>
      <c r="D37" s="7"/>
      <c r="E37" s="27"/>
      <c r="F37" s="18"/>
      <c r="G37" s="19" t="str">
        <f aca="false">IF($D37="","",$F37-$P37)</f>
        <v/>
      </c>
      <c r="H37" s="18"/>
      <c r="I37" s="18"/>
      <c r="J37" s="18"/>
      <c r="K37" s="18"/>
      <c r="L37" s="18"/>
      <c r="M37" s="18"/>
      <c r="N37" s="18"/>
      <c r="O37" s="18"/>
      <c r="P37" s="19" t="str">
        <f aca="false">IF($D37="","",SUM(H37:O37))</f>
        <v/>
      </c>
      <c r="Q37" s="20" t="str">
        <f aca="false">IF(OR($D37="",$F37=0),"",$P37/$F37)</f>
        <v/>
      </c>
      <c r="R37" s="27"/>
      <c r="S37" s="21" t="str">
        <f aca="false">IF($D37="","",IF($B37="","缺月份",IF($F37=0,"缺总工时",IF(ROUND($P37-$F37,2)&gt;0,"工时超出","√"))))</f>
        <v/>
      </c>
    </row>
    <row r="38" customFormat="false" ht="18.75" hidden="false" customHeight="true" outlineLevel="0" collapsed="false">
      <c r="B38" s="28"/>
      <c r="C38" s="7"/>
      <c r="D38" s="7"/>
      <c r="E38" s="27"/>
      <c r="F38" s="18"/>
      <c r="G38" s="19" t="str">
        <f aca="false">IF($D38="","",$F38-$P38)</f>
        <v/>
      </c>
      <c r="H38" s="18"/>
      <c r="I38" s="18"/>
      <c r="J38" s="18"/>
      <c r="K38" s="18"/>
      <c r="L38" s="18"/>
      <c r="M38" s="18"/>
      <c r="N38" s="18"/>
      <c r="O38" s="18"/>
      <c r="P38" s="19" t="str">
        <f aca="false">IF($D38="","",SUM(H38:O38))</f>
        <v/>
      </c>
      <c r="Q38" s="20" t="str">
        <f aca="false">IF(OR($D38="",$F38=0),"",$P38/$F38)</f>
        <v/>
      </c>
      <c r="R38" s="27"/>
      <c r="S38" s="21" t="str">
        <f aca="false">IF($D38="","",IF($B38="","缺月份",IF($F38=0,"缺总工时",IF(ROUND($P38-$F38,2)&gt;0,"工时超出","√"))))</f>
        <v/>
      </c>
    </row>
    <row r="39" customFormat="false" ht="18.75" hidden="false" customHeight="true" outlineLevel="0" collapsed="false">
      <c r="B39" s="28"/>
      <c r="C39" s="7"/>
      <c r="D39" s="7"/>
      <c r="E39" s="27"/>
      <c r="F39" s="18"/>
      <c r="G39" s="19" t="str">
        <f aca="false">IF($D39="","",$F39-$P39)</f>
        <v/>
      </c>
      <c r="H39" s="18"/>
      <c r="I39" s="18"/>
      <c r="J39" s="18"/>
      <c r="K39" s="18"/>
      <c r="L39" s="18"/>
      <c r="M39" s="18"/>
      <c r="N39" s="18"/>
      <c r="O39" s="18"/>
      <c r="P39" s="19" t="str">
        <f aca="false">IF($D39="","",SUM(H39:O39))</f>
        <v/>
      </c>
      <c r="Q39" s="20" t="str">
        <f aca="false">IF(OR($D39="",$F39=0),"",$P39/$F39)</f>
        <v/>
      </c>
      <c r="R39" s="27"/>
      <c r="S39" s="21" t="str">
        <f aca="false">IF($D39="","",IF($B39="","缺月份",IF($F39=0,"缺总工时",IF(ROUND($P39-$F39,2)&gt;0,"工时超出","√"))))</f>
        <v/>
      </c>
    </row>
    <row r="40" customFormat="false" ht="18.75" hidden="false" customHeight="true" outlineLevel="0" collapsed="false">
      <c r="B40" s="28"/>
      <c r="C40" s="7"/>
      <c r="D40" s="7"/>
      <c r="E40" s="27"/>
      <c r="F40" s="18"/>
      <c r="G40" s="19" t="str">
        <f aca="false">IF($D40="","",$F40-$P40)</f>
        <v/>
      </c>
      <c r="H40" s="18"/>
      <c r="I40" s="18"/>
      <c r="J40" s="18"/>
      <c r="K40" s="18"/>
      <c r="L40" s="18"/>
      <c r="M40" s="18"/>
      <c r="N40" s="18"/>
      <c r="O40" s="18"/>
      <c r="P40" s="19" t="str">
        <f aca="false">IF($D40="","",SUM(H40:O40))</f>
        <v/>
      </c>
      <c r="Q40" s="20" t="str">
        <f aca="false">IF(OR($D40="",$F40=0),"",$P40/$F40)</f>
        <v/>
      </c>
      <c r="R40" s="27"/>
      <c r="S40" s="21" t="str">
        <f aca="false">IF($D40="","",IF($B40="","缺月份",IF($F40=0,"缺总工时",IF(ROUND($P40-$F40,2)&gt;0,"工时超出","√"))))</f>
        <v/>
      </c>
    </row>
    <row r="41" customFormat="false" ht="18.75" hidden="false" customHeight="true" outlineLevel="0" collapsed="false">
      <c r="B41" s="28"/>
      <c r="C41" s="7"/>
      <c r="D41" s="7"/>
      <c r="E41" s="27"/>
      <c r="F41" s="18"/>
      <c r="G41" s="19" t="str">
        <f aca="false">IF($D41="","",$F41-$P41)</f>
        <v/>
      </c>
      <c r="H41" s="18"/>
      <c r="I41" s="18"/>
      <c r="J41" s="18"/>
      <c r="K41" s="18"/>
      <c r="L41" s="18"/>
      <c r="M41" s="18"/>
      <c r="N41" s="18"/>
      <c r="O41" s="18"/>
      <c r="P41" s="19" t="str">
        <f aca="false">IF($D41="","",SUM(H41:O41))</f>
        <v/>
      </c>
      <c r="Q41" s="20" t="str">
        <f aca="false">IF(OR($D41="",$F41=0),"",$P41/$F41)</f>
        <v/>
      </c>
      <c r="R41" s="27"/>
      <c r="S41" s="21" t="str">
        <f aca="false">IF($D41="","",IF($B41="","缺月份",IF($F41=0,"缺总工时",IF(ROUND($P41-$F41,2)&gt;0,"工时超出","√"))))</f>
        <v/>
      </c>
    </row>
    <row r="42" customFormat="false" ht="18.75" hidden="false" customHeight="true" outlineLevel="0" collapsed="false">
      <c r="B42" s="28"/>
      <c r="C42" s="7"/>
      <c r="D42" s="7"/>
      <c r="E42" s="27"/>
      <c r="F42" s="18"/>
      <c r="G42" s="19" t="str">
        <f aca="false">IF($D42="","",$F42-$P42)</f>
        <v/>
      </c>
      <c r="H42" s="18"/>
      <c r="I42" s="18"/>
      <c r="J42" s="18"/>
      <c r="K42" s="18"/>
      <c r="L42" s="18"/>
      <c r="M42" s="18"/>
      <c r="N42" s="18"/>
      <c r="O42" s="18"/>
      <c r="P42" s="19" t="str">
        <f aca="false">IF($D42="","",SUM(H42:O42))</f>
        <v/>
      </c>
      <c r="Q42" s="20" t="str">
        <f aca="false">IF(OR($D42="",$F42=0),"",$P42/$F42)</f>
        <v/>
      </c>
      <c r="R42" s="27"/>
      <c r="S42" s="21" t="str">
        <f aca="false">IF($D42="","",IF($B42="","缺月份",IF($F42=0,"缺总工时",IF(ROUND($P42-$F42,2)&gt;0,"工时超出","√"))))</f>
        <v/>
      </c>
    </row>
    <row r="43" customFormat="false" ht="18.75" hidden="false" customHeight="true" outlineLevel="0" collapsed="false">
      <c r="B43" s="28"/>
      <c r="C43" s="7"/>
      <c r="D43" s="7"/>
      <c r="E43" s="27"/>
      <c r="F43" s="18"/>
      <c r="G43" s="19" t="str">
        <f aca="false">IF($D43="","",$F43-$P43)</f>
        <v/>
      </c>
      <c r="H43" s="18"/>
      <c r="I43" s="18"/>
      <c r="J43" s="18"/>
      <c r="K43" s="18"/>
      <c r="L43" s="18"/>
      <c r="M43" s="18"/>
      <c r="N43" s="18"/>
      <c r="O43" s="18"/>
      <c r="P43" s="19" t="str">
        <f aca="false">IF($D43="","",SUM(H43:O43))</f>
        <v/>
      </c>
      <c r="Q43" s="20" t="str">
        <f aca="false">IF(OR($D43="",$F43=0),"",$P43/$F43)</f>
        <v/>
      </c>
      <c r="R43" s="27"/>
      <c r="S43" s="21" t="str">
        <f aca="false">IF($D43="","",IF($B43="","缺月份",IF($F43=0,"缺总工时",IF(ROUND($P43-$F43,2)&gt;0,"工时超出","√"))))</f>
        <v/>
      </c>
    </row>
    <row r="44" customFormat="false" ht="18.75" hidden="false" customHeight="true" outlineLevel="0" collapsed="false">
      <c r="B44" s="28"/>
      <c r="C44" s="7"/>
      <c r="D44" s="7"/>
      <c r="E44" s="27"/>
      <c r="F44" s="18"/>
      <c r="G44" s="19" t="str">
        <f aca="false">IF($D44="","",$F44-$P44)</f>
        <v/>
      </c>
      <c r="H44" s="18"/>
      <c r="I44" s="18"/>
      <c r="J44" s="18"/>
      <c r="K44" s="18"/>
      <c r="L44" s="18"/>
      <c r="M44" s="18"/>
      <c r="N44" s="18"/>
      <c r="O44" s="18"/>
      <c r="P44" s="19" t="str">
        <f aca="false">IF($D44="","",SUM(H44:O44))</f>
        <v/>
      </c>
      <c r="Q44" s="20" t="str">
        <f aca="false">IF(OR($D44="",$F44=0),"",$P44/$F44)</f>
        <v/>
      </c>
      <c r="R44" s="27"/>
      <c r="S44" s="21" t="str">
        <f aca="false">IF($D44="","",IF($B44="","缺月份",IF($F44=0,"缺总工时",IF(ROUND($P44-$F44,2)&gt;0,"工时超出","√"))))</f>
        <v/>
      </c>
    </row>
    <row r="45" customFormat="false" ht="18.75" hidden="false" customHeight="true" outlineLevel="0" collapsed="false">
      <c r="B45" s="28"/>
      <c r="C45" s="7"/>
      <c r="D45" s="7"/>
      <c r="E45" s="27"/>
      <c r="F45" s="18"/>
      <c r="G45" s="19" t="str">
        <f aca="false">IF($D45="","",$F45-$P45)</f>
        <v/>
      </c>
      <c r="H45" s="18"/>
      <c r="I45" s="18"/>
      <c r="J45" s="18"/>
      <c r="K45" s="18"/>
      <c r="L45" s="18"/>
      <c r="M45" s="18"/>
      <c r="N45" s="18"/>
      <c r="O45" s="18"/>
      <c r="P45" s="19" t="str">
        <f aca="false">IF($D45="","",SUM(H45:O45))</f>
        <v/>
      </c>
      <c r="Q45" s="20" t="str">
        <f aca="false">IF(OR($D45="",$F45=0),"",$P45/$F45)</f>
        <v/>
      </c>
      <c r="R45" s="27"/>
      <c r="S45" s="21" t="str">
        <f aca="false">IF($D45="","",IF($B45="","缺月份",IF($F45=0,"缺总工时",IF(ROUND($P45-$F45,2)&gt;0,"工时超出","√"))))</f>
        <v/>
      </c>
    </row>
    <row r="46" customFormat="false" ht="18.75" hidden="false" customHeight="true" outlineLevel="0" collapsed="false">
      <c r="B46" s="28"/>
      <c r="C46" s="7"/>
      <c r="D46" s="7"/>
      <c r="E46" s="27"/>
      <c r="F46" s="18"/>
      <c r="G46" s="19" t="str">
        <f aca="false">IF($D46="","",$F46-$P46)</f>
        <v/>
      </c>
      <c r="H46" s="18"/>
      <c r="I46" s="18"/>
      <c r="J46" s="18"/>
      <c r="K46" s="18"/>
      <c r="L46" s="18"/>
      <c r="M46" s="18"/>
      <c r="N46" s="18"/>
      <c r="O46" s="18"/>
      <c r="P46" s="19" t="str">
        <f aca="false">IF($D46="","",SUM(H46:O46))</f>
        <v/>
      </c>
      <c r="Q46" s="20" t="str">
        <f aca="false">IF(OR($D46="",$F46=0),"",$P46/$F46)</f>
        <v/>
      </c>
      <c r="R46" s="27"/>
      <c r="S46" s="21" t="str">
        <f aca="false">IF($D46="","",IF($B46="","缺月份",IF($F46=0,"缺总工时",IF(ROUND($P46-$F46,2)&gt;0,"工时超出","√"))))</f>
        <v/>
      </c>
    </row>
    <row r="47" customFormat="false" ht="18.75" hidden="false" customHeight="true" outlineLevel="0" collapsed="false">
      <c r="B47" s="28"/>
      <c r="C47" s="7"/>
      <c r="D47" s="7"/>
      <c r="E47" s="27"/>
      <c r="F47" s="18"/>
      <c r="G47" s="19" t="str">
        <f aca="false">IF($D47="","",$F47-$P47)</f>
        <v/>
      </c>
      <c r="H47" s="18"/>
      <c r="I47" s="18"/>
      <c r="J47" s="18"/>
      <c r="K47" s="18"/>
      <c r="L47" s="18"/>
      <c r="M47" s="18"/>
      <c r="N47" s="18"/>
      <c r="O47" s="18"/>
      <c r="P47" s="19" t="str">
        <f aca="false">IF($D47="","",SUM(H47:O47))</f>
        <v/>
      </c>
      <c r="Q47" s="20" t="str">
        <f aca="false">IF(OR($D47="",$F47=0),"",$P47/$F47)</f>
        <v/>
      </c>
      <c r="R47" s="27"/>
      <c r="S47" s="21" t="str">
        <f aca="false">IF($D47="","",IF($B47="","缺月份",IF($F47=0,"缺总工时",IF(ROUND($P47-$F47,2)&gt;0,"工时超出","√"))))</f>
        <v/>
      </c>
    </row>
    <row r="48" customFormat="false" ht="18.75" hidden="false" customHeight="true" outlineLevel="0" collapsed="false">
      <c r="B48" s="28"/>
      <c r="C48" s="7"/>
      <c r="D48" s="7"/>
      <c r="E48" s="27"/>
      <c r="F48" s="18"/>
      <c r="G48" s="19" t="str">
        <f aca="false">IF($D48="","",$F48-$P48)</f>
        <v/>
      </c>
      <c r="H48" s="18"/>
      <c r="I48" s="18"/>
      <c r="J48" s="18"/>
      <c r="K48" s="18"/>
      <c r="L48" s="18"/>
      <c r="M48" s="18"/>
      <c r="N48" s="18"/>
      <c r="O48" s="18"/>
      <c r="P48" s="19" t="str">
        <f aca="false">IF($D48="","",SUM(H48:O48))</f>
        <v/>
      </c>
      <c r="Q48" s="20" t="str">
        <f aca="false">IF(OR($D48="",$F48=0),"",$P48/$F48)</f>
        <v/>
      </c>
      <c r="R48" s="27"/>
      <c r="S48" s="21" t="str">
        <f aca="false">IF($D48="","",IF($B48="","缺月份",IF($F48=0,"缺总工时",IF(ROUND($P48-$F48,2)&gt;0,"工时超出","√"))))</f>
        <v/>
      </c>
    </row>
    <row r="49" customFormat="false" ht="18.75" hidden="false" customHeight="true" outlineLevel="0" collapsed="false">
      <c r="B49" s="28"/>
      <c r="C49" s="7"/>
      <c r="D49" s="7"/>
      <c r="E49" s="27"/>
      <c r="F49" s="18"/>
      <c r="G49" s="19" t="str">
        <f aca="false">IF($D49="","",$F49-$P49)</f>
        <v/>
      </c>
      <c r="H49" s="18"/>
      <c r="I49" s="18"/>
      <c r="J49" s="18"/>
      <c r="K49" s="18"/>
      <c r="L49" s="18"/>
      <c r="M49" s="18"/>
      <c r="N49" s="18"/>
      <c r="O49" s="18"/>
      <c r="P49" s="19" t="str">
        <f aca="false">IF($D49="","",SUM(H49:O49))</f>
        <v/>
      </c>
      <c r="Q49" s="20" t="str">
        <f aca="false">IF(OR($D49="",$F49=0),"",$P49/$F49)</f>
        <v/>
      </c>
      <c r="R49" s="27"/>
      <c r="S49" s="21" t="str">
        <f aca="false">IF($D49="","",IF($B49="","缺月份",IF($F49=0,"缺总工时",IF(ROUND($P49-$F49,2)&gt;0,"工时超出","√"))))</f>
        <v/>
      </c>
    </row>
    <row r="50" customFormat="false" ht="18.75" hidden="false" customHeight="true" outlineLevel="0" collapsed="false">
      <c r="B50" s="28"/>
      <c r="C50" s="7"/>
      <c r="D50" s="7"/>
      <c r="E50" s="27"/>
      <c r="F50" s="18"/>
      <c r="G50" s="19" t="str">
        <f aca="false">IF($D50="","",$F50-$P50)</f>
        <v/>
      </c>
      <c r="H50" s="18"/>
      <c r="I50" s="18"/>
      <c r="J50" s="18"/>
      <c r="K50" s="18"/>
      <c r="L50" s="18"/>
      <c r="M50" s="18"/>
      <c r="N50" s="18"/>
      <c r="O50" s="18"/>
      <c r="P50" s="19" t="str">
        <f aca="false">IF($D50="","",SUM(H50:O50))</f>
        <v/>
      </c>
      <c r="Q50" s="20" t="str">
        <f aca="false">IF(OR($D50="",$F50=0),"",$P50/$F50)</f>
        <v/>
      </c>
      <c r="R50" s="27"/>
      <c r="S50" s="21" t="str">
        <f aca="false">IF($D50="","",IF($B50="","缺月份",IF($F50=0,"缺总工时",IF(ROUND($P50-$F50,2)&gt;0,"工时超出","√"))))</f>
        <v/>
      </c>
    </row>
    <row r="51" customFormat="false" ht="18.75" hidden="false" customHeight="true" outlineLevel="0" collapsed="false">
      <c r="B51" s="28"/>
      <c r="C51" s="7"/>
      <c r="D51" s="7"/>
      <c r="E51" s="27"/>
      <c r="F51" s="18"/>
      <c r="G51" s="19" t="str">
        <f aca="false">IF($D51="","",$F51-$P51)</f>
        <v/>
      </c>
      <c r="H51" s="18"/>
      <c r="I51" s="18"/>
      <c r="J51" s="18"/>
      <c r="K51" s="18"/>
      <c r="L51" s="18"/>
      <c r="M51" s="18"/>
      <c r="N51" s="18"/>
      <c r="O51" s="18"/>
      <c r="P51" s="19" t="str">
        <f aca="false">IF($D51="","",SUM(H51:O51))</f>
        <v/>
      </c>
      <c r="Q51" s="20" t="str">
        <f aca="false">IF(OR($D51="",$F51=0),"",$P51/$F51)</f>
        <v/>
      </c>
      <c r="R51" s="27"/>
      <c r="S51" s="21" t="str">
        <f aca="false">IF($D51="","",IF($B51="","缺月份",IF($F51=0,"缺总工时",IF(ROUND($P51-$F51,2)&gt;0,"工时超出","√"))))</f>
        <v/>
      </c>
    </row>
    <row r="52" customFormat="false" ht="18.75" hidden="false" customHeight="true" outlineLevel="0" collapsed="false">
      <c r="B52" s="28"/>
      <c r="C52" s="7"/>
      <c r="D52" s="7"/>
      <c r="E52" s="27"/>
      <c r="F52" s="18"/>
      <c r="G52" s="19" t="str">
        <f aca="false">IF($D52="","",$F52-$P52)</f>
        <v/>
      </c>
      <c r="H52" s="18"/>
      <c r="I52" s="18"/>
      <c r="J52" s="18"/>
      <c r="K52" s="18"/>
      <c r="L52" s="18"/>
      <c r="M52" s="18"/>
      <c r="N52" s="18"/>
      <c r="O52" s="18"/>
      <c r="P52" s="19" t="str">
        <f aca="false">IF($D52="","",SUM(H52:O52))</f>
        <v/>
      </c>
      <c r="Q52" s="20" t="str">
        <f aca="false">IF(OR($D52="",$F52=0),"",$P52/$F52)</f>
        <v/>
      </c>
      <c r="R52" s="27"/>
      <c r="S52" s="21" t="str">
        <f aca="false">IF($D52="","",IF($B52="","缺月份",IF($F52=0,"缺总工时",IF(ROUND($P52-$F52,2)&gt;0,"工时超出","√"))))</f>
        <v/>
      </c>
    </row>
    <row r="53" customFormat="false" ht="18.75" hidden="false" customHeight="true" outlineLevel="0" collapsed="false">
      <c r="B53" s="28"/>
      <c r="C53" s="7"/>
      <c r="D53" s="7"/>
      <c r="E53" s="27"/>
      <c r="F53" s="18"/>
      <c r="G53" s="19" t="str">
        <f aca="false">IF($D53="","",$F53-$P53)</f>
        <v/>
      </c>
      <c r="H53" s="18"/>
      <c r="I53" s="18"/>
      <c r="J53" s="18"/>
      <c r="K53" s="18"/>
      <c r="L53" s="18"/>
      <c r="M53" s="18"/>
      <c r="N53" s="18"/>
      <c r="O53" s="18"/>
      <c r="P53" s="19" t="str">
        <f aca="false">IF($D53="","",SUM(H53:O53))</f>
        <v/>
      </c>
      <c r="Q53" s="20" t="str">
        <f aca="false">IF(OR($D53="",$F53=0),"",$P53/$F53)</f>
        <v/>
      </c>
      <c r="R53" s="27"/>
      <c r="S53" s="21" t="str">
        <f aca="false">IF($D53="","",IF($B53="","缺月份",IF($F53=0,"缺总工时",IF(ROUND($P53-$F53,2)&gt;0,"工时超出","√"))))</f>
        <v/>
      </c>
    </row>
    <row r="54" customFormat="false" ht="18.75" hidden="false" customHeight="true" outlineLevel="0" collapsed="false">
      <c r="B54" s="28"/>
      <c r="C54" s="7"/>
      <c r="D54" s="7"/>
      <c r="E54" s="27"/>
      <c r="F54" s="18"/>
      <c r="G54" s="19" t="str">
        <f aca="false">IF($D54="","",$F54-$P54)</f>
        <v/>
      </c>
      <c r="H54" s="18"/>
      <c r="I54" s="18"/>
      <c r="J54" s="18"/>
      <c r="K54" s="18"/>
      <c r="L54" s="18"/>
      <c r="M54" s="18"/>
      <c r="N54" s="18"/>
      <c r="O54" s="18"/>
      <c r="P54" s="19" t="str">
        <f aca="false">IF($D54="","",SUM(H54:O54))</f>
        <v/>
      </c>
      <c r="Q54" s="20" t="str">
        <f aca="false">IF(OR($D54="",$F54=0),"",$P54/$F54)</f>
        <v/>
      </c>
      <c r="R54" s="27"/>
      <c r="S54" s="21" t="str">
        <f aca="false">IF($D54="","",IF($B54="","缺月份",IF($F54=0,"缺总工时",IF(ROUND($P54-$F54,2)&gt;0,"工时超出","√"))))</f>
        <v/>
      </c>
    </row>
    <row r="55" customFormat="false" ht="18.75" hidden="false" customHeight="true" outlineLevel="0" collapsed="false">
      <c r="B55" s="28"/>
      <c r="C55" s="7"/>
      <c r="D55" s="7"/>
      <c r="E55" s="27"/>
      <c r="F55" s="18"/>
      <c r="G55" s="19" t="str">
        <f aca="false">IF($D55="","",$F55-$P55)</f>
        <v/>
      </c>
      <c r="H55" s="18"/>
      <c r="I55" s="18"/>
      <c r="J55" s="18"/>
      <c r="K55" s="18"/>
      <c r="L55" s="18"/>
      <c r="M55" s="18"/>
      <c r="N55" s="18"/>
      <c r="O55" s="18"/>
      <c r="P55" s="19" t="str">
        <f aca="false">IF($D55="","",SUM(H55:O55))</f>
        <v/>
      </c>
      <c r="Q55" s="20" t="str">
        <f aca="false">IF(OR($D55="",$F55=0),"",$P55/$F55)</f>
        <v/>
      </c>
      <c r="R55" s="27"/>
      <c r="S55" s="21" t="str">
        <f aca="false">IF($D55="","",IF($B55="","缺月份",IF($F55=0,"缺总工时",IF(ROUND($P55-$F55,2)&gt;0,"工时超出","√"))))</f>
        <v/>
      </c>
    </row>
    <row r="56" customFormat="false" ht="18.75" hidden="false" customHeight="true" outlineLevel="0" collapsed="false">
      <c r="B56" s="28"/>
      <c r="C56" s="7"/>
      <c r="D56" s="7"/>
      <c r="E56" s="27"/>
      <c r="F56" s="18"/>
      <c r="G56" s="19" t="str">
        <f aca="false">IF($D56="","",$F56-$P56)</f>
        <v/>
      </c>
      <c r="H56" s="18"/>
      <c r="I56" s="18"/>
      <c r="J56" s="18"/>
      <c r="K56" s="18"/>
      <c r="L56" s="18"/>
      <c r="M56" s="18"/>
      <c r="N56" s="18"/>
      <c r="O56" s="18"/>
      <c r="P56" s="19" t="str">
        <f aca="false">IF($D56="","",SUM(H56:O56))</f>
        <v/>
      </c>
      <c r="Q56" s="20" t="str">
        <f aca="false">IF(OR($D56="",$F56=0),"",$P56/$F56)</f>
        <v/>
      </c>
      <c r="R56" s="27"/>
      <c r="S56" s="21" t="str">
        <f aca="false">IF($D56="","",IF($B56="","缺月份",IF($F56=0,"缺总工时",IF(ROUND($P56-$F56,2)&gt;0,"工时超出","√"))))</f>
        <v/>
      </c>
    </row>
    <row r="57" customFormat="false" ht="18.75" hidden="false" customHeight="true" outlineLevel="0" collapsed="false">
      <c r="B57" s="28"/>
      <c r="C57" s="7"/>
      <c r="D57" s="7"/>
      <c r="E57" s="27"/>
      <c r="F57" s="18"/>
      <c r="G57" s="19" t="str">
        <f aca="false">IF($D57="","",$F57-$P57)</f>
        <v/>
      </c>
      <c r="H57" s="18"/>
      <c r="I57" s="18"/>
      <c r="J57" s="18"/>
      <c r="K57" s="18"/>
      <c r="L57" s="18"/>
      <c r="M57" s="18"/>
      <c r="N57" s="18"/>
      <c r="O57" s="18"/>
      <c r="P57" s="19" t="str">
        <f aca="false">IF($D57="","",SUM(H57:O57))</f>
        <v/>
      </c>
      <c r="Q57" s="20" t="str">
        <f aca="false">IF(OR($D57="",$F57=0),"",$P57/$F57)</f>
        <v/>
      </c>
      <c r="R57" s="27"/>
      <c r="S57" s="21" t="str">
        <f aca="false">IF($D57="","",IF($B57="","缺月份",IF($F57=0,"缺总工时",IF(ROUND($P57-$F57,2)&gt;0,"工时超出","√"))))</f>
        <v/>
      </c>
    </row>
    <row r="58" customFormat="false" ht="18.75" hidden="false" customHeight="true" outlineLevel="0" collapsed="false">
      <c r="B58" s="28"/>
      <c r="C58" s="7"/>
      <c r="D58" s="7"/>
      <c r="E58" s="27"/>
      <c r="F58" s="18"/>
      <c r="G58" s="19" t="str">
        <f aca="false">IF($D58="","",$F58-$P58)</f>
        <v/>
      </c>
      <c r="H58" s="18"/>
      <c r="I58" s="18"/>
      <c r="J58" s="18"/>
      <c r="K58" s="18"/>
      <c r="L58" s="18"/>
      <c r="M58" s="18"/>
      <c r="N58" s="18"/>
      <c r="O58" s="18"/>
      <c r="P58" s="19" t="str">
        <f aca="false">IF($D58="","",SUM(H58:O58))</f>
        <v/>
      </c>
      <c r="Q58" s="20" t="str">
        <f aca="false">IF(OR($D58="",$F58=0),"",$P58/$F58)</f>
        <v/>
      </c>
      <c r="R58" s="27"/>
      <c r="S58" s="21" t="str">
        <f aca="false">IF($D58="","",IF($B58="","缺月份",IF($F58=0,"缺总工时",IF(ROUND($P58-$F58,2)&gt;0,"工时超出","√"))))</f>
        <v/>
      </c>
    </row>
    <row r="59" customFormat="false" ht="18.75" hidden="false" customHeight="true" outlineLevel="0" collapsed="false">
      <c r="B59" s="28"/>
      <c r="C59" s="7"/>
      <c r="D59" s="7"/>
      <c r="E59" s="27"/>
      <c r="F59" s="18"/>
      <c r="G59" s="19" t="str">
        <f aca="false">IF($D59="","",$F59-$P59)</f>
        <v/>
      </c>
      <c r="H59" s="18"/>
      <c r="I59" s="18"/>
      <c r="J59" s="18"/>
      <c r="K59" s="18"/>
      <c r="L59" s="18"/>
      <c r="M59" s="18"/>
      <c r="N59" s="18"/>
      <c r="O59" s="18"/>
      <c r="P59" s="19" t="str">
        <f aca="false">IF($D59="","",SUM(H59:O59))</f>
        <v/>
      </c>
      <c r="Q59" s="20" t="str">
        <f aca="false">IF(OR($D59="",$F59=0),"",$P59/$F59)</f>
        <v/>
      </c>
      <c r="R59" s="27"/>
      <c r="S59" s="21" t="str">
        <f aca="false">IF($D59="","",IF($B59="","缺月份",IF($F59=0,"缺总工时",IF(ROUND($P59-$F59,2)&gt;0,"工时超出","√"))))</f>
        <v/>
      </c>
    </row>
    <row r="60" customFormat="false" ht="18.75" hidden="false" customHeight="true" outlineLevel="0" collapsed="false">
      <c r="B60" s="28"/>
      <c r="C60" s="7"/>
      <c r="D60" s="7"/>
      <c r="E60" s="27"/>
      <c r="F60" s="18"/>
      <c r="G60" s="19" t="str">
        <f aca="false">IF($D60="","",$F60-$P60)</f>
        <v/>
      </c>
      <c r="H60" s="18"/>
      <c r="I60" s="18"/>
      <c r="J60" s="18"/>
      <c r="K60" s="18"/>
      <c r="L60" s="18"/>
      <c r="M60" s="18"/>
      <c r="N60" s="18"/>
      <c r="O60" s="18"/>
      <c r="P60" s="19" t="str">
        <f aca="false">IF($D60="","",SUM(H60:O60))</f>
        <v/>
      </c>
      <c r="Q60" s="20" t="str">
        <f aca="false">IF(OR($D60="",$F60=0),"",$P60/$F60)</f>
        <v/>
      </c>
      <c r="R60" s="27"/>
      <c r="S60" s="21" t="str">
        <f aca="false">IF($D60="","",IF($B60="","缺月份",IF($F60=0,"缺总工时",IF(ROUND($P60-$F60,2)&gt;0,"工时超出","√"))))</f>
        <v/>
      </c>
    </row>
    <row r="61" customFormat="false" ht="18.75" hidden="false" customHeight="true" outlineLevel="0" collapsed="false">
      <c r="B61" s="28"/>
      <c r="C61" s="7"/>
      <c r="D61" s="7"/>
      <c r="E61" s="27"/>
      <c r="F61" s="18"/>
      <c r="G61" s="19" t="str">
        <f aca="false">IF($D61="","",$F61-$P61)</f>
        <v/>
      </c>
      <c r="H61" s="18"/>
      <c r="I61" s="18"/>
      <c r="J61" s="18"/>
      <c r="K61" s="18"/>
      <c r="L61" s="18"/>
      <c r="M61" s="18"/>
      <c r="N61" s="18"/>
      <c r="O61" s="18"/>
      <c r="P61" s="19" t="str">
        <f aca="false">IF($D61="","",SUM(H61:O61))</f>
        <v/>
      </c>
      <c r="Q61" s="20" t="str">
        <f aca="false">IF(OR($D61="",$F61=0),"",$P61/$F61)</f>
        <v/>
      </c>
      <c r="R61" s="27"/>
      <c r="S61" s="21" t="str">
        <f aca="false">IF($D61="","",IF($B61="","缺月份",IF($F61=0,"缺总工时",IF(ROUND($P61-$F61,2)&gt;0,"工时超出","√"))))</f>
        <v/>
      </c>
    </row>
    <row r="62" customFormat="false" ht="18.75" hidden="false" customHeight="true" outlineLevel="0" collapsed="false">
      <c r="B62" s="28"/>
      <c r="C62" s="7"/>
      <c r="D62" s="7"/>
      <c r="E62" s="27"/>
      <c r="F62" s="18"/>
      <c r="G62" s="19" t="str">
        <f aca="false">IF($D62="","",$F62-$P62)</f>
        <v/>
      </c>
      <c r="H62" s="18"/>
      <c r="I62" s="18"/>
      <c r="J62" s="18"/>
      <c r="K62" s="18"/>
      <c r="L62" s="18"/>
      <c r="M62" s="18"/>
      <c r="N62" s="18"/>
      <c r="O62" s="18"/>
      <c r="P62" s="19" t="str">
        <f aca="false">IF($D62="","",SUM(H62:O62))</f>
        <v/>
      </c>
      <c r="Q62" s="20" t="str">
        <f aca="false">IF(OR($D62="",$F62=0),"",$P62/$F62)</f>
        <v/>
      </c>
      <c r="R62" s="27"/>
      <c r="S62" s="21" t="str">
        <f aca="false">IF($D62="","",IF($B62="","缺月份",IF($F62=0,"缺总工时",IF(ROUND($P62-$F62,2)&gt;0,"工时超出","√"))))</f>
        <v/>
      </c>
    </row>
    <row r="63" customFormat="false" ht="18.75" hidden="false" customHeight="true" outlineLevel="0" collapsed="false">
      <c r="B63" s="28"/>
      <c r="C63" s="7"/>
      <c r="D63" s="7"/>
      <c r="E63" s="27"/>
      <c r="F63" s="18"/>
      <c r="G63" s="19" t="str">
        <f aca="false">IF($D63="","",$F63-$P63)</f>
        <v/>
      </c>
      <c r="H63" s="18"/>
      <c r="I63" s="18"/>
      <c r="J63" s="18"/>
      <c r="K63" s="18"/>
      <c r="L63" s="18"/>
      <c r="M63" s="18"/>
      <c r="N63" s="18"/>
      <c r="O63" s="18"/>
      <c r="P63" s="19" t="str">
        <f aca="false">IF($D63="","",SUM(H63:O63))</f>
        <v/>
      </c>
      <c r="Q63" s="20" t="str">
        <f aca="false">IF(OR($D63="",$F63=0),"",$P63/$F63)</f>
        <v/>
      </c>
      <c r="R63" s="27"/>
      <c r="S63" s="21" t="str">
        <f aca="false">IF($D63="","",IF($B63="","缺月份",IF($F63=0,"缺总工时",IF(ROUND($P63-$F63,2)&gt;0,"工时超出","√"))))</f>
        <v/>
      </c>
    </row>
    <row r="64" customFormat="false" ht="18.75" hidden="false" customHeight="true" outlineLevel="0" collapsed="false">
      <c r="B64" s="28"/>
      <c r="C64" s="7"/>
      <c r="D64" s="7"/>
      <c r="E64" s="27"/>
      <c r="F64" s="18"/>
      <c r="G64" s="19" t="str">
        <f aca="false">IF($D64="","",$F64-$P64)</f>
        <v/>
      </c>
      <c r="H64" s="18"/>
      <c r="I64" s="18"/>
      <c r="J64" s="18"/>
      <c r="K64" s="18"/>
      <c r="L64" s="18"/>
      <c r="M64" s="18"/>
      <c r="N64" s="18"/>
      <c r="O64" s="18"/>
      <c r="P64" s="19" t="str">
        <f aca="false">IF($D64="","",SUM(H64:O64))</f>
        <v/>
      </c>
      <c r="Q64" s="20" t="str">
        <f aca="false">IF(OR($D64="",$F64=0),"",$P64/$F64)</f>
        <v/>
      </c>
      <c r="R64" s="27"/>
      <c r="S64" s="21" t="str">
        <f aca="false">IF($D64="","",IF($B64="","缺月份",IF($F64=0,"缺总工时",IF(ROUND($P64-$F64,2)&gt;0,"工时超出","√"))))</f>
        <v/>
      </c>
    </row>
    <row r="65" customFormat="false" ht="18.75" hidden="false" customHeight="true" outlineLevel="0" collapsed="false">
      <c r="B65" s="28"/>
      <c r="C65" s="7"/>
      <c r="D65" s="7"/>
      <c r="E65" s="27"/>
      <c r="F65" s="18"/>
      <c r="G65" s="19" t="str">
        <f aca="false">IF($D65="","",$F65-$P65)</f>
        <v/>
      </c>
      <c r="H65" s="18"/>
      <c r="I65" s="18"/>
      <c r="J65" s="18"/>
      <c r="K65" s="18"/>
      <c r="L65" s="18"/>
      <c r="M65" s="18"/>
      <c r="N65" s="18"/>
      <c r="O65" s="18"/>
      <c r="P65" s="19" t="str">
        <f aca="false">IF($D65="","",SUM(H65:O65))</f>
        <v/>
      </c>
      <c r="Q65" s="20" t="str">
        <f aca="false">IF(OR($D65="",$F65=0),"",$P65/$F65)</f>
        <v/>
      </c>
      <c r="R65" s="27"/>
      <c r="S65" s="21" t="str">
        <f aca="false">IF($D65="","",IF($B65="","缺月份",IF($F65=0,"缺总工时",IF(ROUND($P65-$F65,2)&gt;0,"工时超出","√"))))</f>
        <v/>
      </c>
    </row>
    <row r="66" customFormat="false" ht="18.75" hidden="false" customHeight="true" outlineLevel="0" collapsed="false">
      <c r="B66" s="28"/>
      <c r="C66" s="7"/>
      <c r="D66" s="7"/>
      <c r="E66" s="27"/>
      <c r="F66" s="18"/>
      <c r="G66" s="19" t="str">
        <f aca="false">IF($D66="","",$F66-$P66)</f>
        <v/>
      </c>
      <c r="H66" s="18"/>
      <c r="I66" s="18"/>
      <c r="J66" s="18"/>
      <c r="K66" s="18"/>
      <c r="L66" s="18"/>
      <c r="M66" s="18"/>
      <c r="N66" s="18"/>
      <c r="O66" s="18"/>
      <c r="P66" s="19" t="str">
        <f aca="false">IF($D66="","",SUM(H66:O66))</f>
        <v/>
      </c>
      <c r="Q66" s="20" t="str">
        <f aca="false">IF(OR($D66="",$F66=0),"",$P66/$F66)</f>
        <v/>
      </c>
      <c r="R66" s="27"/>
      <c r="S66" s="21" t="str">
        <f aca="false">IF($D66="","",IF($B66="","缺月份",IF($F66=0,"缺总工时",IF(ROUND($P66-$F66,2)&gt;0,"工时超出","√"))))</f>
        <v/>
      </c>
    </row>
    <row r="67" customFormat="false" ht="18.75" hidden="false" customHeight="true" outlineLevel="0" collapsed="false">
      <c r="B67" s="28"/>
      <c r="C67" s="7"/>
      <c r="D67" s="7"/>
      <c r="E67" s="27"/>
      <c r="F67" s="18"/>
      <c r="G67" s="19" t="str">
        <f aca="false">IF($D67="","",$F67-$P67)</f>
        <v/>
      </c>
      <c r="H67" s="18"/>
      <c r="I67" s="18"/>
      <c r="J67" s="18"/>
      <c r="K67" s="18"/>
      <c r="L67" s="18"/>
      <c r="M67" s="18"/>
      <c r="N67" s="18"/>
      <c r="O67" s="18"/>
      <c r="P67" s="19" t="str">
        <f aca="false">IF($D67="","",SUM(H67:O67))</f>
        <v/>
      </c>
      <c r="Q67" s="20" t="str">
        <f aca="false">IF(OR($D67="",$F67=0),"",$P67/$F67)</f>
        <v/>
      </c>
      <c r="R67" s="27"/>
      <c r="S67" s="21" t="str">
        <f aca="false">IF($D67="","",IF($B67="","缺月份",IF($F67=0,"缺总工时",IF(ROUND($P67-$F67,2)&gt;0,"工时超出","√"))))</f>
        <v/>
      </c>
    </row>
    <row r="68" customFormat="false" ht="18.75" hidden="false" customHeight="true" outlineLevel="0" collapsed="false">
      <c r="B68" s="28"/>
      <c r="C68" s="7"/>
      <c r="D68" s="7"/>
      <c r="E68" s="27"/>
      <c r="F68" s="18"/>
      <c r="G68" s="19" t="str">
        <f aca="false">IF($D68="","",$F68-$P68)</f>
        <v/>
      </c>
      <c r="H68" s="18"/>
      <c r="I68" s="18"/>
      <c r="J68" s="18"/>
      <c r="K68" s="18"/>
      <c r="L68" s="18"/>
      <c r="M68" s="18"/>
      <c r="N68" s="18"/>
      <c r="O68" s="18"/>
      <c r="P68" s="19" t="str">
        <f aca="false">IF($D68="","",SUM(H68:O68))</f>
        <v/>
      </c>
      <c r="Q68" s="20" t="str">
        <f aca="false">IF(OR($D68="",$F68=0),"",$P68/$F68)</f>
        <v/>
      </c>
      <c r="R68" s="27"/>
      <c r="S68" s="21" t="str">
        <f aca="false">IF($D68="","",IF($B68="","缺月份",IF($F68=0,"缺总工时",IF(ROUND($P68-$F68,2)&gt;0,"工时超出","√"))))</f>
        <v/>
      </c>
    </row>
    <row r="69" customFormat="false" ht="18.75" hidden="false" customHeight="true" outlineLevel="0" collapsed="false">
      <c r="B69" s="28"/>
      <c r="C69" s="7"/>
      <c r="D69" s="7"/>
      <c r="E69" s="27"/>
      <c r="F69" s="18"/>
      <c r="G69" s="19" t="str">
        <f aca="false">IF($D69="","",$F69-$P69)</f>
        <v/>
      </c>
      <c r="H69" s="18"/>
      <c r="I69" s="18"/>
      <c r="J69" s="18"/>
      <c r="K69" s="18"/>
      <c r="L69" s="18"/>
      <c r="M69" s="18"/>
      <c r="N69" s="18"/>
      <c r="O69" s="18"/>
      <c r="P69" s="19" t="str">
        <f aca="false">IF($D69="","",SUM(H69:O69))</f>
        <v/>
      </c>
      <c r="Q69" s="20" t="str">
        <f aca="false">IF(OR($D69="",$F69=0),"",$P69/$F69)</f>
        <v/>
      </c>
      <c r="R69" s="27"/>
      <c r="S69" s="21" t="str">
        <f aca="false">IF($D69="","",IF($B69="","缺月份",IF($F69=0,"缺总工时",IF(ROUND($P69-$F69,2)&gt;0,"工时超出","√"))))</f>
        <v/>
      </c>
    </row>
    <row r="70" customFormat="false" ht="18.75" hidden="false" customHeight="true" outlineLevel="0" collapsed="false">
      <c r="B70" s="28"/>
      <c r="C70" s="7"/>
      <c r="D70" s="7"/>
      <c r="E70" s="27"/>
      <c r="F70" s="18"/>
      <c r="G70" s="19" t="str">
        <f aca="false">IF($D70="","",$F70-$P70)</f>
        <v/>
      </c>
      <c r="H70" s="18"/>
      <c r="I70" s="18"/>
      <c r="J70" s="18"/>
      <c r="K70" s="18"/>
      <c r="L70" s="18"/>
      <c r="M70" s="18"/>
      <c r="N70" s="18"/>
      <c r="O70" s="18"/>
      <c r="P70" s="19" t="str">
        <f aca="false">IF($D70="","",SUM(H70:O70))</f>
        <v/>
      </c>
      <c r="Q70" s="20" t="str">
        <f aca="false">IF(OR($D70="",$F70=0),"",$P70/$F70)</f>
        <v/>
      </c>
      <c r="R70" s="27"/>
      <c r="S70" s="21" t="str">
        <f aca="false">IF($D70="","",IF($B70="","缺月份",IF($F70=0,"缺总工时",IF(ROUND($P70-$F70,2)&gt;0,"工时超出","√"))))</f>
        <v/>
      </c>
    </row>
    <row r="71" customFormat="false" ht="18.75" hidden="false" customHeight="true" outlineLevel="0" collapsed="false">
      <c r="B71" s="28"/>
      <c r="C71" s="7"/>
      <c r="D71" s="7"/>
      <c r="E71" s="27"/>
      <c r="F71" s="18"/>
      <c r="G71" s="19" t="str">
        <f aca="false">IF($D71="","",$F71-$P71)</f>
        <v/>
      </c>
      <c r="H71" s="18"/>
      <c r="I71" s="18"/>
      <c r="J71" s="18"/>
      <c r="K71" s="18"/>
      <c r="L71" s="18"/>
      <c r="M71" s="18"/>
      <c r="N71" s="18"/>
      <c r="O71" s="18"/>
      <c r="P71" s="19" t="str">
        <f aca="false">IF($D71="","",SUM(H71:O71))</f>
        <v/>
      </c>
      <c r="Q71" s="20" t="str">
        <f aca="false">IF(OR($D71="",$F71=0),"",$P71/$F71)</f>
        <v/>
      </c>
      <c r="R71" s="27"/>
      <c r="S71" s="21" t="str">
        <f aca="false">IF($D71="","",IF($B71="","缺月份",IF($F71=0,"缺总工时",IF(ROUND($P71-$F71,2)&gt;0,"工时超出","√"))))</f>
        <v/>
      </c>
    </row>
    <row r="72" customFormat="false" ht="18.75" hidden="false" customHeight="true" outlineLevel="0" collapsed="false">
      <c r="B72" s="28"/>
      <c r="C72" s="7"/>
      <c r="D72" s="7"/>
      <c r="E72" s="27"/>
      <c r="F72" s="18"/>
      <c r="G72" s="19" t="str">
        <f aca="false">IF($D72="","",$F72-$P72)</f>
        <v/>
      </c>
      <c r="H72" s="18"/>
      <c r="I72" s="18"/>
      <c r="J72" s="18"/>
      <c r="K72" s="18"/>
      <c r="L72" s="18"/>
      <c r="M72" s="18"/>
      <c r="N72" s="18"/>
      <c r="O72" s="18"/>
      <c r="P72" s="19" t="str">
        <f aca="false">IF($D72="","",SUM(H72:O72))</f>
        <v/>
      </c>
      <c r="Q72" s="20" t="str">
        <f aca="false">IF(OR($D72="",$F72=0),"",$P72/$F72)</f>
        <v/>
      </c>
      <c r="R72" s="27"/>
      <c r="S72" s="21" t="str">
        <f aca="false">IF($D72="","",IF($B72="","缺月份",IF($F72=0,"缺总工时",IF(ROUND($P72-$F72,2)&gt;0,"工时超出","√"))))</f>
        <v/>
      </c>
    </row>
    <row r="73" customFormat="false" ht="18.75" hidden="false" customHeight="true" outlineLevel="0" collapsed="false">
      <c r="B73" s="28"/>
      <c r="C73" s="7"/>
      <c r="D73" s="7"/>
      <c r="E73" s="27"/>
      <c r="F73" s="18"/>
      <c r="G73" s="19" t="str">
        <f aca="false">IF($D73="","",$F73-$P73)</f>
        <v/>
      </c>
      <c r="H73" s="18"/>
      <c r="I73" s="18"/>
      <c r="J73" s="18"/>
      <c r="K73" s="18"/>
      <c r="L73" s="18"/>
      <c r="M73" s="18"/>
      <c r="N73" s="18"/>
      <c r="O73" s="18"/>
      <c r="P73" s="19" t="str">
        <f aca="false">IF($D73="","",SUM(H73:O73))</f>
        <v/>
      </c>
      <c r="Q73" s="20" t="str">
        <f aca="false">IF(OR($D73="",$F73=0),"",$P73/$F73)</f>
        <v/>
      </c>
      <c r="R73" s="27"/>
      <c r="S73" s="21" t="str">
        <f aca="false">IF($D73="","",IF($B73="","缺月份",IF($F73=0,"缺总工时",IF(ROUND($P73-$F73,2)&gt;0,"工时超出","√"))))</f>
        <v/>
      </c>
    </row>
    <row r="74" customFormat="false" ht="18.75" hidden="false" customHeight="true" outlineLevel="0" collapsed="false">
      <c r="B74" s="28"/>
      <c r="C74" s="7"/>
      <c r="D74" s="7"/>
      <c r="E74" s="27"/>
      <c r="F74" s="18"/>
      <c r="G74" s="19" t="str">
        <f aca="false">IF($D74="","",$F74-$P74)</f>
        <v/>
      </c>
      <c r="H74" s="18"/>
      <c r="I74" s="18"/>
      <c r="J74" s="18"/>
      <c r="K74" s="18"/>
      <c r="L74" s="18"/>
      <c r="M74" s="18"/>
      <c r="N74" s="18"/>
      <c r="O74" s="18"/>
      <c r="P74" s="19" t="str">
        <f aca="false">IF($D74="","",SUM(H74:O74))</f>
        <v/>
      </c>
      <c r="Q74" s="20" t="str">
        <f aca="false">IF(OR($D74="",$F74=0),"",$P74/$F74)</f>
        <v/>
      </c>
      <c r="R74" s="27"/>
      <c r="S74" s="21" t="str">
        <f aca="false">IF($D74="","",IF($B74="","缺月份",IF($F74=0,"缺总工时",IF(ROUND($P74-$F74,2)&gt;0,"工时超出","√"))))</f>
        <v/>
      </c>
    </row>
    <row r="75" customFormat="false" ht="18.75" hidden="false" customHeight="true" outlineLevel="0" collapsed="false">
      <c r="B75" s="28"/>
      <c r="C75" s="7"/>
      <c r="D75" s="7"/>
      <c r="E75" s="27"/>
      <c r="F75" s="18"/>
      <c r="G75" s="19" t="str">
        <f aca="false">IF($D75="","",$F75-$P75)</f>
        <v/>
      </c>
      <c r="H75" s="18"/>
      <c r="I75" s="18"/>
      <c r="J75" s="18"/>
      <c r="K75" s="18"/>
      <c r="L75" s="18"/>
      <c r="M75" s="18"/>
      <c r="N75" s="18"/>
      <c r="O75" s="18"/>
      <c r="P75" s="19" t="str">
        <f aca="false">IF($D75="","",SUM(H75:O75))</f>
        <v/>
      </c>
      <c r="Q75" s="20" t="str">
        <f aca="false">IF(OR($D75="",$F75=0),"",$P75/$F75)</f>
        <v/>
      </c>
      <c r="R75" s="27"/>
      <c r="S75" s="21" t="str">
        <f aca="false">IF($D75="","",IF($B75="","缺月份",IF($F75=0,"缺总工时",IF(ROUND($P75-$F75,2)&gt;0,"工时超出","√"))))</f>
        <v/>
      </c>
    </row>
    <row r="76" customFormat="false" ht="18.75" hidden="false" customHeight="true" outlineLevel="0" collapsed="false">
      <c r="B76" s="28"/>
      <c r="C76" s="7"/>
      <c r="D76" s="7"/>
      <c r="E76" s="27"/>
      <c r="F76" s="18"/>
      <c r="G76" s="19" t="str">
        <f aca="false">IF($D76="","",$F76-$P76)</f>
        <v/>
      </c>
      <c r="H76" s="18"/>
      <c r="I76" s="18"/>
      <c r="J76" s="18"/>
      <c r="K76" s="18"/>
      <c r="L76" s="18"/>
      <c r="M76" s="18"/>
      <c r="N76" s="18"/>
      <c r="O76" s="18"/>
      <c r="P76" s="19" t="str">
        <f aca="false">IF($D76="","",SUM(H76:O76))</f>
        <v/>
      </c>
      <c r="Q76" s="20" t="str">
        <f aca="false">IF(OR($D76="",$F76=0),"",$P76/$F76)</f>
        <v/>
      </c>
      <c r="R76" s="27"/>
      <c r="S76" s="21" t="str">
        <f aca="false">IF($D76="","",IF($B76="","缺月份",IF($F76=0,"缺总工时",IF(ROUND($P76-$F76,2)&gt;0,"工时超出","√"))))</f>
        <v/>
      </c>
    </row>
    <row r="77" customFormat="false" ht="18.75" hidden="false" customHeight="true" outlineLevel="0" collapsed="false">
      <c r="B77" s="28"/>
      <c r="C77" s="7"/>
      <c r="D77" s="7"/>
      <c r="E77" s="27"/>
      <c r="F77" s="18"/>
      <c r="G77" s="19" t="str">
        <f aca="false">IF($D77="","",$F77-$P77)</f>
        <v/>
      </c>
      <c r="H77" s="18"/>
      <c r="I77" s="18"/>
      <c r="J77" s="18"/>
      <c r="K77" s="18"/>
      <c r="L77" s="18"/>
      <c r="M77" s="18"/>
      <c r="N77" s="18"/>
      <c r="O77" s="18"/>
      <c r="P77" s="19" t="str">
        <f aca="false">IF($D77="","",SUM(H77:O77))</f>
        <v/>
      </c>
      <c r="Q77" s="20" t="str">
        <f aca="false">IF(OR($D77="",$F77=0),"",$P77/$F77)</f>
        <v/>
      </c>
      <c r="R77" s="27"/>
      <c r="S77" s="21" t="str">
        <f aca="false">IF($D77="","",IF($B77="","缺月份",IF($F77=0,"缺总工时",IF(ROUND($P77-$F77,2)&gt;0,"工时超出","√"))))</f>
        <v/>
      </c>
    </row>
    <row r="78" customFormat="false" ht="18.75" hidden="false" customHeight="true" outlineLevel="0" collapsed="false">
      <c r="B78" s="28"/>
      <c r="C78" s="7"/>
      <c r="D78" s="7"/>
      <c r="E78" s="27"/>
      <c r="F78" s="18"/>
      <c r="G78" s="19" t="str">
        <f aca="false">IF($D78="","",$F78-$P78)</f>
        <v/>
      </c>
      <c r="H78" s="18"/>
      <c r="I78" s="18"/>
      <c r="J78" s="18"/>
      <c r="K78" s="18"/>
      <c r="L78" s="18"/>
      <c r="M78" s="18"/>
      <c r="N78" s="18"/>
      <c r="O78" s="18"/>
      <c r="P78" s="19" t="str">
        <f aca="false">IF($D78="","",SUM(H78:O78))</f>
        <v/>
      </c>
      <c r="Q78" s="20" t="str">
        <f aca="false">IF(OR($D78="",$F78=0),"",$P78/$F78)</f>
        <v/>
      </c>
      <c r="R78" s="27"/>
      <c r="S78" s="21" t="str">
        <f aca="false">IF($D78="","",IF($B78="","缺月份",IF($F78=0,"缺总工时",IF(ROUND($P78-$F78,2)&gt;0,"工时超出","√"))))</f>
        <v/>
      </c>
    </row>
    <row r="79" customFormat="false" ht="18.75" hidden="false" customHeight="true" outlineLevel="0" collapsed="false">
      <c r="B79" s="28"/>
      <c r="C79" s="7"/>
      <c r="D79" s="7"/>
      <c r="E79" s="27"/>
      <c r="F79" s="18"/>
      <c r="G79" s="19" t="str">
        <f aca="false">IF($D79="","",$F79-$P79)</f>
        <v/>
      </c>
      <c r="H79" s="18"/>
      <c r="I79" s="18"/>
      <c r="J79" s="18"/>
      <c r="K79" s="18"/>
      <c r="L79" s="18"/>
      <c r="M79" s="18"/>
      <c r="N79" s="18"/>
      <c r="O79" s="18"/>
      <c r="P79" s="19" t="str">
        <f aca="false">IF($D79="","",SUM(H79:O79))</f>
        <v/>
      </c>
      <c r="Q79" s="20" t="str">
        <f aca="false">IF(OR($D79="",$F79=0),"",$P79/$F79)</f>
        <v/>
      </c>
      <c r="R79" s="27"/>
      <c r="S79" s="21" t="str">
        <f aca="false">IF($D79="","",IF($B79="","缺月份",IF($F79=0,"缺总工时",IF(ROUND($P79-$F79,2)&gt;0,"工时超出","√"))))</f>
        <v/>
      </c>
    </row>
    <row r="80" customFormat="false" ht="18.75" hidden="false" customHeight="true" outlineLevel="0" collapsed="false">
      <c r="B80" s="28"/>
      <c r="C80" s="7"/>
      <c r="D80" s="7"/>
      <c r="E80" s="27"/>
      <c r="F80" s="18"/>
      <c r="G80" s="19" t="str">
        <f aca="false">IF($D80="","",$F80-$P80)</f>
        <v/>
      </c>
      <c r="H80" s="18"/>
      <c r="I80" s="18"/>
      <c r="J80" s="18"/>
      <c r="K80" s="18"/>
      <c r="L80" s="18"/>
      <c r="M80" s="18"/>
      <c r="N80" s="18"/>
      <c r="O80" s="18"/>
      <c r="P80" s="19" t="str">
        <f aca="false">IF($D80="","",SUM(H80:O80))</f>
        <v/>
      </c>
      <c r="Q80" s="20" t="str">
        <f aca="false">IF(OR($D80="",$F80=0),"",$P80/$F80)</f>
        <v/>
      </c>
      <c r="R80" s="27"/>
      <c r="S80" s="21" t="str">
        <f aca="false">IF($D80="","",IF($B80="","缺月份",IF($F80=0,"缺总工时",IF(ROUND($P80-$F80,2)&gt;0,"工时超出","√"))))</f>
        <v/>
      </c>
    </row>
    <row r="81" customFormat="false" ht="18.75" hidden="false" customHeight="true" outlineLevel="0" collapsed="false">
      <c r="B81" s="28"/>
      <c r="C81" s="7"/>
      <c r="D81" s="7"/>
      <c r="E81" s="27"/>
      <c r="F81" s="18"/>
      <c r="G81" s="19" t="str">
        <f aca="false">IF($D81="","",$F81-$P81)</f>
        <v/>
      </c>
      <c r="H81" s="18"/>
      <c r="I81" s="18"/>
      <c r="J81" s="18"/>
      <c r="K81" s="18"/>
      <c r="L81" s="18"/>
      <c r="M81" s="18"/>
      <c r="N81" s="18"/>
      <c r="O81" s="18"/>
      <c r="P81" s="19" t="str">
        <f aca="false">IF($D81="","",SUM(H81:O81))</f>
        <v/>
      </c>
      <c r="Q81" s="20" t="str">
        <f aca="false">IF(OR($D81="",$F81=0),"",$P81/$F81)</f>
        <v/>
      </c>
      <c r="R81" s="27"/>
      <c r="S81" s="21" t="str">
        <f aca="false">IF($D81="","",IF($B81="","缺月份",IF($F81=0,"缺总工时",IF(ROUND($P81-$F81,2)&gt;0,"工时超出","√"))))</f>
        <v/>
      </c>
    </row>
    <row r="82" customFormat="false" ht="18.75" hidden="false" customHeight="true" outlineLevel="0" collapsed="false">
      <c r="B82" s="28"/>
      <c r="C82" s="7"/>
      <c r="D82" s="7"/>
      <c r="E82" s="27"/>
      <c r="F82" s="18"/>
      <c r="G82" s="19" t="str">
        <f aca="false">IF($D82="","",$F82-$P82)</f>
        <v/>
      </c>
      <c r="H82" s="18"/>
      <c r="I82" s="18"/>
      <c r="J82" s="18"/>
      <c r="K82" s="18"/>
      <c r="L82" s="18"/>
      <c r="M82" s="18"/>
      <c r="N82" s="18"/>
      <c r="O82" s="18"/>
      <c r="P82" s="19" t="str">
        <f aca="false">IF($D82="","",SUM(H82:O82))</f>
        <v/>
      </c>
      <c r="Q82" s="20" t="str">
        <f aca="false">IF(OR($D82="",$F82=0),"",$P82/$F82)</f>
        <v/>
      </c>
      <c r="R82" s="27"/>
      <c r="S82" s="21" t="str">
        <f aca="false">IF($D82="","",IF($B82="","缺月份",IF($F82=0,"缺总工时",IF(ROUND($P82-$F82,2)&gt;0,"工时超出","√"))))</f>
        <v/>
      </c>
    </row>
    <row r="83" customFormat="false" ht="18.75" hidden="false" customHeight="true" outlineLevel="0" collapsed="false">
      <c r="B83" s="28"/>
      <c r="C83" s="7"/>
      <c r="D83" s="7"/>
      <c r="E83" s="27"/>
      <c r="F83" s="18"/>
      <c r="G83" s="19" t="str">
        <f aca="false">IF($D83="","",$F83-$P83)</f>
        <v/>
      </c>
      <c r="H83" s="18"/>
      <c r="I83" s="18"/>
      <c r="J83" s="18"/>
      <c r="K83" s="18"/>
      <c r="L83" s="18"/>
      <c r="M83" s="18"/>
      <c r="N83" s="18"/>
      <c r="O83" s="18"/>
      <c r="P83" s="19" t="str">
        <f aca="false">IF($D83="","",SUM(H83:O83))</f>
        <v/>
      </c>
      <c r="Q83" s="20" t="str">
        <f aca="false">IF(OR($D83="",$F83=0),"",$P83/$F83)</f>
        <v/>
      </c>
      <c r="R83" s="27"/>
      <c r="S83" s="21" t="str">
        <f aca="false">IF($D83="","",IF($B83="","缺月份",IF($F83=0,"缺总工时",IF(ROUND($P83-$F83,2)&gt;0,"工时超出","√"))))</f>
        <v/>
      </c>
    </row>
    <row r="84" customFormat="false" ht="18.75" hidden="false" customHeight="true" outlineLevel="0" collapsed="false">
      <c r="B84" s="28"/>
      <c r="C84" s="7"/>
      <c r="D84" s="7"/>
      <c r="E84" s="27"/>
      <c r="F84" s="18"/>
      <c r="G84" s="19" t="str">
        <f aca="false">IF($D84="","",$F84-$P84)</f>
        <v/>
      </c>
      <c r="H84" s="18"/>
      <c r="I84" s="18"/>
      <c r="J84" s="18"/>
      <c r="K84" s="18"/>
      <c r="L84" s="18"/>
      <c r="M84" s="18"/>
      <c r="N84" s="18"/>
      <c r="O84" s="18"/>
      <c r="P84" s="19" t="str">
        <f aca="false">IF($D84="","",SUM(H84:O84))</f>
        <v/>
      </c>
      <c r="Q84" s="20" t="str">
        <f aca="false">IF(OR($D84="",$F84=0),"",$P84/$F84)</f>
        <v/>
      </c>
      <c r="R84" s="27"/>
      <c r="S84" s="21" t="str">
        <f aca="false">IF($D84="","",IF($B84="","缺月份",IF($F84=0,"缺总工时",IF(ROUND($P84-$F84,2)&gt;0,"工时超出","√"))))</f>
        <v/>
      </c>
    </row>
    <row r="85" customFormat="false" ht="18.75" hidden="false" customHeight="true" outlineLevel="0" collapsed="false">
      <c r="B85" s="28"/>
      <c r="C85" s="7"/>
      <c r="D85" s="7"/>
      <c r="E85" s="27"/>
      <c r="F85" s="18"/>
      <c r="G85" s="19" t="str">
        <f aca="false">IF($D85="","",$F85-$P85)</f>
        <v/>
      </c>
      <c r="H85" s="18"/>
      <c r="I85" s="18"/>
      <c r="J85" s="18"/>
      <c r="K85" s="18"/>
      <c r="L85" s="18"/>
      <c r="M85" s="18"/>
      <c r="N85" s="18"/>
      <c r="O85" s="18"/>
      <c r="P85" s="19" t="str">
        <f aca="false">IF($D85="","",SUM(H85:O85))</f>
        <v/>
      </c>
      <c r="Q85" s="20" t="str">
        <f aca="false">IF(OR($D85="",$F85=0),"",$P85/$F85)</f>
        <v/>
      </c>
      <c r="R85" s="27"/>
      <c r="S85" s="21" t="str">
        <f aca="false">IF($D85="","",IF($B85="","缺月份",IF($F85=0,"缺总工时",IF(ROUND($P85-$F85,2)&gt;0,"工时超出","√"))))</f>
        <v/>
      </c>
    </row>
    <row r="86" customFormat="false" ht="18.75" hidden="false" customHeight="true" outlineLevel="0" collapsed="false">
      <c r="B86" s="28"/>
      <c r="C86" s="7"/>
      <c r="D86" s="7"/>
      <c r="E86" s="27"/>
      <c r="F86" s="18"/>
      <c r="G86" s="19" t="str">
        <f aca="false">IF($D86="","",$F86-$P86)</f>
        <v/>
      </c>
      <c r="H86" s="18"/>
      <c r="I86" s="18"/>
      <c r="J86" s="18"/>
      <c r="K86" s="18"/>
      <c r="L86" s="18"/>
      <c r="M86" s="18"/>
      <c r="N86" s="18"/>
      <c r="O86" s="18"/>
      <c r="P86" s="19" t="str">
        <f aca="false">IF($D86="","",SUM(H86:O86))</f>
        <v/>
      </c>
      <c r="Q86" s="20" t="str">
        <f aca="false">IF(OR($D86="",$F86=0),"",$P86/$F86)</f>
        <v/>
      </c>
      <c r="R86" s="27"/>
      <c r="S86" s="21" t="str">
        <f aca="false">IF($D86="","",IF($B86="","缺月份",IF($F86=0,"缺总工时",IF(ROUND($P86-$F86,2)&gt;0,"工时超出","√"))))</f>
        <v/>
      </c>
    </row>
    <row r="87" customFormat="false" ht="18.75" hidden="false" customHeight="true" outlineLevel="0" collapsed="false">
      <c r="B87" s="28"/>
      <c r="C87" s="7"/>
      <c r="D87" s="7"/>
      <c r="E87" s="27"/>
      <c r="F87" s="18"/>
      <c r="G87" s="19" t="str">
        <f aca="false">IF($D87="","",$F87-$P87)</f>
        <v/>
      </c>
      <c r="H87" s="18"/>
      <c r="I87" s="18"/>
      <c r="J87" s="18"/>
      <c r="K87" s="18"/>
      <c r="L87" s="18"/>
      <c r="M87" s="18"/>
      <c r="N87" s="18"/>
      <c r="O87" s="18"/>
      <c r="P87" s="19" t="str">
        <f aca="false">IF($D87="","",SUM(H87:O87))</f>
        <v/>
      </c>
      <c r="Q87" s="20" t="str">
        <f aca="false">IF(OR($D87="",$F87=0),"",$P87/$F87)</f>
        <v/>
      </c>
      <c r="R87" s="27"/>
      <c r="S87" s="21" t="str">
        <f aca="false">IF($D87="","",IF($B87="","缺月份",IF($F87=0,"缺总工时",IF(ROUND($P87-$F87,2)&gt;0,"工时超出","√"))))</f>
        <v/>
      </c>
    </row>
    <row r="88" customFormat="false" ht="18.75" hidden="false" customHeight="true" outlineLevel="0" collapsed="false">
      <c r="B88" s="28"/>
      <c r="C88" s="7"/>
      <c r="D88" s="7"/>
      <c r="E88" s="27"/>
      <c r="F88" s="18"/>
      <c r="G88" s="19" t="str">
        <f aca="false">IF($D88="","",$F88-$P88)</f>
        <v/>
      </c>
      <c r="H88" s="18"/>
      <c r="I88" s="18"/>
      <c r="J88" s="18"/>
      <c r="K88" s="18"/>
      <c r="L88" s="18"/>
      <c r="M88" s="18"/>
      <c r="N88" s="18"/>
      <c r="O88" s="18"/>
      <c r="P88" s="19" t="str">
        <f aca="false">IF($D88="","",SUM(H88:O88))</f>
        <v/>
      </c>
      <c r="Q88" s="20" t="str">
        <f aca="false">IF(OR($D88="",$F88=0),"",$P88/$F88)</f>
        <v/>
      </c>
      <c r="R88" s="27"/>
      <c r="S88" s="21" t="str">
        <f aca="false">IF($D88="","",IF($B88="","缺月份",IF($F88=0,"缺总工时",IF(ROUND($P88-$F88,2)&gt;0,"工时超出","√"))))</f>
        <v/>
      </c>
    </row>
    <row r="89" customFormat="false" ht="18.75" hidden="false" customHeight="true" outlineLevel="0" collapsed="false">
      <c r="B89" s="28"/>
      <c r="C89" s="7"/>
      <c r="D89" s="7"/>
      <c r="E89" s="27"/>
      <c r="F89" s="18"/>
      <c r="G89" s="19" t="str">
        <f aca="false">IF($D89="","",$F89-$P89)</f>
        <v/>
      </c>
      <c r="H89" s="18"/>
      <c r="I89" s="18"/>
      <c r="J89" s="18"/>
      <c r="K89" s="18"/>
      <c r="L89" s="18"/>
      <c r="M89" s="18"/>
      <c r="N89" s="18"/>
      <c r="O89" s="18"/>
      <c r="P89" s="19" t="str">
        <f aca="false">IF($D89="","",SUM(H89:O89))</f>
        <v/>
      </c>
      <c r="Q89" s="20" t="str">
        <f aca="false">IF(OR($D89="",$F89=0),"",$P89/$F89)</f>
        <v/>
      </c>
      <c r="R89" s="27"/>
      <c r="S89" s="21" t="str">
        <f aca="false">IF($D89="","",IF($B89="","缺月份",IF($F89=0,"缺总工时",IF(ROUND($P89-$F89,2)&gt;0,"工时超出","√"))))</f>
        <v/>
      </c>
    </row>
    <row r="90" customFormat="false" ht="18.75" hidden="false" customHeight="true" outlineLevel="0" collapsed="false">
      <c r="B90" s="28"/>
      <c r="C90" s="7"/>
      <c r="D90" s="7"/>
      <c r="E90" s="27"/>
      <c r="F90" s="18"/>
      <c r="G90" s="19" t="str">
        <f aca="false">IF($D90="","",$F90-$P90)</f>
        <v/>
      </c>
      <c r="H90" s="18"/>
      <c r="I90" s="18"/>
      <c r="J90" s="18"/>
      <c r="K90" s="18"/>
      <c r="L90" s="18"/>
      <c r="M90" s="18"/>
      <c r="N90" s="18"/>
      <c r="O90" s="18"/>
      <c r="P90" s="19" t="str">
        <f aca="false">IF($D90="","",SUM(H90:O90))</f>
        <v/>
      </c>
      <c r="Q90" s="20" t="str">
        <f aca="false">IF(OR($D90="",$F90=0),"",$P90/$F90)</f>
        <v/>
      </c>
      <c r="R90" s="27"/>
      <c r="S90" s="21" t="str">
        <f aca="false">IF($D90="","",IF($B90="","缺月份",IF($F90=0,"缺总工时",IF(ROUND($P90-$F90,2)&gt;0,"工时超出","√"))))</f>
        <v/>
      </c>
    </row>
    <row r="91" customFormat="false" ht="18.75" hidden="false" customHeight="true" outlineLevel="0" collapsed="false">
      <c r="B91" s="28"/>
      <c r="C91" s="7"/>
      <c r="D91" s="7"/>
      <c r="E91" s="27"/>
      <c r="F91" s="18"/>
      <c r="G91" s="19" t="str">
        <f aca="false">IF($D91="","",$F91-$P91)</f>
        <v/>
      </c>
      <c r="H91" s="18"/>
      <c r="I91" s="18"/>
      <c r="J91" s="18"/>
      <c r="K91" s="18"/>
      <c r="L91" s="18"/>
      <c r="M91" s="18"/>
      <c r="N91" s="18"/>
      <c r="O91" s="18"/>
      <c r="P91" s="19" t="str">
        <f aca="false">IF($D91="","",SUM(H91:O91))</f>
        <v/>
      </c>
      <c r="Q91" s="20" t="str">
        <f aca="false">IF(OR($D91="",$F91=0),"",$P91/$F91)</f>
        <v/>
      </c>
      <c r="R91" s="27"/>
      <c r="S91" s="21" t="str">
        <f aca="false">IF($D91="","",IF($B91="","缺月份",IF($F91=0,"缺总工时",IF(ROUND($P91-$F91,2)&gt;0,"工时超出","√"))))</f>
        <v/>
      </c>
    </row>
    <row r="92" customFormat="false" ht="18.75" hidden="false" customHeight="true" outlineLevel="0" collapsed="false">
      <c r="B92" s="28"/>
      <c r="C92" s="7"/>
      <c r="D92" s="7"/>
      <c r="E92" s="27"/>
      <c r="F92" s="18"/>
      <c r="G92" s="19" t="str">
        <f aca="false">IF($D92="","",$F92-$P92)</f>
        <v/>
      </c>
      <c r="H92" s="18"/>
      <c r="I92" s="18"/>
      <c r="J92" s="18"/>
      <c r="K92" s="18"/>
      <c r="L92" s="18"/>
      <c r="M92" s="18"/>
      <c r="N92" s="18"/>
      <c r="O92" s="18"/>
      <c r="P92" s="19" t="str">
        <f aca="false">IF($D92="","",SUM(H92:O92))</f>
        <v/>
      </c>
      <c r="Q92" s="20" t="str">
        <f aca="false">IF(OR($D92="",$F92=0),"",$P92/$F92)</f>
        <v/>
      </c>
      <c r="R92" s="27"/>
      <c r="S92" s="21" t="str">
        <f aca="false">IF($D92="","",IF($B92="","缺月份",IF($F92=0,"缺总工时",IF(ROUND($P92-$F92,2)&gt;0,"工时超出","√"))))</f>
        <v/>
      </c>
    </row>
    <row r="93" customFormat="false" ht="18.75" hidden="false" customHeight="true" outlineLevel="0" collapsed="false">
      <c r="B93" s="28"/>
      <c r="C93" s="7"/>
      <c r="D93" s="7"/>
      <c r="E93" s="27"/>
      <c r="F93" s="18"/>
      <c r="G93" s="19" t="str">
        <f aca="false">IF($D93="","",$F93-$P93)</f>
        <v/>
      </c>
      <c r="H93" s="18"/>
      <c r="I93" s="18"/>
      <c r="J93" s="18"/>
      <c r="K93" s="18"/>
      <c r="L93" s="18"/>
      <c r="M93" s="18"/>
      <c r="N93" s="18"/>
      <c r="O93" s="18"/>
      <c r="P93" s="19" t="str">
        <f aca="false">IF($D93="","",SUM(H93:O93))</f>
        <v/>
      </c>
      <c r="Q93" s="20" t="str">
        <f aca="false">IF(OR($D93="",$F93=0),"",$P93/$F93)</f>
        <v/>
      </c>
      <c r="R93" s="27"/>
      <c r="S93" s="21" t="str">
        <f aca="false">IF($D93="","",IF($B93="","缺月份",IF($F93=0,"缺总工时",IF(ROUND($P93-$F93,2)&gt;0,"工时超出","√"))))</f>
        <v/>
      </c>
    </row>
    <row r="94" customFormat="false" ht="18.75" hidden="false" customHeight="true" outlineLevel="0" collapsed="false">
      <c r="B94" s="28"/>
      <c r="C94" s="7"/>
      <c r="D94" s="7"/>
      <c r="E94" s="27"/>
      <c r="F94" s="18"/>
      <c r="G94" s="19" t="str">
        <f aca="false">IF($D94="","",$F94-$P94)</f>
        <v/>
      </c>
      <c r="H94" s="18"/>
      <c r="I94" s="18"/>
      <c r="J94" s="18"/>
      <c r="K94" s="18"/>
      <c r="L94" s="18"/>
      <c r="M94" s="18"/>
      <c r="N94" s="18"/>
      <c r="O94" s="18"/>
      <c r="P94" s="19" t="str">
        <f aca="false">IF($D94="","",SUM(H94:O94))</f>
        <v/>
      </c>
      <c r="Q94" s="20" t="str">
        <f aca="false">IF(OR($D94="",$F94=0),"",$P94/$F94)</f>
        <v/>
      </c>
      <c r="R94" s="27"/>
      <c r="S94" s="21" t="str">
        <f aca="false">IF($D94="","",IF($B94="","缺月份",IF($F94=0,"缺总工时",IF(ROUND($P94-$F94,2)&gt;0,"工时超出","√"))))</f>
        <v/>
      </c>
    </row>
    <row r="95" customFormat="false" ht="18.75" hidden="false" customHeight="true" outlineLevel="0" collapsed="false">
      <c r="B95" s="28"/>
      <c r="C95" s="7"/>
      <c r="D95" s="7"/>
      <c r="E95" s="27"/>
      <c r="F95" s="18"/>
      <c r="G95" s="19" t="str">
        <f aca="false">IF($D95="","",$F95-$P95)</f>
        <v/>
      </c>
      <c r="H95" s="18"/>
      <c r="I95" s="18"/>
      <c r="J95" s="18"/>
      <c r="K95" s="18"/>
      <c r="L95" s="18"/>
      <c r="M95" s="18"/>
      <c r="N95" s="18"/>
      <c r="O95" s="18"/>
      <c r="P95" s="19" t="str">
        <f aca="false">IF($D95="","",SUM(H95:O95))</f>
        <v/>
      </c>
      <c r="Q95" s="20" t="str">
        <f aca="false">IF(OR($D95="",$F95=0),"",$P95/$F95)</f>
        <v/>
      </c>
      <c r="R95" s="27"/>
      <c r="S95" s="21" t="str">
        <f aca="false">IF($D95="","",IF($B95="","缺月份",IF($F95=0,"缺总工时",IF(ROUND($P95-$F95,2)&gt;0,"工时超出","√"))))</f>
        <v/>
      </c>
    </row>
    <row r="96" customFormat="false" ht="18.75" hidden="false" customHeight="true" outlineLevel="0" collapsed="false">
      <c r="B96" s="28"/>
      <c r="C96" s="7"/>
      <c r="D96" s="7"/>
      <c r="E96" s="27"/>
      <c r="F96" s="18"/>
      <c r="G96" s="19" t="str">
        <f aca="false">IF($D96="","",$F96-$P96)</f>
        <v/>
      </c>
      <c r="H96" s="18"/>
      <c r="I96" s="18"/>
      <c r="J96" s="18"/>
      <c r="K96" s="18"/>
      <c r="L96" s="18"/>
      <c r="M96" s="18"/>
      <c r="N96" s="18"/>
      <c r="O96" s="18"/>
      <c r="P96" s="19" t="str">
        <f aca="false">IF($D96="","",SUM(H96:O96))</f>
        <v/>
      </c>
      <c r="Q96" s="20" t="str">
        <f aca="false">IF(OR($D96="",$F96=0),"",$P96/$F96)</f>
        <v/>
      </c>
      <c r="R96" s="27"/>
      <c r="S96" s="21" t="str">
        <f aca="false">IF($D96="","",IF($B96="","缺月份",IF($F96=0,"缺总工时",IF(ROUND($P96-$F96,2)&gt;0,"工时超出","√"))))</f>
        <v/>
      </c>
    </row>
    <row r="97" customFormat="false" ht="18.75" hidden="false" customHeight="true" outlineLevel="0" collapsed="false">
      <c r="B97" s="28"/>
      <c r="C97" s="7"/>
      <c r="D97" s="7"/>
      <c r="E97" s="27"/>
      <c r="F97" s="18"/>
      <c r="G97" s="19" t="str">
        <f aca="false">IF($D97="","",$F97-$P97)</f>
        <v/>
      </c>
      <c r="H97" s="18"/>
      <c r="I97" s="18"/>
      <c r="J97" s="18"/>
      <c r="K97" s="18"/>
      <c r="L97" s="18"/>
      <c r="M97" s="18"/>
      <c r="N97" s="18"/>
      <c r="O97" s="18"/>
      <c r="P97" s="19" t="str">
        <f aca="false">IF($D97="","",SUM(H97:O97))</f>
        <v/>
      </c>
      <c r="Q97" s="20" t="str">
        <f aca="false">IF(OR($D97="",$F97=0),"",$P97/$F97)</f>
        <v/>
      </c>
      <c r="R97" s="27"/>
      <c r="S97" s="21" t="str">
        <f aca="false">IF($D97="","",IF($B97="","缺月份",IF($F97=0,"缺总工时",IF(ROUND($P97-$F97,2)&gt;0,"工时超出","√"))))</f>
        <v/>
      </c>
    </row>
    <row r="98" customFormat="false" ht="18.75" hidden="false" customHeight="true" outlineLevel="0" collapsed="false">
      <c r="B98" s="28"/>
      <c r="C98" s="7"/>
      <c r="D98" s="7"/>
      <c r="E98" s="27"/>
      <c r="F98" s="18"/>
      <c r="G98" s="19" t="str">
        <f aca="false">IF($D98="","",$F98-$P98)</f>
        <v/>
      </c>
      <c r="H98" s="18"/>
      <c r="I98" s="18"/>
      <c r="J98" s="18"/>
      <c r="K98" s="18"/>
      <c r="L98" s="18"/>
      <c r="M98" s="18"/>
      <c r="N98" s="18"/>
      <c r="O98" s="18"/>
      <c r="P98" s="19" t="str">
        <f aca="false">IF($D98="","",SUM(H98:O98))</f>
        <v/>
      </c>
      <c r="Q98" s="20" t="str">
        <f aca="false">IF(OR($D98="",$F98=0),"",$P98/$F98)</f>
        <v/>
      </c>
      <c r="R98" s="27"/>
      <c r="S98" s="21" t="str">
        <f aca="false">IF($D98="","",IF($B98="","缺月份",IF($F98=0,"缺总工时",IF(ROUND($P98-$F98,2)&gt;0,"工时超出","√"))))</f>
        <v/>
      </c>
    </row>
    <row r="99" customFormat="false" ht="18.75" hidden="false" customHeight="true" outlineLevel="0" collapsed="false">
      <c r="B99" s="28"/>
      <c r="C99" s="7"/>
      <c r="D99" s="7"/>
      <c r="E99" s="27"/>
      <c r="F99" s="18"/>
      <c r="G99" s="19" t="str">
        <f aca="false">IF($D99="","",$F99-$P99)</f>
        <v/>
      </c>
      <c r="H99" s="18"/>
      <c r="I99" s="18"/>
      <c r="J99" s="18"/>
      <c r="K99" s="18"/>
      <c r="L99" s="18"/>
      <c r="M99" s="18"/>
      <c r="N99" s="18"/>
      <c r="O99" s="18"/>
      <c r="P99" s="19" t="str">
        <f aca="false">IF($D99="","",SUM(H99:O99))</f>
        <v/>
      </c>
      <c r="Q99" s="20" t="str">
        <f aca="false">IF(OR($D99="",$F99=0),"",$P99/$F99)</f>
        <v/>
      </c>
      <c r="R99" s="27"/>
      <c r="S99" s="21" t="str">
        <f aca="false">IF($D99="","",IF($B99="","缺月份",IF($F99=0,"缺总工时",IF(ROUND($P99-$F99,2)&gt;0,"工时超出","√"))))</f>
        <v/>
      </c>
    </row>
    <row r="100" customFormat="false" ht="18.75" hidden="false" customHeight="true" outlineLevel="0" collapsed="false">
      <c r="B100" s="28"/>
      <c r="C100" s="7"/>
      <c r="D100" s="7"/>
      <c r="E100" s="27"/>
      <c r="F100" s="18"/>
      <c r="G100" s="19" t="str">
        <f aca="false">IF($D100="","",$F100-$P100)</f>
        <v/>
      </c>
      <c r="H100" s="18"/>
      <c r="I100" s="18"/>
      <c r="J100" s="18"/>
      <c r="K100" s="18"/>
      <c r="L100" s="18"/>
      <c r="M100" s="18"/>
      <c r="N100" s="18"/>
      <c r="O100" s="18"/>
      <c r="P100" s="19" t="str">
        <f aca="false">IF($D100="","",SUM(H100:O100))</f>
        <v/>
      </c>
      <c r="Q100" s="20" t="str">
        <f aca="false">IF(OR($D100="",$F100=0),"",$P100/$F100)</f>
        <v/>
      </c>
      <c r="R100" s="27"/>
      <c r="S100" s="21" t="str">
        <f aca="false">IF($D100="","",IF($B100="","缺月份",IF($F100=0,"缺总工时",IF(ROUND($P100-$F100,2)&gt;0,"工时超出","√"))))</f>
        <v/>
      </c>
    </row>
    <row r="101" customFormat="false" ht="18.75" hidden="false" customHeight="true" outlineLevel="0" collapsed="false">
      <c r="B101" s="28"/>
      <c r="C101" s="7"/>
      <c r="D101" s="7"/>
      <c r="E101" s="27"/>
      <c r="F101" s="18"/>
      <c r="G101" s="19" t="str">
        <f aca="false">IF($D101="","",$F101-$P101)</f>
        <v/>
      </c>
      <c r="H101" s="18"/>
      <c r="I101" s="18"/>
      <c r="J101" s="18"/>
      <c r="K101" s="18"/>
      <c r="L101" s="18"/>
      <c r="M101" s="18"/>
      <c r="N101" s="18"/>
      <c r="O101" s="18"/>
      <c r="P101" s="19" t="str">
        <f aca="false">IF($D101="","",SUM(H101:O101))</f>
        <v/>
      </c>
      <c r="Q101" s="20" t="str">
        <f aca="false">IF(OR($D101="",$F101=0),"",$P101/$F101)</f>
        <v/>
      </c>
      <c r="R101" s="27"/>
      <c r="S101" s="21" t="str">
        <f aca="false">IF($D101="","",IF($B101="","缺月份",IF($F101=0,"缺总工时",IF(ROUND($P101-$F101,2)&gt;0,"工时超出","√"))))</f>
        <v/>
      </c>
    </row>
    <row r="102" customFormat="false" ht="18.75" hidden="false" customHeight="true" outlineLevel="0" collapsed="false">
      <c r="B102" s="28"/>
      <c r="C102" s="7"/>
      <c r="D102" s="7"/>
      <c r="E102" s="27"/>
      <c r="F102" s="18"/>
      <c r="G102" s="19" t="str">
        <f aca="false">IF($D102="","",$F102-$P102)</f>
        <v/>
      </c>
      <c r="H102" s="18"/>
      <c r="I102" s="18"/>
      <c r="J102" s="18"/>
      <c r="K102" s="18"/>
      <c r="L102" s="18"/>
      <c r="M102" s="18"/>
      <c r="N102" s="18"/>
      <c r="O102" s="18"/>
      <c r="P102" s="19" t="str">
        <f aca="false">IF($D102="","",SUM(H102:O102))</f>
        <v/>
      </c>
      <c r="Q102" s="20" t="str">
        <f aca="false">IF(OR($D102="",$F102=0),"",$P102/$F102)</f>
        <v/>
      </c>
      <c r="R102" s="27"/>
      <c r="S102" s="21" t="str">
        <f aca="false">IF($D102="","",IF($B102="","缺月份",IF($F102=0,"缺总工时",IF(ROUND($P102-$F102,2)&gt;0,"工时超出","√"))))</f>
        <v/>
      </c>
    </row>
  </sheetData>
  <mergeCells count="12">
    <mergeCell ref="B2:S2"/>
    <mergeCell ref="B4:B6"/>
    <mergeCell ref="C4:C6"/>
    <mergeCell ref="D4:D6"/>
    <mergeCell ref="E4:E6"/>
    <mergeCell ref="F4:F6"/>
    <mergeCell ref="G4:G6"/>
    <mergeCell ref="H4:P4"/>
    <mergeCell ref="R4:R6"/>
    <mergeCell ref="S4:S6"/>
    <mergeCell ref="P5:P6"/>
    <mergeCell ref="Q5:Q6"/>
  </mergeCells>
  <dataValidations count="1">
    <dataValidation allowBlank="true" error="请填写 1—12 的数字月份" errorStyle="stop" errorTitle="月份有误" operator="between" showDropDown="false" showErrorMessage="true" showInputMessage="false" sqref="B7:B102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2026-09-11T07:10:57Z</dcterms:created>
  <dc:creator>openpyxl</dc:creator>
  <dc:description/>
  <dc:language>en-US</dc:language>
  <cp:lastModifiedBy/>
  <dcterms:modified xsi:type="dcterms:W3CDTF">2026-09-11T07:10:58Z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