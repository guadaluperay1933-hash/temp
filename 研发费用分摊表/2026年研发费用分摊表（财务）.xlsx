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设置" sheetId="2" state="visible" r:id="rId2"/>
    <sheet name="01人员工时" sheetId="3" state="visible" r:id="rId3"/>
    <sheet name="02人员费用分摊" sheetId="4" state="visible" r:id="rId4"/>
    <sheet name="03设备工时" sheetId="5" state="visible" r:id="rId5"/>
    <sheet name="04设备折旧分摊" sheetId="6" state="visible" r:id="rId6"/>
    <sheet name="05无形资产工时" sheetId="7" state="visible" r:id="rId7"/>
    <sheet name="06无形资产摊销分摊" sheetId="8" state="visible" r:id="rId8"/>
    <sheet name="07月度汇总" sheetId="9" state="visible" r:id="rId9"/>
    <sheet name="08年度汇总" sheetId="10" state="visible" r:id="rId10"/>
  </sheets>
  <definedNames>
    <definedName name="_xlnm.Print_Titles" localSheetId="2">'01人员工时'!$4:$6</definedName>
    <definedName name="_xlnm.Print_Titles" localSheetId="3">'02人员费用分摊'!$4:$6</definedName>
    <definedName name="_xlnm.Print_Titles" localSheetId="4">'03设备工时'!$4:$6</definedName>
    <definedName name="_xlnm.Print_Titles" localSheetId="5">'04设备折旧分摊'!$4:$6</definedName>
    <definedName name="_xlnm.Print_Titles" localSheetId="6">'05无形资产工时'!$4:$6</definedName>
    <definedName name="_xlnm.Print_Titles" localSheetId="7">'06无形资产摊销分摊'!$4:$6</definedName>
    <definedName name="_xlnm.Print_Titles" localSheetId="8">'07月度汇总'!$4:$6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月&quot;"/>
    <numFmt numFmtId="165" formatCode="#,##0.0"/>
  </numFmts>
  <fonts count="9">
    <font>
      <name val="Calibri"/>
      <family val="2"/>
      <color theme="1"/>
      <sz val="11"/>
      <scheme val="minor"/>
    </font>
    <font>
      <name val="宋体"/>
      <b val="1"/>
      <sz val="18"/>
    </font>
    <font>
      <name val="等线"/>
      <b val="1"/>
      <color rgb="001F4E79"/>
      <sz val="11"/>
    </font>
    <font>
      <name val="等线"/>
      <b val="1"/>
      <sz val="10"/>
    </font>
    <font>
      <name val="宋体"/>
      <sz val="10"/>
    </font>
    <font>
      <name val="宋体"/>
      <color rgb="000000FF"/>
      <sz val="10"/>
    </font>
    <font>
      <name val="宋体"/>
      <color rgb="007F7F7F"/>
      <sz val="9"/>
    </font>
    <font>
      <name val="宋体"/>
      <color rgb="00008000"/>
      <sz val="10"/>
    </font>
    <font>
      <name val="等线"/>
      <sz val="10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0">
      <alignment horizontal="center" vertical="center" wrapText="1"/>
    </xf>
    <xf numFmtId="4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4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4" fontId="3" fillId="6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6" customWidth="1" min="3" max="3"/>
  </cols>
  <sheetData>
    <row r="2" ht="32" customHeight="1">
      <c r="B2" s="1" t="inlineStr">
        <is>
          <t>2026年度  研发费用分摊表（财务部门使用）  操作说明</t>
        </is>
      </c>
    </row>
    <row r="4" ht="22" customHeight="1">
      <c r="B4" s="2" t="inlineStr">
        <is>
          <t>一、每月操作步骤</t>
        </is>
      </c>
    </row>
    <row r="5" ht="30" customHeight="1">
      <c r="B5" s="3" t="inlineStr">
        <is>
          <t>第 1 步  维护参数</t>
        </is>
      </c>
      <c r="C5" s="4" t="inlineStr">
        <is>
          <t>在【参数设置】页维护项目清单、人员月费用标准、设备月折旧额、无形资产月摊销额。项目编号必须与研发部填报表一致。</t>
        </is>
      </c>
    </row>
    <row r="6" ht="30" customHeight="1">
      <c r="B6" s="3" t="inlineStr">
        <is>
          <t>第 2 步  导入工时</t>
        </is>
      </c>
      <c r="C6" s="4" t="inlineStr">
        <is>
          <t>收到研发部《研发工时分配表》后，把三张【年度台账】中当月新增的行，选择性粘贴为“数值”，追加到本表【01人员工时】【03设备工时】【05无形资产工时】的对应位置（列序完全一致，整块粘贴即可）。</t>
        </is>
      </c>
    </row>
    <row r="7" ht="30" customHeight="1">
      <c r="B7" s="3" t="inlineStr">
        <is>
          <t>第 3 步  自动分摊</t>
        </is>
      </c>
      <c r="C7" s="4" t="inlineStr">
        <is>
          <t>【02】【04】【06】三张分摊表全部由公式自动生成，无需录入。只有当月实际金额与标准不一致时（调薪、新增/处置资产、折旧提完），在最右侧【本月实际金额】列填入实际数覆盖。</t>
        </is>
      </c>
    </row>
    <row r="8" ht="30" customHeight="1">
      <c r="B8" s="3" t="inlineStr">
        <is>
          <t>第 4 步  复核</t>
        </is>
      </c>
      <c r="C8" s="4" t="inlineStr">
        <is>
          <t>检查【校验】列是否全部为“√”；若出现“未维护标准/未维护折旧额”，说明参数设置页缺该人员或资产。</t>
        </is>
      </c>
    </row>
    <row r="9" ht="30" customHeight="1">
      <c r="B9" s="3" t="inlineStr">
        <is>
          <t>第 5 步  汇总出账</t>
        </is>
      </c>
      <c r="C9" s="4" t="inlineStr">
        <is>
          <t>【07月度汇总】按月×费用类别×项目自动汇总，【08年度汇总】自动生成全年数，可直接对接研发支出辅助账与研发费用加计扣除优惠明细表。</t>
        </is>
      </c>
    </row>
    <row r="10" ht="22" customHeight="1">
      <c r="B10" s="2" t="inlineStr">
        <is>
          <t>二、分摊公式（勾稽关系）</t>
        </is>
      </c>
    </row>
    <row r="11" ht="30" customHeight="1">
      <c r="B11" s="3" t="inlineStr">
        <is>
          <t>人员人工费用</t>
        </is>
      </c>
      <c r="C11" s="4" t="inlineStr">
        <is>
          <t>某人某项目分摊额 ＝ 该人当月费用（工资/社保/公积金/其他）× 该人当月该项目工时 ÷ 该人当月总工时</t>
        </is>
      </c>
    </row>
    <row r="12" ht="30" customHeight="1">
      <c r="B12" s="3" t="inlineStr">
        <is>
          <t>设备折旧费</t>
        </is>
      </c>
      <c r="C12" s="4" t="inlineStr">
        <is>
          <t>某设备某项目分摊额 ＝ 该设备当月折旧额 × 该设备当月该项目运行工时 ÷ 该设备当月总运行工时</t>
        </is>
      </c>
    </row>
    <row r="13" ht="30" customHeight="1">
      <c r="B13" s="3" t="inlineStr">
        <is>
          <t>无形资产摊销费</t>
        </is>
      </c>
      <c r="C13" s="4" t="inlineStr">
        <is>
          <t>某资产某项目分摊额 ＝ 该资产当月摊销额 × 该资产当月该项目使用工时 ÷ 该资产当月总使用工时</t>
        </is>
      </c>
    </row>
    <row r="14" ht="30" customHeight="1">
      <c r="B14" s="3" t="inlineStr">
        <is>
          <t>非研发承担</t>
        </is>
      </c>
      <c r="C14" s="4" t="inlineStr">
        <is>
          <t>非研发承担额 ＝ 当月费用总额 − 研发各项目分摊额合计。先在研发与非研发之间划分，研发部分再细分到各项目；尾数差计入非研发，保证“非研发＋各项目＝费用总额”。</t>
        </is>
      </c>
    </row>
    <row r="15" ht="22" customHeight="1">
      <c r="B15" s="2" t="inlineStr">
        <is>
          <t>三、数据流向</t>
        </is>
      </c>
    </row>
    <row r="16" ht="30" customHeight="1">
      <c r="B16" s="3" t="inlineStr">
        <is>
          <t>工时→费用→汇总</t>
        </is>
      </c>
      <c r="C16" s="4" t="inlineStr">
        <is>
          <t>研发部月报（签字存档）→ 研发部年度台账 → 本表 01/03/05 工时页 → 02/04/06 分摊页 → 07 月度汇总 → 08 年度汇总 → 研发支出辅助账</t>
        </is>
      </c>
    </row>
    <row r="17" ht="22" customHeight="1">
      <c r="B17" s="2" t="inlineStr">
        <is>
          <t>四、颜色约定</t>
        </is>
      </c>
    </row>
    <row r="18" ht="30" customHeight="1">
      <c r="B18" s="3" t="inlineStr">
        <is>
          <t>黄色底纹</t>
        </is>
      </c>
      <c r="C18" s="4" t="inlineStr">
        <is>
          <t>手工录入区。</t>
        </is>
      </c>
    </row>
    <row r="19" ht="30" customHeight="1">
      <c r="B19" s="3" t="inlineStr">
        <is>
          <t>黑色字</t>
        </is>
      </c>
      <c r="C19" s="4" t="inlineStr">
        <is>
          <t>本页公式。</t>
        </is>
      </c>
    </row>
    <row r="20" ht="30" customHeight="1">
      <c r="B20" s="3" t="inlineStr">
        <is>
          <t>绿色字</t>
        </is>
      </c>
      <c r="C20" s="4" t="inlineStr">
        <is>
          <t>引用其他工作表的公式，请勿覆盖。</t>
        </is>
      </c>
    </row>
    <row r="21" ht="22" customHeight="1">
      <c r="B21" s="2" t="inlineStr">
        <is>
          <t>五、扩行方法</t>
        </is>
      </c>
    </row>
    <row r="22" ht="30" customHeight="1">
      <c r="B22" s="3" t="inlineStr">
        <is>
          <t>行数不够时</t>
        </is>
      </c>
      <c r="C22" s="4" t="inlineStr">
        <is>
          <t>选中分摊表最后一行整行复制，向下粘贴即可；汇总表的取数范围已预留到第 1000 行，扩行后无需修改汇总公式。人员分摊表每人每月固定占 4 行（工资/社保/公积金/其他），扩行须按 4 行一组整组复制。</t>
        </is>
      </c>
    </row>
    <row r="23" ht="22" customHeight="1">
      <c r="B23" s="2" t="inlineStr">
        <is>
          <t>六、备查资料</t>
        </is>
      </c>
    </row>
    <row r="24" ht="30" customHeight="1">
      <c r="B24" s="3" t="inlineStr">
        <is>
          <t>需同步归档</t>
        </is>
      </c>
      <c r="C24" s="4" t="inlineStr">
        <is>
          <t>研发项目立项决议、研发人员名单及考勤/工时记录、设备运行记录、工资表及社保公积金缴纳凭证、固定资产折旧明细表、无形资产摊销明细表。</t>
        </is>
      </c>
    </row>
  </sheetData>
  <mergeCells count="7">
    <mergeCell ref="B21:C21"/>
    <mergeCell ref="B2:C2"/>
    <mergeCell ref="B15:C15"/>
    <mergeCell ref="B10:C10"/>
    <mergeCell ref="B23:C23"/>
    <mergeCell ref="B17:C1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3" customWidth="1" min="10" max="10"/>
    <col width="14" customWidth="1" min="11" max="11"/>
    <col width="40" customWidth="1" min="12" max="12"/>
  </cols>
  <sheetData>
    <row r="2" ht="32" customHeight="1">
      <c r="B2" s="1" t="inlineStr">
        <is>
          <t>2026年度  研发费用分摊  参数设置</t>
        </is>
      </c>
    </row>
    <row r="4">
      <c r="B4" s="2" t="inlineStr">
        <is>
          <t>一、项目清单（各表表头自动引用本表，最多 8 个项目）</t>
        </is>
      </c>
      <c r="K4" s="2" t="inlineStr">
        <is>
          <t>费用项目清单</t>
        </is>
      </c>
    </row>
    <row r="5" ht="22" customHeight="1">
      <c r="B5" s="5" t="inlineStr">
        <is>
          <t>序号</t>
        </is>
      </c>
      <c r="C5" s="5" t="inlineStr">
        <is>
          <t>项目编号</t>
        </is>
      </c>
      <c r="D5" s="5" t="inlineStr">
        <is>
          <t>项目名称</t>
        </is>
      </c>
      <c r="E5" s="5" t="inlineStr">
        <is>
          <t>立项日期</t>
        </is>
      </c>
      <c r="F5" s="5" t="inlineStr">
        <is>
          <t>结项日期</t>
        </is>
      </c>
      <c r="G5" s="5" t="inlineStr">
        <is>
          <t>项目负责人</t>
        </is>
      </c>
      <c r="H5" s="5" t="inlineStr">
        <is>
          <t>备注</t>
        </is>
      </c>
      <c r="K5" s="5" t="inlineStr">
        <is>
          <t>费用项目</t>
        </is>
      </c>
      <c r="L5" s="6" t="inlineStr">
        <is>
          <t>（人员费用分摊表按此顺序每人每月生成 4 行，勿改动顺序与文字）</t>
        </is>
      </c>
    </row>
    <row r="6" ht="20" customHeight="1">
      <c r="B6" s="7" t="n">
        <v>1</v>
      </c>
      <c r="C6" s="8" t="inlineStr">
        <is>
          <t>RD01</t>
        </is>
      </c>
      <c r="D6" s="9" t="inlineStr">
        <is>
          <t>高导热复合胶带研发</t>
        </is>
      </c>
      <c r="E6" s="8" t="inlineStr">
        <is>
          <t>2026-01-05</t>
        </is>
      </c>
      <c r="F6" s="8" t="inlineStr">
        <is>
          <t>2026-12-31</t>
        </is>
      </c>
      <c r="G6" s="8" t="inlineStr">
        <is>
          <t>张三</t>
        </is>
      </c>
      <c r="H6" s="9" t="inlineStr">
        <is>
          <t>示例，请按实际替换</t>
        </is>
      </c>
      <c r="K6" s="10" t="inlineStr">
        <is>
          <t>工资</t>
        </is>
      </c>
    </row>
    <row r="7" ht="20" customHeight="1">
      <c r="B7" s="7" t="n">
        <v>2</v>
      </c>
      <c r="C7" s="8" t="inlineStr">
        <is>
          <t>RD02</t>
        </is>
      </c>
      <c r="D7" s="9" t="inlineStr">
        <is>
          <t>低介电泡棉材料研发</t>
        </is>
      </c>
      <c r="E7" s="8" t="inlineStr">
        <is>
          <t>2026-02-01</t>
        </is>
      </c>
      <c r="F7" s="8" t="inlineStr">
        <is>
          <t>2026-11-30</t>
        </is>
      </c>
      <c r="G7" s="8" t="inlineStr">
        <is>
          <t>李四</t>
        </is>
      </c>
      <c r="H7" s="9" t="inlineStr"/>
      <c r="K7" s="10" t="inlineStr">
        <is>
          <t>社保</t>
        </is>
      </c>
    </row>
    <row r="8" ht="20" customHeight="1">
      <c r="B8" s="7" t="n">
        <v>3</v>
      </c>
      <c r="C8" s="8" t="inlineStr">
        <is>
          <t>RD03</t>
        </is>
      </c>
      <c r="D8" s="9" t="inlineStr">
        <is>
          <t>精密分切工艺改进</t>
        </is>
      </c>
      <c r="E8" s="8" t="inlineStr">
        <is>
          <t>2026-01-10</t>
        </is>
      </c>
      <c r="F8" s="8" t="inlineStr">
        <is>
          <t>2026-09-30</t>
        </is>
      </c>
      <c r="G8" s="8" t="inlineStr">
        <is>
          <t>王五</t>
        </is>
      </c>
      <c r="H8" s="9" t="inlineStr"/>
      <c r="K8" s="10" t="inlineStr">
        <is>
          <t>公积金</t>
        </is>
      </c>
    </row>
    <row r="9" ht="20" customHeight="1">
      <c r="B9" s="7" t="n">
        <v>4</v>
      </c>
      <c r="C9" s="8" t="inlineStr">
        <is>
          <t>RD04</t>
        </is>
      </c>
      <c r="D9" s="9" t="inlineStr">
        <is>
          <t>抗静电表面处理技术</t>
        </is>
      </c>
      <c r="E9" s="8" t="inlineStr">
        <is>
          <t>2026-03-01</t>
        </is>
      </c>
      <c r="F9" s="8" t="inlineStr">
        <is>
          <t>2026-12-31</t>
        </is>
      </c>
      <c r="G9" s="8" t="inlineStr">
        <is>
          <t>赵六</t>
        </is>
      </c>
      <c r="H9" s="9" t="inlineStr"/>
      <c r="K9" s="10" t="inlineStr">
        <is>
          <t>其他</t>
        </is>
      </c>
    </row>
    <row r="10" ht="20" customHeight="1">
      <c r="B10" s="7" t="n">
        <v>5</v>
      </c>
      <c r="C10" s="8" t="inlineStr">
        <is>
          <t>RD05</t>
        </is>
      </c>
      <c r="D10" s="9" t="inlineStr">
        <is>
          <t>超薄贴合工艺开发</t>
        </is>
      </c>
      <c r="E10" s="8" t="inlineStr">
        <is>
          <t>2026-04-01</t>
        </is>
      </c>
      <c r="F10" s="8" t="inlineStr">
        <is>
          <t>2026-12-31</t>
        </is>
      </c>
      <c r="G10" s="8" t="inlineStr">
        <is>
          <t>陈七</t>
        </is>
      </c>
      <c r="H10" s="9" t="inlineStr"/>
    </row>
    <row r="11" ht="20" customHeight="1">
      <c r="B11" s="7" t="n">
        <v>6</v>
      </c>
      <c r="C11" s="8" t="inlineStr">
        <is>
          <t>RD06</t>
        </is>
      </c>
      <c r="D11" s="9" t="n"/>
      <c r="E11" s="8" t="n"/>
      <c r="F11" s="8" t="n"/>
      <c r="G11" s="8" t="n"/>
      <c r="H11" s="9" t="n"/>
    </row>
    <row r="12" ht="20" customHeight="1">
      <c r="B12" s="7" t="n">
        <v>7</v>
      </c>
      <c r="C12" s="8" t="inlineStr">
        <is>
          <t>RD07</t>
        </is>
      </c>
      <c r="D12" s="9" t="n"/>
      <c r="E12" s="8" t="n"/>
      <c r="F12" s="8" t="n"/>
      <c r="G12" s="8" t="n"/>
      <c r="H12" s="9" t="n"/>
    </row>
    <row r="13" ht="20" customHeight="1">
      <c r="B13" s="7" t="n">
        <v>8</v>
      </c>
      <c r="C13" s="8" t="inlineStr">
        <is>
          <t>RD08</t>
        </is>
      </c>
      <c r="D13" s="9" t="n"/>
      <c r="E13" s="8" t="n"/>
      <c r="F13" s="8" t="n"/>
      <c r="G13" s="8" t="n"/>
      <c r="H13" s="9" t="n"/>
    </row>
    <row r="15">
      <c r="B15" s="2" t="inlineStr">
        <is>
          <t>二、人员月费用标准（元/人·月）——单位承担部分</t>
        </is>
      </c>
    </row>
    <row r="16" ht="22" customHeight="1">
      <c r="B16" s="5" t="inlineStr">
        <is>
          <t>序号</t>
        </is>
      </c>
      <c r="C16" s="5" t="inlineStr">
        <is>
          <t>姓名</t>
        </is>
      </c>
      <c r="D16" s="5" t="inlineStr">
        <is>
          <t>工资</t>
        </is>
      </c>
      <c r="E16" s="5" t="inlineStr">
        <is>
          <t>社保</t>
        </is>
      </c>
      <c r="F16" s="5" t="inlineStr">
        <is>
          <t>公积金</t>
        </is>
      </c>
      <c r="G16" s="5" t="inlineStr">
        <is>
          <t>其他</t>
        </is>
      </c>
      <c r="H16" s="5" t="inlineStr">
        <is>
          <t>合计</t>
        </is>
      </c>
      <c r="I16" s="5" t="inlineStr">
        <is>
          <t>备注</t>
        </is>
      </c>
    </row>
    <row r="17" ht="20" customHeight="1">
      <c r="B17" s="7" t="n">
        <v>1</v>
      </c>
      <c r="C17" s="8" t="inlineStr">
        <is>
          <t>张三</t>
        </is>
      </c>
      <c r="D17" s="11" t="n">
        <v>25000</v>
      </c>
      <c r="E17" s="11" t="n">
        <v>600</v>
      </c>
      <c r="F17" s="11" t="n">
        <v>1000</v>
      </c>
      <c r="G17" s="11" t="n">
        <v>0</v>
      </c>
      <c r="H17" s="12">
        <f>IF($C17="","",SUM(D17:G17))</f>
        <v/>
      </c>
      <c r="I17" s="9" t="inlineStr">
        <is>
          <t>示例，请按实际替换</t>
        </is>
      </c>
    </row>
    <row r="18" ht="20" customHeight="1">
      <c r="B18" s="7" t="n">
        <v>2</v>
      </c>
      <c r="C18" s="8" t="inlineStr">
        <is>
          <t>李四</t>
        </is>
      </c>
      <c r="D18" s="11" t="n">
        <v>20000</v>
      </c>
      <c r="E18" s="11" t="n">
        <v>600</v>
      </c>
      <c r="F18" s="11" t="n">
        <v>1000</v>
      </c>
      <c r="G18" s="11" t="n">
        <v>0</v>
      </c>
      <c r="H18" s="12">
        <f>IF($C18="","",SUM(D18:G18))</f>
        <v/>
      </c>
      <c r="I18" s="9" t="inlineStr"/>
    </row>
    <row r="19" ht="20" customHeight="1">
      <c r="B19" s="7" t="n">
        <v>3</v>
      </c>
      <c r="C19" s="8" t="inlineStr">
        <is>
          <t>王五</t>
        </is>
      </c>
      <c r="D19" s="11" t="n">
        <v>18000</v>
      </c>
      <c r="E19" s="11" t="n">
        <v>600</v>
      </c>
      <c r="F19" s="11" t="n">
        <v>1000</v>
      </c>
      <c r="G19" s="11" t="n">
        <v>0</v>
      </c>
      <c r="H19" s="12">
        <f>IF($C19="","",SUM(D19:G19))</f>
        <v/>
      </c>
      <c r="I19" s="9" t="inlineStr"/>
    </row>
    <row r="20" ht="20" customHeight="1">
      <c r="B20" s="7" t="n">
        <v>4</v>
      </c>
      <c r="C20" s="8" t="inlineStr">
        <is>
          <t>赵六</t>
        </is>
      </c>
      <c r="D20" s="11" t="n">
        <v>15000</v>
      </c>
      <c r="E20" s="11" t="n">
        <v>600</v>
      </c>
      <c r="F20" s="11" t="n">
        <v>1000</v>
      </c>
      <c r="G20" s="11" t="n">
        <v>0</v>
      </c>
      <c r="H20" s="12">
        <f>IF($C20="","",SUM(D20:G20))</f>
        <v/>
      </c>
      <c r="I20" s="9" t="inlineStr"/>
    </row>
    <row r="21" ht="20" customHeight="1">
      <c r="B21" s="7" t="n">
        <v>5</v>
      </c>
      <c r="C21" s="8" t="inlineStr">
        <is>
          <t>陈七</t>
        </is>
      </c>
      <c r="D21" s="11" t="n">
        <v>16000</v>
      </c>
      <c r="E21" s="11" t="n">
        <v>600</v>
      </c>
      <c r="F21" s="11" t="n">
        <v>1000</v>
      </c>
      <c r="G21" s="11" t="n">
        <v>0</v>
      </c>
      <c r="H21" s="12">
        <f>IF($C21="","",SUM(D21:G21))</f>
        <v/>
      </c>
      <c r="I21" s="9" t="inlineStr"/>
    </row>
    <row r="22" ht="20" customHeight="1">
      <c r="B22" s="7" t="n">
        <v>6</v>
      </c>
      <c r="C22" s="8" t="n"/>
      <c r="D22" s="11" t="n"/>
      <c r="E22" s="11" t="n"/>
      <c r="F22" s="11" t="n"/>
      <c r="G22" s="11" t="n"/>
      <c r="H22" s="12">
        <f>IF($C22="","",SUM(D22:G22))</f>
        <v/>
      </c>
      <c r="I22" s="9" t="n"/>
    </row>
    <row r="23" ht="20" customHeight="1">
      <c r="B23" s="7" t="n">
        <v>7</v>
      </c>
      <c r="C23" s="8" t="n"/>
      <c r="D23" s="11" t="n"/>
      <c r="E23" s="11" t="n"/>
      <c r="F23" s="11" t="n"/>
      <c r="G23" s="11" t="n"/>
      <c r="H23" s="12">
        <f>IF($C23="","",SUM(D23:G23))</f>
        <v/>
      </c>
      <c r="I23" s="9" t="n"/>
    </row>
    <row r="24" ht="20" customHeight="1">
      <c r="B24" s="7" t="n">
        <v>8</v>
      </c>
      <c r="C24" s="8" t="n"/>
      <c r="D24" s="11" t="n"/>
      <c r="E24" s="11" t="n"/>
      <c r="F24" s="11" t="n"/>
      <c r="G24" s="11" t="n"/>
      <c r="H24" s="12">
        <f>IF($C24="","",SUM(D24:G24))</f>
        <v/>
      </c>
      <c r="I24" s="9" t="n"/>
    </row>
    <row r="25" ht="20" customHeight="1">
      <c r="B25" s="7" t="n">
        <v>9</v>
      </c>
      <c r="C25" s="8" t="n"/>
      <c r="D25" s="11" t="n"/>
      <c r="E25" s="11" t="n"/>
      <c r="F25" s="11" t="n"/>
      <c r="G25" s="11" t="n"/>
      <c r="H25" s="12">
        <f>IF($C25="","",SUM(D25:G25))</f>
        <v/>
      </c>
      <c r="I25" s="9" t="n"/>
    </row>
    <row r="26" ht="20" customHeight="1">
      <c r="B26" s="7" t="n">
        <v>10</v>
      </c>
      <c r="C26" s="8" t="n"/>
      <c r="D26" s="11" t="n"/>
      <c r="E26" s="11" t="n"/>
      <c r="F26" s="11" t="n"/>
      <c r="G26" s="11" t="n"/>
      <c r="H26" s="12">
        <f>IF($C26="","",SUM(D26:G26))</f>
        <v/>
      </c>
      <c r="I26" s="9" t="n"/>
    </row>
    <row r="27">
      <c r="B27" s="6" t="inlineStr">
        <is>
          <t>说明：此处为常规月标准，某月实际发放数不同的（调薪、入离职、年终奖计入），在【02人员费用分摊】最右侧“本月实际金额”列直接覆盖。</t>
        </is>
      </c>
    </row>
    <row r="28">
      <c r="B28" s="2" t="inlineStr">
        <is>
          <t>三、设备月折旧额（元/台·月）</t>
        </is>
      </c>
    </row>
    <row r="29" ht="22" customHeight="1">
      <c r="B29" s="5" t="inlineStr">
        <is>
          <t>序号</t>
        </is>
      </c>
      <c r="C29" s="5" t="inlineStr">
        <is>
          <t>设备编号</t>
        </is>
      </c>
      <c r="D29" s="5" t="inlineStr">
        <is>
          <t>设备名称</t>
        </is>
      </c>
      <c r="E29" s="5" t="inlineStr">
        <is>
          <t>月折旧额</t>
        </is>
      </c>
      <c r="F29" s="5" t="inlineStr">
        <is>
          <t>资产属性</t>
        </is>
      </c>
      <c r="G29" s="5" t="inlineStr">
        <is>
          <t>备注</t>
        </is>
      </c>
    </row>
    <row r="30" ht="20" customHeight="1">
      <c r="B30" s="7" t="n">
        <v>1</v>
      </c>
      <c r="C30" s="8" t="inlineStr">
        <is>
          <t>046</t>
        </is>
      </c>
      <c r="D30" s="9" t="inlineStr">
        <is>
          <t>贴合分条机</t>
        </is>
      </c>
      <c r="E30" s="11" t="n">
        <v>1200</v>
      </c>
      <c r="F30" s="8" t="inlineStr">
        <is>
          <t>共用</t>
        </is>
      </c>
      <c r="G30" s="9" t="inlineStr">
        <is>
          <t>示例，请按实际替换</t>
        </is>
      </c>
    </row>
    <row r="31" ht="20" customHeight="1">
      <c r="B31" s="7" t="n">
        <v>2</v>
      </c>
      <c r="C31" s="8" t="inlineStr">
        <is>
          <t>054</t>
        </is>
      </c>
      <c r="D31" s="9" t="inlineStr">
        <is>
          <t>风淋室</t>
        </is>
      </c>
      <c r="E31" s="11" t="n">
        <v>1200</v>
      </c>
      <c r="F31" s="8" t="inlineStr">
        <is>
          <t>共用</t>
        </is>
      </c>
      <c r="G31" s="9" t="n"/>
    </row>
    <row r="32" ht="20" customHeight="1">
      <c r="B32" s="7" t="n">
        <v>3</v>
      </c>
      <c r="C32" s="8" t="inlineStr">
        <is>
          <t>084</t>
        </is>
      </c>
      <c r="D32" s="9" t="inlineStr">
        <is>
          <t>1450分条机</t>
        </is>
      </c>
      <c r="E32" s="11" t="n">
        <v>1200</v>
      </c>
      <c r="F32" s="8" t="inlineStr">
        <is>
          <t>共用</t>
        </is>
      </c>
      <c r="G32" s="9" t="n"/>
    </row>
    <row r="33" ht="20" customHeight="1">
      <c r="B33" s="7" t="n">
        <v>4</v>
      </c>
      <c r="C33" s="8" t="inlineStr">
        <is>
          <t>083</t>
        </is>
      </c>
      <c r="D33" s="9" t="inlineStr">
        <is>
          <t>650贴合机</t>
        </is>
      </c>
      <c r="E33" s="11" t="n">
        <v>1200</v>
      </c>
      <c r="F33" s="8" t="inlineStr">
        <is>
          <t>共用</t>
        </is>
      </c>
      <c r="G33" s="9" t="n"/>
    </row>
    <row r="34" ht="20" customHeight="1">
      <c r="B34" s="7" t="n">
        <v>5</v>
      </c>
      <c r="C34" s="8" t="inlineStr">
        <is>
          <t>072</t>
        </is>
      </c>
      <c r="D34" s="9" t="inlineStr">
        <is>
          <t>650表面卷曲分条机</t>
        </is>
      </c>
      <c r="E34" s="11" t="n">
        <v>1200</v>
      </c>
      <c r="F34" s="8" t="inlineStr">
        <is>
          <t>共用</t>
        </is>
      </c>
      <c r="G34" s="9" t="n"/>
    </row>
    <row r="35" ht="20" customHeight="1">
      <c r="B35" s="7" t="n">
        <v>6</v>
      </c>
      <c r="C35" s="8" t="inlineStr">
        <is>
          <t>082</t>
        </is>
      </c>
      <c r="D35" s="9" t="inlineStr">
        <is>
          <t>精密双轴分切机</t>
        </is>
      </c>
      <c r="E35" s="11" t="n">
        <v>1200</v>
      </c>
      <c r="F35" s="8" t="inlineStr">
        <is>
          <t>共用</t>
        </is>
      </c>
      <c r="G35" s="9" t="n"/>
    </row>
    <row r="36" ht="20" customHeight="1">
      <c r="B36" s="7" t="n">
        <v>7</v>
      </c>
      <c r="C36" s="8" t="inlineStr">
        <is>
          <t>071</t>
        </is>
      </c>
      <c r="D36" s="9" t="inlineStr">
        <is>
          <t>高精密立板式涂布机</t>
        </is>
      </c>
      <c r="E36" s="11" t="n">
        <v>1200</v>
      </c>
      <c r="F36" s="8" t="inlineStr">
        <is>
          <t>共用</t>
        </is>
      </c>
      <c r="G36" s="9" t="n"/>
    </row>
    <row r="37" ht="20" customHeight="1">
      <c r="B37" s="7" t="n">
        <v>8</v>
      </c>
      <c r="C37" s="8" t="inlineStr">
        <is>
          <t>080</t>
        </is>
      </c>
      <c r="D37" s="9" t="inlineStr">
        <is>
          <t>傅里叶变换红外光谱仪</t>
        </is>
      </c>
      <c r="E37" s="11" t="n">
        <v>1200</v>
      </c>
      <c r="F37" s="8" t="inlineStr">
        <is>
          <t>共用</t>
        </is>
      </c>
      <c r="G37" s="9" t="n"/>
    </row>
    <row r="38" ht="20" customHeight="1">
      <c r="B38" s="7" t="n">
        <v>9</v>
      </c>
      <c r="C38" s="8" t="inlineStr">
        <is>
          <t>086</t>
        </is>
      </c>
      <c r="D38" s="9" t="inlineStr">
        <is>
          <t>1300高精密复卷机</t>
        </is>
      </c>
      <c r="E38" s="11" t="n">
        <v>1200</v>
      </c>
      <c r="F38" s="8" t="inlineStr">
        <is>
          <t>共用</t>
        </is>
      </c>
      <c r="G38" s="9" t="n"/>
    </row>
    <row r="39" ht="20" customHeight="1">
      <c r="B39" s="7" t="n">
        <v>10</v>
      </c>
      <c r="C39" s="8" t="inlineStr">
        <is>
          <t>079</t>
        </is>
      </c>
      <c r="D39" s="9" t="inlineStr">
        <is>
          <t>1200MM泡棉分条机</t>
        </is>
      </c>
      <c r="E39" s="11" t="n">
        <v>1200</v>
      </c>
      <c r="F39" s="8" t="inlineStr">
        <is>
          <t>共用</t>
        </is>
      </c>
      <c r="G39" s="9" t="n"/>
    </row>
    <row r="40" ht="20" customHeight="1">
      <c r="B40" s="7" t="n">
        <v>11</v>
      </c>
      <c r="C40" s="8" t="inlineStr">
        <is>
          <t>081</t>
        </is>
      </c>
      <c r="D40" s="9" t="inlineStr">
        <is>
          <t>表面电阻测试仪</t>
        </is>
      </c>
      <c r="E40" s="11" t="n">
        <v>1200</v>
      </c>
      <c r="F40" s="8" t="inlineStr">
        <is>
          <t>研发专用</t>
        </is>
      </c>
      <c r="G40" s="9" t="n"/>
    </row>
    <row r="41" ht="20" customHeight="1">
      <c r="B41" s="7" t="n">
        <v>12</v>
      </c>
      <c r="C41" s="8" t="n"/>
      <c r="D41" s="9" t="n"/>
      <c r="E41" s="11" t="n"/>
      <c r="F41" s="8" t="n"/>
      <c r="G41" s="9" t="n"/>
    </row>
    <row r="42" ht="20" customHeight="1">
      <c r="B42" s="7" t="n">
        <v>13</v>
      </c>
      <c r="C42" s="8" t="n"/>
      <c r="D42" s="9" t="n"/>
      <c r="E42" s="11" t="n"/>
      <c r="F42" s="8" t="n"/>
      <c r="G42" s="9" t="n"/>
    </row>
    <row r="43" ht="20" customHeight="1">
      <c r="B43" s="7" t="n">
        <v>14</v>
      </c>
      <c r="C43" s="8" t="n"/>
      <c r="D43" s="9" t="n"/>
      <c r="E43" s="11" t="n"/>
      <c r="F43" s="8" t="n"/>
      <c r="G43" s="9" t="n"/>
    </row>
    <row r="44" ht="20" customHeight="1">
      <c r="B44" s="7" t="n">
        <v>15</v>
      </c>
      <c r="C44" s="8" t="n"/>
      <c r="D44" s="9" t="n"/>
      <c r="E44" s="11" t="n"/>
      <c r="F44" s="8" t="n"/>
      <c r="G44" s="9" t="n"/>
    </row>
    <row r="45">
      <c r="B45" s="6" t="inlineStr">
        <is>
          <t>说明：月折旧额取自固定资产折旧明细表当月计提数；研发专用设备可直接全额计入研发（工时表中非研发工时填 0）。</t>
        </is>
      </c>
    </row>
    <row r="46">
      <c r="B46" s="2" t="inlineStr">
        <is>
          <t>四、无形资产月摊销额（元/项·月）</t>
        </is>
      </c>
    </row>
    <row r="47" ht="22" customHeight="1">
      <c r="B47" s="5" t="inlineStr">
        <is>
          <t>序号</t>
        </is>
      </c>
      <c r="C47" s="5" t="inlineStr">
        <is>
          <t>资产编号</t>
        </is>
      </c>
      <c r="D47" s="5" t="inlineStr">
        <is>
          <t>资产名称</t>
        </is>
      </c>
      <c r="E47" s="5" t="inlineStr">
        <is>
          <t>月摊销额</t>
        </is>
      </c>
      <c r="F47" s="5" t="inlineStr">
        <is>
          <t>备注</t>
        </is>
      </c>
    </row>
    <row r="48" ht="20" customHeight="1">
      <c r="B48" s="7" t="n">
        <v>1</v>
      </c>
      <c r="C48" s="8" t="inlineStr">
        <is>
          <t>Z0001</t>
        </is>
      </c>
      <c r="D48" s="9" t="inlineStr">
        <is>
          <t>硬力</t>
        </is>
      </c>
      <c r="E48" s="11" t="n">
        <v>1200</v>
      </c>
      <c r="F48" s="9" t="inlineStr">
        <is>
          <t>示例，请按实际替换</t>
        </is>
      </c>
    </row>
    <row r="49" ht="20" customHeight="1">
      <c r="B49" s="7" t="n">
        <v>2</v>
      </c>
      <c r="C49" s="8" t="inlineStr">
        <is>
          <t>Z0002</t>
        </is>
      </c>
      <c r="D49" s="9" t="inlineStr">
        <is>
          <t>泡棉</t>
        </is>
      </c>
      <c r="E49" s="11" t="n">
        <v>1200</v>
      </c>
      <c r="F49" s="9" t="n"/>
    </row>
    <row r="50" ht="20" customHeight="1">
      <c r="B50" s="7" t="n">
        <v>3</v>
      </c>
      <c r="C50" s="8" t="inlineStr">
        <is>
          <t>Z0003</t>
        </is>
      </c>
      <c r="D50" s="9" t="inlineStr">
        <is>
          <t>拉力</t>
        </is>
      </c>
      <c r="E50" s="11" t="n">
        <v>1200</v>
      </c>
      <c r="F50" s="9" t="n"/>
    </row>
    <row r="51" ht="20" customHeight="1">
      <c r="B51" s="7" t="n">
        <v>4</v>
      </c>
      <c r="C51" s="8" t="inlineStr">
        <is>
          <t>Z0004</t>
        </is>
      </c>
      <c r="D51" s="9" t="inlineStr">
        <is>
          <t>贴合</t>
        </is>
      </c>
      <c r="E51" s="11" t="n">
        <v>1200</v>
      </c>
      <c r="F51" s="9" t="n"/>
    </row>
    <row r="52" ht="20" customHeight="1">
      <c r="B52" s="7" t="n">
        <v>5</v>
      </c>
      <c r="C52" s="8" t="inlineStr">
        <is>
          <t>Z0005</t>
        </is>
      </c>
      <c r="D52" s="9" t="inlineStr">
        <is>
          <t>拉手</t>
        </is>
      </c>
      <c r="E52" s="11" t="n">
        <v>1200</v>
      </c>
      <c r="F52" s="9" t="n"/>
    </row>
    <row r="53" ht="20" customHeight="1">
      <c r="B53" s="7" t="n">
        <v>6</v>
      </c>
      <c r="C53" s="8" t="inlineStr">
        <is>
          <t>Z0006</t>
        </is>
      </c>
      <c r="D53" s="9" t="inlineStr">
        <is>
          <t>配比</t>
        </is>
      </c>
      <c r="E53" s="11" t="n">
        <v>1200</v>
      </c>
      <c r="F53" s="9" t="n"/>
    </row>
    <row r="54" ht="20" customHeight="1">
      <c r="B54" s="7" t="n">
        <v>7</v>
      </c>
      <c r="C54" s="8" t="n"/>
      <c r="D54" s="9" t="n"/>
      <c r="E54" s="11" t="n"/>
      <c r="F54" s="9" t="n"/>
    </row>
    <row r="55" ht="20" customHeight="1">
      <c r="B55" s="7" t="n">
        <v>8</v>
      </c>
      <c r="C55" s="8" t="n"/>
      <c r="D55" s="9" t="n"/>
      <c r="E55" s="11" t="n"/>
      <c r="F55" s="9" t="n"/>
    </row>
    <row r="56" ht="20" customHeight="1">
      <c r="B56" s="7" t="n">
        <v>9</v>
      </c>
      <c r="C56" s="8" t="n"/>
      <c r="D56" s="9" t="n"/>
      <c r="E56" s="11" t="n"/>
      <c r="F56" s="9" t="n"/>
    </row>
    <row r="57" ht="20" customHeight="1">
      <c r="B57" s="7" t="n">
        <v>10</v>
      </c>
      <c r="C57" s="8" t="n"/>
      <c r="D57" s="9" t="n"/>
      <c r="E57" s="11" t="n"/>
      <c r="F57" s="9" t="n"/>
    </row>
  </sheetData>
  <mergeCells count="7">
    <mergeCell ref="B28:G28"/>
    <mergeCell ref="B15:I15"/>
    <mergeCell ref="B2:I2"/>
    <mergeCell ref="B45:G45"/>
    <mergeCell ref="B46:F46"/>
    <mergeCell ref="B27:I27"/>
    <mergeCell ref="B4:I4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Q126"/>
  <sheetViews>
    <sheetView showGridLines="0" workbookViewId="0">
      <pane xSplit="6" ySplit="6" topLeftCell="G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</cols>
  <sheetData>
    <row r="2" ht="30" customHeight="1">
      <c r="B2" s="1" t="inlineStr">
        <is>
          <t>2026年  研发人员工时（研发部报送数据，粘贴区）</t>
        </is>
      </c>
    </row>
    <row r="3">
      <c r="P3" s="13" t="inlineStr">
        <is>
          <t>数据来源：</t>
        </is>
      </c>
      <c r="Q3" s="14" t="inlineStr">
        <is>
          <t>研发部工时台账</t>
        </is>
      </c>
    </row>
    <row r="4" ht="20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姓名</t>
        </is>
      </c>
      <c r="E4" s="5" t="inlineStr">
        <is>
          <t>当月总工时
（小时）</t>
        </is>
      </c>
      <c r="F4" s="5" t="inlineStr">
        <is>
          <t>非研发活动工时
（小时）</t>
        </is>
      </c>
      <c r="G4" s="5" t="inlineStr">
        <is>
          <t>各项目分配工时（小时）</t>
        </is>
      </c>
      <c r="H4" s="44" t="n"/>
      <c r="I4" s="44" t="n"/>
      <c r="J4" s="44" t="n"/>
      <c r="K4" s="44" t="n"/>
      <c r="L4" s="44" t="n"/>
      <c r="M4" s="44" t="n"/>
      <c r="N4" s="44" t="n"/>
      <c r="O4" s="45" t="n"/>
      <c r="P4" s="5" t="inlineStr">
        <is>
          <t>分摊系数</t>
        </is>
      </c>
      <c r="Q4" s="5" t="inlineStr">
        <is>
          <t>备注</t>
        </is>
      </c>
    </row>
    <row r="5" ht="20" customHeight="1">
      <c r="B5" s="46" t="n"/>
      <c r="C5" s="46" t="n"/>
      <c r="D5" s="46" t="n"/>
      <c r="E5" s="46" t="n"/>
      <c r="F5" s="46" t="n"/>
      <c r="G5" s="15">
        <f>'参数设置'!$C$6</f>
        <v/>
      </c>
      <c r="H5" s="15">
        <f>'参数设置'!$C$7</f>
        <v/>
      </c>
      <c r="I5" s="15">
        <f>'参数设置'!$C$8</f>
        <v/>
      </c>
      <c r="J5" s="15">
        <f>'参数设置'!$C$9</f>
        <v/>
      </c>
      <c r="K5" s="15">
        <f>'参数设置'!$C$10</f>
        <v/>
      </c>
      <c r="L5" s="15">
        <f>'参数设置'!$C$11</f>
        <v/>
      </c>
      <c r="M5" s="15">
        <f>'参数设置'!$C$12</f>
        <v/>
      </c>
      <c r="N5" s="15">
        <f>'参数设置'!$C$13</f>
        <v/>
      </c>
      <c r="O5" s="5" t="inlineStr">
        <is>
          <t>合计</t>
        </is>
      </c>
      <c r="P5" s="16" t="inlineStr">
        <is>
          <t>研发工时/总工时</t>
        </is>
      </c>
      <c r="Q5" s="46" t="n"/>
    </row>
    <row r="6" ht="20" customHeight="1">
      <c r="B6" s="47" t="n"/>
      <c r="C6" s="47" t="n"/>
      <c r="D6" s="47" t="n"/>
      <c r="E6" s="47" t="n"/>
      <c r="F6" s="47" t="n"/>
      <c r="G6" s="15">
        <f>'参数设置'!$D$6</f>
        <v/>
      </c>
      <c r="H6" s="15">
        <f>'参数设置'!$D$7</f>
        <v/>
      </c>
      <c r="I6" s="15">
        <f>'参数设置'!$D$8</f>
        <v/>
      </c>
      <c r="J6" s="15">
        <f>'参数设置'!$D$9</f>
        <v/>
      </c>
      <c r="K6" s="15">
        <f>'参数设置'!$D$10</f>
        <v/>
      </c>
      <c r="L6" s="15">
        <f>'参数设置'!$D$11</f>
        <v/>
      </c>
      <c r="M6" s="15">
        <f>'参数设置'!$D$12</f>
        <v/>
      </c>
      <c r="N6" s="15">
        <f>'参数设置'!$D$13</f>
        <v/>
      </c>
      <c r="O6" s="47" t="n"/>
      <c r="P6" s="47" t="n"/>
      <c r="Q6" s="47" t="n"/>
    </row>
    <row r="7" ht="19" customHeight="1">
      <c r="B7" s="17" t="n">
        <v>9</v>
      </c>
      <c r="C7" s="8" t="n">
        <v>1</v>
      </c>
      <c r="D7" s="8" t="inlineStr">
        <is>
          <t>张三</t>
        </is>
      </c>
      <c r="E7" s="18" t="n">
        <v>172.5</v>
      </c>
      <c r="F7" s="18" t="n">
        <v>42.5</v>
      </c>
      <c r="G7" s="18" t="n">
        <v>60</v>
      </c>
      <c r="H7" s="18" t="n">
        <v>40</v>
      </c>
      <c r="I7" s="18" t="n">
        <v>30</v>
      </c>
      <c r="J7" s="18" t="n"/>
      <c r="K7" s="18" t="n"/>
      <c r="L7" s="18" t="n"/>
      <c r="M7" s="18" t="n"/>
      <c r="N7" s="18" t="n"/>
      <c r="O7" s="19">
        <f>IF($D7="","",SUM(G7:N7))</f>
        <v/>
      </c>
      <c r="P7" s="20">
        <f>IF(OR($D7="",$E7=0),"",$O7/$E7)</f>
        <v/>
      </c>
      <c r="Q7" s="9" t="inlineStr">
        <is>
          <t>示例数据，启用前请清空</t>
        </is>
      </c>
    </row>
    <row r="8" ht="19" customHeight="1">
      <c r="B8" s="17" t="n">
        <v>9</v>
      </c>
      <c r="C8" s="8" t="n">
        <v>2</v>
      </c>
      <c r="D8" s="8" t="inlineStr">
        <is>
          <t>李四</t>
        </is>
      </c>
      <c r="E8" s="18" t="n">
        <v>172.5</v>
      </c>
      <c r="F8" s="18" t="n">
        <v>62.5</v>
      </c>
      <c r="G8" s="18" t="n"/>
      <c r="H8" s="18" t="n">
        <v>50</v>
      </c>
      <c r="I8" s="18" t="n"/>
      <c r="J8" s="18" t="n">
        <v>60</v>
      </c>
      <c r="K8" s="18" t="n"/>
      <c r="L8" s="18" t="n"/>
      <c r="M8" s="18" t="n"/>
      <c r="N8" s="18" t="n"/>
      <c r="O8" s="19">
        <f>IF($D8="","",SUM(G8:N8))</f>
        <v/>
      </c>
      <c r="P8" s="20">
        <f>IF(OR($D8="",$E8=0),"",$O8/$E8)</f>
        <v/>
      </c>
      <c r="Q8" s="9" t="n"/>
    </row>
    <row r="9" ht="19" customHeight="1">
      <c r="B9" s="17" t="n">
        <v>9</v>
      </c>
      <c r="C9" s="8" t="n">
        <v>3</v>
      </c>
      <c r="D9" s="8" t="inlineStr">
        <is>
          <t>王五</t>
        </is>
      </c>
      <c r="E9" s="18" t="n">
        <v>172.5</v>
      </c>
      <c r="F9" s="18" t="n">
        <v>52.5</v>
      </c>
      <c r="G9" s="18" t="n">
        <v>45</v>
      </c>
      <c r="H9" s="18" t="n"/>
      <c r="I9" s="18" t="n">
        <v>45</v>
      </c>
      <c r="J9" s="18" t="n"/>
      <c r="K9" s="18" t="n">
        <v>30</v>
      </c>
      <c r="L9" s="18" t="n"/>
      <c r="M9" s="18" t="n"/>
      <c r="N9" s="18" t="n"/>
      <c r="O9" s="19">
        <f>IF($D9="","",SUM(G9:N9))</f>
        <v/>
      </c>
      <c r="P9" s="20">
        <f>IF(OR($D9="",$E9=0),"",$O9/$E9)</f>
        <v/>
      </c>
      <c r="Q9" s="9" t="n"/>
    </row>
    <row r="10" ht="19" customHeight="1">
      <c r="B10" s="17" t="n">
        <v>9</v>
      </c>
      <c r="C10" s="8" t="n">
        <v>4</v>
      </c>
      <c r="D10" s="8" t="inlineStr">
        <is>
          <t>赵六</t>
        </is>
      </c>
      <c r="E10" s="18" t="n">
        <v>172.5</v>
      </c>
      <c r="F10" s="18" t="n">
        <v>52.5</v>
      </c>
      <c r="G10" s="18" t="n"/>
      <c r="H10" s="18" t="n"/>
      <c r="I10" s="18" t="n">
        <v>70</v>
      </c>
      <c r="J10" s="18" t="n">
        <v>50</v>
      </c>
      <c r="K10" s="18" t="n"/>
      <c r="L10" s="18" t="n"/>
      <c r="M10" s="18" t="n"/>
      <c r="N10" s="18" t="n"/>
      <c r="O10" s="19">
        <f>IF($D10="","",SUM(G10:N10))</f>
        <v/>
      </c>
      <c r="P10" s="20">
        <f>IF(OR($D10="",$E10=0),"",$O10/$E10)</f>
        <v/>
      </c>
      <c r="Q10" s="9" t="n"/>
    </row>
    <row r="11" ht="19" customHeight="1">
      <c r="B11" s="17" t="n">
        <v>9</v>
      </c>
      <c r="C11" s="8" t="n">
        <v>5</v>
      </c>
      <c r="D11" s="8" t="inlineStr">
        <is>
          <t>陈七</t>
        </is>
      </c>
      <c r="E11" s="18" t="n">
        <v>172.5</v>
      </c>
      <c r="F11" s="18" t="n">
        <v>32.5</v>
      </c>
      <c r="G11" s="18" t="n">
        <v>30</v>
      </c>
      <c r="H11" s="18" t="n">
        <v>30</v>
      </c>
      <c r="I11" s="18" t="n"/>
      <c r="J11" s="18" t="n"/>
      <c r="K11" s="18" t="n">
        <v>80</v>
      </c>
      <c r="L11" s="18" t="n"/>
      <c r="M11" s="18" t="n"/>
      <c r="N11" s="18" t="n"/>
      <c r="O11" s="19">
        <f>IF($D11="","",SUM(G11:N11))</f>
        <v/>
      </c>
      <c r="P11" s="20">
        <f>IF(OR($D11="",$E11=0),"",$O11/$E11)</f>
        <v/>
      </c>
      <c r="Q11" s="9" t="n"/>
    </row>
    <row r="12" ht="19" customHeight="1">
      <c r="B12" s="17" t="n"/>
      <c r="C12" s="8" t="n"/>
      <c r="D12" s="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9">
        <f>IF($D12="","",SUM(G12:N12))</f>
        <v/>
      </c>
      <c r="P12" s="20">
        <f>IF(OR($D12="",$E12=0),"",$O12/$E12)</f>
        <v/>
      </c>
      <c r="Q12" s="9" t="n"/>
    </row>
    <row r="13" ht="19" customHeight="1">
      <c r="B13" s="17" t="n"/>
      <c r="C13" s="8" t="n"/>
      <c r="D13" s="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9">
        <f>IF($D13="","",SUM(G13:N13))</f>
        <v/>
      </c>
      <c r="P13" s="20">
        <f>IF(OR($D13="",$E13=0),"",$O13/$E13)</f>
        <v/>
      </c>
      <c r="Q13" s="9" t="n"/>
    </row>
    <row r="14" ht="19" customHeight="1">
      <c r="B14" s="17" t="n"/>
      <c r="C14" s="8" t="n"/>
      <c r="D14" s="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9">
        <f>IF($D14="","",SUM(G14:N14))</f>
        <v/>
      </c>
      <c r="P14" s="20">
        <f>IF(OR($D14="",$E14=0),"",$O14/$E14)</f>
        <v/>
      </c>
      <c r="Q14" s="9" t="n"/>
    </row>
    <row r="15" ht="19" customHeight="1">
      <c r="B15" s="17" t="n"/>
      <c r="C15" s="8" t="n"/>
      <c r="D15" s="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9">
        <f>IF($D15="","",SUM(G15:N15))</f>
        <v/>
      </c>
      <c r="P15" s="20">
        <f>IF(OR($D15="",$E15=0),"",$O15/$E15)</f>
        <v/>
      </c>
      <c r="Q15" s="9" t="n"/>
    </row>
    <row r="16" ht="19" customHeight="1">
      <c r="B16" s="17" t="n"/>
      <c r="C16" s="8" t="n"/>
      <c r="D16" s="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9">
        <f>IF($D16="","",SUM(G16:N16))</f>
        <v/>
      </c>
      <c r="P16" s="20">
        <f>IF(OR($D16="",$E16=0),"",$O16/$E16)</f>
        <v/>
      </c>
      <c r="Q16" s="9" t="n"/>
    </row>
    <row r="17" ht="19" customHeight="1">
      <c r="B17" s="17" t="n"/>
      <c r="C17" s="8" t="n"/>
      <c r="D17" s="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9">
        <f>IF($D17="","",SUM(G17:N17))</f>
        <v/>
      </c>
      <c r="P17" s="20">
        <f>IF(OR($D17="",$E17=0),"",$O17/$E17)</f>
        <v/>
      </c>
      <c r="Q17" s="9" t="n"/>
    </row>
    <row r="18" ht="19" customHeight="1">
      <c r="B18" s="17" t="n"/>
      <c r="C18" s="8" t="n"/>
      <c r="D18" s="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9">
        <f>IF($D18="","",SUM(G18:N18))</f>
        <v/>
      </c>
      <c r="P18" s="20">
        <f>IF(OR($D18="",$E18=0),"",$O18/$E18)</f>
        <v/>
      </c>
      <c r="Q18" s="9" t="n"/>
    </row>
    <row r="19" ht="19" customHeight="1">
      <c r="B19" s="17" t="n"/>
      <c r="C19" s="8" t="n"/>
      <c r="D19" s="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>
        <f>IF($D19="","",SUM(G19:N19))</f>
        <v/>
      </c>
      <c r="P19" s="20">
        <f>IF(OR($D19="",$E19=0),"",$O19/$E19)</f>
        <v/>
      </c>
      <c r="Q19" s="9" t="n"/>
    </row>
    <row r="20" ht="19" customHeight="1">
      <c r="B20" s="17" t="n"/>
      <c r="C20" s="8" t="n"/>
      <c r="D20" s="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9">
        <f>IF($D20="","",SUM(G20:N20))</f>
        <v/>
      </c>
      <c r="P20" s="20">
        <f>IF(OR($D20="",$E20=0),"",$O20/$E20)</f>
        <v/>
      </c>
      <c r="Q20" s="9" t="n"/>
    </row>
    <row r="21" ht="19" customHeight="1">
      <c r="B21" s="17" t="n"/>
      <c r="C21" s="8" t="n"/>
      <c r="D21" s="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9">
        <f>IF($D21="","",SUM(G21:N21))</f>
        <v/>
      </c>
      <c r="P21" s="20">
        <f>IF(OR($D21="",$E21=0),"",$O21/$E21)</f>
        <v/>
      </c>
      <c r="Q21" s="9" t="n"/>
    </row>
    <row r="22" ht="19" customHeight="1">
      <c r="B22" s="17" t="n"/>
      <c r="C22" s="8" t="n"/>
      <c r="D22" s="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>
        <f>IF($D22="","",SUM(G22:N22))</f>
        <v/>
      </c>
      <c r="P22" s="20">
        <f>IF(OR($D22="",$E22=0),"",$O22/$E22)</f>
        <v/>
      </c>
      <c r="Q22" s="9" t="n"/>
    </row>
    <row r="23" ht="19" customHeight="1">
      <c r="B23" s="17" t="n"/>
      <c r="C23" s="8" t="n"/>
      <c r="D23" s="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9">
        <f>IF($D23="","",SUM(G23:N23))</f>
        <v/>
      </c>
      <c r="P23" s="20">
        <f>IF(OR($D23="",$E23=0),"",$O23/$E23)</f>
        <v/>
      </c>
      <c r="Q23" s="9" t="n"/>
    </row>
    <row r="24" ht="19" customHeight="1">
      <c r="B24" s="17" t="n"/>
      <c r="C24" s="8" t="n"/>
      <c r="D24" s="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9">
        <f>IF($D24="","",SUM(G24:N24))</f>
        <v/>
      </c>
      <c r="P24" s="20">
        <f>IF(OR($D24="",$E24=0),"",$O24/$E24)</f>
        <v/>
      </c>
      <c r="Q24" s="9" t="n"/>
    </row>
    <row r="25" ht="19" customHeight="1">
      <c r="B25" s="17" t="n"/>
      <c r="C25" s="8" t="n"/>
      <c r="D25" s="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9">
        <f>IF($D25="","",SUM(G25:N25))</f>
        <v/>
      </c>
      <c r="P25" s="20">
        <f>IF(OR($D25="",$E25=0),"",$O25/$E25)</f>
        <v/>
      </c>
      <c r="Q25" s="9" t="n"/>
    </row>
    <row r="26" ht="19" customHeight="1">
      <c r="B26" s="17" t="n"/>
      <c r="C26" s="8" t="n"/>
      <c r="D26" s="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9">
        <f>IF($D26="","",SUM(G26:N26))</f>
        <v/>
      </c>
      <c r="P26" s="20">
        <f>IF(OR($D26="",$E26=0),"",$O26/$E26)</f>
        <v/>
      </c>
      <c r="Q26" s="9" t="n"/>
    </row>
    <row r="27" ht="19" customHeight="1">
      <c r="B27" s="17" t="n"/>
      <c r="C27" s="8" t="n"/>
      <c r="D27" s="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9">
        <f>IF($D27="","",SUM(G27:N27))</f>
        <v/>
      </c>
      <c r="P27" s="20">
        <f>IF(OR($D27="",$E27=0),"",$O27/$E27)</f>
        <v/>
      </c>
      <c r="Q27" s="9" t="n"/>
    </row>
    <row r="28" ht="19" customHeight="1">
      <c r="B28" s="17" t="n"/>
      <c r="C28" s="8" t="n"/>
      <c r="D28" s="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9">
        <f>IF($D28="","",SUM(G28:N28))</f>
        <v/>
      </c>
      <c r="P28" s="20">
        <f>IF(OR($D28="",$E28=0),"",$O28/$E28)</f>
        <v/>
      </c>
      <c r="Q28" s="9" t="n"/>
    </row>
    <row r="29" ht="19" customHeight="1">
      <c r="B29" s="17" t="n"/>
      <c r="C29" s="8" t="n"/>
      <c r="D29" s="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9">
        <f>IF($D29="","",SUM(G29:N29))</f>
        <v/>
      </c>
      <c r="P29" s="20">
        <f>IF(OR($D29="",$E29=0),"",$O29/$E29)</f>
        <v/>
      </c>
      <c r="Q29" s="9" t="n"/>
    </row>
    <row r="30" ht="19" customHeight="1">
      <c r="B30" s="17" t="n"/>
      <c r="C30" s="8" t="n"/>
      <c r="D30" s="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9">
        <f>IF($D30="","",SUM(G30:N30))</f>
        <v/>
      </c>
      <c r="P30" s="20">
        <f>IF(OR($D30="",$E30=0),"",$O30/$E30)</f>
        <v/>
      </c>
      <c r="Q30" s="9" t="n"/>
    </row>
    <row r="31" ht="19" customHeight="1">
      <c r="B31" s="17" t="n"/>
      <c r="C31" s="8" t="n"/>
      <c r="D31" s="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>
        <f>IF($D31="","",SUM(G31:N31))</f>
        <v/>
      </c>
      <c r="P31" s="20">
        <f>IF(OR($D31="",$E31=0),"",$O31/$E31)</f>
        <v/>
      </c>
      <c r="Q31" s="9" t="n"/>
    </row>
    <row r="32" ht="19" customHeight="1">
      <c r="B32" s="17" t="n"/>
      <c r="C32" s="8" t="n"/>
      <c r="D32" s="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9">
        <f>IF($D32="","",SUM(G32:N32))</f>
        <v/>
      </c>
      <c r="P32" s="20">
        <f>IF(OR($D32="",$E32=0),"",$O32/$E32)</f>
        <v/>
      </c>
      <c r="Q32" s="9" t="n"/>
    </row>
    <row r="33" ht="19" customHeight="1">
      <c r="B33" s="17" t="n"/>
      <c r="C33" s="8" t="n"/>
      <c r="D33" s="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9">
        <f>IF($D33="","",SUM(G33:N33))</f>
        <v/>
      </c>
      <c r="P33" s="20">
        <f>IF(OR($D33="",$E33=0),"",$O33/$E33)</f>
        <v/>
      </c>
      <c r="Q33" s="9" t="n"/>
    </row>
    <row r="34" ht="19" customHeight="1">
      <c r="B34" s="17" t="n"/>
      <c r="C34" s="8" t="n"/>
      <c r="D34" s="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>
        <f>IF($D34="","",SUM(G34:N34))</f>
        <v/>
      </c>
      <c r="P34" s="20">
        <f>IF(OR($D34="",$E34=0),"",$O34/$E34)</f>
        <v/>
      </c>
      <c r="Q34" s="9" t="n"/>
    </row>
    <row r="35" ht="19" customHeight="1">
      <c r="B35" s="17" t="n"/>
      <c r="C35" s="8" t="n"/>
      <c r="D35" s="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9">
        <f>IF($D35="","",SUM(G35:N35))</f>
        <v/>
      </c>
      <c r="P35" s="20">
        <f>IF(OR($D35="",$E35=0),"",$O35/$E35)</f>
        <v/>
      </c>
      <c r="Q35" s="9" t="n"/>
    </row>
    <row r="36" ht="19" customHeight="1">
      <c r="B36" s="17" t="n"/>
      <c r="C36" s="8" t="n"/>
      <c r="D36" s="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9">
        <f>IF($D36="","",SUM(G36:N36))</f>
        <v/>
      </c>
      <c r="P36" s="20">
        <f>IF(OR($D36="",$E36=0),"",$O36/$E36)</f>
        <v/>
      </c>
      <c r="Q36" s="9" t="n"/>
    </row>
    <row r="37" ht="19" customHeight="1">
      <c r="B37" s="17" t="n"/>
      <c r="C37" s="8" t="n"/>
      <c r="D37" s="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9">
        <f>IF($D37="","",SUM(G37:N37))</f>
        <v/>
      </c>
      <c r="P37" s="20">
        <f>IF(OR($D37="",$E37=0),"",$O37/$E37)</f>
        <v/>
      </c>
      <c r="Q37" s="9" t="n"/>
    </row>
    <row r="38" ht="19" customHeight="1">
      <c r="B38" s="17" t="n"/>
      <c r="C38" s="8" t="n"/>
      <c r="D38" s="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9">
        <f>IF($D38="","",SUM(G38:N38))</f>
        <v/>
      </c>
      <c r="P38" s="20">
        <f>IF(OR($D38="",$E38=0),"",$O38/$E38)</f>
        <v/>
      </c>
      <c r="Q38" s="9" t="n"/>
    </row>
    <row r="39" ht="19" customHeight="1">
      <c r="B39" s="17" t="n"/>
      <c r="C39" s="8" t="n"/>
      <c r="D39" s="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9">
        <f>IF($D39="","",SUM(G39:N39))</f>
        <v/>
      </c>
      <c r="P39" s="20">
        <f>IF(OR($D39="",$E39=0),"",$O39/$E39)</f>
        <v/>
      </c>
      <c r="Q39" s="9" t="n"/>
    </row>
    <row r="40" ht="19" customHeight="1">
      <c r="B40" s="17" t="n"/>
      <c r="C40" s="8" t="n"/>
      <c r="D40" s="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9">
        <f>IF($D40="","",SUM(G40:N40))</f>
        <v/>
      </c>
      <c r="P40" s="20">
        <f>IF(OR($D40="",$E40=0),"",$O40/$E40)</f>
        <v/>
      </c>
      <c r="Q40" s="9" t="n"/>
    </row>
    <row r="41" ht="19" customHeight="1">
      <c r="B41" s="17" t="n"/>
      <c r="C41" s="8" t="n"/>
      <c r="D41" s="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9">
        <f>IF($D41="","",SUM(G41:N41))</f>
        <v/>
      </c>
      <c r="P41" s="20">
        <f>IF(OR($D41="",$E41=0),"",$O41/$E41)</f>
        <v/>
      </c>
      <c r="Q41" s="9" t="n"/>
    </row>
    <row r="42" ht="19" customHeight="1">
      <c r="B42" s="17" t="n"/>
      <c r="C42" s="8" t="n"/>
      <c r="D42" s="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9">
        <f>IF($D42="","",SUM(G42:N42))</f>
        <v/>
      </c>
      <c r="P42" s="20">
        <f>IF(OR($D42="",$E42=0),"",$O42/$E42)</f>
        <v/>
      </c>
      <c r="Q42" s="9" t="n"/>
    </row>
    <row r="43" ht="19" customHeight="1">
      <c r="B43" s="17" t="n"/>
      <c r="C43" s="8" t="n"/>
      <c r="D43" s="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9">
        <f>IF($D43="","",SUM(G43:N43))</f>
        <v/>
      </c>
      <c r="P43" s="20">
        <f>IF(OR($D43="",$E43=0),"",$O43/$E43)</f>
        <v/>
      </c>
      <c r="Q43" s="9" t="n"/>
    </row>
    <row r="44" ht="19" customHeight="1">
      <c r="B44" s="17" t="n"/>
      <c r="C44" s="8" t="n"/>
      <c r="D44" s="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9">
        <f>IF($D44="","",SUM(G44:N44))</f>
        <v/>
      </c>
      <c r="P44" s="20">
        <f>IF(OR($D44="",$E44=0),"",$O44/$E44)</f>
        <v/>
      </c>
      <c r="Q44" s="9" t="n"/>
    </row>
    <row r="45" ht="19" customHeight="1">
      <c r="B45" s="17" t="n"/>
      <c r="C45" s="8" t="n"/>
      <c r="D45" s="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9">
        <f>IF($D45="","",SUM(G45:N45))</f>
        <v/>
      </c>
      <c r="P45" s="20">
        <f>IF(OR($D45="",$E45=0),"",$O45/$E45)</f>
        <v/>
      </c>
      <c r="Q45" s="9" t="n"/>
    </row>
    <row r="46" ht="19" customHeight="1">
      <c r="B46" s="17" t="n"/>
      <c r="C46" s="8" t="n"/>
      <c r="D46" s="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>
        <f>IF($D46="","",SUM(G46:N46))</f>
        <v/>
      </c>
      <c r="P46" s="20">
        <f>IF(OR($D46="",$E46=0),"",$O46/$E46)</f>
        <v/>
      </c>
      <c r="Q46" s="9" t="n"/>
    </row>
    <row r="47" ht="19" customHeight="1">
      <c r="B47" s="17" t="n"/>
      <c r="C47" s="8" t="n"/>
      <c r="D47" s="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9">
        <f>IF($D47="","",SUM(G47:N47))</f>
        <v/>
      </c>
      <c r="P47" s="20">
        <f>IF(OR($D47="",$E47=0),"",$O47/$E47)</f>
        <v/>
      </c>
      <c r="Q47" s="9" t="n"/>
    </row>
    <row r="48" ht="19" customHeight="1">
      <c r="B48" s="17" t="n"/>
      <c r="C48" s="8" t="n"/>
      <c r="D48" s="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9">
        <f>IF($D48="","",SUM(G48:N48))</f>
        <v/>
      </c>
      <c r="P48" s="20">
        <f>IF(OR($D48="",$E48=0),"",$O48/$E48)</f>
        <v/>
      </c>
      <c r="Q48" s="9" t="n"/>
    </row>
    <row r="49" ht="19" customHeight="1">
      <c r="B49" s="17" t="n"/>
      <c r="C49" s="8" t="n"/>
      <c r="D49" s="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9">
        <f>IF($D49="","",SUM(G49:N49))</f>
        <v/>
      </c>
      <c r="P49" s="20">
        <f>IF(OR($D49="",$E49=0),"",$O49/$E49)</f>
        <v/>
      </c>
      <c r="Q49" s="9" t="n"/>
    </row>
    <row r="50" ht="19" customHeight="1">
      <c r="B50" s="17" t="n"/>
      <c r="C50" s="8" t="n"/>
      <c r="D50" s="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9">
        <f>IF($D50="","",SUM(G50:N50))</f>
        <v/>
      </c>
      <c r="P50" s="20">
        <f>IF(OR($D50="",$E50=0),"",$O50/$E50)</f>
        <v/>
      </c>
      <c r="Q50" s="9" t="n"/>
    </row>
    <row r="51" ht="19" customHeight="1">
      <c r="B51" s="17" t="n"/>
      <c r="C51" s="8" t="n"/>
      <c r="D51" s="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9">
        <f>IF($D51="","",SUM(G51:N51))</f>
        <v/>
      </c>
      <c r="P51" s="20">
        <f>IF(OR($D51="",$E51=0),"",$O51/$E51)</f>
        <v/>
      </c>
      <c r="Q51" s="9" t="n"/>
    </row>
    <row r="52" ht="19" customHeight="1">
      <c r="B52" s="17" t="n"/>
      <c r="C52" s="8" t="n"/>
      <c r="D52" s="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>
        <f>IF($D52="","",SUM(G52:N52))</f>
        <v/>
      </c>
      <c r="P52" s="20">
        <f>IF(OR($D52="",$E52=0),"",$O52/$E52)</f>
        <v/>
      </c>
      <c r="Q52" s="9" t="n"/>
    </row>
    <row r="53" ht="19" customHeight="1">
      <c r="B53" s="17" t="n"/>
      <c r="C53" s="8" t="n"/>
      <c r="D53" s="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9">
        <f>IF($D53="","",SUM(G53:N53))</f>
        <v/>
      </c>
      <c r="P53" s="20">
        <f>IF(OR($D53="",$E53=0),"",$O53/$E53)</f>
        <v/>
      </c>
      <c r="Q53" s="9" t="n"/>
    </row>
    <row r="54" ht="19" customHeight="1">
      <c r="B54" s="17" t="n"/>
      <c r="C54" s="8" t="n"/>
      <c r="D54" s="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9">
        <f>IF($D54="","",SUM(G54:N54))</f>
        <v/>
      </c>
      <c r="P54" s="20">
        <f>IF(OR($D54="",$E54=0),"",$O54/$E54)</f>
        <v/>
      </c>
      <c r="Q54" s="9" t="n"/>
    </row>
    <row r="55" ht="19" customHeight="1">
      <c r="B55" s="17" t="n"/>
      <c r="C55" s="8" t="n"/>
      <c r="D55" s="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9">
        <f>IF($D55="","",SUM(G55:N55))</f>
        <v/>
      </c>
      <c r="P55" s="20">
        <f>IF(OR($D55="",$E55=0),"",$O55/$E55)</f>
        <v/>
      </c>
      <c r="Q55" s="9" t="n"/>
    </row>
    <row r="56" ht="19" customHeight="1">
      <c r="B56" s="17" t="n"/>
      <c r="C56" s="8" t="n"/>
      <c r="D56" s="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9">
        <f>IF($D56="","",SUM(G56:N56))</f>
        <v/>
      </c>
      <c r="P56" s="20">
        <f>IF(OR($D56="",$E56=0),"",$O56/$E56)</f>
        <v/>
      </c>
      <c r="Q56" s="9" t="n"/>
    </row>
    <row r="57" ht="19" customHeight="1">
      <c r="B57" s="17" t="n"/>
      <c r="C57" s="8" t="n"/>
      <c r="D57" s="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>
        <f>IF($D57="","",SUM(G57:N57))</f>
        <v/>
      </c>
      <c r="P57" s="20">
        <f>IF(OR($D57="",$E57=0),"",$O57/$E57)</f>
        <v/>
      </c>
      <c r="Q57" s="9" t="n"/>
    </row>
    <row r="58" ht="19" customHeight="1">
      <c r="B58" s="17" t="n"/>
      <c r="C58" s="8" t="n"/>
      <c r="D58" s="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9">
        <f>IF($D58="","",SUM(G58:N58))</f>
        <v/>
      </c>
      <c r="P58" s="20">
        <f>IF(OR($D58="",$E58=0),"",$O58/$E58)</f>
        <v/>
      </c>
      <c r="Q58" s="9" t="n"/>
    </row>
    <row r="59" ht="19" customHeight="1">
      <c r="B59" s="17" t="n"/>
      <c r="C59" s="8" t="n"/>
      <c r="D59" s="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9">
        <f>IF($D59="","",SUM(G59:N59))</f>
        <v/>
      </c>
      <c r="P59" s="20">
        <f>IF(OR($D59="",$E59=0),"",$O59/$E59)</f>
        <v/>
      </c>
      <c r="Q59" s="9" t="n"/>
    </row>
    <row r="60" ht="19" customHeight="1">
      <c r="B60" s="17" t="n"/>
      <c r="C60" s="8" t="n"/>
      <c r="D60" s="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9">
        <f>IF($D60="","",SUM(G60:N60))</f>
        <v/>
      </c>
      <c r="P60" s="20">
        <f>IF(OR($D60="",$E60=0),"",$O60/$E60)</f>
        <v/>
      </c>
      <c r="Q60" s="9" t="n"/>
    </row>
    <row r="61" ht="19" customHeight="1">
      <c r="B61" s="17" t="n"/>
      <c r="C61" s="8" t="n"/>
      <c r="D61" s="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9">
        <f>IF($D61="","",SUM(G61:N61))</f>
        <v/>
      </c>
      <c r="P61" s="20">
        <f>IF(OR($D61="",$E61=0),"",$O61/$E61)</f>
        <v/>
      </c>
      <c r="Q61" s="9" t="n"/>
    </row>
    <row r="62" ht="19" customHeight="1">
      <c r="B62" s="17" t="n"/>
      <c r="C62" s="8" t="n"/>
      <c r="D62" s="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9">
        <f>IF($D62="","",SUM(G62:N62))</f>
        <v/>
      </c>
      <c r="P62" s="20">
        <f>IF(OR($D62="",$E62=0),"",$O62/$E62)</f>
        <v/>
      </c>
      <c r="Q62" s="9" t="n"/>
    </row>
    <row r="63" ht="19" customHeight="1">
      <c r="B63" s="17" t="n"/>
      <c r="C63" s="8" t="n"/>
      <c r="D63" s="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>
        <f>IF($D63="","",SUM(G63:N63))</f>
        <v/>
      </c>
      <c r="P63" s="20">
        <f>IF(OR($D63="",$E63=0),"",$O63/$E63)</f>
        <v/>
      </c>
      <c r="Q63" s="9" t="n"/>
    </row>
    <row r="64" ht="19" customHeight="1">
      <c r="B64" s="17" t="n"/>
      <c r="C64" s="8" t="n"/>
      <c r="D64" s="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9">
        <f>IF($D64="","",SUM(G64:N64))</f>
        <v/>
      </c>
      <c r="P64" s="20">
        <f>IF(OR($D64="",$E64=0),"",$O64/$E64)</f>
        <v/>
      </c>
      <c r="Q64" s="9" t="n"/>
    </row>
    <row r="65" ht="19" customHeight="1">
      <c r="B65" s="17" t="n"/>
      <c r="C65" s="8" t="n"/>
      <c r="D65" s="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>
        <f>IF($D65="","",SUM(G65:N65))</f>
        <v/>
      </c>
      <c r="P65" s="20">
        <f>IF(OR($D65="",$E65=0),"",$O65/$E65)</f>
        <v/>
      </c>
      <c r="Q65" s="9" t="n"/>
    </row>
    <row r="66" ht="19" customHeight="1">
      <c r="B66" s="17" t="n"/>
      <c r="C66" s="8" t="n"/>
      <c r="D66" s="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9">
        <f>IF($D66="","",SUM(G66:N66))</f>
        <v/>
      </c>
      <c r="P66" s="20">
        <f>IF(OR($D66="",$E66=0),"",$O66/$E66)</f>
        <v/>
      </c>
      <c r="Q66" s="9" t="n"/>
    </row>
    <row r="67" ht="19" customHeight="1">
      <c r="B67" s="17" t="n"/>
      <c r="C67" s="8" t="n"/>
      <c r="D67" s="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9">
        <f>IF($D67="","",SUM(G67:N67))</f>
        <v/>
      </c>
      <c r="P67" s="20">
        <f>IF(OR($D67="",$E67=0),"",$O67/$E67)</f>
        <v/>
      </c>
      <c r="Q67" s="9" t="n"/>
    </row>
    <row r="68" ht="19" customHeight="1">
      <c r="B68" s="17" t="n"/>
      <c r="C68" s="8" t="n"/>
      <c r="D68" s="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9">
        <f>IF($D68="","",SUM(G68:N68))</f>
        <v/>
      </c>
      <c r="P68" s="20">
        <f>IF(OR($D68="",$E68=0),"",$O68/$E68)</f>
        <v/>
      </c>
      <c r="Q68" s="9" t="n"/>
    </row>
    <row r="69" ht="19" customHeight="1">
      <c r="B69" s="17" t="n"/>
      <c r="C69" s="8" t="n"/>
      <c r="D69" s="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9">
        <f>IF($D69="","",SUM(G69:N69))</f>
        <v/>
      </c>
      <c r="P69" s="20">
        <f>IF(OR($D69="",$E69=0),"",$O69/$E69)</f>
        <v/>
      </c>
      <c r="Q69" s="9" t="n"/>
    </row>
    <row r="70" ht="19" customHeight="1">
      <c r="B70" s="17" t="n"/>
      <c r="C70" s="8" t="n"/>
      <c r="D70" s="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9">
        <f>IF($D70="","",SUM(G70:N70))</f>
        <v/>
      </c>
      <c r="P70" s="20">
        <f>IF(OR($D70="",$E70=0),"",$O70/$E70)</f>
        <v/>
      </c>
      <c r="Q70" s="9" t="n"/>
    </row>
    <row r="71" ht="19" customHeight="1">
      <c r="B71" s="17" t="n"/>
      <c r="C71" s="8" t="n"/>
      <c r="D71" s="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>
        <f>IF($D71="","",SUM(G71:N71))</f>
        <v/>
      </c>
      <c r="P71" s="20">
        <f>IF(OR($D71="",$E71=0),"",$O71/$E71)</f>
        <v/>
      </c>
      <c r="Q71" s="9" t="n"/>
    </row>
    <row r="72" ht="19" customHeight="1">
      <c r="B72" s="17" t="n"/>
      <c r="C72" s="8" t="n"/>
      <c r="D72" s="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9">
        <f>IF($D72="","",SUM(G72:N72))</f>
        <v/>
      </c>
      <c r="P72" s="20">
        <f>IF(OR($D72="",$E72=0),"",$O72/$E72)</f>
        <v/>
      </c>
      <c r="Q72" s="9" t="n"/>
    </row>
    <row r="73" ht="19" customHeight="1">
      <c r="B73" s="17" t="n"/>
      <c r="C73" s="8" t="n"/>
      <c r="D73" s="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9">
        <f>IF($D73="","",SUM(G73:N73))</f>
        <v/>
      </c>
      <c r="P73" s="20">
        <f>IF(OR($D73="",$E73=0),"",$O73/$E73)</f>
        <v/>
      </c>
      <c r="Q73" s="9" t="n"/>
    </row>
    <row r="74" ht="19" customHeight="1">
      <c r="B74" s="17" t="n"/>
      <c r="C74" s="8" t="n"/>
      <c r="D74" s="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9">
        <f>IF($D74="","",SUM(G74:N74))</f>
        <v/>
      </c>
      <c r="P74" s="20">
        <f>IF(OR($D74="",$E74=0),"",$O74/$E74)</f>
        <v/>
      </c>
      <c r="Q74" s="9" t="n"/>
    </row>
    <row r="75" ht="19" customHeight="1">
      <c r="B75" s="17" t="n"/>
      <c r="C75" s="8" t="n"/>
      <c r="D75" s="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9">
        <f>IF($D75="","",SUM(G75:N75))</f>
        <v/>
      </c>
      <c r="P75" s="20">
        <f>IF(OR($D75="",$E75=0),"",$O75/$E75)</f>
        <v/>
      </c>
      <c r="Q75" s="9" t="n"/>
    </row>
    <row r="76" ht="19" customHeight="1">
      <c r="B76" s="17" t="n"/>
      <c r="C76" s="8" t="n"/>
      <c r="D76" s="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9">
        <f>IF($D76="","",SUM(G76:N76))</f>
        <v/>
      </c>
      <c r="P76" s="20">
        <f>IF(OR($D76="",$E76=0),"",$O76/$E76)</f>
        <v/>
      </c>
      <c r="Q76" s="9" t="n"/>
    </row>
    <row r="77" ht="19" customHeight="1">
      <c r="B77" s="17" t="n"/>
      <c r="C77" s="8" t="n"/>
      <c r="D77" s="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9">
        <f>IF($D77="","",SUM(G77:N77))</f>
        <v/>
      </c>
      <c r="P77" s="20">
        <f>IF(OR($D77="",$E77=0),"",$O77/$E77)</f>
        <v/>
      </c>
      <c r="Q77" s="9" t="n"/>
    </row>
    <row r="78" ht="19" customHeight="1">
      <c r="B78" s="17" t="n"/>
      <c r="C78" s="8" t="n"/>
      <c r="D78" s="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9">
        <f>IF($D78="","",SUM(G78:N78))</f>
        <v/>
      </c>
      <c r="P78" s="20">
        <f>IF(OR($D78="",$E78=0),"",$O78/$E78)</f>
        <v/>
      </c>
      <c r="Q78" s="9" t="n"/>
    </row>
    <row r="79" ht="19" customHeight="1">
      <c r="B79" s="17" t="n"/>
      <c r="C79" s="8" t="n"/>
      <c r="D79" s="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9">
        <f>IF($D79="","",SUM(G79:N79))</f>
        <v/>
      </c>
      <c r="P79" s="20">
        <f>IF(OR($D79="",$E79=0),"",$O79/$E79)</f>
        <v/>
      </c>
      <c r="Q79" s="9" t="n"/>
    </row>
    <row r="80" ht="19" customHeight="1">
      <c r="B80" s="17" t="n"/>
      <c r="C80" s="8" t="n"/>
      <c r="D80" s="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9">
        <f>IF($D80="","",SUM(G80:N80))</f>
        <v/>
      </c>
      <c r="P80" s="20">
        <f>IF(OR($D80="",$E80=0),"",$O80/$E80)</f>
        <v/>
      </c>
      <c r="Q80" s="9" t="n"/>
    </row>
    <row r="81" ht="19" customHeight="1">
      <c r="B81" s="17" t="n"/>
      <c r="C81" s="8" t="n"/>
      <c r="D81" s="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9">
        <f>IF($D81="","",SUM(G81:N81))</f>
        <v/>
      </c>
      <c r="P81" s="20">
        <f>IF(OR($D81="",$E81=0),"",$O81/$E81)</f>
        <v/>
      </c>
      <c r="Q81" s="9" t="n"/>
    </row>
    <row r="82" ht="19" customHeight="1">
      <c r="B82" s="17" t="n"/>
      <c r="C82" s="8" t="n"/>
      <c r="D82" s="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9">
        <f>IF($D82="","",SUM(G82:N82))</f>
        <v/>
      </c>
      <c r="P82" s="20">
        <f>IF(OR($D82="",$E82=0),"",$O82/$E82)</f>
        <v/>
      </c>
      <c r="Q82" s="9" t="n"/>
    </row>
    <row r="83" ht="19" customHeight="1">
      <c r="B83" s="17" t="n"/>
      <c r="C83" s="8" t="n"/>
      <c r="D83" s="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9">
        <f>IF($D83="","",SUM(G83:N83))</f>
        <v/>
      </c>
      <c r="P83" s="20">
        <f>IF(OR($D83="",$E83=0),"",$O83/$E83)</f>
        <v/>
      </c>
      <c r="Q83" s="9" t="n"/>
    </row>
    <row r="84" ht="19" customHeight="1">
      <c r="B84" s="17" t="n"/>
      <c r="C84" s="8" t="n"/>
      <c r="D84" s="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9">
        <f>IF($D84="","",SUM(G84:N84))</f>
        <v/>
      </c>
      <c r="P84" s="20">
        <f>IF(OR($D84="",$E84=0),"",$O84/$E84)</f>
        <v/>
      </c>
      <c r="Q84" s="9" t="n"/>
    </row>
    <row r="85" ht="19" customHeight="1">
      <c r="B85" s="17" t="n"/>
      <c r="C85" s="8" t="n"/>
      <c r="D85" s="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9">
        <f>IF($D85="","",SUM(G85:N85))</f>
        <v/>
      </c>
      <c r="P85" s="20">
        <f>IF(OR($D85="",$E85=0),"",$O85/$E85)</f>
        <v/>
      </c>
      <c r="Q85" s="9" t="n"/>
    </row>
    <row r="86" ht="19" customHeight="1">
      <c r="B86" s="17" t="n"/>
      <c r="C86" s="8" t="n"/>
      <c r="D86" s="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9">
        <f>IF($D86="","",SUM(G86:N86))</f>
        <v/>
      </c>
      <c r="P86" s="20">
        <f>IF(OR($D86="",$E86=0),"",$O86/$E86)</f>
        <v/>
      </c>
      <c r="Q86" s="9" t="n"/>
    </row>
    <row r="87" ht="19" customHeight="1">
      <c r="B87" s="17" t="n"/>
      <c r="C87" s="8" t="n"/>
      <c r="D87" s="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9">
        <f>IF($D87="","",SUM(G87:N87))</f>
        <v/>
      </c>
      <c r="P87" s="20">
        <f>IF(OR($D87="",$E87=0),"",$O87/$E87)</f>
        <v/>
      </c>
      <c r="Q87" s="9" t="n"/>
    </row>
    <row r="88" ht="19" customHeight="1">
      <c r="B88" s="17" t="n"/>
      <c r="C88" s="8" t="n"/>
      <c r="D88" s="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9">
        <f>IF($D88="","",SUM(G88:N88))</f>
        <v/>
      </c>
      <c r="P88" s="20">
        <f>IF(OR($D88="",$E88=0),"",$O88/$E88)</f>
        <v/>
      </c>
      <c r="Q88" s="9" t="n"/>
    </row>
    <row r="89" ht="19" customHeight="1">
      <c r="B89" s="17" t="n"/>
      <c r="C89" s="8" t="n"/>
      <c r="D89" s="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9">
        <f>IF($D89="","",SUM(G89:N89))</f>
        <v/>
      </c>
      <c r="P89" s="20">
        <f>IF(OR($D89="",$E89=0),"",$O89/$E89)</f>
        <v/>
      </c>
      <c r="Q89" s="9" t="n"/>
    </row>
    <row r="90" ht="19" customHeight="1">
      <c r="B90" s="17" t="n"/>
      <c r="C90" s="8" t="n"/>
      <c r="D90" s="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9">
        <f>IF($D90="","",SUM(G90:N90))</f>
        <v/>
      </c>
      <c r="P90" s="20">
        <f>IF(OR($D90="",$E90=0),"",$O90/$E90)</f>
        <v/>
      </c>
      <c r="Q90" s="9" t="n"/>
    </row>
    <row r="91" ht="19" customHeight="1">
      <c r="B91" s="17" t="n"/>
      <c r="C91" s="8" t="n"/>
      <c r="D91" s="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9">
        <f>IF($D91="","",SUM(G91:N91))</f>
        <v/>
      </c>
      <c r="P91" s="20">
        <f>IF(OR($D91="",$E91=0),"",$O91/$E91)</f>
        <v/>
      </c>
      <c r="Q91" s="9" t="n"/>
    </row>
    <row r="92" ht="19" customHeight="1">
      <c r="B92" s="17" t="n"/>
      <c r="C92" s="8" t="n"/>
      <c r="D92" s="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9">
        <f>IF($D92="","",SUM(G92:N92))</f>
        <v/>
      </c>
      <c r="P92" s="20">
        <f>IF(OR($D92="",$E92=0),"",$O92/$E92)</f>
        <v/>
      </c>
      <c r="Q92" s="9" t="n"/>
    </row>
    <row r="93" ht="19" customHeight="1">
      <c r="B93" s="17" t="n"/>
      <c r="C93" s="8" t="n"/>
      <c r="D93" s="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9">
        <f>IF($D93="","",SUM(G93:N93))</f>
        <v/>
      </c>
      <c r="P93" s="20">
        <f>IF(OR($D93="",$E93=0),"",$O93/$E93)</f>
        <v/>
      </c>
      <c r="Q93" s="9" t="n"/>
    </row>
    <row r="94" ht="19" customHeight="1">
      <c r="B94" s="17" t="n"/>
      <c r="C94" s="8" t="n"/>
      <c r="D94" s="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9">
        <f>IF($D94="","",SUM(G94:N94))</f>
        <v/>
      </c>
      <c r="P94" s="20">
        <f>IF(OR($D94="",$E94=0),"",$O94/$E94)</f>
        <v/>
      </c>
      <c r="Q94" s="9" t="n"/>
    </row>
    <row r="95" ht="19" customHeight="1">
      <c r="B95" s="17" t="n"/>
      <c r="C95" s="8" t="n"/>
      <c r="D95" s="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9">
        <f>IF($D95="","",SUM(G95:N95))</f>
        <v/>
      </c>
      <c r="P95" s="20">
        <f>IF(OR($D95="",$E95=0),"",$O95/$E95)</f>
        <v/>
      </c>
      <c r="Q95" s="9" t="n"/>
    </row>
    <row r="96" ht="19" customHeight="1">
      <c r="B96" s="17" t="n"/>
      <c r="C96" s="8" t="n"/>
      <c r="D96" s="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9">
        <f>IF($D96="","",SUM(G96:N96))</f>
        <v/>
      </c>
      <c r="P96" s="20">
        <f>IF(OR($D96="",$E96=0),"",$O96/$E96)</f>
        <v/>
      </c>
      <c r="Q96" s="9" t="n"/>
    </row>
    <row r="97" ht="19" customHeight="1">
      <c r="B97" s="17" t="n"/>
      <c r="C97" s="8" t="n"/>
      <c r="D97" s="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9">
        <f>IF($D97="","",SUM(G97:N97))</f>
        <v/>
      </c>
      <c r="P97" s="20">
        <f>IF(OR($D97="",$E97=0),"",$O97/$E97)</f>
        <v/>
      </c>
      <c r="Q97" s="9" t="n"/>
    </row>
    <row r="98" ht="19" customHeight="1">
      <c r="B98" s="17" t="n"/>
      <c r="C98" s="8" t="n"/>
      <c r="D98" s="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9">
        <f>IF($D98="","",SUM(G98:N98))</f>
        <v/>
      </c>
      <c r="P98" s="20">
        <f>IF(OR($D98="",$E98=0),"",$O98/$E98)</f>
        <v/>
      </c>
      <c r="Q98" s="9" t="n"/>
    </row>
    <row r="99" ht="19" customHeight="1">
      <c r="B99" s="17" t="n"/>
      <c r="C99" s="8" t="n"/>
      <c r="D99" s="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9">
        <f>IF($D99="","",SUM(G99:N99))</f>
        <v/>
      </c>
      <c r="P99" s="20">
        <f>IF(OR($D99="",$E99=0),"",$O99/$E99)</f>
        <v/>
      </c>
      <c r="Q99" s="9" t="n"/>
    </row>
    <row r="100" ht="19" customHeight="1">
      <c r="B100" s="17" t="n"/>
      <c r="C100" s="8" t="n"/>
      <c r="D100" s="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9">
        <f>IF($D100="","",SUM(G100:N100))</f>
        <v/>
      </c>
      <c r="P100" s="20">
        <f>IF(OR($D100="",$E100=0),"",$O100/$E100)</f>
        <v/>
      </c>
      <c r="Q100" s="9" t="n"/>
    </row>
    <row r="101" ht="19" customHeight="1">
      <c r="B101" s="17" t="n"/>
      <c r="C101" s="8" t="n"/>
      <c r="D101" s="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9">
        <f>IF($D101="","",SUM(G101:N101))</f>
        <v/>
      </c>
      <c r="P101" s="20">
        <f>IF(OR($D101="",$E101=0),"",$O101/$E101)</f>
        <v/>
      </c>
      <c r="Q101" s="9" t="n"/>
    </row>
    <row r="102" ht="19" customHeight="1">
      <c r="B102" s="17" t="n"/>
      <c r="C102" s="8" t="n"/>
      <c r="D102" s="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9">
        <f>IF($D102="","",SUM(G102:N102))</f>
        <v/>
      </c>
      <c r="P102" s="20">
        <f>IF(OR($D102="",$E102=0),"",$O102/$E102)</f>
        <v/>
      </c>
      <c r="Q102" s="9" t="n"/>
    </row>
    <row r="103" ht="19" customHeight="1">
      <c r="B103" s="17" t="n"/>
      <c r="C103" s="8" t="n"/>
      <c r="D103" s="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9">
        <f>IF($D103="","",SUM(G103:N103))</f>
        <v/>
      </c>
      <c r="P103" s="20">
        <f>IF(OR($D103="",$E103=0),"",$O103/$E103)</f>
        <v/>
      </c>
      <c r="Q103" s="9" t="n"/>
    </row>
    <row r="104" ht="19" customHeight="1">
      <c r="B104" s="17" t="n"/>
      <c r="C104" s="8" t="n"/>
      <c r="D104" s="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9">
        <f>IF($D104="","",SUM(G104:N104))</f>
        <v/>
      </c>
      <c r="P104" s="20">
        <f>IF(OR($D104="",$E104=0),"",$O104/$E104)</f>
        <v/>
      </c>
      <c r="Q104" s="9" t="n"/>
    </row>
    <row r="105" ht="19" customHeight="1">
      <c r="B105" s="17" t="n"/>
      <c r="C105" s="8" t="n"/>
      <c r="D105" s="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9">
        <f>IF($D105="","",SUM(G105:N105))</f>
        <v/>
      </c>
      <c r="P105" s="20">
        <f>IF(OR($D105="",$E105=0),"",$O105/$E105)</f>
        <v/>
      </c>
      <c r="Q105" s="9" t="n"/>
    </row>
    <row r="106" ht="19" customHeight="1">
      <c r="B106" s="17" t="n"/>
      <c r="C106" s="8" t="n"/>
      <c r="D106" s="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9">
        <f>IF($D106="","",SUM(G106:N106))</f>
        <v/>
      </c>
      <c r="P106" s="20">
        <f>IF(OR($D106="",$E106=0),"",$O106/$E106)</f>
        <v/>
      </c>
      <c r="Q106" s="9" t="n"/>
    </row>
    <row r="107" ht="19" customHeight="1">
      <c r="B107" s="17" t="n"/>
      <c r="C107" s="8" t="n"/>
      <c r="D107" s="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9">
        <f>IF($D107="","",SUM(G107:N107))</f>
        <v/>
      </c>
      <c r="P107" s="20">
        <f>IF(OR($D107="",$E107=0),"",$O107/$E107)</f>
        <v/>
      </c>
      <c r="Q107" s="9" t="n"/>
    </row>
    <row r="108" ht="19" customHeight="1">
      <c r="B108" s="17" t="n"/>
      <c r="C108" s="8" t="n"/>
      <c r="D108" s="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9">
        <f>IF($D108="","",SUM(G108:N108))</f>
        <v/>
      </c>
      <c r="P108" s="20">
        <f>IF(OR($D108="",$E108=0),"",$O108/$E108)</f>
        <v/>
      </c>
      <c r="Q108" s="9" t="n"/>
    </row>
    <row r="109" ht="19" customHeight="1">
      <c r="B109" s="17" t="n"/>
      <c r="C109" s="8" t="n"/>
      <c r="D109" s="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9">
        <f>IF($D109="","",SUM(G109:N109))</f>
        <v/>
      </c>
      <c r="P109" s="20">
        <f>IF(OR($D109="",$E109=0),"",$O109/$E109)</f>
        <v/>
      </c>
      <c r="Q109" s="9" t="n"/>
    </row>
    <row r="110" ht="19" customHeight="1">
      <c r="B110" s="17" t="n"/>
      <c r="C110" s="8" t="n"/>
      <c r="D110" s="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9">
        <f>IF($D110="","",SUM(G110:N110))</f>
        <v/>
      </c>
      <c r="P110" s="20">
        <f>IF(OR($D110="",$E110=0),"",$O110/$E110)</f>
        <v/>
      </c>
      <c r="Q110" s="9" t="n"/>
    </row>
    <row r="111" ht="19" customHeight="1">
      <c r="B111" s="17" t="n"/>
      <c r="C111" s="8" t="n"/>
      <c r="D111" s="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9">
        <f>IF($D111="","",SUM(G111:N111))</f>
        <v/>
      </c>
      <c r="P111" s="20">
        <f>IF(OR($D111="",$E111=0),"",$O111/$E111)</f>
        <v/>
      </c>
      <c r="Q111" s="9" t="n"/>
    </row>
    <row r="112" ht="19" customHeight="1">
      <c r="B112" s="17" t="n"/>
      <c r="C112" s="8" t="n"/>
      <c r="D112" s="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9">
        <f>IF($D112="","",SUM(G112:N112))</f>
        <v/>
      </c>
      <c r="P112" s="20">
        <f>IF(OR($D112="",$E112=0),"",$O112/$E112)</f>
        <v/>
      </c>
      <c r="Q112" s="9" t="n"/>
    </row>
    <row r="113" ht="19" customHeight="1">
      <c r="B113" s="17" t="n"/>
      <c r="C113" s="8" t="n"/>
      <c r="D113" s="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9">
        <f>IF($D113="","",SUM(G113:N113))</f>
        <v/>
      </c>
      <c r="P113" s="20">
        <f>IF(OR($D113="",$E113=0),"",$O113/$E113)</f>
        <v/>
      </c>
      <c r="Q113" s="9" t="n"/>
    </row>
    <row r="114" ht="19" customHeight="1">
      <c r="B114" s="17" t="n"/>
      <c r="C114" s="8" t="n"/>
      <c r="D114" s="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9">
        <f>IF($D114="","",SUM(G114:N114))</f>
        <v/>
      </c>
      <c r="P114" s="20">
        <f>IF(OR($D114="",$E114=0),"",$O114/$E114)</f>
        <v/>
      </c>
      <c r="Q114" s="9" t="n"/>
    </row>
    <row r="115" ht="19" customHeight="1">
      <c r="B115" s="17" t="n"/>
      <c r="C115" s="8" t="n"/>
      <c r="D115" s="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9">
        <f>IF($D115="","",SUM(G115:N115))</f>
        <v/>
      </c>
      <c r="P115" s="20">
        <f>IF(OR($D115="",$E115=0),"",$O115/$E115)</f>
        <v/>
      </c>
      <c r="Q115" s="9" t="n"/>
    </row>
    <row r="116" ht="19" customHeight="1">
      <c r="B116" s="17" t="n"/>
      <c r="C116" s="8" t="n"/>
      <c r="D116" s="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9">
        <f>IF($D116="","",SUM(G116:N116))</f>
        <v/>
      </c>
      <c r="P116" s="20">
        <f>IF(OR($D116="",$E116=0),"",$O116/$E116)</f>
        <v/>
      </c>
      <c r="Q116" s="9" t="n"/>
    </row>
    <row r="117" ht="19" customHeight="1">
      <c r="B117" s="17" t="n"/>
      <c r="C117" s="8" t="n"/>
      <c r="D117" s="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9">
        <f>IF($D117="","",SUM(G117:N117))</f>
        <v/>
      </c>
      <c r="P117" s="20">
        <f>IF(OR($D117="",$E117=0),"",$O117/$E117)</f>
        <v/>
      </c>
      <c r="Q117" s="9" t="n"/>
    </row>
    <row r="118" ht="19" customHeight="1">
      <c r="B118" s="17" t="n"/>
      <c r="C118" s="8" t="n"/>
      <c r="D118" s="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9">
        <f>IF($D118="","",SUM(G118:N118))</f>
        <v/>
      </c>
      <c r="P118" s="20">
        <f>IF(OR($D118="",$E118=0),"",$O118/$E118)</f>
        <v/>
      </c>
      <c r="Q118" s="9" t="n"/>
    </row>
    <row r="119" ht="19" customHeight="1">
      <c r="B119" s="17" t="n"/>
      <c r="C119" s="8" t="n"/>
      <c r="D119" s="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9">
        <f>IF($D119="","",SUM(G119:N119))</f>
        <v/>
      </c>
      <c r="P119" s="20">
        <f>IF(OR($D119="",$E119=0),"",$O119/$E119)</f>
        <v/>
      </c>
      <c r="Q119" s="9" t="n"/>
    </row>
    <row r="120" ht="19" customHeight="1">
      <c r="B120" s="17" t="n"/>
      <c r="C120" s="8" t="n"/>
      <c r="D120" s="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9">
        <f>IF($D120="","",SUM(G120:N120))</f>
        <v/>
      </c>
      <c r="P120" s="20">
        <f>IF(OR($D120="",$E120=0),"",$O120/$E120)</f>
        <v/>
      </c>
      <c r="Q120" s="9" t="n"/>
    </row>
    <row r="121" ht="19" customHeight="1">
      <c r="B121" s="17" t="n"/>
      <c r="C121" s="8" t="n"/>
      <c r="D121" s="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9">
        <f>IF($D121="","",SUM(G121:N121))</f>
        <v/>
      </c>
      <c r="P121" s="20">
        <f>IF(OR($D121="",$E121=0),"",$O121/$E121)</f>
        <v/>
      </c>
      <c r="Q121" s="9" t="n"/>
    </row>
    <row r="122" ht="19" customHeight="1">
      <c r="B122" s="17" t="n"/>
      <c r="C122" s="8" t="n"/>
      <c r="D122" s="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9">
        <f>IF($D122="","",SUM(G122:N122))</f>
        <v/>
      </c>
      <c r="P122" s="20">
        <f>IF(OR($D122="",$E122=0),"",$O122/$E122)</f>
        <v/>
      </c>
      <c r="Q122" s="9" t="n"/>
    </row>
    <row r="123" ht="19" customHeight="1">
      <c r="B123" s="17" t="n"/>
      <c r="C123" s="8" t="n"/>
      <c r="D123" s="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9">
        <f>IF($D123="","",SUM(G123:N123))</f>
        <v/>
      </c>
      <c r="P123" s="20">
        <f>IF(OR($D123="",$E123=0),"",$O123/$E123)</f>
        <v/>
      </c>
      <c r="Q123" s="9" t="n"/>
    </row>
    <row r="124" ht="19" customHeight="1">
      <c r="B124" s="17" t="n"/>
      <c r="C124" s="8" t="n"/>
      <c r="D124" s="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9">
        <f>IF($D124="","",SUM(G124:N124))</f>
        <v/>
      </c>
      <c r="P124" s="20">
        <f>IF(OR($D124="",$E124=0),"",$O124/$E124)</f>
        <v/>
      </c>
      <c r="Q124" s="9" t="n"/>
    </row>
    <row r="125" ht="19" customHeight="1">
      <c r="B125" s="17" t="n"/>
      <c r="C125" s="8" t="n"/>
      <c r="D125" s="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9">
        <f>IF($D125="","",SUM(G125:N125))</f>
        <v/>
      </c>
      <c r="P125" s="20">
        <f>IF(OR($D125="",$E125=0),"",$O125/$E125)</f>
        <v/>
      </c>
      <c r="Q125" s="9" t="n"/>
    </row>
    <row r="126" ht="19" customHeight="1">
      <c r="B126" s="17" t="n"/>
      <c r="C126" s="8" t="n"/>
      <c r="D126" s="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9">
        <f>IF($D126="","",SUM(G126:N126))</f>
        <v/>
      </c>
      <c r="P126" s="20">
        <f>IF(OR($D126="",$E126=0),"",$O126/$E126)</f>
        <v/>
      </c>
      <c r="Q126" s="9" t="n"/>
    </row>
  </sheetData>
  <mergeCells count="10">
    <mergeCell ref="D4:D6"/>
    <mergeCell ref="O5:O6"/>
    <mergeCell ref="P5:P6"/>
    <mergeCell ref="B4:B6"/>
    <mergeCell ref="Q4:Q6"/>
    <mergeCell ref="E4:E6"/>
    <mergeCell ref="B2:Q2"/>
    <mergeCell ref="G4:O4"/>
    <mergeCell ref="C4:C6"/>
    <mergeCell ref="F4:F6"/>
  </mergeCells>
  <dataValidations count="1">
    <dataValidation sqref="B7:B126" showDropDown="0" showInputMessage="0" showErrorMessage="1" allowBlank="1" errorTitle="月份有误" error="请填写 1—12 的数字月份" type="whole" operator="between">
      <formula1>1</formula1>
      <formula2>12</formula2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W490"/>
  <sheetViews>
    <sheetView showGridLines="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0" customWidth="1" min="21" max="21"/>
    <col width="13" customWidth="1" min="22" max="22"/>
    <col width="16" customWidth="1" min="23" max="23"/>
  </cols>
  <sheetData>
    <row r="2" ht="30" customHeight="1">
      <c r="B2" s="1" t="inlineStr">
        <is>
          <t>2026年  研发人员人工费用分配表（按工时分摊）</t>
        </is>
      </c>
    </row>
    <row r="4" ht="22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姓名</t>
        </is>
      </c>
      <c r="E4" s="5" t="inlineStr">
        <is>
          <t>费用项目</t>
        </is>
      </c>
      <c r="F4" s="5" t="inlineStr">
        <is>
          <t>金额（元）</t>
        </is>
      </c>
      <c r="G4" s="5" t="inlineStr">
        <is>
          <t>当月总工时
（小时）</t>
        </is>
      </c>
      <c r="H4" s="5" t="inlineStr">
        <is>
          <t>其中：研发
工时（小时）</t>
        </is>
      </c>
      <c r="I4" s="5" t="inlineStr">
        <is>
          <t>研发工时
占比</t>
        </is>
      </c>
      <c r="J4" s="5" t="inlineStr">
        <is>
          <t>费用分摊（元）</t>
        </is>
      </c>
      <c r="K4" s="44" t="n"/>
      <c r="L4" s="44" t="n"/>
      <c r="M4" s="44" t="n"/>
      <c r="N4" s="44" t="n"/>
      <c r="O4" s="44" t="n"/>
      <c r="P4" s="44" t="n"/>
      <c r="Q4" s="44" t="n"/>
      <c r="R4" s="44" t="n"/>
      <c r="S4" s="45" t="n"/>
      <c r="T4" s="5" t="inlineStr">
        <is>
          <t>合计
（元）</t>
        </is>
      </c>
      <c r="U4" s="5" t="inlineStr">
        <is>
          <t>校验</t>
        </is>
      </c>
      <c r="V4" s="5" t="inlineStr">
        <is>
          <t>本月实际
金额（覆盖）</t>
        </is>
      </c>
      <c r="W4" s="5" t="inlineStr">
        <is>
          <t>备注</t>
        </is>
      </c>
    </row>
    <row r="5" ht="22" customHeight="1">
      <c r="B5" s="46" t="n"/>
      <c r="C5" s="46" t="n"/>
      <c r="D5" s="46" t="n"/>
      <c r="E5" s="46" t="n"/>
      <c r="F5" s="46" t="n"/>
      <c r="G5" s="46" t="n"/>
      <c r="H5" s="46" t="n"/>
      <c r="I5" s="46" t="n"/>
      <c r="J5" s="16" t="inlineStr">
        <is>
          <t>非研发
承担</t>
        </is>
      </c>
      <c r="K5" s="15">
        <f>'参数设置'!$C$6</f>
        <v/>
      </c>
      <c r="L5" s="15">
        <f>'参数设置'!$C$7</f>
        <v/>
      </c>
      <c r="M5" s="15">
        <f>'参数设置'!$C$8</f>
        <v/>
      </c>
      <c r="N5" s="15">
        <f>'参数设置'!$C$9</f>
        <v/>
      </c>
      <c r="O5" s="15">
        <f>'参数设置'!$C$10</f>
        <v/>
      </c>
      <c r="P5" s="15">
        <f>'参数设置'!$C$11</f>
        <v/>
      </c>
      <c r="Q5" s="15">
        <f>'参数设置'!$C$12</f>
        <v/>
      </c>
      <c r="R5" s="15">
        <f>'参数设置'!$C$13</f>
        <v/>
      </c>
      <c r="S5" s="16" t="inlineStr">
        <is>
          <t>研发
合计</t>
        </is>
      </c>
      <c r="T5" s="46" t="n"/>
      <c r="U5" s="46" t="n"/>
      <c r="V5" s="46" t="n"/>
      <c r="W5" s="46" t="n"/>
    </row>
    <row r="6" ht="22" customHeight="1"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15">
        <f>'参数设置'!$D$6</f>
        <v/>
      </c>
      <c r="L6" s="15">
        <f>'参数设置'!$D$7</f>
        <v/>
      </c>
      <c r="M6" s="15">
        <f>'参数设置'!$D$8</f>
        <v/>
      </c>
      <c r="N6" s="15">
        <f>'参数设置'!$D$9</f>
        <v/>
      </c>
      <c r="O6" s="15">
        <f>'参数设置'!$D$10</f>
        <v/>
      </c>
      <c r="P6" s="15">
        <f>'参数设置'!$D$11</f>
        <v/>
      </c>
      <c r="Q6" s="15">
        <f>'参数设置'!$D$12</f>
        <v/>
      </c>
      <c r="R6" s="15">
        <f>'参数设置'!$D$13</f>
        <v/>
      </c>
      <c r="S6" s="47" t="n"/>
      <c r="T6" s="47" t="n"/>
      <c r="U6" s="47" t="n"/>
      <c r="V6" s="47" t="n"/>
      <c r="W6" s="47" t="n"/>
    </row>
    <row r="7" ht="18" customHeight="1">
      <c r="B7" s="21">
        <f>IF(INDEX('01人员工时'!$D$7:$D$126,INT((ROW()-7)/4)+1)&amp;""="","",INDEX('01人员工时'!$B$7:$B$126,INT((ROW()-7)/4)+1))</f>
        <v/>
      </c>
      <c r="C7" s="22">
        <f>IF($D7="","",IF(MOD(ROW()-7,4)=0,INDEX('01人员工时'!$C$7:$C$126,INT((ROW()-7)/4)+1),""))</f>
        <v/>
      </c>
      <c r="D7" s="22">
        <f>IF(INDEX('01人员工时'!$D$7:$D$126,INT((ROW()-7)/4)+1)&amp;""="","",INDEX('01人员工时'!$D$7:$D$126,INT((ROW()-7)/4)+1))</f>
        <v/>
      </c>
      <c r="E7" s="22">
        <f>IF($D7="","",INDEX('参数设置'!$K$6:$K$9,MOD(ROW()-7,4)+1))</f>
        <v/>
      </c>
      <c r="F7" s="23">
        <f>IF($D7="","",IF($V7&lt;&gt;"",$V7,IFERROR(INDEX('参数设置'!$D$17:$G$26,MATCH($D7,'参数设置'!$C$17:$C$26,0),MATCH($E7,'参数设置'!$D$16:$G$16,0)),0)))</f>
        <v/>
      </c>
      <c r="G7" s="24">
        <f>IF($D7="","",INDEX('01人员工时'!$E$7:$E$126,INT((ROW()-7)/4)+1))</f>
        <v/>
      </c>
      <c r="H7" s="24">
        <f>IF($D7="","",INDEX('01人员工时'!$O$7:$O$126,INT((ROW()-7)/4)+1))</f>
        <v/>
      </c>
      <c r="I7" s="20">
        <f>IF(OR($D7="",$G7=0),"",$H7/$G7)</f>
        <v/>
      </c>
      <c r="J7" s="12">
        <f>IF($D7="","",ROUND($F7,2)-$S7)</f>
        <v/>
      </c>
      <c r="K7" s="12">
        <f>IF(OR($D7="",$G7=0),"",ROUND($F7*INDEX('01人员工时'!G$7:G$126,INT((ROW()-7)/4)+1)/$G7,2))</f>
        <v/>
      </c>
      <c r="L7" s="12">
        <f>IF(OR($D7="",$G7=0),"",ROUND($F7*INDEX('01人员工时'!H$7:H$126,INT((ROW()-7)/4)+1)/$G7,2))</f>
        <v/>
      </c>
      <c r="M7" s="12">
        <f>IF(OR($D7="",$G7=0),"",ROUND($F7*INDEX('01人员工时'!I$7:I$126,INT((ROW()-7)/4)+1)/$G7,2))</f>
        <v/>
      </c>
      <c r="N7" s="12">
        <f>IF(OR($D7="",$G7=0),"",ROUND($F7*INDEX('01人员工时'!J$7:J$126,INT((ROW()-7)/4)+1)/$G7,2))</f>
        <v/>
      </c>
      <c r="O7" s="12">
        <f>IF(OR($D7="",$G7=0),"",ROUND($F7*INDEX('01人员工时'!K$7:K$126,INT((ROW()-7)/4)+1)/$G7,2))</f>
        <v/>
      </c>
      <c r="P7" s="12">
        <f>IF(OR($D7="",$G7=0),"",ROUND($F7*INDEX('01人员工时'!L$7:L$126,INT((ROW()-7)/4)+1)/$G7,2))</f>
        <v/>
      </c>
      <c r="Q7" s="12">
        <f>IF(OR($D7="",$G7=0),"",ROUND($F7*INDEX('01人员工时'!M$7:M$126,INT((ROW()-7)/4)+1)/$G7,2))</f>
        <v/>
      </c>
      <c r="R7" s="12">
        <f>IF(OR($D7="",$G7=0),"",ROUND($F7*INDEX('01人员工时'!N$7:N$126,INT((ROW()-7)/4)+1)/$G7,2))</f>
        <v/>
      </c>
      <c r="S7" s="12">
        <f>IF($D7="","",SUM(K7:R7))</f>
        <v/>
      </c>
      <c r="T7" s="12">
        <f>IF($D7="","",$J7+$S7)</f>
        <v/>
      </c>
      <c r="U7" s="25">
        <f>IF($D7="","",IF($F7=0,"未维护标准",IF(ROUND($T7-$F7,2)=0,"√","差异")))</f>
        <v/>
      </c>
      <c r="V7" s="11" t="n"/>
      <c r="W7" s="9" t="n"/>
    </row>
    <row r="8" ht="18" customHeight="1">
      <c r="B8" s="21">
        <f>IF(INDEX('01人员工时'!$D$7:$D$126,INT((ROW()-7)/4)+1)&amp;""="","",INDEX('01人员工时'!$B$7:$B$126,INT((ROW()-7)/4)+1))</f>
        <v/>
      </c>
      <c r="C8" s="22">
        <f>IF($D8="","",IF(MOD(ROW()-7,4)=0,INDEX('01人员工时'!$C$7:$C$126,INT((ROW()-7)/4)+1),""))</f>
        <v/>
      </c>
      <c r="D8" s="22">
        <f>IF(INDEX('01人员工时'!$D$7:$D$126,INT((ROW()-7)/4)+1)&amp;""="","",INDEX('01人员工时'!$D$7:$D$126,INT((ROW()-7)/4)+1))</f>
        <v/>
      </c>
      <c r="E8" s="22">
        <f>IF($D8="","",INDEX('参数设置'!$K$6:$K$9,MOD(ROW()-7,4)+1))</f>
        <v/>
      </c>
      <c r="F8" s="23">
        <f>IF($D8="","",IF($V8&lt;&gt;"",$V8,IFERROR(INDEX('参数设置'!$D$17:$G$26,MATCH($D8,'参数设置'!$C$17:$C$26,0),MATCH($E8,'参数设置'!$D$16:$G$16,0)),0)))</f>
        <v/>
      </c>
      <c r="G8" s="24">
        <f>IF($D8="","",INDEX('01人员工时'!$E$7:$E$126,INT((ROW()-7)/4)+1))</f>
        <v/>
      </c>
      <c r="H8" s="24">
        <f>IF($D8="","",INDEX('01人员工时'!$O$7:$O$126,INT((ROW()-7)/4)+1))</f>
        <v/>
      </c>
      <c r="I8" s="20">
        <f>IF(OR($D8="",$G8=0),"",$H8/$G8)</f>
        <v/>
      </c>
      <c r="J8" s="12">
        <f>IF($D8="","",ROUND($F8,2)-$S8)</f>
        <v/>
      </c>
      <c r="K8" s="12">
        <f>IF(OR($D8="",$G8=0),"",ROUND($F8*INDEX('01人员工时'!G$7:G$126,INT((ROW()-7)/4)+1)/$G8,2))</f>
        <v/>
      </c>
      <c r="L8" s="12">
        <f>IF(OR($D8="",$G8=0),"",ROUND($F8*INDEX('01人员工时'!H$7:H$126,INT((ROW()-7)/4)+1)/$G8,2))</f>
        <v/>
      </c>
      <c r="M8" s="12">
        <f>IF(OR($D8="",$G8=0),"",ROUND($F8*INDEX('01人员工时'!I$7:I$126,INT((ROW()-7)/4)+1)/$G8,2))</f>
        <v/>
      </c>
      <c r="N8" s="12">
        <f>IF(OR($D8="",$G8=0),"",ROUND($F8*INDEX('01人员工时'!J$7:J$126,INT((ROW()-7)/4)+1)/$G8,2))</f>
        <v/>
      </c>
      <c r="O8" s="12">
        <f>IF(OR($D8="",$G8=0),"",ROUND($F8*INDEX('01人员工时'!K$7:K$126,INT((ROW()-7)/4)+1)/$G8,2))</f>
        <v/>
      </c>
      <c r="P8" s="12">
        <f>IF(OR($D8="",$G8=0),"",ROUND($F8*INDEX('01人员工时'!L$7:L$126,INT((ROW()-7)/4)+1)/$G8,2))</f>
        <v/>
      </c>
      <c r="Q8" s="12">
        <f>IF(OR($D8="",$G8=0),"",ROUND($F8*INDEX('01人员工时'!M$7:M$126,INT((ROW()-7)/4)+1)/$G8,2))</f>
        <v/>
      </c>
      <c r="R8" s="12">
        <f>IF(OR($D8="",$G8=0),"",ROUND($F8*INDEX('01人员工时'!N$7:N$126,INT((ROW()-7)/4)+1)/$G8,2))</f>
        <v/>
      </c>
      <c r="S8" s="12">
        <f>IF($D8="","",SUM(K8:R8))</f>
        <v/>
      </c>
      <c r="T8" s="12">
        <f>IF($D8="","",$J8+$S8)</f>
        <v/>
      </c>
      <c r="U8" s="25">
        <f>IF($D8="","",IF($F8=0,"未维护标准",IF(ROUND($T8-$F8,2)=0,"√","差异")))</f>
        <v/>
      </c>
      <c r="V8" s="11" t="n"/>
      <c r="W8" s="9" t="n"/>
    </row>
    <row r="9" ht="18" customHeight="1">
      <c r="B9" s="21">
        <f>IF(INDEX('01人员工时'!$D$7:$D$126,INT((ROW()-7)/4)+1)&amp;""="","",INDEX('01人员工时'!$B$7:$B$126,INT((ROW()-7)/4)+1))</f>
        <v/>
      </c>
      <c r="C9" s="22">
        <f>IF($D9="","",IF(MOD(ROW()-7,4)=0,INDEX('01人员工时'!$C$7:$C$126,INT((ROW()-7)/4)+1),""))</f>
        <v/>
      </c>
      <c r="D9" s="22">
        <f>IF(INDEX('01人员工时'!$D$7:$D$126,INT((ROW()-7)/4)+1)&amp;""="","",INDEX('01人员工时'!$D$7:$D$126,INT((ROW()-7)/4)+1))</f>
        <v/>
      </c>
      <c r="E9" s="22">
        <f>IF($D9="","",INDEX('参数设置'!$K$6:$K$9,MOD(ROW()-7,4)+1))</f>
        <v/>
      </c>
      <c r="F9" s="23">
        <f>IF($D9="","",IF($V9&lt;&gt;"",$V9,IFERROR(INDEX('参数设置'!$D$17:$G$26,MATCH($D9,'参数设置'!$C$17:$C$26,0),MATCH($E9,'参数设置'!$D$16:$G$16,0)),0)))</f>
        <v/>
      </c>
      <c r="G9" s="24">
        <f>IF($D9="","",INDEX('01人员工时'!$E$7:$E$126,INT((ROW()-7)/4)+1))</f>
        <v/>
      </c>
      <c r="H9" s="24">
        <f>IF($D9="","",INDEX('01人员工时'!$O$7:$O$126,INT((ROW()-7)/4)+1))</f>
        <v/>
      </c>
      <c r="I9" s="20">
        <f>IF(OR($D9="",$G9=0),"",$H9/$G9)</f>
        <v/>
      </c>
      <c r="J9" s="12">
        <f>IF($D9="","",ROUND($F9,2)-$S9)</f>
        <v/>
      </c>
      <c r="K9" s="12">
        <f>IF(OR($D9="",$G9=0),"",ROUND($F9*INDEX('01人员工时'!G$7:G$126,INT((ROW()-7)/4)+1)/$G9,2))</f>
        <v/>
      </c>
      <c r="L9" s="12">
        <f>IF(OR($D9="",$G9=0),"",ROUND($F9*INDEX('01人员工时'!H$7:H$126,INT((ROW()-7)/4)+1)/$G9,2))</f>
        <v/>
      </c>
      <c r="M9" s="12">
        <f>IF(OR($D9="",$G9=0),"",ROUND($F9*INDEX('01人员工时'!I$7:I$126,INT((ROW()-7)/4)+1)/$G9,2))</f>
        <v/>
      </c>
      <c r="N9" s="12">
        <f>IF(OR($D9="",$G9=0),"",ROUND($F9*INDEX('01人员工时'!J$7:J$126,INT((ROW()-7)/4)+1)/$G9,2))</f>
        <v/>
      </c>
      <c r="O9" s="12">
        <f>IF(OR($D9="",$G9=0),"",ROUND($F9*INDEX('01人员工时'!K$7:K$126,INT((ROW()-7)/4)+1)/$G9,2))</f>
        <v/>
      </c>
      <c r="P9" s="12">
        <f>IF(OR($D9="",$G9=0),"",ROUND($F9*INDEX('01人员工时'!L$7:L$126,INT((ROW()-7)/4)+1)/$G9,2))</f>
        <v/>
      </c>
      <c r="Q9" s="12">
        <f>IF(OR($D9="",$G9=0),"",ROUND($F9*INDEX('01人员工时'!M$7:M$126,INT((ROW()-7)/4)+1)/$G9,2))</f>
        <v/>
      </c>
      <c r="R9" s="12">
        <f>IF(OR($D9="",$G9=0),"",ROUND($F9*INDEX('01人员工时'!N$7:N$126,INT((ROW()-7)/4)+1)/$G9,2))</f>
        <v/>
      </c>
      <c r="S9" s="12">
        <f>IF($D9="","",SUM(K9:R9))</f>
        <v/>
      </c>
      <c r="T9" s="12">
        <f>IF($D9="","",$J9+$S9)</f>
        <v/>
      </c>
      <c r="U9" s="25">
        <f>IF($D9="","",IF($F9=0,"未维护标准",IF(ROUND($T9-$F9,2)=0,"√","差异")))</f>
        <v/>
      </c>
      <c r="V9" s="11" t="n"/>
      <c r="W9" s="9" t="n"/>
    </row>
    <row r="10" ht="18" customHeight="1">
      <c r="B10" s="26">
        <f>IF(INDEX('01人员工时'!$D$7:$D$126,INT((ROW()-7)/4)+1)&amp;""="","",INDEX('01人员工时'!$B$7:$B$126,INT((ROW()-7)/4)+1))</f>
        <v/>
      </c>
      <c r="C10" s="27">
        <f>IF($D10="","",IF(MOD(ROW()-7,4)=0,INDEX('01人员工时'!$C$7:$C$126,INT((ROW()-7)/4)+1),""))</f>
        <v/>
      </c>
      <c r="D10" s="27">
        <f>IF(INDEX('01人员工时'!$D$7:$D$126,INT((ROW()-7)/4)+1)&amp;""="","",INDEX('01人员工时'!$D$7:$D$126,INT((ROW()-7)/4)+1))</f>
        <v/>
      </c>
      <c r="E10" s="27">
        <f>IF($D10="","",INDEX('参数设置'!$K$6:$K$9,MOD(ROW()-7,4)+1))</f>
        <v/>
      </c>
      <c r="F10" s="28">
        <f>IF($D10="","",IF($V10&lt;&gt;"",$V10,IFERROR(INDEX('参数设置'!$D$17:$G$26,MATCH($D10,'参数设置'!$C$17:$C$26,0),MATCH($E10,'参数设置'!$D$16:$G$16,0)),0)))</f>
        <v/>
      </c>
      <c r="G10" s="29">
        <f>IF($D10="","",INDEX('01人员工时'!$E$7:$E$126,INT((ROW()-7)/4)+1))</f>
        <v/>
      </c>
      <c r="H10" s="29">
        <f>IF($D10="","",INDEX('01人员工时'!$O$7:$O$126,INT((ROW()-7)/4)+1))</f>
        <v/>
      </c>
      <c r="I10" s="30">
        <f>IF(OR($D10="",$G10=0),"",$H10/$G10)</f>
        <v/>
      </c>
      <c r="J10" s="31">
        <f>IF($D10="","",ROUND($F10,2)-$S10)</f>
        <v/>
      </c>
      <c r="K10" s="31">
        <f>IF(OR($D10="",$G10=0),"",ROUND($F10*INDEX('01人员工时'!G$7:G$126,INT((ROW()-7)/4)+1)/$G10,2))</f>
        <v/>
      </c>
      <c r="L10" s="31">
        <f>IF(OR($D10="",$G10=0),"",ROUND($F10*INDEX('01人员工时'!H$7:H$126,INT((ROW()-7)/4)+1)/$G10,2))</f>
        <v/>
      </c>
      <c r="M10" s="31">
        <f>IF(OR($D10="",$G10=0),"",ROUND($F10*INDEX('01人员工时'!I$7:I$126,INT((ROW()-7)/4)+1)/$G10,2))</f>
        <v/>
      </c>
      <c r="N10" s="31">
        <f>IF(OR($D10="",$G10=0),"",ROUND($F10*INDEX('01人员工时'!J$7:J$126,INT((ROW()-7)/4)+1)/$G10,2))</f>
        <v/>
      </c>
      <c r="O10" s="31">
        <f>IF(OR($D10="",$G10=0),"",ROUND($F10*INDEX('01人员工时'!K$7:K$126,INT((ROW()-7)/4)+1)/$G10,2))</f>
        <v/>
      </c>
      <c r="P10" s="31">
        <f>IF(OR($D10="",$G10=0),"",ROUND($F10*INDEX('01人员工时'!L$7:L$126,INT((ROW()-7)/4)+1)/$G10,2))</f>
        <v/>
      </c>
      <c r="Q10" s="31">
        <f>IF(OR($D10="",$G10=0),"",ROUND($F10*INDEX('01人员工时'!M$7:M$126,INT((ROW()-7)/4)+1)/$G10,2))</f>
        <v/>
      </c>
      <c r="R10" s="31">
        <f>IF(OR($D10="",$G10=0),"",ROUND($F10*INDEX('01人员工时'!N$7:N$126,INT((ROW()-7)/4)+1)/$G10,2))</f>
        <v/>
      </c>
      <c r="S10" s="31">
        <f>IF($D10="","",SUM(K10:R10))</f>
        <v/>
      </c>
      <c r="T10" s="31">
        <f>IF($D10="","",$J10+$S10)</f>
        <v/>
      </c>
      <c r="U10" s="32">
        <f>IF($D10="","",IF($F10=0,"未维护标准",IF(ROUND($T10-$F10,2)=0,"√","差异")))</f>
        <v/>
      </c>
      <c r="V10" s="33" t="n"/>
      <c r="W10" s="34" t="n"/>
    </row>
    <row r="11" ht="18" customHeight="1">
      <c r="B11" s="21">
        <f>IF(INDEX('01人员工时'!$D$7:$D$126,INT((ROW()-7)/4)+1)&amp;""="","",INDEX('01人员工时'!$B$7:$B$126,INT((ROW()-7)/4)+1))</f>
        <v/>
      </c>
      <c r="C11" s="22">
        <f>IF($D11="","",IF(MOD(ROW()-7,4)=0,INDEX('01人员工时'!$C$7:$C$126,INT((ROW()-7)/4)+1),""))</f>
        <v/>
      </c>
      <c r="D11" s="22">
        <f>IF(INDEX('01人员工时'!$D$7:$D$126,INT((ROW()-7)/4)+1)&amp;""="","",INDEX('01人员工时'!$D$7:$D$126,INT((ROW()-7)/4)+1))</f>
        <v/>
      </c>
      <c r="E11" s="22">
        <f>IF($D11="","",INDEX('参数设置'!$K$6:$K$9,MOD(ROW()-7,4)+1))</f>
        <v/>
      </c>
      <c r="F11" s="23">
        <f>IF($D11="","",IF($V11&lt;&gt;"",$V11,IFERROR(INDEX('参数设置'!$D$17:$G$26,MATCH($D11,'参数设置'!$C$17:$C$26,0),MATCH($E11,'参数设置'!$D$16:$G$16,0)),0)))</f>
        <v/>
      </c>
      <c r="G11" s="24">
        <f>IF($D11="","",INDEX('01人员工时'!$E$7:$E$126,INT((ROW()-7)/4)+1))</f>
        <v/>
      </c>
      <c r="H11" s="24">
        <f>IF($D11="","",INDEX('01人员工时'!$O$7:$O$126,INT((ROW()-7)/4)+1))</f>
        <v/>
      </c>
      <c r="I11" s="20">
        <f>IF(OR($D11="",$G11=0),"",$H11/$G11)</f>
        <v/>
      </c>
      <c r="J11" s="12">
        <f>IF($D11="","",ROUND($F11,2)-$S11)</f>
        <v/>
      </c>
      <c r="K11" s="12">
        <f>IF(OR($D11="",$G11=0),"",ROUND($F11*INDEX('01人员工时'!G$7:G$126,INT((ROW()-7)/4)+1)/$G11,2))</f>
        <v/>
      </c>
      <c r="L11" s="12">
        <f>IF(OR($D11="",$G11=0),"",ROUND($F11*INDEX('01人员工时'!H$7:H$126,INT((ROW()-7)/4)+1)/$G11,2))</f>
        <v/>
      </c>
      <c r="M11" s="12">
        <f>IF(OR($D11="",$G11=0),"",ROUND($F11*INDEX('01人员工时'!I$7:I$126,INT((ROW()-7)/4)+1)/$G11,2))</f>
        <v/>
      </c>
      <c r="N11" s="12">
        <f>IF(OR($D11="",$G11=0),"",ROUND($F11*INDEX('01人员工时'!J$7:J$126,INT((ROW()-7)/4)+1)/$G11,2))</f>
        <v/>
      </c>
      <c r="O11" s="12">
        <f>IF(OR($D11="",$G11=0),"",ROUND($F11*INDEX('01人员工时'!K$7:K$126,INT((ROW()-7)/4)+1)/$G11,2))</f>
        <v/>
      </c>
      <c r="P11" s="12">
        <f>IF(OR($D11="",$G11=0),"",ROUND($F11*INDEX('01人员工时'!L$7:L$126,INT((ROW()-7)/4)+1)/$G11,2))</f>
        <v/>
      </c>
      <c r="Q11" s="12">
        <f>IF(OR($D11="",$G11=0),"",ROUND($F11*INDEX('01人员工时'!M$7:M$126,INT((ROW()-7)/4)+1)/$G11,2))</f>
        <v/>
      </c>
      <c r="R11" s="12">
        <f>IF(OR($D11="",$G11=0),"",ROUND($F11*INDEX('01人员工时'!N$7:N$126,INT((ROW()-7)/4)+1)/$G11,2))</f>
        <v/>
      </c>
      <c r="S11" s="12">
        <f>IF($D11="","",SUM(K11:R11))</f>
        <v/>
      </c>
      <c r="T11" s="12">
        <f>IF($D11="","",$J11+$S11)</f>
        <v/>
      </c>
      <c r="U11" s="25">
        <f>IF($D11="","",IF($F11=0,"未维护标准",IF(ROUND($T11-$F11,2)=0,"√","差异")))</f>
        <v/>
      </c>
      <c r="V11" s="11" t="n"/>
      <c r="W11" s="9" t="n"/>
    </row>
    <row r="12" ht="18" customHeight="1">
      <c r="B12" s="21">
        <f>IF(INDEX('01人员工时'!$D$7:$D$126,INT((ROW()-7)/4)+1)&amp;""="","",INDEX('01人员工时'!$B$7:$B$126,INT((ROW()-7)/4)+1))</f>
        <v/>
      </c>
      <c r="C12" s="22">
        <f>IF($D12="","",IF(MOD(ROW()-7,4)=0,INDEX('01人员工时'!$C$7:$C$126,INT((ROW()-7)/4)+1),""))</f>
        <v/>
      </c>
      <c r="D12" s="22">
        <f>IF(INDEX('01人员工时'!$D$7:$D$126,INT((ROW()-7)/4)+1)&amp;""="","",INDEX('01人员工时'!$D$7:$D$126,INT((ROW()-7)/4)+1))</f>
        <v/>
      </c>
      <c r="E12" s="22">
        <f>IF($D12="","",INDEX('参数设置'!$K$6:$K$9,MOD(ROW()-7,4)+1))</f>
        <v/>
      </c>
      <c r="F12" s="23">
        <f>IF($D12="","",IF($V12&lt;&gt;"",$V12,IFERROR(INDEX('参数设置'!$D$17:$G$26,MATCH($D12,'参数设置'!$C$17:$C$26,0),MATCH($E12,'参数设置'!$D$16:$G$16,0)),0)))</f>
        <v/>
      </c>
      <c r="G12" s="24">
        <f>IF($D12="","",INDEX('01人员工时'!$E$7:$E$126,INT((ROW()-7)/4)+1))</f>
        <v/>
      </c>
      <c r="H12" s="24">
        <f>IF($D12="","",INDEX('01人员工时'!$O$7:$O$126,INT((ROW()-7)/4)+1))</f>
        <v/>
      </c>
      <c r="I12" s="20">
        <f>IF(OR($D12="",$G12=0),"",$H12/$G12)</f>
        <v/>
      </c>
      <c r="J12" s="12">
        <f>IF($D12="","",ROUND($F12,2)-$S12)</f>
        <v/>
      </c>
      <c r="K12" s="12">
        <f>IF(OR($D12="",$G12=0),"",ROUND($F12*INDEX('01人员工时'!G$7:G$126,INT((ROW()-7)/4)+1)/$G12,2))</f>
        <v/>
      </c>
      <c r="L12" s="12">
        <f>IF(OR($D12="",$G12=0),"",ROUND($F12*INDEX('01人员工时'!H$7:H$126,INT((ROW()-7)/4)+1)/$G12,2))</f>
        <v/>
      </c>
      <c r="M12" s="12">
        <f>IF(OR($D12="",$G12=0),"",ROUND($F12*INDEX('01人员工时'!I$7:I$126,INT((ROW()-7)/4)+1)/$G12,2))</f>
        <v/>
      </c>
      <c r="N12" s="12">
        <f>IF(OR($D12="",$G12=0),"",ROUND($F12*INDEX('01人员工时'!J$7:J$126,INT((ROW()-7)/4)+1)/$G12,2))</f>
        <v/>
      </c>
      <c r="O12" s="12">
        <f>IF(OR($D12="",$G12=0),"",ROUND($F12*INDEX('01人员工时'!K$7:K$126,INT((ROW()-7)/4)+1)/$G12,2))</f>
        <v/>
      </c>
      <c r="P12" s="12">
        <f>IF(OR($D12="",$G12=0),"",ROUND($F12*INDEX('01人员工时'!L$7:L$126,INT((ROW()-7)/4)+1)/$G12,2))</f>
        <v/>
      </c>
      <c r="Q12" s="12">
        <f>IF(OR($D12="",$G12=0),"",ROUND($F12*INDEX('01人员工时'!M$7:M$126,INT((ROW()-7)/4)+1)/$G12,2))</f>
        <v/>
      </c>
      <c r="R12" s="12">
        <f>IF(OR($D12="",$G12=0),"",ROUND($F12*INDEX('01人员工时'!N$7:N$126,INT((ROW()-7)/4)+1)/$G12,2))</f>
        <v/>
      </c>
      <c r="S12" s="12">
        <f>IF($D12="","",SUM(K12:R12))</f>
        <v/>
      </c>
      <c r="T12" s="12">
        <f>IF($D12="","",$J12+$S12)</f>
        <v/>
      </c>
      <c r="U12" s="25">
        <f>IF($D12="","",IF($F12=0,"未维护标准",IF(ROUND($T12-$F12,2)=0,"√","差异")))</f>
        <v/>
      </c>
      <c r="V12" s="11" t="n"/>
      <c r="W12" s="9" t="n"/>
    </row>
    <row r="13" ht="18" customHeight="1">
      <c r="B13" s="21">
        <f>IF(INDEX('01人员工时'!$D$7:$D$126,INT((ROW()-7)/4)+1)&amp;""="","",INDEX('01人员工时'!$B$7:$B$126,INT((ROW()-7)/4)+1))</f>
        <v/>
      </c>
      <c r="C13" s="22">
        <f>IF($D13="","",IF(MOD(ROW()-7,4)=0,INDEX('01人员工时'!$C$7:$C$126,INT((ROW()-7)/4)+1),""))</f>
        <v/>
      </c>
      <c r="D13" s="22">
        <f>IF(INDEX('01人员工时'!$D$7:$D$126,INT((ROW()-7)/4)+1)&amp;""="","",INDEX('01人员工时'!$D$7:$D$126,INT((ROW()-7)/4)+1))</f>
        <v/>
      </c>
      <c r="E13" s="22">
        <f>IF($D13="","",INDEX('参数设置'!$K$6:$K$9,MOD(ROW()-7,4)+1))</f>
        <v/>
      </c>
      <c r="F13" s="23">
        <f>IF($D13="","",IF($V13&lt;&gt;"",$V13,IFERROR(INDEX('参数设置'!$D$17:$G$26,MATCH($D13,'参数设置'!$C$17:$C$26,0),MATCH($E13,'参数设置'!$D$16:$G$16,0)),0)))</f>
        <v/>
      </c>
      <c r="G13" s="24">
        <f>IF($D13="","",INDEX('01人员工时'!$E$7:$E$126,INT((ROW()-7)/4)+1))</f>
        <v/>
      </c>
      <c r="H13" s="24">
        <f>IF($D13="","",INDEX('01人员工时'!$O$7:$O$126,INT((ROW()-7)/4)+1))</f>
        <v/>
      </c>
      <c r="I13" s="20">
        <f>IF(OR($D13="",$G13=0),"",$H13/$G13)</f>
        <v/>
      </c>
      <c r="J13" s="12">
        <f>IF($D13="","",ROUND($F13,2)-$S13)</f>
        <v/>
      </c>
      <c r="K13" s="12">
        <f>IF(OR($D13="",$G13=0),"",ROUND($F13*INDEX('01人员工时'!G$7:G$126,INT((ROW()-7)/4)+1)/$G13,2))</f>
        <v/>
      </c>
      <c r="L13" s="12">
        <f>IF(OR($D13="",$G13=0),"",ROUND($F13*INDEX('01人员工时'!H$7:H$126,INT((ROW()-7)/4)+1)/$G13,2))</f>
        <v/>
      </c>
      <c r="M13" s="12">
        <f>IF(OR($D13="",$G13=0),"",ROUND($F13*INDEX('01人员工时'!I$7:I$126,INT((ROW()-7)/4)+1)/$G13,2))</f>
        <v/>
      </c>
      <c r="N13" s="12">
        <f>IF(OR($D13="",$G13=0),"",ROUND($F13*INDEX('01人员工时'!J$7:J$126,INT((ROW()-7)/4)+1)/$G13,2))</f>
        <v/>
      </c>
      <c r="O13" s="12">
        <f>IF(OR($D13="",$G13=0),"",ROUND($F13*INDEX('01人员工时'!K$7:K$126,INT((ROW()-7)/4)+1)/$G13,2))</f>
        <v/>
      </c>
      <c r="P13" s="12">
        <f>IF(OR($D13="",$G13=0),"",ROUND($F13*INDEX('01人员工时'!L$7:L$126,INT((ROW()-7)/4)+1)/$G13,2))</f>
        <v/>
      </c>
      <c r="Q13" s="12">
        <f>IF(OR($D13="",$G13=0),"",ROUND($F13*INDEX('01人员工时'!M$7:M$126,INT((ROW()-7)/4)+1)/$G13,2))</f>
        <v/>
      </c>
      <c r="R13" s="12">
        <f>IF(OR($D13="",$G13=0),"",ROUND($F13*INDEX('01人员工时'!N$7:N$126,INT((ROW()-7)/4)+1)/$G13,2))</f>
        <v/>
      </c>
      <c r="S13" s="12">
        <f>IF($D13="","",SUM(K13:R13))</f>
        <v/>
      </c>
      <c r="T13" s="12">
        <f>IF($D13="","",$J13+$S13)</f>
        <v/>
      </c>
      <c r="U13" s="25">
        <f>IF($D13="","",IF($F13=0,"未维护标准",IF(ROUND($T13-$F13,2)=0,"√","差异")))</f>
        <v/>
      </c>
      <c r="V13" s="11" t="n"/>
      <c r="W13" s="9" t="n"/>
    </row>
    <row r="14" ht="18" customHeight="1">
      <c r="B14" s="26">
        <f>IF(INDEX('01人员工时'!$D$7:$D$126,INT((ROW()-7)/4)+1)&amp;""="","",INDEX('01人员工时'!$B$7:$B$126,INT((ROW()-7)/4)+1))</f>
        <v/>
      </c>
      <c r="C14" s="27">
        <f>IF($D14="","",IF(MOD(ROW()-7,4)=0,INDEX('01人员工时'!$C$7:$C$126,INT((ROW()-7)/4)+1),""))</f>
        <v/>
      </c>
      <c r="D14" s="27">
        <f>IF(INDEX('01人员工时'!$D$7:$D$126,INT((ROW()-7)/4)+1)&amp;""="","",INDEX('01人员工时'!$D$7:$D$126,INT((ROW()-7)/4)+1))</f>
        <v/>
      </c>
      <c r="E14" s="27">
        <f>IF($D14="","",INDEX('参数设置'!$K$6:$K$9,MOD(ROW()-7,4)+1))</f>
        <v/>
      </c>
      <c r="F14" s="28">
        <f>IF($D14="","",IF($V14&lt;&gt;"",$V14,IFERROR(INDEX('参数设置'!$D$17:$G$26,MATCH($D14,'参数设置'!$C$17:$C$26,0),MATCH($E14,'参数设置'!$D$16:$G$16,0)),0)))</f>
        <v/>
      </c>
      <c r="G14" s="29">
        <f>IF($D14="","",INDEX('01人员工时'!$E$7:$E$126,INT((ROW()-7)/4)+1))</f>
        <v/>
      </c>
      <c r="H14" s="29">
        <f>IF($D14="","",INDEX('01人员工时'!$O$7:$O$126,INT((ROW()-7)/4)+1))</f>
        <v/>
      </c>
      <c r="I14" s="30">
        <f>IF(OR($D14="",$G14=0),"",$H14/$G14)</f>
        <v/>
      </c>
      <c r="J14" s="31">
        <f>IF($D14="","",ROUND($F14,2)-$S14)</f>
        <v/>
      </c>
      <c r="K14" s="31">
        <f>IF(OR($D14="",$G14=0),"",ROUND($F14*INDEX('01人员工时'!G$7:G$126,INT((ROW()-7)/4)+1)/$G14,2))</f>
        <v/>
      </c>
      <c r="L14" s="31">
        <f>IF(OR($D14="",$G14=0),"",ROUND($F14*INDEX('01人员工时'!H$7:H$126,INT((ROW()-7)/4)+1)/$G14,2))</f>
        <v/>
      </c>
      <c r="M14" s="31">
        <f>IF(OR($D14="",$G14=0),"",ROUND($F14*INDEX('01人员工时'!I$7:I$126,INT((ROW()-7)/4)+1)/$G14,2))</f>
        <v/>
      </c>
      <c r="N14" s="31">
        <f>IF(OR($D14="",$G14=0),"",ROUND($F14*INDEX('01人员工时'!J$7:J$126,INT((ROW()-7)/4)+1)/$G14,2))</f>
        <v/>
      </c>
      <c r="O14" s="31">
        <f>IF(OR($D14="",$G14=0),"",ROUND($F14*INDEX('01人员工时'!K$7:K$126,INT((ROW()-7)/4)+1)/$G14,2))</f>
        <v/>
      </c>
      <c r="P14" s="31">
        <f>IF(OR($D14="",$G14=0),"",ROUND($F14*INDEX('01人员工时'!L$7:L$126,INT((ROW()-7)/4)+1)/$G14,2))</f>
        <v/>
      </c>
      <c r="Q14" s="31">
        <f>IF(OR($D14="",$G14=0),"",ROUND($F14*INDEX('01人员工时'!M$7:M$126,INT((ROW()-7)/4)+1)/$G14,2))</f>
        <v/>
      </c>
      <c r="R14" s="31">
        <f>IF(OR($D14="",$G14=0),"",ROUND($F14*INDEX('01人员工时'!N$7:N$126,INT((ROW()-7)/4)+1)/$G14,2))</f>
        <v/>
      </c>
      <c r="S14" s="31">
        <f>IF($D14="","",SUM(K14:R14))</f>
        <v/>
      </c>
      <c r="T14" s="31">
        <f>IF($D14="","",$J14+$S14)</f>
        <v/>
      </c>
      <c r="U14" s="32">
        <f>IF($D14="","",IF($F14=0,"未维护标准",IF(ROUND($T14-$F14,2)=0,"√","差异")))</f>
        <v/>
      </c>
      <c r="V14" s="33" t="n"/>
      <c r="W14" s="34" t="n"/>
    </row>
    <row r="15" ht="18" customHeight="1">
      <c r="B15" s="21">
        <f>IF(INDEX('01人员工时'!$D$7:$D$126,INT((ROW()-7)/4)+1)&amp;""="","",INDEX('01人员工时'!$B$7:$B$126,INT((ROW()-7)/4)+1))</f>
        <v/>
      </c>
      <c r="C15" s="22">
        <f>IF($D15="","",IF(MOD(ROW()-7,4)=0,INDEX('01人员工时'!$C$7:$C$126,INT((ROW()-7)/4)+1),""))</f>
        <v/>
      </c>
      <c r="D15" s="22">
        <f>IF(INDEX('01人员工时'!$D$7:$D$126,INT((ROW()-7)/4)+1)&amp;""="","",INDEX('01人员工时'!$D$7:$D$126,INT((ROW()-7)/4)+1))</f>
        <v/>
      </c>
      <c r="E15" s="22">
        <f>IF($D15="","",INDEX('参数设置'!$K$6:$K$9,MOD(ROW()-7,4)+1))</f>
        <v/>
      </c>
      <c r="F15" s="23">
        <f>IF($D15="","",IF($V15&lt;&gt;"",$V15,IFERROR(INDEX('参数设置'!$D$17:$G$26,MATCH($D15,'参数设置'!$C$17:$C$26,0),MATCH($E15,'参数设置'!$D$16:$G$16,0)),0)))</f>
        <v/>
      </c>
      <c r="G15" s="24">
        <f>IF($D15="","",INDEX('01人员工时'!$E$7:$E$126,INT((ROW()-7)/4)+1))</f>
        <v/>
      </c>
      <c r="H15" s="24">
        <f>IF($D15="","",INDEX('01人员工时'!$O$7:$O$126,INT((ROW()-7)/4)+1))</f>
        <v/>
      </c>
      <c r="I15" s="20">
        <f>IF(OR($D15="",$G15=0),"",$H15/$G15)</f>
        <v/>
      </c>
      <c r="J15" s="12">
        <f>IF($D15="","",ROUND($F15,2)-$S15)</f>
        <v/>
      </c>
      <c r="K15" s="12">
        <f>IF(OR($D15="",$G15=0),"",ROUND($F15*INDEX('01人员工时'!G$7:G$126,INT((ROW()-7)/4)+1)/$G15,2))</f>
        <v/>
      </c>
      <c r="L15" s="12">
        <f>IF(OR($D15="",$G15=0),"",ROUND($F15*INDEX('01人员工时'!H$7:H$126,INT((ROW()-7)/4)+1)/$G15,2))</f>
        <v/>
      </c>
      <c r="M15" s="12">
        <f>IF(OR($D15="",$G15=0),"",ROUND($F15*INDEX('01人员工时'!I$7:I$126,INT((ROW()-7)/4)+1)/$G15,2))</f>
        <v/>
      </c>
      <c r="N15" s="12">
        <f>IF(OR($D15="",$G15=0),"",ROUND($F15*INDEX('01人员工时'!J$7:J$126,INT((ROW()-7)/4)+1)/$G15,2))</f>
        <v/>
      </c>
      <c r="O15" s="12">
        <f>IF(OR($D15="",$G15=0),"",ROUND($F15*INDEX('01人员工时'!K$7:K$126,INT((ROW()-7)/4)+1)/$G15,2))</f>
        <v/>
      </c>
      <c r="P15" s="12">
        <f>IF(OR($D15="",$G15=0),"",ROUND($F15*INDEX('01人员工时'!L$7:L$126,INT((ROW()-7)/4)+1)/$G15,2))</f>
        <v/>
      </c>
      <c r="Q15" s="12">
        <f>IF(OR($D15="",$G15=0),"",ROUND($F15*INDEX('01人员工时'!M$7:M$126,INT((ROW()-7)/4)+1)/$G15,2))</f>
        <v/>
      </c>
      <c r="R15" s="12">
        <f>IF(OR($D15="",$G15=0),"",ROUND($F15*INDEX('01人员工时'!N$7:N$126,INT((ROW()-7)/4)+1)/$G15,2))</f>
        <v/>
      </c>
      <c r="S15" s="12">
        <f>IF($D15="","",SUM(K15:R15))</f>
        <v/>
      </c>
      <c r="T15" s="12">
        <f>IF($D15="","",$J15+$S15)</f>
        <v/>
      </c>
      <c r="U15" s="25">
        <f>IF($D15="","",IF($F15=0,"未维护标准",IF(ROUND($T15-$F15,2)=0,"√","差异")))</f>
        <v/>
      </c>
      <c r="V15" s="11" t="n"/>
      <c r="W15" s="9" t="n"/>
    </row>
    <row r="16" ht="18" customHeight="1">
      <c r="B16" s="21">
        <f>IF(INDEX('01人员工时'!$D$7:$D$126,INT((ROW()-7)/4)+1)&amp;""="","",INDEX('01人员工时'!$B$7:$B$126,INT((ROW()-7)/4)+1))</f>
        <v/>
      </c>
      <c r="C16" s="22">
        <f>IF($D16="","",IF(MOD(ROW()-7,4)=0,INDEX('01人员工时'!$C$7:$C$126,INT((ROW()-7)/4)+1),""))</f>
        <v/>
      </c>
      <c r="D16" s="22">
        <f>IF(INDEX('01人员工时'!$D$7:$D$126,INT((ROW()-7)/4)+1)&amp;""="","",INDEX('01人员工时'!$D$7:$D$126,INT((ROW()-7)/4)+1))</f>
        <v/>
      </c>
      <c r="E16" s="22">
        <f>IF($D16="","",INDEX('参数设置'!$K$6:$K$9,MOD(ROW()-7,4)+1))</f>
        <v/>
      </c>
      <c r="F16" s="23">
        <f>IF($D16="","",IF($V16&lt;&gt;"",$V16,IFERROR(INDEX('参数设置'!$D$17:$G$26,MATCH($D16,'参数设置'!$C$17:$C$26,0),MATCH($E16,'参数设置'!$D$16:$G$16,0)),0)))</f>
        <v/>
      </c>
      <c r="G16" s="24">
        <f>IF($D16="","",INDEX('01人员工时'!$E$7:$E$126,INT((ROW()-7)/4)+1))</f>
        <v/>
      </c>
      <c r="H16" s="24">
        <f>IF($D16="","",INDEX('01人员工时'!$O$7:$O$126,INT((ROW()-7)/4)+1))</f>
        <v/>
      </c>
      <c r="I16" s="20">
        <f>IF(OR($D16="",$G16=0),"",$H16/$G16)</f>
        <v/>
      </c>
      <c r="J16" s="12">
        <f>IF($D16="","",ROUND($F16,2)-$S16)</f>
        <v/>
      </c>
      <c r="K16" s="12">
        <f>IF(OR($D16="",$G16=0),"",ROUND($F16*INDEX('01人员工时'!G$7:G$126,INT((ROW()-7)/4)+1)/$G16,2))</f>
        <v/>
      </c>
      <c r="L16" s="12">
        <f>IF(OR($D16="",$G16=0),"",ROUND($F16*INDEX('01人员工时'!H$7:H$126,INT((ROW()-7)/4)+1)/$G16,2))</f>
        <v/>
      </c>
      <c r="M16" s="12">
        <f>IF(OR($D16="",$G16=0),"",ROUND($F16*INDEX('01人员工时'!I$7:I$126,INT((ROW()-7)/4)+1)/$G16,2))</f>
        <v/>
      </c>
      <c r="N16" s="12">
        <f>IF(OR($D16="",$G16=0),"",ROUND($F16*INDEX('01人员工时'!J$7:J$126,INT((ROW()-7)/4)+1)/$G16,2))</f>
        <v/>
      </c>
      <c r="O16" s="12">
        <f>IF(OR($D16="",$G16=0),"",ROUND($F16*INDEX('01人员工时'!K$7:K$126,INT((ROW()-7)/4)+1)/$G16,2))</f>
        <v/>
      </c>
      <c r="P16" s="12">
        <f>IF(OR($D16="",$G16=0),"",ROUND($F16*INDEX('01人员工时'!L$7:L$126,INT((ROW()-7)/4)+1)/$G16,2))</f>
        <v/>
      </c>
      <c r="Q16" s="12">
        <f>IF(OR($D16="",$G16=0),"",ROUND($F16*INDEX('01人员工时'!M$7:M$126,INT((ROW()-7)/4)+1)/$G16,2))</f>
        <v/>
      </c>
      <c r="R16" s="12">
        <f>IF(OR($D16="",$G16=0),"",ROUND($F16*INDEX('01人员工时'!N$7:N$126,INT((ROW()-7)/4)+1)/$G16,2))</f>
        <v/>
      </c>
      <c r="S16" s="12">
        <f>IF($D16="","",SUM(K16:R16))</f>
        <v/>
      </c>
      <c r="T16" s="12">
        <f>IF($D16="","",$J16+$S16)</f>
        <v/>
      </c>
      <c r="U16" s="25">
        <f>IF($D16="","",IF($F16=0,"未维护标准",IF(ROUND($T16-$F16,2)=0,"√","差异")))</f>
        <v/>
      </c>
      <c r="V16" s="11" t="n"/>
      <c r="W16" s="9" t="n"/>
    </row>
    <row r="17" ht="18" customHeight="1">
      <c r="B17" s="21">
        <f>IF(INDEX('01人员工时'!$D$7:$D$126,INT((ROW()-7)/4)+1)&amp;""="","",INDEX('01人员工时'!$B$7:$B$126,INT((ROW()-7)/4)+1))</f>
        <v/>
      </c>
      <c r="C17" s="22">
        <f>IF($D17="","",IF(MOD(ROW()-7,4)=0,INDEX('01人员工时'!$C$7:$C$126,INT((ROW()-7)/4)+1),""))</f>
        <v/>
      </c>
      <c r="D17" s="22">
        <f>IF(INDEX('01人员工时'!$D$7:$D$126,INT((ROW()-7)/4)+1)&amp;""="","",INDEX('01人员工时'!$D$7:$D$126,INT((ROW()-7)/4)+1))</f>
        <v/>
      </c>
      <c r="E17" s="22">
        <f>IF($D17="","",INDEX('参数设置'!$K$6:$K$9,MOD(ROW()-7,4)+1))</f>
        <v/>
      </c>
      <c r="F17" s="23">
        <f>IF($D17="","",IF($V17&lt;&gt;"",$V17,IFERROR(INDEX('参数设置'!$D$17:$G$26,MATCH($D17,'参数设置'!$C$17:$C$26,0),MATCH($E17,'参数设置'!$D$16:$G$16,0)),0)))</f>
        <v/>
      </c>
      <c r="G17" s="24">
        <f>IF($D17="","",INDEX('01人员工时'!$E$7:$E$126,INT((ROW()-7)/4)+1))</f>
        <v/>
      </c>
      <c r="H17" s="24">
        <f>IF($D17="","",INDEX('01人员工时'!$O$7:$O$126,INT((ROW()-7)/4)+1))</f>
        <v/>
      </c>
      <c r="I17" s="20">
        <f>IF(OR($D17="",$G17=0),"",$H17/$G17)</f>
        <v/>
      </c>
      <c r="J17" s="12">
        <f>IF($D17="","",ROUND($F17,2)-$S17)</f>
        <v/>
      </c>
      <c r="K17" s="12">
        <f>IF(OR($D17="",$G17=0),"",ROUND($F17*INDEX('01人员工时'!G$7:G$126,INT((ROW()-7)/4)+1)/$G17,2))</f>
        <v/>
      </c>
      <c r="L17" s="12">
        <f>IF(OR($D17="",$G17=0),"",ROUND($F17*INDEX('01人员工时'!H$7:H$126,INT((ROW()-7)/4)+1)/$G17,2))</f>
        <v/>
      </c>
      <c r="M17" s="12">
        <f>IF(OR($D17="",$G17=0),"",ROUND($F17*INDEX('01人员工时'!I$7:I$126,INT((ROW()-7)/4)+1)/$G17,2))</f>
        <v/>
      </c>
      <c r="N17" s="12">
        <f>IF(OR($D17="",$G17=0),"",ROUND($F17*INDEX('01人员工时'!J$7:J$126,INT((ROW()-7)/4)+1)/$G17,2))</f>
        <v/>
      </c>
      <c r="O17" s="12">
        <f>IF(OR($D17="",$G17=0),"",ROUND($F17*INDEX('01人员工时'!K$7:K$126,INT((ROW()-7)/4)+1)/$G17,2))</f>
        <v/>
      </c>
      <c r="P17" s="12">
        <f>IF(OR($D17="",$G17=0),"",ROUND($F17*INDEX('01人员工时'!L$7:L$126,INT((ROW()-7)/4)+1)/$G17,2))</f>
        <v/>
      </c>
      <c r="Q17" s="12">
        <f>IF(OR($D17="",$G17=0),"",ROUND($F17*INDEX('01人员工时'!M$7:M$126,INT((ROW()-7)/4)+1)/$G17,2))</f>
        <v/>
      </c>
      <c r="R17" s="12">
        <f>IF(OR($D17="",$G17=0),"",ROUND($F17*INDEX('01人员工时'!N$7:N$126,INT((ROW()-7)/4)+1)/$G17,2))</f>
        <v/>
      </c>
      <c r="S17" s="12">
        <f>IF($D17="","",SUM(K17:R17))</f>
        <v/>
      </c>
      <c r="T17" s="12">
        <f>IF($D17="","",$J17+$S17)</f>
        <v/>
      </c>
      <c r="U17" s="25">
        <f>IF($D17="","",IF($F17=0,"未维护标准",IF(ROUND($T17-$F17,2)=0,"√","差异")))</f>
        <v/>
      </c>
      <c r="V17" s="11" t="n"/>
      <c r="W17" s="9" t="n"/>
    </row>
    <row r="18" ht="18" customHeight="1">
      <c r="B18" s="26">
        <f>IF(INDEX('01人员工时'!$D$7:$D$126,INT((ROW()-7)/4)+1)&amp;""="","",INDEX('01人员工时'!$B$7:$B$126,INT((ROW()-7)/4)+1))</f>
        <v/>
      </c>
      <c r="C18" s="27">
        <f>IF($D18="","",IF(MOD(ROW()-7,4)=0,INDEX('01人员工时'!$C$7:$C$126,INT((ROW()-7)/4)+1),""))</f>
        <v/>
      </c>
      <c r="D18" s="27">
        <f>IF(INDEX('01人员工时'!$D$7:$D$126,INT((ROW()-7)/4)+1)&amp;""="","",INDEX('01人员工时'!$D$7:$D$126,INT((ROW()-7)/4)+1))</f>
        <v/>
      </c>
      <c r="E18" s="27">
        <f>IF($D18="","",INDEX('参数设置'!$K$6:$K$9,MOD(ROW()-7,4)+1))</f>
        <v/>
      </c>
      <c r="F18" s="28">
        <f>IF($D18="","",IF($V18&lt;&gt;"",$V18,IFERROR(INDEX('参数设置'!$D$17:$G$26,MATCH($D18,'参数设置'!$C$17:$C$26,0),MATCH($E18,'参数设置'!$D$16:$G$16,0)),0)))</f>
        <v/>
      </c>
      <c r="G18" s="29">
        <f>IF($D18="","",INDEX('01人员工时'!$E$7:$E$126,INT((ROW()-7)/4)+1))</f>
        <v/>
      </c>
      <c r="H18" s="29">
        <f>IF($D18="","",INDEX('01人员工时'!$O$7:$O$126,INT((ROW()-7)/4)+1))</f>
        <v/>
      </c>
      <c r="I18" s="30">
        <f>IF(OR($D18="",$G18=0),"",$H18/$G18)</f>
        <v/>
      </c>
      <c r="J18" s="31">
        <f>IF($D18="","",ROUND($F18,2)-$S18)</f>
        <v/>
      </c>
      <c r="K18" s="31">
        <f>IF(OR($D18="",$G18=0),"",ROUND($F18*INDEX('01人员工时'!G$7:G$126,INT((ROW()-7)/4)+1)/$G18,2))</f>
        <v/>
      </c>
      <c r="L18" s="31">
        <f>IF(OR($D18="",$G18=0),"",ROUND($F18*INDEX('01人员工时'!H$7:H$126,INT((ROW()-7)/4)+1)/$G18,2))</f>
        <v/>
      </c>
      <c r="M18" s="31">
        <f>IF(OR($D18="",$G18=0),"",ROUND($F18*INDEX('01人员工时'!I$7:I$126,INT((ROW()-7)/4)+1)/$G18,2))</f>
        <v/>
      </c>
      <c r="N18" s="31">
        <f>IF(OR($D18="",$G18=0),"",ROUND($F18*INDEX('01人员工时'!J$7:J$126,INT((ROW()-7)/4)+1)/$G18,2))</f>
        <v/>
      </c>
      <c r="O18" s="31">
        <f>IF(OR($D18="",$G18=0),"",ROUND($F18*INDEX('01人员工时'!K$7:K$126,INT((ROW()-7)/4)+1)/$G18,2))</f>
        <v/>
      </c>
      <c r="P18" s="31">
        <f>IF(OR($D18="",$G18=0),"",ROUND($F18*INDEX('01人员工时'!L$7:L$126,INT((ROW()-7)/4)+1)/$G18,2))</f>
        <v/>
      </c>
      <c r="Q18" s="31">
        <f>IF(OR($D18="",$G18=0),"",ROUND($F18*INDEX('01人员工时'!M$7:M$126,INT((ROW()-7)/4)+1)/$G18,2))</f>
        <v/>
      </c>
      <c r="R18" s="31">
        <f>IF(OR($D18="",$G18=0),"",ROUND($F18*INDEX('01人员工时'!N$7:N$126,INT((ROW()-7)/4)+1)/$G18,2))</f>
        <v/>
      </c>
      <c r="S18" s="31">
        <f>IF($D18="","",SUM(K18:R18))</f>
        <v/>
      </c>
      <c r="T18" s="31">
        <f>IF($D18="","",$J18+$S18)</f>
        <v/>
      </c>
      <c r="U18" s="32">
        <f>IF($D18="","",IF($F18=0,"未维护标准",IF(ROUND($T18-$F18,2)=0,"√","差异")))</f>
        <v/>
      </c>
      <c r="V18" s="33" t="n"/>
      <c r="W18" s="34" t="n"/>
    </row>
    <row r="19" ht="18" customHeight="1">
      <c r="B19" s="21">
        <f>IF(INDEX('01人员工时'!$D$7:$D$126,INT((ROW()-7)/4)+1)&amp;""="","",INDEX('01人员工时'!$B$7:$B$126,INT((ROW()-7)/4)+1))</f>
        <v/>
      </c>
      <c r="C19" s="22">
        <f>IF($D19="","",IF(MOD(ROW()-7,4)=0,INDEX('01人员工时'!$C$7:$C$126,INT((ROW()-7)/4)+1),""))</f>
        <v/>
      </c>
      <c r="D19" s="22">
        <f>IF(INDEX('01人员工时'!$D$7:$D$126,INT((ROW()-7)/4)+1)&amp;""="","",INDEX('01人员工时'!$D$7:$D$126,INT((ROW()-7)/4)+1))</f>
        <v/>
      </c>
      <c r="E19" s="22">
        <f>IF($D19="","",INDEX('参数设置'!$K$6:$K$9,MOD(ROW()-7,4)+1))</f>
        <v/>
      </c>
      <c r="F19" s="23">
        <f>IF($D19="","",IF($V19&lt;&gt;"",$V19,IFERROR(INDEX('参数设置'!$D$17:$G$26,MATCH($D19,'参数设置'!$C$17:$C$26,0),MATCH($E19,'参数设置'!$D$16:$G$16,0)),0)))</f>
        <v/>
      </c>
      <c r="G19" s="24">
        <f>IF($D19="","",INDEX('01人员工时'!$E$7:$E$126,INT((ROW()-7)/4)+1))</f>
        <v/>
      </c>
      <c r="H19" s="24">
        <f>IF($D19="","",INDEX('01人员工时'!$O$7:$O$126,INT((ROW()-7)/4)+1))</f>
        <v/>
      </c>
      <c r="I19" s="20">
        <f>IF(OR($D19="",$G19=0),"",$H19/$G19)</f>
        <v/>
      </c>
      <c r="J19" s="12">
        <f>IF($D19="","",ROUND($F19,2)-$S19)</f>
        <v/>
      </c>
      <c r="K19" s="12">
        <f>IF(OR($D19="",$G19=0),"",ROUND($F19*INDEX('01人员工时'!G$7:G$126,INT((ROW()-7)/4)+1)/$G19,2))</f>
        <v/>
      </c>
      <c r="L19" s="12">
        <f>IF(OR($D19="",$G19=0),"",ROUND($F19*INDEX('01人员工时'!H$7:H$126,INT((ROW()-7)/4)+1)/$G19,2))</f>
        <v/>
      </c>
      <c r="M19" s="12">
        <f>IF(OR($D19="",$G19=0),"",ROUND($F19*INDEX('01人员工时'!I$7:I$126,INT((ROW()-7)/4)+1)/$G19,2))</f>
        <v/>
      </c>
      <c r="N19" s="12">
        <f>IF(OR($D19="",$G19=0),"",ROUND($F19*INDEX('01人员工时'!J$7:J$126,INT((ROW()-7)/4)+1)/$G19,2))</f>
        <v/>
      </c>
      <c r="O19" s="12">
        <f>IF(OR($D19="",$G19=0),"",ROUND($F19*INDEX('01人员工时'!K$7:K$126,INT((ROW()-7)/4)+1)/$G19,2))</f>
        <v/>
      </c>
      <c r="P19" s="12">
        <f>IF(OR($D19="",$G19=0),"",ROUND($F19*INDEX('01人员工时'!L$7:L$126,INT((ROW()-7)/4)+1)/$G19,2))</f>
        <v/>
      </c>
      <c r="Q19" s="12">
        <f>IF(OR($D19="",$G19=0),"",ROUND($F19*INDEX('01人员工时'!M$7:M$126,INT((ROW()-7)/4)+1)/$G19,2))</f>
        <v/>
      </c>
      <c r="R19" s="12">
        <f>IF(OR($D19="",$G19=0),"",ROUND($F19*INDEX('01人员工时'!N$7:N$126,INT((ROW()-7)/4)+1)/$G19,2))</f>
        <v/>
      </c>
      <c r="S19" s="12">
        <f>IF($D19="","",SUM(K19:R19))</f>
        <v/>
      </c>
      <c r="T19" s="12">
        <f>IF($D19="","",$J19+$S19)</f>
        <v/>
      </c>
      <c r="U19" s="25">
        <f>IF($D19="","",IF($F19=0,"未维护标准",IF(ROUND($T19-$F19,2)=0,"√","差异")))</f>
        <v/>
      </c>
      <c r="V19" s="11" t="n"/>
      <c r="W19" s="9" t="n"/>
    </row>
    <row r="20" ht="18" customHeight="1">
      <c r="B20" s="21">
        <f>IF(INDEX('01人员工时'!$D$7:$D$126,INT((ROW()-7)/4)+1)&amp;""="","",INDEX('01人员工时'!$B$7:$B$126,INT((ROW()-7)/4)+1))</f>
        <v/>
      </c>
      <c r="C20" s="22">
        <f>IF($D20="","",IF(MOD(ROW()-7,4)=0,INDEX('01人员工时'!$C$7:$C$126,INT((ROW()-7)/4)+1),""))</f>
        <v/>
      </c>
      <c r="D20" s="22">
        <f>IF(INDEX('01人员工时'!$D$7:$D$126,INT((ROW()-7)/4)+1)&amp;""="","",INDEX('01人员工时'!$D$7:$D$126,INT((ROW()-7)/4)+1))</f>
        <v/>
      </c>
      <c r="E20" s="22">
        <f>IF($D20="","",INDEX('参数设置'!$K$6:$K$9,MOD(ROW()-7,4)+1))</f>
        <v/>
      </c>
      <c r="F20" s="23">
        <f>IF($D20="","",IF($V20&lt;&gt;"",$V20,IFERROR(INDEX('参数设置'!$D$17:$G$26,MATCH($D20,'参数设置'!$C$17:$C$26,0),MATCH($E20,'参数设置'!$D$16:$G$16,0)),0)))</f>
        <v/>
      </c>
      <c r="G20" s="24">
        <f>IF($D20="","",INDEX('01人员工时'!$E$7:$E$126,INT((ROW()-7)/4)+1))</f>
        <v/>
      </c>
      <c r="H20" s="24">
        <f>IF($D20="","",INDEX('01人员工时'!$O$7:$O$126,INT((ROW()-7)/4)+1))</f>
        <v/>
      </c>
      <c r="I20" s="20">
        <f>IF(OR($D20="",$G20=0),"",$H20/$G20)</f>
        <v/>
      </c>
      <c r="J20" s="12">
        <f>IF($D20="","",ROUND($F20,2)-$S20)</f>
        <v/>
      </c>
      <c r="K20" s="12">
        <f>IF(OR($D20="",$G20=0),"",ROUND($F20*INDEX('01人员工时'!G$7:G$126,INT((ROW()-7)/4)+1)/$G20,2))</f>
        <v/>
      </c>
      <c r="L20" s="12">
        <f>IF(OR($D20="",$G20=0),"",ROUND($F20*INDEX('01人员工时'!H$7:H$126,INT((ROW()-7)/4)+1)/$G20,2))</f>
        <v/>
      </c>
      <c r="M20" s="12">
        <f>IF(OR($D20="",$G20=0),"",ROUND($F20*INDEX('01人员工时'!I$7:I$126,INT((ROW()-7)/4)+1)/$G20,2))</f>
        <v/>
      </c>
      <c r="N20" s="12">
        <f>IF(OR($D20="",$G20=0),"",ROUND($F20*INDEX('01人员工时'!J$7:J$126,INT((ROW()-7)/4)+1)/$G20,2))</f>
        <v/>
      </c>
      <c r="O20" s="12">
        <f>IF(OR($D20="",$G20=0),"",ROUND($F20*INDEX('01人员工时'!K$7:K$126,INT((ROW()-7)/4)+1)/$G20,2))</f>
        <v/>
      </c>
      <c r="P20" s="12">
        <f>IF(OR($D20="",$G20=0),"",ROUND($F20*INDEX('01人员工时'!L$7:L$126,INT((ROW()-7)/4)+1)/$G20,2))</f>
        <v/>
      </c>
      <c r="Q20" s="12">
        <f>IF(OR($D20="",$G20=0),"",ROUND($F20*INDEX('01人员工时'!M$7:M$126,INT((ROW()-7)/4)+1)/$G20,2))</f>
        <v/>
      </c>
      <c r="R20" s="12">
        <f>IF(OR($D20="",$G20=0),"",ROUND($F20*INDEX('01人员工时'!N$7:N$126,INT((ROW()-7)/4)+1)/$G20,2))</f>
        <v/>
      </c>
      <c r="S20" s="12">
        <f>IF($D20="","",SUM(K20:R20))</f>
        <v/>
      </c>
      <c r="T20" s="12">
        <f>IF($D20="","",$J20+$S20)</f>
        <v/>
      </c>
      <c r="U20" s="25">
        <f>IF($D20="","",IF($F20=0,"未维护标准",IF(ROUND($T20-$F20,2)=0,"√","差异")))</f>
        <v/>
      </c>
      <c r="V20" s="11" t="n"/>
      <c r="W20" s="9" t="n"/>
    </row>
    <row r="21" ht="18" customHeight="1">
      <c r="B21" s="21">
        <f>IF(INDEX('01人员工时'!$D$7:$D$126,INT((ROW()-7)/4)+1)&amp;""="","",INDEX('01人员工时'!$B$7:$B$126,INT((ROW()-7)/4)+1))</f>
        <v/>
      </c>
      <c r="C21" s="22">
        <f>IF($D21="","",IF(MOD(ROW()-7,4)=0,INDEX('01人员工时'!$C$7:$C$126,INT((ROW()-7)/4)+1),""))</f>
        <v/>
      </c>
      <c r="D21" s="22">
        <f>IF(INDEX('01人员工时'!$D$7:$D$126,INT((ROW()-7)/4)+1)&amp;""="","",INDEX('01人员工时'!$D$7:$D$126,INT((ROW()-7)/4)+1))</f>
        <v/>
      </c>
      <c r="E21" s="22">
        <f>IF($D21="","",INDEX('参数设置'!$K$6:$K$9,MOD(ROW()-7,4)+1))</f>
        <v/>
      </c>
      <c r="F21" s="23">
        <f>IF($D21="","",IF($V21&lt;&gt;"",$V21,IFERROR(INDEX('参数设置'!$D$17:$G$26,MATCH($D21,'参数设置'!$C$17:$C$26,0),MATCH($E21,'参数设置'!$D$16:$G$16,0)),0)))</f>
        <v/>
      </c>
      <c r="G21" s="24">
        <f>IF($D21="","",INDEX('01人员工时'!$E$7:$E$126,INT((ROW()-7)/4)+1))</f>
        <v/>
      </c>
      <c r="H21" s="24">
        <f>IF($D21="","",INDEX('01人员工时'!$O$7:$O$126,INT((ROW()-7)/4)+1))</f>
        <v/>
      </c>
      <c r="I21" s="20">
        <f>IF(OR($D21="",$G21=0),"",$H21/$G21)</f>
        <v/>
      </c>
      <c r="J21" s="12">
        <f>IF($D21="","",ROUND($F21,2)-$S21)</f>
        <v/>
      </c>
      <c r="K21" s="12">
        <f>IF(OR($D21="",$G21=0),"",ROUND($F21*INDEX('01人员工时'!G$7:G$126,INT((ROW()-7)/4)+1)/$G21,2))</f>
        <v/>
      </c>
      <c r="L21" s="12">
        <f>IF(OR($D21="",$G21=0),"",ROUND($F21*INDEX('01人员工时'!H$7:H$126,INT((ROW()-7)/4)+1)/$G21,2))</f>
        <v/>
      </c>
      <c r="M21" s="12">
        <f>IF(OR($D21="",$G21=0),"",ROUND($F21*INDEX('01人员工时'!I$7:I$126,INT((ROW()-7)/4)+1)/$G21,2))</f>
        <v/>
      </c>
      <c r="N21" s="12">
        <f>IF(OR($D21="",$G21=0),"",ROUND($F21*INDEX('01人员工时'!J$7:J$126,INT((ROW()-7)/4)+1)/$G21,2))</f>
        <v/>
      </c>
      <c r="O21" s="12">
        <f>IF(OR($D21="",$G21=0),"",ROUND($F21*INDEX('01人员工时'!K$7:K$126,INT((ROW()-7)/4)+1)/$G21,2))</f>
        <v/>
      </c>
      <c r="P21" s="12">
        <f>IF(OR($D21="",$G21=0),"",ROUND($F21*INDEX('01人员工时'!L$7:L$126,INT((ROW()-7)/4)+1)/$G21,2))</f>
        <v/>
      </c>
      <c r="Q21" s="12">
        <f>IF(OR($D21="",$G21=0),"",ROUND($F21*INDEX('01人员工时'!M$7:M$126,INT((ROW()-7)/4)+1)/$G21,2))</f>
        <v/>
      </c>
      <c r="R21" s="12">
        <f>IF(OR($D21="",$G21=0),"",ROUND($F21*INDEX('01人员工时'!N$7:N$126,INT((ROW()-7)/4)+1)/$G21,2))</f>
        <v/>
      </c>
      <c r="S21" s="12">
        <f>IF($D21="","",SUM(K21:R21))</f>
        <v/>
      </c>
      <c r="T21" s="12">
        <f>IF($D21="","",$J21+$S21)</f>
        <v/>
      </c>
      <c r="U21" s="25">
        <f>IF($D21="","",IF($F21=0,"未维护标准",IF(ROUND($T21-$F21,2)=0,"√","差异")))</f>
        <v/>
      </c>
      <c r="V21" s="11" t="n"/>
      <c r="W21" s="9" t="n"/>
    </row>
    <row r="22" ht="18" customHeight="1">
      <c r="B22" s="26">
        <f>IF(INDEX('01人员工时'!$D$7:$D$126,INT((ROW()-7)/4)+1)&amp;""="","",INDEX('01人员工时'!$B$7:$B$126,INT((ROW()-7)/4)+1))</f>
        <v/>
      </c>
      <c r="C22" s="27">
        <f>IF($D22="","",IF(MOD(ROW()-7,4)=0,INDEX('01人员工时'!$C$7:$C$126,INT((ROW()-7)/4)+1),""))</f>
        <v/>
      </c>
      <c r="D22" s="27">
        <f>IF(INDEX('01人员工时'!$D$7:$D$126,INT((ROW()-7)/4)+1)&amp;""="","",INDEX('01人员工时'!$D$7:$D$126,INT((ROW()-7)/4)+1))</f>
        <v/>
      </c>
      <c r="E22" s="27">
        <f>IF($D22="","",INDEX('参数设置'!$K$6:$K$9,MOD(ROW()-7,4)+1))</f>
        <v/>
      </c>
      <c r="F22" s="28">
        <f>IF($D22="","",IF($V22&lt;&gt;"",$V22,IFERROR(INDEX('参数设置'!$D$17:$G$26,MATCH($D22,'参数设置'!$C$17:$C$26,0),MATCH($E22,'参数设置'!$D$16:$G$16,0)),0)))</f>
        <v/>
      </c>
      <c r="G22" s="29">
        <f>IF($D22="","",INDEX('01人员工时'!$E$7:$E$126,INT((ROW()-7)/4)+1))</f>
        <v/>
      </c>
      <c r="H22" s="29">
        <f>IF($D22="","",INDEX('01人员工时'!$O$7:$O$126,INT((ROW()-7)/4)+1))</f>
        <v/>
      </c>
      <c r="I22" s="30">
        <f>IF(OR($D22="",$G22=0),"",$H22/$G22)</f>
        <v/>
      </c>
      <c r="J22" s="31">
        <f>IF($D22="","",ROUND($F22,2)-$S22)</f>
        <v/>
      </c>
      <c r="K22" s="31">
        <f>IF(OR($D22="",$G22=0),"",ROUND($F22*INDEX('01人员工时'!G$7:G$126,INT((ROW()-7)/4)+1)/$G22,2))</f>
        <v/>
      </c>
      <c r="L22" s="31">
        <f>IF(OR($D22="",$G22=0),"",ROUND($F22*INDEX('01人员工时'!H$7:H$126,INT((ROW()-7)/4)+1)/$G22,2))</f>
        <v/>
      </c>
      <c r="M22" s="31">
        <f>IF(OR($D22="",$G22=0),"",ROUND($F22*INDEX('01人员工时'!I$7:I$126,INT((ROW()-7)/4)+1)/$G22,2))</f>
        <v/>
      </c>
      <c r="N22" s="31">
        <f>IF(OR($D22="",$G22=0),"",ROUND($F22*INDEX('01人员工时'!J$7:J$126,INT((ROW()-7)/4)+1)/$G22,2))</f>
        <v/>
      </c>
      <c r="O22" s="31">
        <f>IF(OR($D22="",$G22=0),"",ROUND($F22*INDEX('01人员工时'!K$7:K$126,INT((ROW()-7)/4)+1)/$G22,2))</f>
        <v/>
      </c>
      <c r="P22" s="31">
        <f>IF(OR($D22="",$G22=0),"",ROUND($F22*INDEX('01人员工时'!L$7:L$126,INT((ROW()-7)/4)+1)/$G22,2))</f>
        <v/>
      </c>
      <c r="Q22" s="31">
        <f>IF(OR($D22="",$G22=0),"",ROUND($F22*INDEX('01人员工时'!M$7:M$126,INT((ROW()-7)/4)+1)/$G22,2))</f>
        <v/>
      </c>
      <c r="R22" s="31">
        <f>IF(OR($D22="",$G22=0),"",ROUND($F22*INDEX('01人员工时'!N$7:N$126,INT((ROW()-7)/4)+1)/$G22,2))</f>
        <v/>
      </c>
      <c r="S22" s="31">
        <f>IF($D22="","",SUM(K22:R22))</f>
        <v/>
      </c>
      <c r="T22" s="31">
        <f>IF($D22="","",$J22+$S22)</f>
        <v/>
      </c>
      <c r="U22" s="32">
        <f>IF($D22="","",IF($F22=0,"未维护标准",IF(ROUND($T22-$F22,2)=0,"√","差异")))</f>
        <v/>
      </c>
      <c r="V22" s="33" t="n"/>
      <c r="W22" s="34" t="n"/>
    </row>
    <row r="23" ht="18" customHeight="1">
      <c r="B23" s="21">
        <f>IF(INDEX('01人员工时'!$D$7:$D$126,INT((ROW()-7)/4)+1)&amp;""="","",INDEX('01人员工时'!$B$7:$B$126,INT((ROW()-7)/4)+1))</f>
        <v/>
      </c>
      <c r="C23" s="22">
        <f>IF($D23="","",IF(MOD(ROW()-7,4)=0,INDEX('01人员工时'!$C$7:$C$126,INT((ROW()-7)/4)+1),""))</f>
        <v/>
      </c>
      <c r="D23" s="22">
        <f>IF(INDEX('01人员工时'!$D$7:$D$126,INT((ROW()-7)/4)+1)&amp;""="","",INDEX('01人员工时'!$D$7:$D$126,INT((ROW()-7)/4)+1))</f>
        <v/>
      </c>
      <c r="E23" s="22">
        <f>IF($D23="","",INDEX('参数设置'!$K$6:$K$9,MOD(ROW()-7,4)+1))</f>
        <v/>
      </c>
      <c r="F23" s="23">
        <f>IF($D23="","",IF($V23&lt;&gt;"",$V23,IFERROR(INDEX('参数设置'!$D$17:$G$26,MATCH($D23,'参数设置'!$C$17:$C$26,0),MATCH($E23,'参数设置'!$D$16:$G$16,0)),0)))</f>
        <v/>
      </c>
      <c r="G23" s="24">
        <f>IF($D23="","",INDEX('01人员工时'!$E$7:$E$126,INT((ROW()-7)/4)+1))</f>
        <v/>
      </c>
      <c r="H23" s="24">
        <f>IF($D23="","",INDEX('01人员工时'!$O$7:$O$126,INT((ROW()-7)/4)+1))</f>
        <v/>
      </c>
      <c r="I23" s="20">
        <f>IF(OR($D23="",$G23=0),"",$H23/$G23)</f>
        <v/>
      </c>
      <c r="J23" s="12">
        <f>IF($D23="","",ROUND($F23,2)-$S23)</f>
        <v/>
      </c>
      <c r="K23" s="12">
        <f>IF(OR($D23="",$G23=0),"",ROUND($F23*INDEX('01人员工时'!G$7:G$126,INT((ROW()-7)/4)+1)/$G23,2))</f>
        <v/>
      </c>
      <c r="L23" s="12">
        <f>IF(OR($D23="",$G23=0),"",ROUND($F23*INDEX('01人员工时'!H$7:H$126,INT((ROW()-7)/4)+1)/$G23,2))</f>
        <v/>
      </c>
      <c r="M23" s="12">
        <f>IF(OR($D23="",$G23=0),"",ROUND($F23*INDEX('01人员工时'!I$7:I$126,INT((ROW()-7)/4)+1)/$G23,2))</f>
        <v/>
      </c>
      <c r="N23" s="12">
        <f>IF(OR($D23="",$G23=0),"",ROUND($F23*INDEX('01人员工时'!J$7:J$126,INT((ROW()-7)/4)+1)/$G23,2))</f>
        <v/>
      </c>
      <c r="O23" s="12">
        <f>IF(OR($D23="",$G23=0),"",ROUND($F23*INDEX('01人员工时'!K$7:K$126,INT((ROW()-7)/4)+1)/$G23,2))</f>
        <v/>
      </c>
      <c r="P23" s="12">
        <f>IF(OR($D23="",$G23=0),"",ROUND($F23*INDEX('01人员工时'!L$7:L$126,INT((ROW()-7)/4)+1)/$G23,2))</f>
        <v/>
      </c>
      <c r="Q23" s="12">
        <f>IF(OR($D23="",$G23=0),"",ROUND($F23*INDEX('01人员工时'!M$7:M$126,INT((ROW()-7)/4)+1)/$G23,2))</f>
        <v/>
      </c>
      <c r="R23" s="12">
        <f>IF(OR($D23="",$G23=0),"",ROUND($F23*INDEX('01人员工时'!N$7:N$126,INT((ROW()-7)/4)+1)/$G23,2))</f>
        <v/>
      </c>
      <c r="S23" s="12">
        <f>IF($D23="","",SUM(K23:R23))</f>
        <v/>
      </c>
      <c r="T23" s="12">
        <f>IF($D23="","",$J23+$S23)</f>
        <v/>
      </c>
      <c r="U23" s="25">
        <f>IF($D23="","",IF($F23=0,"未维护标准",IF(ROUND($T23-$F23,2)=0,"√","差异")))</f>
        <v/>
      </c>
      <c r="V23" s="11" t="n"/>
      <c r="W23" s="9" t="n"/>
    </row>
    <row r="24" ht="18" customHeight="1">
      <c r="B24" s="21">
        <f>IF(INDEX('01人员工时'!$D$7:$D$126,INT((ROW()-7)/4)+1)&amp;""="","",INDEX('01人员工时'!$B$7:$B$126,INT((ROW()-7)/4)+1))</f>
        <v/>
      </c>
      <c r="C24" s="22">
        <f>IF($D24="","",IF(MOD(ROW()-7,4)=0,INDEX('01人员工时'!$C$7:$C$126,INT((ROW()-7)/4)+1),""))</f>
        <v/>
      </c>
      <c r="D24" s="22">
        <f>IF(INDEX('01人员工时'!$D$7:$D$126,INT((ROW()-7)/4)+1)&amp;""="","",INDEX('01人员工时'!$D$7:$D$126,INT((ROW()-7)/4)+1))</f>
        <v/>
      </c>
      <c r="E24" s="22">
        <f>IF($D24="","",INDEX('参数设置'!$K$6:$K$9,MOD(ROW()-7,4)+1))</f>
        <v/>
      </c>
      <c r="F24" s="23">
        <f>IF($D24="","",IF($V24&lt;&gt;"",$V24,IFERROR(INDEX('参数设置'!$D$17:$G$26,MATCH($D24,'参数设置'!$C$17:$C$26,0),MATCH($E24,'参数设置'!$D$16:$G$16,0)),0)))</f>
        <v/>
      </c>
      <c r="G24" s="24">
        <f>IF($D24="","",INDEX('01人员工时'!$E$7:$E$126,INT((ROW()-7)/4)+1))</f>
        <v/>
      </c>
      <c r="H24" s="24">
        <f>IF($D24="","",INDEX('01人员工时'!$O$7:$O$126,INT((ROW()-7)/4)+1))</f>
        <v/>
      </c>
      <c r="I24" s="20">
        <f>IF(OR($D24="",$G24=0),"",$H24/$G24)</f>
        <v/>
      </c>
      <c r="J24" s="12">
        <f>IF($D24="","",ROUND($F24,2)-$S24)</f>
        <v/>
      </c>
      <c r="K24" s="12">
        <f>IF(OR($D24="",$G24=0),"",ROUND($F24*INDEX('01人员工时'!G$7:G$126,INT((ROW()-7)/4)+1)/$G24,2))</f>
        <v/>
      </c>
      <c r="L24" s="12">
        <f>IF(OR($D24="",$G24=0),"",ROUND($F24*INDEX('01人员工时'!H$7:H$126,INT((ROW()-7)/4)+1)/$G24,2))</f>
        <v/>
      </c>
      <c r="M24" s="12">
        <f>IF(OR($D24="",$G24=0),"",ROUND($F24*INDEX('01人员工时'!I$7:I$126,INT((ROW()-7)/4)+1)/$G24,2))</f>
        <v/>
      </c>
      <c r="N24" s="12">
        <f>IF(OR($D24="",$G24=0),"",ROUND($F24*INDEX('01人员工时'!J$7:J$126,INT((ROW()-7)/4)+1)/$G24,2))</f>
        <v/>
      </c>
      <c r="O24" s="12">
        <f>IF(OR($D24="",$G24=0),"",ROUND($F24*INDEX('01人员工时'!K$7:K$126,INT((ROW()-7)/4)+1)/$G24,2))</f>
        <v/>
      </c>
      <c r="P24" s="12">
        <f>IF(OR($D24="",$G24=0),"",ROUND($F24*INDEX('01人员工时'!L$7:L$126,INT((ROW()-7)/4)+1)/$G24,2))</f>
        <v/>
      </c>
      <c r="Q24" s="12">
        <f>IF(OR($D24="",$G24=0),"",ROUND($F24*INDEX('01人员工时'!M$7:M$126,INT((ROW()-7)/4)+1)/$G24,2))</f>
        <v/>
      </c>
      <c r="R24" s="12">
        <f>IF(OR($D24="",$G24=0),"",ROUND($F24*INDEX('01人员工时'!N$7:N$126,INT((ROW()-7)/4)+1)/$G24,2))</f>
        <v/>
      </c>
      <c r="S24" s="12">
        <f>IF($D24="","",SUM(K24:R24))</f>
        <v/>
      </c>
      <c r="T24" s="12">
        <f>IF($D24="","",$J24+$S24)</f>
        <v/>
      </c>
      <c r="U24" s="25">
        <f>IF($D24="","",IF($F24=0,"未维护标准",IF(ROUND($T24-$F24,2)=0,"√","差异")))</f>
        <v/>
      </c>
      <c r="V24" s="11" t="n"/>
      <c r="W24" s="9" t="n"/>
    </row>
    <row r="25" ht="18" customHeight="1">
      <c r="B25" s="21">
        <f>IF(INDEX('01人员工时'!$D$7:$D$126,INT((ROW()-7)/4)+1)&amp;""="","",INDEX('01人员工时'!$B$7:$B$126,INT((ROW()-7)/4)+1))</f>
        <v/>
      </c>
      <c r="C25" s="22">
        <f>IF($D25="","",IF(MOD(ROW()-7,4)=0,INDEX('01人员工时'!$C$7:$C$126,INT((ROW()-7)/4)+1),""))</f>
        <v/>
      </c>
      <c r="D25" s="22">
        <f>IF(INDEX('01人员工时'!$D$7:$D$126,INT((ROW()-7)/4)+1)&amp;""="","",INDEX('01人员工时'!$D$7:$D$126,INT((ROW()-7)/4)+1))</f>
        <v/>
      </c>
      <c r="E25" s="22">
        <f>IF($D25="","",INDEX('参数设置'!$K$6:$K$9,MOD(ROW()-7,4)+1))</f>
        <v/>
      </c>
      <c r="F25" s="23">
        <f>IF($D25="","",IF($V25&lt;&gt;"",$V25,IFERROR(INDEX('参数设置'!$D$17:$G$26,MATCH($D25,'参数设置'!$C$17:$C$26,0),MATCH($E25,'参数设置'!$D$16:$G$16,0)),0)))</f>
        <v/>
      </c>
      <c r="G25" s="24">
        <f>IF($D25="","",INDEX('01人员工时'!$E$7:$E$126,INT((ROW()-7)/4)+1))</f>
        <v/>
      </c>
      <c r="H25" s="24">
        <f>IF($D25="","",INDEX('01人员工时'!$O$7:$O$126,INT((ROW()-7)/4)+1))</f>
        <v/>
      </c>
      <c r="I25" s="20">
        <f>IF(OR($D25="",$G25=0),"",$H25/$G25)</f>
        <v/>
      </c>
      <c r="J25" s="12">
        <f>IF($D25="","",ROUND($F25,2)-$S25)</f>
        <v/>
      </c>
      <c r="K25" s="12">
        <f>IF(OR($D25="",$G25=0),"",ROUND($F25*INDEX('01人员工时'!G$7:G$126,INT((ROW()-7)/4)+1)/$G25,2))</f>
        <v/>
      </c>
      <c r="L25" s="12">
        <f>IF(OR($D25="",$G25=0),"",ROUND($F25*INDEX('01人员工时'!H$7:H$126,INT((ROW()-7)/4)+1)/$G25,2))</f>
        <v/>
      </c>
      <c r="M25" s="12">
        <f>IF(OR($D25="",$G25=0),"",ROUND($F25*INDEX('01人员工时'!I$7:I$126,INT((ROW()-7)/4)+1)/$G25,2))</f>
        <v/>
      </c>
      <c r="N25" s="12">
        <f>IF(OR($D25="",$G25=0),"",ROUND($F25*INDEX('01人员工时'!J$7:J$126,INT((ROW()-7)/4)+1)/$G25,2))</f>
        <v/>
      </c>
      <c r="O25" s="12">
        <f>IF(OR($D25="",$G25=0),"",ROUND($F25*INDEX('01人员工时'!K$7:K$126,INT((ROW()-7)/4)+1)/$G25,2))</f>
        <v/>
      </c>
      <c r="P25" s="12">
        <f>IF(OR($D25="",$G25=0),"",ROUND($F25*INDEX('01人员工时'!L$7:L$126,INT((ROW()-7)/4)+1)/$G25,2))</f>
        <v/>
      </c>
      <c r="Q25" s="12">
        <f>IF(OR($D25="",$G25=0),"",ROUND($F25*INDEX('01人员工时'!M$7:M$126,INT((ROW()-7)/4)+1)/$G25,2))</f>
        <v/>
      </c>
      <c r="R25" s="12">
        <f>IF(OR($D25="",$G25=0),"",ROUND($F25*INDEX('01人员工时'!N$7:N$126,INT((ROW()-7)/4)+1)/$G25,2))</f>
        <v/>
      </c>
      <c r="S25" s="12">
        <f>IF($D25="","",SUM(K25:R25))</f>
        <v/>
      </c>
      <c r="T25" s="12">
        <f>IF($D25="","",$J25+$S25)</f>
        <v/>
      </c>
      <c r="U25" s="25">
        <f>IF($D25="","",IF($F25=0,"未维护标准",IF(ROUND($T25-$F25,2)=0,"√","差异")))</f>
        <v/>
      </c>
      <c r="V25" s="11" t="n"/>
      <c r="W25" s="9" t="n"/>
    </row>
    <row r="26" ht="18" customHeight="1">
      <c r="B26" s="26">
        <f>IF(INDEX('01人员工时'!$D$7:$D$126,INT((ROW()-7)/4)+1)&amp;""="","",INDEX('01人员工时'!$B$7:$B$126,INT((ROW()-7)/4)+1))</f>
        <v/>
      </c>
      <c r="C26" s="27">
        <f>IF($D26="","",IF(MOD(ROW()-7,4)=0,INDEX('01人员工时'!$C$7:$C$126,INT((ROW()-7)/4)+1),""))</f>
        <v/>
      </c>
      <c r="D26" s="27">
        <f>IF(INDEX('01人员工时'!$D$7:$D$126,INT((ROW()-7)/4)+1)&amp;""="","",INDEX('01人员工时'!$D$7:$D$126,INT((ROW()-7)/4)+1))</f>
        <v/>
      </c>
      <c r="E26" s="27">
        <f>IF($D26="","",INDEX('参数设置'!$K$6:$K$9,MOD(ROW()-7,4)+1))</f>
        <v/>
      </c>
      <c r="F26" s="28">
        <f>IF($D26="","",IF($V26&lt;&gt;"",$V26,IFERROR(INDEX('参数设置'!$D$17:$G$26,MATCH($D26,'参数设置'!$C$17:$C$26,0),MATCH($E26,'参数设置'!$D$16:$G$16,0)),0)))</f>
        <v/>
      </c>
      <c r="G26" s="29">
        <f>IF($D26="","",INDEX('01人员工时'!$E$7:$E$126,INT((ROW()-7)/4)+1))</f>
        <v/>
      </c>
      <c r="H26" s="29">
        <f>IF($D26="","",INDEX('01人员工时'!$O$7:$O$126,INT((ROW()-7)/4)+1))</f>
        <v/>
      </c>
      <c r="I26" s="30">
        <f>IF(OR($D26="",$G26=0),"",$H26/$G26)</f>
        <v/>
      </c>
      <c r="J26" s="31">
        <f>IF($D26="","",ROUND($F26,2)-$S26)</f>
        <v/>
      </c>
      <c r="K26" s="31">
        <f>IF(OR($D26="",$G26=0),"",ROUND($F26*INDEX('01人员工时'!G$7:G$126,INT((ROW()-7)/4)+1)/$G26,2))</f>
        <v/>
      </c>
      <c r="L26" s="31">
        <f>IF(OR($D26="",$G26=0),"",ROUND($F26*INDEX('01人员工时'!H$7:H$126,INT((ROW()-7)/4)+1)/$G26,2))</f>
        <v/>
      </c>
      <c r="M26" s="31">
        <f>IF(OR($D26="",$G26=0),"",ROUND($F26*INDEX('01人员工时'!I$7:I$126,INT((ROW()-7)/4)+1)/$G26,2))</f>
        <v/>
      </c>
      <c r="N26" s="31">
        <f>IF(OR($D26="",$G26=0),"",ROUND($F26*INDEX('01人员工时'!J$7:J$126,INT((ROW()-7)/4)+1)/$G26,2))</f>
        <v/>
      </c>
      <c r="O26" s="31">
        <f>IF(OR($D26="",$G26=0),"",ROUND($F26*INDEX('01人员工时'!K$7:K$126,INT((ROW()-7)/4)+1)/$G26,2))</f>
        <v/>
      </c>
      <c r="P26" s="31">
        <f>IF(OR($D26="",$G26=0),"",ROUND($F26*INDEX('01人员工时'!L$7:L$126,INT((ROW()-7)/4)+1)/$G26,2))</f>
        <v/>
      </c>
      <c r="Q26" s="31">
        <f>IF(OR($D26="",$G26=0),"",ROUND($F26*INDEX('01人员工时'!M$7:M$126,INT((ROW()-7)/4)+1)/$G26,2))</f>
        <v/>
      </c>
      <c r="R26" s="31">
        <f>IF(OR($D26="",$G26=0),"",ROUND($F26*INDEX('01人员工时'!N$7:N$126,INT((ROW()-7)/4)+1)/$G26,2))</f>
        <v/>
      </c>
      <c r="S26" s="31">
        <f>IF($D26="","",SUM(K26:R26))</f>
        <v/>
      </c>
      <c r="T26" s="31">
        <f>IF($D26="","",$J26+$S26)</f>
        <v/>
      </c>
      <c r="U26" s="32">
        <f>IF($D26="","",IF($F26=0,"未维护标准",IF(ROUND($T26-$F26,2)=0,"√","差异")))</f>
        <v/>
      </c>
      <c r="V26" s="33" t="n"/>
      <c r="W26" s="34" t="n"/>
    </row>
    <row r="27" ht="18" customHeight="1">
      <c r="B27" s="21">
        <f>IF(INDEX('01人员工时'!$D$7:$D$126,INT((ROW()-7)/4)+1)&amp;""="","",INDEX('01人员工时'!$B$7:$B$126,INT((ROW()-7)/4)+1))</f>
        <v/>
      </c>
      <c r="C27" s="22">
        <f>IF($D27="","",IF(MOD(ROW()-7,4)=0,INDEX('01人员工时'!$C$7:$C$126,INT((ROW()-7)/4)+1),""))</f>
        <v/>
      </c>
      <c r="D27" s="22">
        <f>IF(INDEX('01人员工时'!$D$7:$D$126,INT((ROW()-7)/4)+1)&amp;""="","",INDEX('01人员工时'!$D$7:$D$126,INT((ROW()-7)/4)+1))</f>
        <v/>
      </c>
      <c r="E27" s="22">
        <f>IF($D27="","",INDEX('参数设置'!$K$6:$K$9,MOD(ROW()-7,4)+1))</f>
        <v/>
      </c>
      <c r="F27" s="23">
        <f>IF($D27="","",IF($V27&lt;&gt;"",$V27,IFERROR(INDEX('参数设置'!$D$17:$G$26,MATCH($D27,'参数设置'!$C$17:$C$26,0),MATCH($E27,'参数设置'!$D$16:$G$16,0)),0)))</f>
        <v/>
      </c>
      <c r="G27" s="24">
        <f>IF($D27="","",INDEX('01人员工时'!$E$7:$E$126,INT((ROW()-7)/4)+1))</f>
        <v/>
      </c>
      <c r="H27" s="24">
        <f>IF($D27="","",INDEX('01人员工时'!$O$7:$O$126,INT((ROW()-7)/4)+1))</f>
        <v/>
      </c>
      <c r="I27" s="20">
        <f>IF(OR($D27="",$G27=0),"",$H27/$G27)</f>
        <v/>
      </c>
      <c r="J27" s="12">
        <f>IF($D27="","",ROUND($F27,2)-$S27)</f>
        <v/>
      </c>
      <c r="K27" s="12">
        <f>IF(OR($D27="",$G27=0),"",ROUND($F27*INDEX('01人员工时'!G$7:G$126,INT((ROW()-7)/4)+1)/$G27,2))</f>
        <v/>
      </c>
      <c r="L27" s="12">
        <f>IF(OR($D27="",$G27=0),"",ROUND($F27*INDEX('01人员工时'!H$7:H$126,INT((ROW()-7)/4)+1)/$G27,2))</f>
        <v/>
      </c>
      <c r="M27" s="12">
        <f>IF(OR($D27="",$G27=0),"",ROUND($F27*INDEX('01人员工时'!I$7:I$126,INT((ROW()-7)/4)+1)/$G27,2))</f>
        <v/>
      </c>
      <c r="N27" s="12">
        <f>IF(OR($D27="",$G27=0),"",ROUND($F27*INDEX('01人员工时'!J$7:J$126,INT((ROW()-7)/4)+1)/$G27,2))</f>
        <v/>
      </c>
      <c r="O27" s="12">
        <f>IF(OR($D27="",$G27=0),"",ROUND($F27*INDEX('01人员工时'!K$7:K$126,INT((ROW()-7)/4)+1)/$G27,2))</f>
        <v/>
      </c>
      <c r="P27" s="12">
        <f>IF(OR($D27="",$G27=0),"",ROUND($F27*INDEX('01人员工时'!L$7:L$126,INT((ROW()-7)/4)+1)/$G27,2))</f>
        <v/>
      </c>
      <c r="Q27" s="12">
        <f>IF(OR($D27="",$G27=0),"",ROUND($F27*INDEX('01人员工时'!M$7:M$126,INT((ROW()-7)/4)+1)/$G27,2))</f>
        <v/>
      </c>
      <c r="R27" s="12">
        <f>IF(OR($D27="",$G27=0),"",ROUND($F27*INDEX('01人员工时'!N$7:N$126,INT((ROW()-7)/4)+1)/$G27,2))</f>
        <v/>
      </c>
      <c r="S27" s="12">
        <f>IF($D27="","",SUM(K27:R27))</f>
        <v/>
      </c>
      <c r="T27" s="12">
        <f>IF($D27="","",$J27+$S27)</f>
        <v/>
      </c>
      <c r="U27" s="25">
        <f>IF($D27="","",IF($F27=0,"未维护标准",IF(ROUND($T27-$F27,2)=0,"√","差异")))</f>
        <v/>
      </c>
      <c r="V27" s="11" t="n"/>
      <c r="W27" s="9" t="n"/>
    </row>
    <row r="28" ht="18" customHeight="1">
      <c r="B28" s="21">
        <f>IF(INDEX('01人员工时'!$D$7:$D$126,INT((ROW()-7)/4)+1)&amp;""="","",INDEX('01人员工时'!$B$7:$B$126,INT((ROW()-7)/4)+1))</f>
        <v/>
      </c>
      <c r="C28" s="22">
        <f>IF($D28="","",IF(MOD(ROW()-7,4)=0,INDEX('01人员工时'!$C$7:$C$126,INT((ROW()-7)/4)+1),""))</f>
        <v/>
      </c>
      <c r="D28" s="22">
        <f>IF(INDEX('01人员工时'!$D$7:$D$126,INT((ROW()-7)/4)+1)&amp;""="","",INDEX('01人员工时'!$D$7:$D$126,INT((ROW()-7)/4)+1))</f>
        <v/>
      </c>
      <c r="E28" s="22">
        <f>IF($D28="","",INDEX('参数设置'!$K$6:$K$9,MOD(ROW()-7,4)+1))</f>
        <v/>
      </c>
      <c r="F28" s="23">
        <f>IF($D28="","",IF($V28&lt;&gt;"",$V28,IFERROR(INDEX('参数设置'!$D$17:$G$26,MATCH($D28,'参数设置'!$C$17:$C$26,0),MATCH($E28,'参数设置'!$D$16:$G$16,0)),0)))</f>
        <v/>
      </c>
      <c r="G28" s="24">
        <f>IF($D28="","",INDEX('01人员工时'!$E$7:$E$126,INT((ROW()-7)/4)+1))</f>
        <v/>
      </c>
      <c r="H28" s="24">
        <f>IF($D28="","",INDEX('01人员工时'!$O$7:$O$126,INT((ROW()-7)/4)+1))</f>
        <v/>
      </c>
      <c r="I28" s="20">
        <f>IF(OR($D28="",$G28=0),"",$H28/$G28)</f>
        <v/>
      </c>
      <c r="J28" s="12">
        <f>IF($D28="","",ROUND($F28,2)-$S28)</f>
        <v/>
      </c>
      <c r="K28" s="12">
        <f>IF(OR($D28="",$G28=0),"",ROUND($F28*INDEX('01人员工时'!G$7:G$126,INT((ROW()-7)/4)+1)/$G28,2))</f>
        <v/>
      </c>
      <c r="L28" s="12">
        <f>IF(OR($D28="",$G28=0),"",ROUND($F28*INDEX('01人员工时'!H$7:H$126,INT((ROW()-7)/4)+1)/$G28,2))</f>
        <v/>
      </c>
      <c r="M28" s="12">
        <f>IF(OR($D28="",$G28=0),"",ROUND($F28*INDEX('01人员工时'!I$7:I$126,INT((ROW()-7)/4)+1)/$G28,2))</f>
        <v/>
      </c>
      <c r="N28" s="12">
        <f>IF(OR($D28="",$G28=0),"",ROUND($F28*INDEX('01人员工时'!J$7:J$126,INT((ROW()-7)/4)+1)/$G28,2))</f>
        <v/>
      </c>
      <c r="O28" s="12">
        <f>IF(OR($D28="",$G28=0),"",ROUND($F28*INDEX('01人员工时'!K$7:K$126,INT((ROW()-7)/4)+1)/$G28,2))</f>
        <v/>
      </c>
      <c r="P28" s="12">
        <f>IF(OR($D28="",$G28=0),"",ROUND($F28*INDEX('01人员工时'!L$7:L$126,INT((ROW()-7)/4)+1)/$G28,2))</f>
        <v/>
      </c>
      <c r="Q28" s="12">
        <f>IF(OR($D28="",$G28=0),"",ROUND($F28*INDEX('01人员工时'!M$7:M$126,INT((ROW()-7)/4)+1)/$G28,2))</f>
        <v/>
      </c>
      <c r="R28" s="12">
        <f>IF(OR($D28="",$G28=0),"",ROUND($F28*INDEX('01人员工时'!N$7:N$126,INT((ROW()-7)/4)+1)/$G28,2))</f>
        <v/>
      </c>
      <c r="S28" s="12">
        <f>IF($D28="","",SUM(K28:R28))</f>
        <v/>
      </c>
      <c r="T28" s="12">
        <f>IF($D28="","",$J28+$S28)</f>
        <v/>
      </c>
      <c r="U28" s="25">
        <f>IF($D28="","",IF($F28=0,"未维护标准",IF(ROUND($T28-$F28,2)=0,"√","差异")))</f>
        <v/>
      </c>
      <c r="V28" s="11" t="n"/>
      <c r="W28" s="9" t="n"/>
    </row>
    <row r="29" ht="18" customHeight="1">
      <c r="B29" s="21">
        <f>IF(INDEX('01人员工时'!$D$7:$D$126,INT((ROW()-7)/4)+1)&amp;""="","",INDEX('01人员工时'!$B$7:$B$126,INT((ROW()-7)/4)+1))</f>
        <v/>
      </c>
      <c r="C29" s="22">
        <f>IF($D29="","",IF(MOD(ROW()-7,4)=0,INDEX('01人员工时'!$C$7:$C$126,INT((ROW()-7)/4)+1),""))</f>
        <v/>
      </c>
      <c r="D29" s="22">
        <f>IF(INDEX('01人员工时'!$D$7:$D$126,INT((ROW()-7)/4)+1)&amp;""="","",INDEX('01人员工时'!$D$7:$D$126,INT((ROW()-7)/4)+1))</f>
        <v/>
      </c>
      <c r="E29" s="22">
        <f>IF($D29="","",INDEX('参数设置'!$K$6:$K$9,MOD(ROW()-7,4)+1))</f>
        <v/>
      </c>
      <c r="F29" s="23">
        <f>IF($D29="","",IF($V29&lt;&gt;"",$V29,IFERROR(INDEX('参数设置'!$D$17:$G$26,MATCH($D29,'参数设置'!$C$17:$C$26,0),MATCH($E29,'参数设置'!$D$16:$G$16,0)),0)))</f>
        <v/>
      </c>
      <c r="G29" s="24">
        <f>IF($D29="","",INDEX('01人员工时'!$E$7:$E$126,INT((ROW()-7)/4)+1))</f>
        <v/>
      </c>
      <c r="H29" s="24">
        <f>IF($D29="","",INDEX('01人员工时'!$O$7:$O$126,INT((ROW()-7)/4)+1))</f>
        <v/>
      </c>
      <c r="I29" s="20">
        <f>IF(OR($D29="",$G29=0),"",$H29/$G29)</f>
        <v/>
      </c>
      <c r="J29" s="12">
        <f>IF($D29="","",ROUND($F29,2)-$S29)</f>
        <v/>
      </c>
      <c r="K29" s="12">
        <f>IF(OR($D29="",$G29=0),"",ROUND($F29*INDEX('01人员工时'!G$7:G$126,INT((ROW()-7)/4)+1)/$G29,2))</f>
        <v/>
      </c>
      <c r="L29" s="12">
        <f>IF(OR($D29="",$G29=0),"",ROUND($F29*INDEX('01人员工时'!H$7:H$126,INT((ROW()-7)/4)+1)/$G29,2))</f>
        <v/>
      </c>
      <c r="M29" s="12">
        <f>IF(OR($D29="",$G29=0),"",ROUND($F29*INDEX('01人员工时'!I$7:I$126,INT((ROW()-7)/4)+1)/$G29,2))</f>
        <v/>
      </c>
      <c r="N29" s="12">
        <f>IF(OR($D29="",$G29=0),"",ROUND($F29*INDEX('01人员工时'!J$7:J$126,INT((ROW()-7)/4)+1)/$G29,2))</f>
        <v/>
      </c>
      <c r="O29" s="12">
        <f>IF(OR($D29="",$G29=0),"",ROUND($F29*INDEX('01人员工时'!K$7:K$126,INT((ROW()-7)/4)+1)/$G29,2))</f>
        <v/>
      </c>
      <c r="P29" s="12">
        <f>IF(OR($D29="",$G29=0),"",ROUND($F29*INDEX('01人员工时'!L$7:L$126,INT((ROW()-7)/4)+1)/$G29,2))</f>
        <v/>
      </c>
      <c r="Q29" s="12">
        <f>IF(OR($D29="",$G29=0),"",ROUND($F29*INDEX('01人员工时'!M$7:M$126,INT((ROW()-7)/4)+1)/$G29,2))</f>
        <v/>
      </c>
      <c r="R29" s="12">
        <f>IF(OR($D29="",$G29=0),"",ROUND($F29*INDEX('01人员工时'!N$7:N$126,INT((ROW()-7)/4)+1)/$G29,2))</f>
        <v/>
      </c>
      <c r="S29" s="12">
        <f>IF($D29="","",SUM(K29:R29))</f>
        <v/>
      </c>
      <c r="T29" s="12">
        <f>IF($D29="","",$J29+$S29)</f>
        <v/>
      </c>
      <c r="U29" s="25">
        <f>IF($D29="","",IF($F29=0,"未维护标准",IF(ROUND($T29-$F29,2)=0,"√","差异")))</f>
        <v/>
      </c>
      <c r="V29" s="11" t="n"/>
      <c r="W29" s="9" t="n"/>
    </row>
    <row r="30" ht="18" customHeight="1">
      <c r="B30" s="26">
        <f>IF(INDEX('01人员工时'!$D$7:$D$126,INT((ROW()-7)/4)+1)&amp;""="","",INDEX('01人员工时'!$B$7:$B$126,INT((ROW()-7)/4)+1))</f>
        <v/>
      </c>
      <c r="C30" s="27">
        <f>IF($D30="","",IF(MOD(ROW()-7,4)=0,INDEX('01人员工时'!$C$7:$C$126,INT((ROW()-7)/4)+1),""))</f>
        <v/>
      </c>
      <c r="D30" s="27">
        <f>IF(INDEX('01人员工时'!$D$7:$D$126,INT((ROW()-7)/4)+1)&amp;""="","",INDEX('01人员工时'!$D$7:$D$126,INT((ROW()-7)/4)+1))</f>
        <v/>
      </c>
      <c r="E30" s="27">
        <f>IF($D30="","",INDEX('参数设置'!$K$6:$K$9,MOD(ROW()-7,4)+1))</f>
        <v/>
      </c>
      <c r="F30" s="28">
        <f>IF($D30="","",IF($V30&lt;&gt;"",$V30,IFERROR(INDEX('参数设置'!$D$17:$G$26,MATCH($D30,'参数设置'!$C$17:$C$26,0),MATCH($E30,'参数设置'!$D$16:$G$16,0)),0)))</f>
        <v/>
      </c>
      <c r="G30" s="29">
        <f>IF($D30="","",INDEX('01人员工时'!$E$7:$E$126,INT((ROW()-7)/4)+1))</f>
        <v/>
      </c>
      <c r="H30" s="29">
        <f>IF($D30="","",INDEX('01人员工时'!$O$7:$O$126,INT((ROW()-7)/4)+1))</f>
        <v/>
      </c>
      <c r="I30" s="30">
        <f>IF(OR($D30="",$G30=0),"",$H30/$G30)</f>
        <v/>
      </c>
      <c r="J30" s="31">
        <f>IF($D30="","",ROUND($F30,2)-$S30)</f>
        <v/>
      </c>
      <c r="K30" s="31">
        <f>IF(OR($D30="",$G30=0),"",ROUND($F30*INDEX('01人员工时'!G$7:G$126,INT((ROW()-7)/4)+1)/$G30,2))</f>
        <v/>
      </c>
      <c r="L30" s="31">
        <f>IF(OR($D30="",$G30=0),"",ROUND($F30*INDEX('01人员工时'!H$7:H$126,INT((ROW()-7)/4)+1)/$G30,2))</f>
        <v/>
      </c>
      <c r="M30" s="31">
        <f>IF(OR($D30="",$G30=0),"",ROUND($F30*INDEX('01人员工时'!I$7:I$126,INT((ROW()-7)/4)+1)/$G30,2))</f>
        <v/>
      </c>
      <c r="N30" s="31">
        <f>IF(OR($D30="",$G30=0),"",ROUND($F30*INDEX('01人员工时'!J$7:J$126,INT((ROW()-7)/4)+1)/$G30,2))</f>
        <v/>
      </c>
      <c r="O30" s="31">
        <f>IF(OR($D30="",$G30=0),"",ROUND($F30*INDEX('01人员工时'!K$7:K$126,INT((ROW()-7)/4)+1)/$G30,2))</f>
        <v/>
      </c>
      <c r="P30" s="31">
        <f>IF(OR($D30="",$G30=0),"",ROUND($F30*INDEX('01人员工时'!L$7:L$126,INT((ROW()-7)/4)+1)/$G30,2))</f>
        <v/>
      </c>
      <c r="Q30" s="31">
        <f>IF(OR($D30="",$G30=0),"",ROUND($F30*INDEX('01人员工时'!M$7:M$126,INT((ROW()-7)/4)+1)/$G30,2))</f>
        <v/>
      </c>
      <c r="R30" s="31">
        <f>IF(OR($D30="",$G30=0),"",ROUND($F30*INDEX('01人员工时'!N$7:N$126,INT((ROW()-7)/4)+1)/$G30,2))</f>
        <v/>
      </c>
      <c r="S30" s="31">
        <f>IF($D30="","",SUM(K30:R30))</f>
        <v/>
      </c>
      <c r="T30" s="31">
        <f>IF($D30="","",$J30+$S30)</f>
        <v/>
      </c>
      <c r="U30" s="32">
        <f>IF($D30="","",IF($F30=0,"未维护标准",IF(ROUND($T30-$F30,2)=0,"√","差异")))</f>
        <v/>
      </c>
      <c r="V30" s="33" t="n"/>
      <c r="W30" s="34" t="n"/>
    </row>
    <row r="31" ht="18" customHeight="1">
      <c r="B31" s="21">
        <f>IF(INDEX('01人员工时'!$D$7:$D$126,INT((ROW()-7)/4)+1)&amp;""="","",INDEX('01人员工时'!$B$7:$B$126,INT((ROW()-7)/4)+1))</f>
        <v/>
      </c>
      <c r="C31" s="22">
        <f>IF($D31="","",IF(MOD(ROW()-7,4)=0,INDEX('01人员工时'!$C$7:$C$126,INT((ROW()-7)/4)+1),""))</f>
        <v/>
      </c>
      <c r="D31" s="22">
        <f>IF(INDEX('01人员工时'!$D$7:$D$126,INT((ROW()-7)/4)+1)&amp;""="","",INDEX('01人员工时'!$D$7:$D$126,INT((ROW()-7)/4)+1))</f>
        <v/>
      </c>
      <c r="E31" s="22">
        <f>IF($D31="","",INDEX('参数设置'!$K$6:$K$9,MOD(ROW()-7,4)+1))</f>
        <v/>
      </c>
      <c r="F31" s="23">
        <f>IF($D31="","",IF($V31&lt;&gt;"",$V31,IFERROR(INDEX('参数设置'!$D$17:$G$26,MATCH($D31,'参数设置'!$C$17:$C$26,0),MATCH($E31,'参数设置'!$D$16:$G$16,0)),0)))</f>
        <v/>
      </c>
      <c r="G31" s="24">
        <f>IF($D31="","",INDEX('01人员工时'!$E$7:$E$126,INT((ROW()-7)/4)+1))</f>
        <v/>
      </c>
      <c r="H31" s="24">
        <f>IF($D31="","",INDEX('01人员工时'!$O$7:$O$126,INT((ROW()-7)/4)+1))</f>
        <v/>
      </c>
      <c r="I31" s="20">
        <f>IF(OR($D31="",$G31=0),"",$H31/$G31)</f>
        <v/>
      </c>
      <c r="J31" s="12">
        <f>IF($D31="","",ROUND($F31,2)-$S31)</f>
        <v/>
      </c>
      <c r="K31" s="12">
        <f>IF(OR($D31="",$G31=0),"",ROUND($F31*INDEX('01人员工时'!G$7:G$126,INT((ROW()-7)/4)+1)/$G31,2))</f>
        <v/>
      </c>
      <c r="L31" s="12">
        <f>IF(OR($D31="",$G31=0),"",ROUND($F31*INDEX('01人员工时'!H$7:H$126,INT((ROW()-7)/4)+1)/$G31,2))</f>
        <v/>
      </c>
      <c r="M31" s="12">
        <f>IF(OR($D31="",$G31=0),"",ROUND($F31*INDEX('01人员工时'!I$7:I$126,INT((ROW()-7)/4)+1)/$G31,2))</f>
        <v/>
      </c>
      <c r="N31" s="12">
        <f>IF(OR($D31="",$G31=0),"",ROUND($F31*INDEX('01人员工时'!J$7:J$126,INT((ROW()-7)/4)+1)/$G31,2))</f>
        <v/>
      </c>
      <c r="O31" s="12">
        <f>IF(OR($D31="",$G31=0),"",ROUND($F31*INDEX('01人员工时'!K$7:K$126,INT((ROW()-7)/4)+1)/$G31,2))</f>
        <v/>
      </c>
      <c r="P31" s="12">
        <f>IF(OR($D31="",$G31=0),"",ROUND($F31*INDEX('01人员工时'!L$7:L$126,INT((ROW()-7)/4)+1)/$G31,2))</f>
        <v/>
      </c>
      <c r="Q31" s="12">
        <f>IF(OR($D31="",$G31=0),"",ROUND($F31*INDEX('01人员工时'!M$7:M$126,INT((ROW()-7)/4)+1)/$G31,2))</f>
        <v/>
      </c>
      <c r="R31" s="12">
        <f>IF(OR($D31="",$G31=0),"",ROUND($F31*INDEX('01人员工时'!N$7:N$126,INT((ROW()-7)/4)+1)/$G31,2))</f>
        <v/>
      </c>
      <c r="S31" s="12">
        <f>IF($D31="","",SUM(K31:R31))</f>
        <v/>
      </c>
      <c r="T31" s="12">
        <f>IF($D31="","",$J31+$S31)</f>
        <v/>
      </c>
      <c r="U31" s="25">
        <f>IF($D31="","",IF($F31=0,"未维护标准",IF(ROUND($T31-$F31,2)=0,"√","差异")))</f>
        <v/>
      </c>
      <c r="V31" s="11" t="n"/>
      <c r="W31" s="9" t="n"/>
    </row>
    <row r="32" ht="18" customHeight="1">
      <c r="B32" s="21">
        <f>IF(INDEX('01人员工时'!$D$7:$D$126,INT((ROW()-7)/4)+1)&amp;""="","",INDEX('01人员工时'!$B$7:$B$126,INT((ROW()-7)/4)+1))</f>
        <v/>
      </c>
      <c r="C32" s="22">
        <f>IF($D32="","",IF(MOD(ROW()-7,4)=0,INDEX('01人员工时'!$C$7:$C$126,INT((ROW()-7)/4)+1),""))</f>
        <v/>
      </c>
      <c r="D32" s="22">
        <f>IF(INDEX('01人员工时'!$D$7:$D$126,INT((ROW()-7)/4)+1)&amp;""="","",INDEX('01人员工时'!$D$7:$D$126,INT((ROW()-7)/4)+1))</f>
        <v/>
      </c>
      <c r="E32" s="22">
        <f>IF($D32="","",INDEX('参数设置'!$K$6:$K$9,MOD(ROW()-7,4)+1))</f>
        <v/>
      </c>
      <c r="F32" s="23">
        <f>IF($D32="","",IF($V32&lt;&gt;"",$V32,IFERROR(INDEX('参数设置'!$D$17:$G$26,MATCH($D32,'参数设置'!$C$17:$C$26,0),MATCH($E32,'参数设置'!$D$16:$G$16,0)),0)))</f>
        <v/>
      </c>
      <c r="G32" s="24">
        <f>IF($D32="","",INDEX('01人员工时'!$E$7:$E$126,INT((ROW()-7)/4)+1))</f>
        <v/>
      </c>
      <c r="H32" s="24">
        <f>IF($D32="","",INDEX('01人员工时'!$O$7:$O$126,INT((ROW()-7)/4)+1))</f>
        <v/>
      </c>
      <c r="I32" s="20">
        <f>IF(OR($D32="",$G32=0),"",$H32/$G32)</f>
        <v/>
      </c>
      <c r="J32" s="12">
        <f>IF($D32="","",ROUND($F32,2)-$S32)</f>
        <v/>
      </c>
      <c r="K32" s="12">
        <f>IF(OR($D32="",$G32=0),"",ROUND($F32*INDEX('01人员工时'!G$7:G$126,INT((ROW()-7)/4)+1)/$G32,2))</f>
        <v/>
      </c>
      <c r="L32" s="12">
        <f>IF(OR($D32="",$G32=0),"",ROUND($F32*INDEX('01人员工时'!H$7:H$126,INT((ROW()-7)/4)+1)/$G32,2))</f>
        <v/>
      </c>
      <c r="M32" s="12">
        <f>IF(OR($D32="",$G32=0),"",ROUND($F32*INDEX('01人员工时'!I$7:I$126,INT((ROW()-7)/4)+1)/$G32,2))</f>
        <v/>
      </c>
      <c r="N32" s="12">
        <f>IF(OR($D32="",$G32=0),"",ROUND($F32*INDEX('01人员工时'!J$7:J$126,INT((ROW()-7)/4)+1)/$G32,2))</f>
        <v/>
      </c>
      <c r="O32" s="12">
        <f>IF(OR($D32="",$G32=0),"",ROUND($F32*INDEX('01人员工时'!K$7:K$126,INT((ROW()-7)/4)+1)/$G32,2))</f>
        <v/>
      </c>
      <c r="P32" s="12">
        <f>IF(OR($D32="",$G32=0),"",ROUND($F32*INDEX('01人员工时'!L$7:L$126,INT((ROW()-7)/4)+1)/$G32,2))</f>
        <v/>
      </c>
      <c r="Q32" s="12">
        <f>IF(OR($D32="",$G32=0),"",ROUND($F32*INDEX('01人员工时'!M$7:M$126,INT((ROW()-7)/4)+1)/$G32,2))</f>
        <v/>
      </c>
      <c r="R32" s="12">
        <f>IF(OR($D32="",$G32=0),"",ROUND($F32*INDEX('01人员工时'!N$7:N$126,INT((ROW()-7)/4)+1)/$G32,2))</f>
        <v/>
      </c>
      <c r="S32" s="12">
        <f>IF($D32="","",SUM(K32:R32))</f>
        <v/>
      </c>
      <c r="T32" s="12">
        <f>IF($D32="","",$J32+$S32)</f>
        <v/>
      </c>
      <c r="U32" s="25">
        <f>IF($D32="","",IF($F32=0,"未维护标准",IF(ROUND($T32-$F32,2)=0,"√","差异")))</f>
        <v/>
      </c>
      <c r="V32" s="11" t="n"/>
      <c r="W32" s="9" t="n"/>
    </row>
    <row r="33" ht="18" customHeight="1">
      <c r="B33" s="21">
        <f>IF(INDEX('01人员工时'!$D$7:$D$126,INT((ROW()-7)/4)+1)&amp;""="","",INDEX('01人员工时'!$B$7:$B$126,INT((ROW()-7)/4)+1))</f>
        <v/>
      </c>
      <c r="C33" s="22">
        <f>IF($D33="","",IF(MOD(ROW()-7,4)=0,INDEX('01人员工时'!$C$7:$C$126,INT((ROW()-7)/4)+1),""))</f>
        <v/>
      </c>
      <c r="D33" s="22">
        <f>IF(INDEX('01人员工时'!$D$7:$D$126,INT((ROW()-7)/4)+1)&amp;""="","",INDEX('01人员工时'!$D$7:$D$126,INT((ROW()-7)/4)+1))</f>
        <v/>
      </c>
      <c r="E33" s="22">
        <f>IF($D33="","",INDEX('参数设置'!$K$6:$K$9,MOD(ROW()-7,4)+1))</f>
        <v/>
      </c>
      <c r="F33" s="23">
        <f>IF($D33="","",IF($V33&lt;&gt;"",$V33,IFERROR(INDEX('参数设置'!$D$17:$G$26,MATCH($D33,'参数设置'!$C$17:$C$26,0),MATCH($E33,'参数设置'!$D$16:$G$16,0)),0)))</f>
        <v/>
      </c>
      <c r="G33" s="24">
        <f>IF($D33="","",INDEX('01人员工时'!$E$7:$E$126,INT((ROW()-7)/4)+1))</f>
        <v/>
      </c>
      <c r="H33" s="24">
        <f>IF($D33="","",INDEX('01人员工时'!$O$7:$O$126,INT((ROW()-7)/4)+1))</f>
        <v/>
      </c>
      <c r="I33" s="20">
        <f>IF(OR($D33="",$G33=0),"",$H33/$G33)</f>
        <v/>
      </c>
      <c r="J33" s="12">
        <f>IF($D33="","",ROUND($F33,2)-$S33)</f>
        <v/>
      </c>
      <c r="K33" s="12">
        <f>IF(OR($D33="",$G33=0),"",ROUND($F33*INDEX('01人员工时'!G$7:G$126,INT((ROW()-7)/4)+1)/$G33,2))</f>
        <v/>
      </c>
      <c r="L33" s="12">
        <f>IF(OR($D33="",$G33=0),"",ROUND($F33*INDEX('01人员工时'!H$7:H$126,INT((ROW()-7)/4)+1)/$G33,2))</f>
        <v/>
      </c>
      <c r="M33" s="12">
        <f>IF(OR($D33="",$G33=0),"",ROUND($F33*INDEX('01人员工时'!I$7:I$126,INT((ROW()-7)/4)+1)/$G33,2))</f>
        <v/>
      </c>
      <c r="N33" s="12">
        <f>IF(OR($D33="",$G33=0),"",ROUND($F33*INDEX('01人员工时'!J$7:J$126,INT((ROW()-7)/4)+1)/$G33,2))</f>
        <v/>
      </c>
      <c r="O33" s="12">
        <f>IF(OR($D33="",$G33=0),"",ROUND($F33*INDEX('01人员工时'!K$7:K$126,INT((ROW()-7)/4)+1)/$G33,2))</f>
        <v/>
      </c>
      <c r="P33" s="12">
        <f>IF(OR($D33="",$G33=0),"",ROUND($F33*INDEX('01人员工时'!L$7:L$126,INT((ROW()-7)/4)+1)/$G33,2))</f>
        <v/>
      </c>
      <c r="Q33" s="12">
        <f>IF(OR($D33="",$G33=0),"",ROUND($F33*INDEX('01人员工时'!M$7:M$126,INT((ROW()-7)/4)+1)/$G33,2))</f>
        <v/>
      </c>
      <c r="R33" s="12">
        <f>IF(OR($D33="",$G33=0),"",ROUND($F33*INDEX('01人员工时'!N$7:N$126,INT((ROW()-7)/4)+1)/$G33,2))</f>
        <v/>
      </c>
      <c r="S33" s="12">
        <f>IF($D33="","",SUM(K33:R33))</f>
        <v/>
      </c>
      <c r="T33" s="12">
        <f>IF($D33="","",$J33+$S33)</f>
        <v/>
      </c>
      <c r="U33" s="25">
        <f>IF($D33="","",IF($F33=0,"未维护标准",IF(ROUND($T33-$F33,2)=0,"√","差异")))</f>
        <v/>
      </c>
      <c r="V33" s="11" t="n"/>
      <c r="W33" s="9" t="n"/>
    </row>
    <row r="34" ht="18" customHeight="1">
      <c r="B34" s="26">
        <f>IF(INDEX('01人员工时'!$D$7:$D$126,INT((ROW()-7)/4)+1)&amp;""="","",INDEX('01人员工时'!$B$7:$B$126,INT((ROW()-7)/4)+1))</f>
        <v/>
      </c>
      <c r="C34" s="27">
        <f>IF($D34="","",IF(MOD(ROW()-7,4)=0,INDEX('01人员工时'!$C$7:$C$126,INT((ROW()-7)/4)+1),""))</f>
        <v/>
      </c>
      <c r="D34" s="27">
        <f>IF(INDEX('01人员工时'!$D$7:$D$126,INT((ROW()-7)/4)+1)&amp;""="","",INDEX('01人员工时'!$D$7:$D$126,INT((ROW()-7)/4)+1))</f>
        <v/>
      </c>
      <c r="E34" s="27">
        <f>IF($D34="","",INDEX('参数设置'!$K$6:$K$9,MOD(ROW()-7,4)+1))</f>
        <v/>
      </c>
      <c r="F34" s="28">
        <f>IF($D34="","",IF($V34&lt;&gt;"",$V34,IFERROR(INDEX('参数设置'!$D$17:$G$26,MATCH($D34,'参数设置'!$C$17:$C$26,0),MATCH($E34,'参数设置'!$D$16:$G$16,0)),0)))</f>
        <v/>
      </c>
      <c r="G34" s="29">
        <f>IF($D34="","",INDEX('01人员工时'!$E$7:$E$126,INT((ROW()-7)/4)+1))</f>
        <v/>
      </c>
      <c r="H34" s="29">
        <f>IF($D34="","",INDEX('01人员工时'!$O$7:$O$126,INT((ROW()-7)/4)+1))</f>
        <v/>
      </c>
      <c r="I34" s="30">
        <f>IF(OR($D34="",$G34=0),"",$H34/$G34)</f>
        <v/>
      </c>
      <c r="J34" s="31">
        <f>IF($D34="","",ROUND($F34,2)-$S34)</f>
        <v/>
      </c>
      <c r="K34" s="31">
        <f>IF(OR($D34="",$G34=0),"",ROUND($F34*INDEX('01人员工时'!G$7:G$126,INT((ROW()-7)/4)+1)/$G34,2))</f>
        <v/>
      </c>
      <c r="L34" s="31">
        <f>IF(OR($D34="",$G34=0),"",ROUND($F34*INDEX('01人员工时'!H$7:H$126,INT((ROW()-7)/4)+1)/$G34,2))</f>
        <v/>
      </c>
      <c r="M34" s="31">
        <f>IF(OR($D34="",$G34=0),"",ROUND($F34*INDEX('01人员工时'!I$7:I$126,INT((ROW()-7)/4)+1)/$G34,2))</f>
        <v/>
      </c>
      <c r="N34" s="31">
        <f>IF(OR($D34="",$G34=0),"",ROUND($F34*INDEX('01人员工时'!J$7:J$126,INT((ROW()-7)/4)+1)/$G34,2))</f>
        <v/>
      </c>
      <c r="O34" s="31">
        <f>IF(OR($D34="",$G34=0),"",ROUND($F34*INDEX('01人员工时'!K$7:K$126,INT((ROW()-7)/4)+1)/$G34,2))</f>
        <v/>
      </c>
      <c r="P34" s="31">
        <f>IF(OR($D34="",$G34=0),"",ROUND($F34*INDEX('01人员工时'!L$7:L$126,INT((ROW()-7)/4)+1)/$G34,2))</f>
        <v/>
      </c>
      <c r="Q34" s="31">
        <f>IF(OR($D34="",$G34=0),"",ROUND($F34*INDEX('01人员工时'!M$7:M$126,INT((ROW()-7)/4)+1)/$G34,2))</f>
        <v/>
      </c>
      <c r="R34" s="31">
        <f>IF(OR($D34="",$G34=0),"",ROUND($F34*INDEX('01人员工时'!N$7:N$126,INT((ROW()-7)/4)+1)/$G34,2))</f>
        <v/>
      </c>
      <c r="S34" s="31">
        <f>IF($D34="","",SUM(K34:R34))</f>
        <v/>
      </c>
      <c r="T34" s="31">
        <f>IF($D34="","",$J34+$S34)</f>
        <v/>
      </c>
      <c r="U34" s="32">
        <f>IF($D34="","",IF($F34=0,"未维护标准",IF(ROUND($T34-$F34,2)=0,"√","差异")))</f>
        <v/>
      </c>
      <c r="V34" s="33" t="n"/>
      <c r="W34" s="34" t="n"/>
    </row>
    <row r="35" ht="18" customHeight="1">
      <c r="B35" s="21">
        <f>IF(INDEX('01人员工时'!$D$7:$D$126,INT((ROW()-7)/4)+1)&amp;""="","",INDEX('01人员工时'!$B$7:$B$126,INT((ROW()-7)/4)+1))</f>
        <v/>
      </c>
      <c r="C35" s="22">
        <f>IF($D35="","",IF(MOD(ROW()-7,4)=0,INDEX('01人员工时'!$C$7:$C$126,INT((ROW()-7)/4)+1),""))</f>
        <v/>
      </c>
      <c r="D35" s="22">
        <f>IF(INDEX('01人员工时'!$D$7:$D$126,INT((ROW()-7)/4)+1)&amp;""="","",INDEX('01人员工时'!$D$7:$D$126,INT((ROW()-7)/4)+1))</f>
        <v/>
      </c>
      <c r="E35" s="22">
        <f>IF($D35="","",INDEX('参数设置'!$K$6:$K$9,MOD(ROW()-7,4)+1))</f>
        <v/>
      </c>
      <c r="F35" s="23">
        <f>IF($D35="","",IF($V35&lt;&gt;"",$V35,IFERROR(INDEX('参数设置'!$D$17:$G$26,MATCH($D35,'参数设置'!$C$17:$C$26,0),MATCH($E35,'参数设置'!$D$16:$G$16,0)),0)))</f>
        <v/>
      </c>
      <c r="G35" s="24">
        <f>IF($D35="","",INDEX('01人员工时'!$E$7:$E$126,INT((ROW()-7)/4)+1))</f>
        <v/>
      </c>
      <c r="H35" s="24">
        <f>IF($D35="","",INDEX('01人员工时'!$O$7:$O$126,INT((ROW()-7)/4)+1))</f>
        <v/>
      </c>
      <c r="I35" s="20">
        <f>IF(OR($D35="",$G35=0),"",$H35/$G35)</f>
        <v/>
      </c>
      <c r="J35" s="12">
        <f>IF($D35="","",ROUND($F35,2)-$S35)</f>
        <v/>
      </c>
      <c r="K35" s="12">
        <f>IF(OR($D35="",$G35=0),"",ROUND($F35*INDEX('01人员工时'!G$7:G$126,INT((ROW()-7)/4)+1)/$G35,2))</f>
        <v/>
      </c>
      <c r="L35" s="12">
        <f>IF(OR($D35="",$G35=0),"",ROUND($F35*INDEX('01人员工时'!H$7:H$126,INT((ROW()-7)/4)+1)/$G35,2))</f>
        <v/>
      </c>
      <c r="M35" s="12">
        <f>IF(OR($D35="",$G35=0),"",ROUND($F35*INDEX('01人员工时'!I$7:I$126,INT((ROW()-7)/4)+1)/$G35,2))</f>
        <v/>
      </c>
      <c r="N35" s="12">
        <f>IF(OR($D35="",$G35=0),"",ROUND($F35*INDEX('01人员工时'!J$7:J$126,INT((ROW()-7)/4)+1)/$G35,2))</f>
        <v/>
      </c>
      <c r="O35" s="12">
        <f>IF(OR($D35="",$G35=0),"",ROUND($F35*INDEX('01人员工时'!K$7:K$126,INT((ROW()-7)/4)+1)/$G35,2))</f>
        <v/>
      </c>
      <c r="P35" s="12">
        <f>IF(OR($D35="",$G35=0),"",ROUND($F35*INDEX('01人员工时'!L$7:L$126,INT((ROW()-7)/4)+1)/$G35,2))</f>
        <v/>
      </c>
      <c r="Q35" s="12">
        <f>IF(OR($D35="",$G35=0),"",ROUND($F35*INDEX('01人员工时'!M$7:M$126,INT((ROW()-7)/4)+1)/$G35,2))</f>
        <v/>
      </c>
      <c r="R35" s="12">
        <f>IF(OR($D35="",$G35=0),"",ROUND($F35*INDEX('01人员工时'!N$7:N$126,INT((ROW()-7)/4)+1)/$G35,2))</f>
        <v/>
      </c>
      <c r="S35" s="12">
        <f>IF($D35="","",SUM(K35:R35))</f>
        <v/>
      </c>
      <c r="T35" s="12">
        <f>IF($D35="","",$J35+$S35)</f>
        <v/>
      </c>
      <c r="U35" s="25">
        <f>IF($D35="","",IF($F35=0,"未维护标准",IF(ROUND($T35-$F35,2)=0,"√","差异")))</f>
        <v/>
      </c>
      <c r="V35" s="11" t="n"/>
      <c r="W35" s="9" t="n"/>
    </row>
    <row r="36" ht="18" customHeight="1">
      <c r="B36" s="21">
        <f>IF(INDEX('01人员工时'!$D$7:$D$126,INT((ROW()-7)/4)+1)&amp;""="","",INDEX('01人员工时'!$B$7:$B$126,INT((ROW()-7)/4)+1))</f>
        <v/>
      </c>
      <c r="C36" s="22">
        <f>IF($D36="","",IF(MOD(ROW()-7,4)=0,INDEX('01人员工时'!$C$7:$C$126,INT((ROW()-7)/4)+1),""))</f>
        <v/>
      </c>
      <c r="D36" s="22">
        <f>IF(INDEX('01人员工时'!$D$7:$D$126,INT((ROW()-7)/4)+1)&amp;""="","",INDEX('01人员工时'!$D$7:$D$126,INT((ROW()-7)/4)+1))</f>
        <v/>
      </c>
      <c r="E36" s="22">
        <f>IF($D36="","",INDEX('参数设置'!$K$6:$K$9,MOD(ROW()-7,4)+1))</f>
        <v/>
      </c>
      <c r="F36" s="23">
        <f>IF($D36="","",IF($V36&lt;&gt;"",$V36,IFERROR(INDEX('参数设置'!$D$17:$G$26,MATCH($D36,'参数设置'!$C$17:$C$26,0),MATCH($E36,'参数设置'!$D$16:$G$16,0)),0)))</f>
        <v/>
      </c>
      <c r="G36" s="24">
        <f>IF($D36="","",INDEX('01人员工时'!$E$7:$E$126,INT((ROW()-7)/4)+1))</f>
        <v/>
      </c>
      <c r="H36" s="24">
        <f>IF($D36="","",INDEX('01人员工时'!$O$7:$O$126,INT((ROW()-7)/4)+1))</f>
        <v/>
      </c>
      <c r="I36" s="20">
        <f>IF(OR($D36="",$G36=0),"",$H36/$G36)</f>
        <v/>
      </c>
      <c r="J36" s="12">
        <f>IF($D36="","",ROUND($F36,2)-$S36)</f>
        <v/>
      </c>
      <c r="K36" s="12">
        <f>IF(OR($D36="",$G36=0),"",ROUND($F36*INDEX('01人员工时'!G$7:G$126,INT((ROW()-7)/4)+1)/$G36,2))</f>
        <v/>
      </c>
      <c r="L36" s="12">
        <f>IF(OR($D36="",$G36=0),"",ROUND($F36*INDEX('01人员工时'!H$7:H$126,INT((ROW()-7)/4)+1)/$G36,2))</f>
        <v/>
      </c>
      <c r="M36" s="12">
        <f>IF(OR($D36="",$G36=0),"",ROUND($F36*INDEX('01人员工时'!I$7:I$126,INT((ROW()-7)/4)+1)/$G36,2))</f>
        <v/>
      </c>
      <c r="N36" s="12">
        <f>IF(OR($D36="",$G36=0),"",ROUND($F36*INDEX('01人员工时'!J$7:J$126,INT((ROW()-7)/4)+1)/$G36,2))</f>
        <v/>
      </c>
      <c r="O36" s="12">
        <f>IF(OR($D36="",$G36=0),"",ROUND($F36*INDEX('01人员工时'!K$7:K$126,INT((ROW()-7)/4)+1)/$G36,2))</f>
        <v/>
      </c>
      <c r="P36" s="12">
        <f>IF(OR($D36="",$G36=0),"",ROUND($F36*INDEX('01人员工时'!L$7:L$126,INT((ROW()-7)/4)+1)/$G36,2))</f>
        <v/>
      </c>
      <c r="Q36" s="12">
        <f>IF(OR($D36="",$G36=0),"",ROUND($F36*INDEX('01人员工时'!M$7:M$126,INT((ROW()-7)/4)+1)/$G36,2))</f>
        <v/>
      </c>
      <c r="R36" s="12">
        <f>IF(OR($D36="",$G36=0),"",ROUND($F36*INDEX('01人员工时'!N$7:N$126,INT((ROW()-7)/4)+1)/$G36,2))</f>
        <v/>
      </c>
      <c r="S36" s="12">
        <f>IF($D36="","",SUM(K36:R36))</f>
        <v/>
      </c>
      <c r="T36" s="12">
        <f>IF($D36="","",$J36+$S36)</f>
        <v/>
      </c>
      <c r="U36" s="25">
        <f>IF($D36="","",IF($F36=0,"未维护标准",IF(ROUND($T36-$F36,2)=0,"√","差异")))</f>
        <v/>
      </c>
      <c r="V36" s="11" t="n"/>
      <c r="W36" s="9" t="n"/>
    </row>
    <row r="37" ht="18" customHeight="1">
      <c r="B37" s="21">
        <f>IF(INDEX('01人员工时'!$D$7:$D$126,INT((ROW()-7)/4)+1)&amp;""="","",INDEX('01人员工时'!$B$7:$B$126,INT((ROW()-7)/4)+1))</f>
        <v/>
      </c>
      <c r="C37" s="22">
        <f>IF($D37="","",IF(MOD(ROW()-7,4)=0,INDEX('01人员工时'!$C$7:$C$126,INT((ROW()-7)/4)+1),""))</f>
        <v/>
      </c>
      <c r="D37" s="22">
        <f>IF(INDEX('01人员工时'!$D$7:$D$126,INT((ROW()-7)/4)+1)&amp;""="","",INDEX('01人员工时'!$D$7:$D$126,INT((ROW()-7)/4)+1))</f>
        <v/>
      </c>
      <c r="E37" s="22">
        <f>IF($D37="","",INDEX('参数设置'!$K$6:$K$9,MOD(ROW()-7,4)+1))</f>
        <v/>
      </c>
      <c r="F37" s="23">
        <f>IF($D37="","",IF($V37&lt;&gt;"",$V37,IFERROR(INDEX('参数设置'!$D$17:$G$26,MATCH($D37,'参数设置'!$C$17:$C$26,0),MATCH($E37,'参数设置'!$D$16:$G$16,0)),0)))</f>
        <v/>
      </c>
      <c r="G37" s="24">
        <f>IF($D37="","",INDEX('01人员工时'!$E$7:$E$126,INT((ROW()-7)/4)+1))</f>
        <v/>
      </c>
      <c r="H37" s="24">
        <f>IF($D37="","",INDEX('01人员工时'!$O$7:$O$126,INT((ROW()-7)/4)+1))</f>
        <v/>
      </c>
      <c r="I37" s="20">
        <f>IF(OR($D37="",$G37=0),"",$H37/$G37)</f>
        <v/>
      </c>
      <c r="J37" s="12">
        <f>IF($D37="","",ROUND($F37,2)-$S37)</f>
        <v/>
      </c>
      <c r="K37" s="12">
        <f>IF(OR($D37="",$G37=0),"",ROUND($F37*INDEX('01人员工时'!G$7:G$126,INT((ROW()-7)/4)+1)/$G37,2))</f>
        <v/>
      </c>
      <c r="L37" s="12">
        <f>IF(OR($D37="",$G37=0),"",ROUND($F37*INDEX('01人员工时'!H$7:H$126,INT((ROW()-7)/4)+1)/$G37,2))</f>
        <v/>
      </c>
      <c r="M37" s="12">
        <f>IF(OR($D37="",$G37=0),"",ROUND($F37*INDEX('01人员工时'!I$7:I$126,INT((ROW()-7)/4)+1)/$G37,2))</f>
        <v/>
      </c>
      <c r="N37" s="12">
        <f>IF(OR($D37="",$G37=0),"",ROUND($F37*INDEX('01人员工时'!J$7:J$126,INT((ROW()-7)/4)+1)/$G37,2))</f>
        <v/>
      </c>
      <c r="O37" s="12">
        <f>IF(OR($D37="",$G37=0),"",ROUND($F37*INDEX('01人员工时'!K$7:K$126,INT((ROW()-7)/4)+1)/$G37,2))</f>
        <v/>
      </c>
      <c r="P37" s="12">
        <f>IF(OR($D37="",$G37=0),"",ROUND($F37*INDEX('01人员工时'!L$7:L$126,INT((ROW()-7)/4)+1)/$G37,2))</f>
        <v/>
      </c>
      <c r="Q37" s="12">
        <f>IF(OR($D37="",$G37=0),"",ROUND($F37*INDEX('01人员工时'!M$7:M$126,INT((ROW()-7)/4)+1)/$G37,2))</f>
        <v/>
      </c>
      <c r="R37" s="12">
        <f>IF(OR($D37="",$G37=0),"",ROUND($F37*INDEX('01人员工时'!N$7:N$126,INT((ROW()-7)/4)+1)/$G37,2))</f>
        <v/>
      </c>
      <c r="S37" s="12">
        <f>IF($D37="","",SUM(K37:R37))</f>
        <v/>
      </c>
      <c r="T37" s="12">
        <f>IF($D37="","",$J37+$S37)</f>
        <v/>
      </c>
      <c r="U37" s="25">
        <f>IF($D37="","",IF($F37=0,"未维护标准",IF(ROUND($T37-$F37,2)=0,"√","差异")))</f>
        <v/>
      </c>
      <c r="V37" s="11" t="n"/>
      <c r="W37" s="9" t="n"/>
    </row>
    <row r="38" ht="18" customHeight="1">
      <c r="B38" s="26">
        <f>IF(INDEX('01人员工时'!$D$7:$D$126,INT((ROW()-7)/4)+1)&amp;""="","",INDEX('01人员工时'!$B$7:$B$126,INT((ROW()-7)/4)+1))</f>
        <v/>
      </c>
      <c r="C38" s="27">
        <f>IF($D38="","",IF(MOD(ROW()-7,4)=0,INDEX('01人员工时'!$C$7:$C$126,INT((ROW()-7)/4)+1),""))</f>
        <v/>
      </c>
      <c r="D38" s="27">
        <f>IF(INDEX('01人员工时'!$D$7:$D$126,INT((ROW()-7)/4)+1)&amp;""="","",INDEX('01人员工时'!$D$7:$D$126,INT((ROW()-7)/4)+1))</f>
        <v/>
      </c>
      <c r="E38" s="27">
        <f>IF($D38="","",INDEX('参数设置'!$K$6:$K$9,MOD(ROW()-7,4)+1))</f>
        <v/>
      </c>
      <c r="F38" s="28">
        <f>IF($D38="","",IF($V38&lt;&gt;"",$V38,IFERROR(INDEX('参数设置'!$D$17:$G$26,MATCH($D38,'参数设置'!$C$17:$C$26,0),MATCH($E38,'参数设置'!$D$16:$G$16,0)),0)))</f>
        <v/>
      </c>
      <c r="G38" s="29">
        <f>IF($D38="","",INDEX('01人员工时'!$E$7:$E$126,INT((ROW()-7)/4)+1))</f>
        <v/>
      </c>
      <c r="H38" s="29">
        <f>IF($D38="","",INDEX('01人员工时'!$O$7:$O$126,INT((ROW()-7)/4)+1))</f>
        <v/>
      </c>
      <c r="I38" s="30">
        <f>IF(OR($D38="",$G38=0),"",$H38/$G38)</f>
        <v/>
      </c>
      <c r="J38" s="31">
        <f>IF($D38="","",ROUND($F38,2)-$S38)</f>
        <v/>
      </c>
      <c r="K38" s="31">
        <f>IF(OR($D38="",$G38=0),"",ROUND($F38*INDEX('01人员工时'!G$7:G$126,INT((ROW()-7)/4)+1)/$G38,2))</f>
        <v/>
      </c>
      <c r="L38" s="31">
        <f>IF(OR($D38="",$G38=0),"",ROUND($F38*INDEX('01人员工时'!H$7:H$126,INT((ROW()-7)/4)+1)/$G38,2))</f>
        <v/>
      </c>
      <c r="M38" s="31">
        <f>IF(OR($D38="",$G38=0),"",ROUND($F38*INDEX('01人员工时'!I$7:I$126,INT((ROW()-7)/4)+1)/$G38,2))</f>
        <v/>
      </c>
      <c r="N38" s="31">
        <f>IF(OR($D38="",$G38=0),"",ROUND($F38*INDEX('01人员工时'!J$7:J$126,INT((ROW()-7)/4)+1)/$G38,2))</f>
        <v/>
      </c>
      <c r="O38" s="31">
        <f>IF(OR($D38="",$G38=0),"",ROUND($F38*INDEX('01人员工时'!K$7:K$126,INT((ROW()-7)/4)+1)/$G38,2))</f>
        <v/>
      </c>
      <c r="P38" s="31">
        <f>IF(OR($D38="",$G38=0),"",ROUND($F38*INDEX('01人员工时'!L$7:L$126,INT((ROW()-7)/4)+1)/$G38,2))</f>
        <v/>
      </c>
      <c r="Q38" s="31">
        <f>IF(OR($D38="",$G38=0),"",ROUND($F38*INDEX('01人员工时'!M$7:M$126,INT((ROW()-7)/4)+1)/$G38,2))</f>
        <v/>
      </c>
      <c r="R38" s="31">
        <f>IF(OR($D38="",$G38=0),"",ROUND($F38*INDEX('01人员工时'!N$7:N$126,INT((ROW()-7)/4)+1)/$G38,2))</f>
        <v/>
      </c>
      <c r="S38" s="31">
        <f>IF($D38="","",SUM(K38:R38))</f>
        <v/>
      </c>
      <c r="T38" s="31">
        <f>IF($D38="","",$J38+$S38)</f>
        <v/>
      </c>
      <c r="U38" s="32">
        <f>IF($D38="","",IF($F38=0,"未维护标准",IF(ROUND($T38-$F38,2)=0,"√","差异")))</f>
        <v/>
      </c>
      <c r="V38" s="33" t="n"/>
      <c r="W38" s="34" t="n"/>
    </row>
    <row r="39" ht="18" customHeight="1">
      <c r="B39" s="21">
        <f>IF(INDEX('01人员工时'!$D$7:$D$126,INT((ROW()-7)/4)+1)&amp;""="","",INDEX('01人员工时'!$B$7:$B$126,INT((ROW()-7)/4)+1))</f>
        <v/>
      </c>
      <c r="C39" s="22">
        <f>IF($D39="","",IF(MOD(ROW()-7,4)=0,INDEX('01人员工时'!$C$7:$C$126,INT((ROW()-7)/4)+1),""))</f>
        <v/>
      </c>
      <c r="D39" s="22">
        <f>IF(INDEX('01人员工时'!$D$7:$D$126,INT((ROW()-7)/4)+1)&amp;""="","",INDEX('01人员工时'!$D$7:$D$126,INT((ROW()-7)/4)+1))</f>
        <v/>
      </c>
      <c r="E39" s="22">
        <f>IF($D39="","",INDEX('参数设置'!$K$6:$K$9,MOD(ROW()-7,4)+1))</f>
        <v/>
      </c>
      <c r="F39" s="23">
        <f>IF($D39="","",IF($V39&lt;&gt;"",$V39,IFERROR(INDEX('参数设置'!$D$17:$G$26,MATCH($D39,'参数设置'!$C$17:$C$26,0),MATCH($E39,'参数设置'!$D$16:$G$16,0)),0)))</f>
        <v/>
      </c>
      <c r="G39" s="24">
        <f>IF($D39="","",INDEX('01人员工时'!$E$7:$E$126,INT((ROW()-7)/4)+1))</f>
        <v/>
      </c>
      <c r="H39" s="24">
        <f>IF($D39="","",INDEX('01人员工时'!$O$7:$O$126,INT((ROW()-7)/4)+1))</f>
        <v/>
      </c>
      <c r="I39" s="20">
        <f>IF(OR($D39="",$G39=0),"",$H39/$G39)</f>
        <v/>
      </c>
      <c r="J39" s="12">
        <f>IF($D39="","",ROUND($F39,2)-$S39)</f>
        <v/>
      </c>
      <c r="K39" s="12">
        <f>IF(OR($D39="",$G39=0),"",ROUND($F39*INDEX('01人员工时'!G$7:G$126,INT((ROW()-7)/4)+1)/$G39,2))</f>
        <v/>
      </c>
      <c r="L39" s="12">
        <f>IF(OR($D39="",$G39=0),"",ROUND($F39*INDEX('01人员工时'!H$7:H$126,INT((ROW()-7)/4)+1)/$G39,2))</f>
        <v/>
      </c>
      <c r="M39" s="12">
        <f>IF(OR($D39="",$G39=0),"",ROUND($F39*INDEX('01人员工时'!I$7:I$126,INT((ROW()-7)/4)+1)/$G39,2))</f>
        <v/>
      </c>
      <c r="N39" s="12">
        <f>IF(OR($D39="",$G39=0),"",ROUND($F39*INDEX('01人员工时'!J$7:J$126,INT((ROW()-7)/4)+1)/$G39,2))</f>
        <v/>
      </c>
      <c r="O39" s="12">
        <f>IF(OR($D39="",$G39=0),"",ROUND($F39*INDEX('01人员工时'!K$7:K$126,INT((ROW()-7)/4)+1)/$G39,2))</f>
        <v/>
      </c>
      <c r="P39" s="12">
        <f>IF(OR($D39="",$G39=0),"",ROUND($F39*INDEX('01人员工时'!L$7:L$126,INT((ROW()-7)/4)+1)/$G39,2))</f>
        <v/>
      </c>
      <c r="Q39" s="12">
        <f>IF(OR($D39="",$G39=0),"",ROUND($F39*INDEX('01人员工时'!M$7:M$126,INT((ROW()-7)/4)+1)/$G39,2))</f>
        <v/>
      </c>
      <c r="R39" s="12">
        <f>IF(OR($D39="",$G39=0),"",ROUND($F39*INDEX('01人员工时'!N$7:N$126,INT((ROW()-7)/4)+1)/$G39,2))</f>
        <v/>
      </c>
      <c r="S39" s="12">
        <f>IF($D39="","",SUM(K39:R39))</f>
        <v/>
      </c>
      <c r="T39" s="12">
        <f>IF($D39="","",$J39+$S39)</f>
        <v/>
      </c>
      <c r="U39" s="25">
        <f>IF($D39="","",IF($F39=0,"未维护标准",IF(ROUND($T39-$F39,2)=0,"√","差异")))</f>
        <v/>
      </c>
      <c r="V39" s="11" t="n"/>
      <c r="W39" s="9" t="n"/>
    </row>
    <row r="40" ht="18" customHeight="1">
      <c r="B40" s="21">
        <f>IF(INDEX('01人员工时'!$D$7:$D$126,INT((ROW()-7)/4)+1)&amp;""="","",INDEX('01人员工时'!$B$7:$B$126,INT((ROW()-7)/4)+1))</f>
        <v/>
      </c>
      <c r="C40" s="22">
        <f>IF($D40="","",IF(MOD(ROW()-7,4)=0,INDEX('01人员工时'!$C$7:$C$126,INT((ROW()-7)/4)+1),""))</f>
        <v/>
      </c>
      <c r="D40" s="22">
        <f>IF(INDEX('01人员工时'!$D$7:$D$126,INT((ROW()-7)/4)+1)&amp;""="","",INDEX('01人员工时'!$D$7:$D$126,INT((ROW()-7)/4)+1))</f>
        <v/>
      </c>
      <c r="E40" s="22">
        <f>IF($D40="","",INDEX('参数设置'!$K$6:$K$9,MOD(ROW()-7,4)+1))</f>
        <v/>
      </c>
      <c r="F40" s="23">
        <f>IF($D40="","",IF($V40&lt;&gt;"",$V40,IFERROR(INDEX('参数设置'!$D$17:$G$26,MATCH($D40,'参数设置'!$C$17:$C$26,0),MATCH($E40,'参数设置'!$D$16:$G$16,0)),0)))</f>
        <v/>
      </c>
      <c r="G40" s="24">
        <f>IF($D40="","",INDEX('01人员工时'!$E$7:$E$126,INT((ROW()-7)/4)+1))</f>
        <v/>
      </c>
      <c r="H40" s="24">
        <f>IF($D40="","",INDEX('01人员工时'!$O$7:$O$126,INT((ROW()-7)/4)+1))</f>
        <v/>
      </c>
      <c r="I40" s="20">
        <f>IF(OR($D40="",$G40=0),"",$H40/$G40)</f>
        <v/>
      </c>
      <c r="J40" s="12">
        <f>IF($D40="","",ROUND($F40,2)-$S40)</f>
        <v/>
      </c>
      <c r="K40" s="12">
        <f>IF(OR($D40="",$G40=0),"",ROUND($F40*INDEX('01人员工时'!G$7:G$126,INT((ROW()-7)/4)+1)/$G40,2))</f>
        <v/>
      </c>
      <c r="L40" s="12">
        <f>IF(OR($D40="",$G40=0),"",ROUND($F40*INDEX('01人员工时'!H$7:H$126,INT((ROW()-7)/4)+1)/$G40,2))</f>
        <v/>
      </c>
      <c r="M40" s="12">
        <f>IF(OR($D40="",$G40=0),"",ROUND($F40*INDEX('01人员工时'!I$7:I$126,INT((ROW()-7)/4)+1)/$G40,2))</f>
        <v/>
      </c>
      <c r="N40" s="12">
        <f>IF(OR($D40="",$G40=0),"",ROUND($F40*INDEX('01人员工时'!J$7:J$126,INT((ROW()-7)/4)+1)/$G40,2))</f>
        <v/>
      </c>
      <c r="O40" s="12">
        <f>IF(OR($D40="",$G40=0),"",ROUND($F40*INDEX('01人员工时'!K$7:K$126,INT((ROW()-7)/4)+1)/$G40,2))</f>
        <v/>
      </c>
      <c r="P40" s="12">
        <f>IF(OR($D40="",$G40=0),"",ROUND($F40*INDEX('01人员工时'!L$7:L$126,INT((ROW()-7)/4)+1)/$G40,2))</f>
        <v/>
      </c>
      <c r="Q40" s="12">
        <f>IF(OR($D40="",$G40=0),"",ROUND($F40*INDEX('01人员工时'!M$7:M$126,INT((ROW()-7)/4)+1)/$G40,2))</f>
        <v/>
      </c>
      <c r="R40" s="12">
        <f>IF(OR($D40="",$G40=0),"",ROUND($F40*INDEX('01人员工时'!N$7:N$126,INT((ROW()-7)/4)+1)/$G40,2))</f>
        <v/>
      </c>
      <c r="S40" s="12">
        <f>IF($D40="","",SUM(K40:R40))</f>
        <v/>
      </c>
      <c r="T40" s="12">
        <f>IF($D40="","",$J40+$S40)</f>
        <v/>
      </c>
      <c r="U40" s="25">
        <f>IF($D40="","",IF($F40=0,"未维护标准",IF(ROUND($T40-$F40,2)=0,"√","差异")))</f>
        <v/>
      </c>
      <c r="V40" s="11" t="n"/>
      <c r="W40" s="9" t="n"/>
    </row>
    <row r="41" ht="18" customHeight="1">
      <c r="B41" s="21">
        <f>IF(INDEX('01人员工时'!$D$7:$D$126,INT((ROW()-7)/4)+1)&amp;""="","",INDEX('01人员工时'!$B$7:$B$126,INT((ROW()-7)/4)+1))</f>
        <v/>
      </c>
      <c r="C41" s="22">
        <f>IF($D41="","",IF(MOD(ROW()-7,4)=0,INDEX('01人员工时'!$C$7:$C$126,INT((ROW()-7)/4)+1),""))</f>
        <v/>
      </c>
      <c r="D41" s="22">
        <f>IF(INDEX('01人员工时'!$D$7:$D$126,INT((ROW()-7)/4)+1)&amp;""="","",INDEX('01人员工时'!$D$7:$D$126,INT((ROW()-7)/4)+1))</f>
        <v/>
      </c>
      <c r="E41" s="22">
        <f>IF($D41="","",INDEX('参数设置'!$K$6:$K$9,MOD(ROW()-7,4)+1))</f>
        <v/>
      </c>
      <c r="F41" s="23">
        <f>IF($D41="","",IF($V41&lt;&gt;"",$V41,IFERROR(INDEX('参数设置'!$D$17:$G$26,MATCH($D41,'参数设置'!$C$17:$C$26,0),MATCH($E41,'参数设置'!$D$16:$G$16,0)),0)))</f>
        <v/>
      </c>
      <c r="G41" s="24">
        <f>IF($D41="","",INDEX('01人员工时'!$E$7:$E$126,INT((ROW()-7)/4)+1))</f>
        <v/>
      </c>
      <c r="H41" s="24">
        <f>IF($D41="","",INDEX('01人员工时'!$O$7:$O$126,INT((ROW()-7)/4)+1))</f>
        <v/>
      </c>
      <c r="I41" s="20">
        <f>IF(OR($D41="",$G41=0),"",$H41/$G41)</f>
        <v/>
      </c>
      <c r="J41" s="12">
        <f>IF($D41="","",ROUND($F41,2)-$S41)</f>
        <v/>
      </c>
      <c r="K41" s="12">
        <f>IF(OR($D41="",$G41=0),"",ROUND($F41*INDEX('01人员工时'!G$7:G$126,INT((ROW()-7)/4)+1)/$G41,2))</f>
        <v/>
      </c>
      <c r="L41" s="12">
        <f>IF(OR($D41="",$G41=0),"",ROUND($F41*INDEX('01人员工时'!H$7:H$126,INT((ROW()-7)/4)+1)/$G41,2))</f>
        <v/>
      </c>
      <c r="M41" s="12">
        <f>IF(OR($D41="",$G41=0),"",ROUND($F41*INDEX('01人员工时'!I$7:I$126,INT((ROW()-7)/4)+1)/$G41,2))</f>
        <v/>
      </c>
      <c r="N41" s="12">
        <f>IF(OR($D41="",$G41=0),"",ROUND($F41*INDEX('01人员工时'!J$7:J$126,INT((ROW()-7)/4)+1)/$G41,2))</f>
        <v/>
      </c>
      <c r="O41" s="12">
        <f>IF(OR($D41="",$G41=0),"",ROUND($F41*INDEX('01人员工时'!K$7:K$126,INT((ROW()-7)/4)+1)/$G41,2))</f>
        <v/>
      </c>
      <c r="P41" s="12">
        <f>IF(OR($D41="",$G41=0),"",ROUND($F41*INDEX('01人员工时'!L$7:L$126,INT((ROW()-7)/4)+1)/$G41,2))</f>
        <v/>
      </c>
      <c r="Q41" s="12">
        <f>IF(OR($D41="",$G41=0),"",ROUND($F41*INDEX('01人员工时'!M$7:M$126,INT((ROW()-7)/4)+1)/$G41,2))</f>
        <v/>
      </c>
      <c r="R41" s="12">
        <f>IF(OR($D41="",$G41=0),"",ROUND($F41*INDEX('01人员工时'!N$7:N$126,INT((ROW()-7)/4)+1)/$G41,2))</f>
        <v/>
      </c>
      <c r="S41" s="12">
        <f>IF($D41="","",SUM(K41:R41))</f>
        <v/>
      </c>
      <c r="T41" s="12">
        <f>IF($D41="","",$J41+$S41)</f>
        <v/>
      </c>
      <c r="U41" s="25">
        <f>IF($D41="","",IF($F41=0,"未维护标准",IF(ROUND($T41-$F41,2)=0,"√","差异")))</f>
        <v/>
      </c>
      <c r="V41" s="11" t="n"/>
      <c r="W41" s="9" t="n"/>
    </row>
    <row r="42" ht="18" customHeight="1">
      <c r="B42" s="26">
        <f>IF(INDEX('01人员工时'!$D$7:$D$126,INT((ROW()-7)/4)+1)&amp;""="","",INDEX('01人员工时'!$B$7:$B$126,INT((ROW()-7)/4)+1))</f>
        <v/>
      </c>
      <c r="C42" s="27">
        <f>IF($D42="","",IF(MOD(ROW()-7,4)=0,INDEX('01人员工时'!$C$7:$C$126,INT((ROW()-7)/4)+1),""))</f>
        <v/>
      </c>
      <c r="D42" s="27">
        <f>IF(INDEX('01人员工时'!$D$7:$D$126,INT((ROW()-7)/4)+1)&amp;""="","",INDEX('01人员工时'!$D$7:$D$126,INT((ROW()-7)/4)+1))</f>
        <v/>
      </c>
      <c r="E42" s="27">
        <f>IF($D42="","",INDEX('参数设置'!$K$6:$K$9,MOD(ROW()-7,4)+1))</f>
        <v/>
      </c>
      <c r="F42" s="28">
        <f>IF($D42="","",IF($V42&lt;&gt;"",$V42,IFERROR(INDEX('参数设置'!$D$17:$G$26,MATCH($D42,'参数设置'!$C$17:$C$26,0),MATCH($E42,'参数设置'!$D$16:$G$16,0)),0)))</f>
        <v/>
      </c>
      <c r="G42" s="29">
        <f>IF($D42="","",INDEX('01人员工时'!$E$7:$E$126,INT((ROW()-7)/4)+1))</f>
        <v/>
      </c>
      <c r="H42" s="29">
        <f>IF($D42="","",INDEX('01人员工时'!$O$7:$O$126,INT((ROW()-7)/4)+1))</f>
        <v/>
      </c>
      <c r="I42" s="30">
        <f>IF(OR($D42="",$G42=0),"",$H42/$G42)</f>
        <v/>
      </c>
      <c r="J42" s="31">
        <f>IF($D42="","",ROUND($F42,2)-$S42)</f>
        <v/>
      </c>
      <c r="K42" s="31">
        <f>IF(OR($D42="",$G42=0),"",ROUND($F42*INDEX('01人员工时'!G$7:G$126,INT((ROW()-7)/4)+1)/$G42,2))</f>
        <v/>
      </c>
      <c r="L42" s="31">
        <f>IF(OR($D42="",$G42=0),"",ROUND($F42*INDEX('01人员工时'!H$7:H$126,INT((ROW()-7)/4)+1)/$G42,2))</f>
        <v/>
      </c>
      <c r="M42" s="31">
        <f>IF(OR($D42="",$G42=0),"",ROUND($F42*INDEX('01人员工时'!I$7:I$126,INT((ROW()-7)/4)+1)/$G42,2))</f>
        <v/>
      </c>
      <c r="N42" s="31">
        <f>IF(OR($D42="",$G42=0),"",ROUND($F42*INDEX('01人员工时'!J$7:J$126,INT((ROW()-7)/4)+1)/$G42,2))</f>
        <v/>
      </c>
      <c r="O42" s="31">
        <f>IF(OR($D42="",$G42=0),"",ROUND($F42*INDEX('01人员工时'!K$7:K$126,INT((ROW()-7)/4)+1)/$G42,2))</f>
        <v/>
      </c>
      <c r="P42" s="31">
        <f>IF(OR($D42="",$G42=0),"",ROUND($F42*INDEX('01人员工时'!L$7:L$126,INT((ROW()-7)/4)+1)/$G42,2))</f>
        <v/>
      </c>
      <c r="Q42" s="31">
        <f>IF(OR($D42="",$G42=0),"",ROUND($F42*INDEX('01人员工时'!M$7:M$126,INT((ROW()-7)/4)+1)/$G42,2))</f>
        <v/>
      </c>
      <c r="R42" s="31">
        <f>IF(OR($D42="",$G42=0),"",ROUND($F42*INDEX('01人员工时'!N$7:N$126,INT((ROW()-7)/4)+1)/$G42,2))</f>
        <v/>
      </c>
      <c r="S42" s="31">
        <f>IF($D42="","",SUM(K42:R42))</f>
        <v/>
      </c>
      <c r="T42" s="31">
        <f>IF($D42="","",$J42+$S42)</f>
        <v/>
      </c>
      <c r="U42" s="32">
        <f>IF($D42="","",IF($F42=0,"未维护标准",IF(ROUND($T42-$F42,2)=0,"√","差异")))</f>
        <v/>
      </c>
      <c r="V42" s="33" t="n"/>
      <c r="W42" s="34" t="n"/>
    </row>
    <row r="43" ht="18" customHeight="1">
      <c r="B43" s="21">
        <f>IF(INDEX('01人员工时'!$D$7:$D$126,INT((ROW()-7)/4)+1)&amp;""="","",INDEX('01人员工时'!$B$7:$B$126,INT((ROW()-7)/4)+1))</f>
        <v/>
      </c>
      <c r="C43" s="22">
        <f>IF($D43="","",IF(MOD(ROW()-7,4)=0,INDEX('01人员工时'!$C$7:$C$126,INT((ROW()-7)/4)+1),""))</f>
        <v/>
      </c>
      <c r="D43" s="22">
        <f>IF(INDEX('01人员工时'!$D$7:$D$126,INT((ROW()-7)/4)+1)&amp;""="","",INDEX('01人员工时'!$D$7:$D$126,INT((ROW()-7)/4)+1))</f>
        <v/>
      </c>
      <c r="E43" s="22">
        <f>IF($D43="","",INDEX('参数设置'!$K$6:$K$9,MOD(ROW()-7,4)+1))</f>
        <v/>
      </c>
      <c r="F43" s="23">
        <f>IF($D43="","",IF($V43&lt;&gt;"",$V43,IFERROR(INDEX('参数设置'!$D$17:$G$26,MATCH($D43,'参数设置'!$C$17:$C$26,0),MATCH($E43,'参数设置'!$D$16:$G$16,0)),0)))</f>
        <v/>
      </c>
      <c r="G43" s="24">
        <f>IF($D43="","",INDEX('01人员工时'!$E$7:$E$126,INT((ROW()-7)/4)+1))</f>
        <v/>
      </c>
      <c r="H43" s="24">
        <f>IF($D43="","",INDEX('01人员工时'!$O$7:$O$126,INT((ROW()-7)/4)+1))</f>
        <v/>
      </c>
      <c r="I43" s="20">
        <f>IF(OR($D43="",$G43=0),"",$H43/$G43)</f>
        <v/>
      </c>
      <c r="J43" s="12">
        <f>IF($D43="","",ROUND($F43,2)-$S43)</f>
        <v/>
      </c>
      <c r="K43" s="12">
        <f>IF(OR($D43="",$G43=0),"",ROUND($F43*INDEX('01人员工时'!G$7:G$126,INT((ROW()-7)/4)+1)/$G43,2))</f>
        <v/>
      </c>
      <c r="L43" s="12">
        <f>IF(OR($D43="",$G43=0),"",ROUND($F43*INDEX('01人员工时'!H$7:H$126,INT((ROW()-7)/4)+1)/$G43,2))</f>
        <v/>
      </c>
      <c r="M43" s="12">
        <f>IF(OR($D43="",$G43=0),"",ROUND($F43*INDEX('01人员工时'!I$7:I$126,INT((ROW()-7)/4)+1)/$G43,2))</f>
        <v/>
      </c>
      <c r="N43" s="12">
        <f>IF(OR($D43="",$G43=0),"",ROUND($F43*INDEX('01人员工时'!J$7:J$126,INT((ROW()-7)/4)+1)/$G43,2))</f>
        <v/>
      </c>
      <c r="O43" s="12">
        <f>IF(OR($D43="",$G43=0),"",ROUND($F43*INDEX('01人员工时'!K$7:K$126,INT((ROW()-7)/4)+1)/$G43,2))</f>
        <v/>
      </c>
      <c r="P43" s="12">
        <f>IF(OR($D43="",$G43=0),"",ROUND($F43*INDEX('01人员工时'!L$7:L$126,INT((ROW()-7)/4)+1)/$G43,2))</f>
        <v/>
      </c>
      <c r="Q43" s="12">
        <f>IF(OR($D43="",$G43=0),"",ROUND($F43*INDEX('01人员工时'!M$7:M$126,INT((ROW()-7)/4)+1)/$G43,2))</f>
        <v/>
      </c>
      <c r="R43" s="12">
        <f>IF(OR($D43="",$G43=0),"",ROUND($F43*INDEX('01人员工时'!N$7:N$126,INT((ROW()-7)/4)+1)/$G43,2))</f>
        <v/>
      </c>
      <c r="S43" s="12">
        <f>IF($D43="","",SUM(K43:R43))</f>
        <v/>
      </c>
      <c r="T43" s="12">
        <f>IF($D43="","",$J43+$S43)</f>
        <v/>
      </c>
      <c r="U43" s="25">
        <f>IF($D43="","",IF($F43=0,"未维护标准",IF(ROUND($T43-$F43,2)=0,"√","差异")))</f>
        <v/>
      </c>
      <c r="V43" s="11" t="n"/>
      <c r="W43" s="9" t="n"/>
    </row>
    <row r="44" ht="18" customHeight="1">
      <c r="B44" s="21">
        <f>IF(INDEX('01人员工时'!$D$7:$D$126,INT((ROW()-7)/4)+1)&amp;""="","",INDEX('01人员工时'!$B$7:$B$126,INT((ROW()-7)/4)+1))</f>
        <v/>
      </c>
      <c r="C44" s="22">
        <f>IF($D44="","",IF(MOD(ROW()-7,4)=0,INDEX('01人员工时'!$C$7:$C$126,INT((ROW()-7)/4)+1),""))</f>
        <v/>
      </c>
      <c r="D44" s="22">
        <f>IF(INDEX('01人员工时'!$D$7:$D$126,INT((ROW()-7)/4)+1)&amp;""="","",INDEX('01人员工时'!$D$7:$D$126,INT((ROW()-7)/4)+1))</f>
        <v/>
      </c>
      <c r="E44" s="22">
        <f>IF($D44="","",INDEX('参数设置'!$K$6:$K$9,MOD(ROW()-7,4)+1))</f>
        <v/>
      </c>
      <c r="F44" s="23">
        <f>IF($D44="","",IF($V44&lt;&gt;"",$V44,IFERROR(INDEX('参数设置'!$D$17:$G$26,MATCH($D44,'参数设置'!$C$17:$C$26,0),MATCH($E44,'参数设置'!$D$16:$G$16,0)),0)))</f>
        <v/>
      </c>
      <c r="G44" s="24">
        <f>IF($D44="","",INDEX('01人员工时'!$E$7:$E$126,INT((ROW()-7)/4)+1))</f>
        <v/>
      </c>
      <c r="H44" s="24">
        <f>IF($D44="","",INDEX('01人员工时'!$O$7:$O$126,INT((ROW()-7)/4)+1))</f>
        <v/>
      </c>
      <c r="I44" s="20">
        <f>IF(OR($D44="",$G44=0),"",$H44/$G44)</f>
        <v/>
      </c>
      <c r="J44" s="12">
        <f>IF($D44="","",ROUND($F44,2)-$S44)</f>
        <v/>
      </c>
      <c r="K44" s="12">
        <f>IF(OR($D44="",$G44=0),"",ROUND($F44*INDEX('01人员工时'!G$7:G$126,INT((ROW()-7)/4)+1)/$G44,2))</f>
        <v/>
      </c>
      <c r="L44" s="12">
        <f>IF(OR($D44="",$G44=0),"",ROUND($F44*INDEX('01人员工时'!H$7:H$126,INT((ROW()-7)/4)+1)/$G44,2))</f>
        <v/>
      </c>
      <c r="M44" s="12">
        <f>IF(OR($D44="",$G44=0),"",ROUND($F44*INDEX('01人员工时'!I$7:I$126,INT((ROW()-7)/4)+1)/$G44,2))</f>
        <v/>
      </c>
      <c r="N44" s="12">
        <f>IF(OR($D44="",$G44=0),"",ROUND($F44*INDEX('01人员工时'!J$7:J$126,INT((ROW()-7)/4)+1)/$G44,2))</f>
        <v/>
      </c>
      <c r="O44" s="12">
        <f>IF(OR($D44="",$G44=0),"",ROUND($F44*INDEX('01人员工时'!K$7:K$126,INT((ROW()-7)/4)+1)/$G44,2))</f>
        <v/>
      </c>
      <c r="P44" s="12">
        <f>IF(OR($D44="",$G44=0),"",ROUND($F44*INDEX('01人员工时'!L$7:L$126,INT((ROW()-7)/4)+1)/$G44,2))</f>
        <v/>
      </c>
      <c r="Q44" s="12">
        <f>IF(OR($D44="",$G44=0),"",ROUND($F44*INDEX('01人员工时'!M$7:M$126,INT((ROW()-7)/4)+1)/$G44,2))</f>
        <v/>
      </c>
      <c r="R44" s="12">
        <f>IF(OR($D44="",$G44=0),"",ROUND($F44*INDEX('01人员工时'!N$7:N$126,INT((ROW()-7)/4)+1)/$G44,2))</f>
        <v/>
      </c>
      <c r="S44" s="12">
        <f>IF($D44="","",SUM(K44:R44))</f>
        <v/>
      </c>
      <c r="T44" s="12">
        <f>IF($D44="","",$J44+$S44)</f>
        <v/>
      </c>
      <c r="U44" s="25">
        <f>IF($D44="","",IF($F44=0,"未维护标准",IF(ROUND($T44-$F44,2)=0,"√","差异")))</f>
        <v/>
      </c>
      <c r="V44" s="11" t="n"/>
      <c r="W44" s="9" t="n"/>
    </row>
    <row r="45" ht="18" customHeight="1">
      <c r="B45" s="21">
        <f>IF(INDEX('01人员工时'!$D$7:$D$126,INT((ROW()-7)/4)+1)&amp;""="","",INDEX('01人员工时'!$B$7:$B$126,INT((ROW()-7)/4)+1))</f>
        <v/>
      </c>
      <c r="C45" s="22">
        <f>IF($D45="","",IF(MOD(ROW()-7,4)=0,INDEX('01人员工时'!$C$7:$C$126,INT((ROW()-7)/4)+1),""))</f>
        <v/>
      </c>
      <c r="D45" s="22">
        <f>IF(INDEX('01人员工时'!$D$7:$D$126,INT((ROW()-7)/4)+1)&amp;""="","",INDEX('01人员工时'!$D$7:$D$126,INT((ROW()-7)/4)+1))</f>
        <v/>
      </c>
      <c r="E45" s="22">
        <f>IF($D45="","",INDEX('参数设置'!$K$6:$K$9,MOD(ROW()-7,4)+1))</f>
        <v/>
      </c>
      <c r="F45" s="23">
        <f>IF($D45="","",IF($V45&lt;&gt;"",$V45,IFERROR(INDEX('参数设置'!$D$17:$G$26,MATCH($D45,'参数设置'!$C$17:$C$26,0),MATCH($E45,'参数设置'!$D$16:$G$16,0)),0)))</f>
        <v/>
      </c>
      <c r="G45" s="24">
        <f>IF($D45="","",INDEX('01人员工时'!$E$7:$E$126,INT((ROW()-7)/4)+1))</f>
        <v/>
      </c>
      <c r="H45" s="24">
        <f>IF($D45="","",INDEX('01人员工时'!$O$7:$O$126,INT((ROW()-7)/4)+1))</f>
        <v/>
      </c>
      <c r="I45" s="20">
        <f>IF(OR($D45="",$G45=0),"",$H45/$G45)</f>
        <v/>
      </c>
      <c r="J45" s="12">
        <f>IF($D45="","",ROUND($F45,2)-$S45)</f>
        <v/>
      </c>
      <c r="K45" s="12">
        <f>IF(OR($D45="",$G45=0),"",ROUND($F45*INDEX('01人员工时'!G$7:G$126,INT((ROW()-7)/4)+1)/$G45,2))</f>
        <v/>
      </c>
      <c r="L45" s="12">
        <f>IF(OR($D45="",$G45=0),"",ROUND($F45*INDEX('01人员工时'!H$7:H$126,INT((ROW()-7)/4)+1)/$G45,2))</f>
        <v/>
      </c>
      <c r="M45" s="12">
        <f>IF(OR($D45="",$G45=0),"",ROUND($F45*INDEX('01人员工时'!I$7:I$126,INT((ROW()-7)/4)+1)/$G45,2))</f>
        <v/>
      </c>
      <c r="N45" s="12">
        <f>IF(OR($D45="",$G45=0),"",ROUND($F45*INDEX('01人员工时'!J$7:J$126,INT((ROW()-7)/4)+1)/$G45,2))</f>
        <v/>
      </c>
      <c r="O45" s="12">
        <f>IF(OR($D45="",$G45=0),"",ROUND($F45*INDEX('01人员工时'!K$7:K$126,INT((ROW()-7)/4)+1)/$G45,2))</f>
        <v/>
      </c>
      <c r="P45" s="12">
        <f>IF(OR($D45="",$G45=0),"",ROUND($F45*INDEX('01人员工时'!L$7:L$126,INT((ROW()-7)/4)+1)/$G45,2))</f>
        <v/>
      </c>
      <c r="Q45" s="12">
        <f>IF(OR($D45="",$G45=0),"",ROUND($F45*INDEX('01人员工时'!M$7:M$126,INT((ROW()-7)/4)+1)/$G45,2))</f>
        <v/>
      </c>
      <c r="R45" s="12">
        <f>IF(OR($D45="",$G45=0),"",ROUND($F45*INDEX('01人员工时'!N$7:N$126,INT((ROW()-7)/4)+1)/$G45,2))</f>
        <v/>
      </c>
      <c r="S45" s="12">
        <f>IF($D45="","",SUM(K45:R45))</f>
        <v/>
      </c>
      <c r="T45" s="12">
        <f>IF($D45="","",$J45+$S45)</f>
        <v/>
      </c>
      <c r="U45" s="25">
        <f>IF($D45="","",IF($F45=0,"未维护标准",IF(ROUND($T45-$F45,2)=0,"√","差异")))</f>
        <v/>
      </c>
      <c r="V45" s="11" t="n"/>
      <c r="W45" s="9" t="n"/>
    </row>
    <row r="46" ht="18" customHeight="1">
      <c r="B46" s="26">
        <f>IF(INDEX('01人员工时'!$D$7:$D$126,INT((ROW()-7)/4)+1)&amp;""="","",INDEX('01人员工时'!$B$7:$B$126,INT((ROW()-7)/4)+1))</f>
        <v/>
      </c>
      <c r="C46" s="27">
        <f>IF($D46="","",IF(MOD(ROW()-7,4)=0,INDEX('01人员工时'!$C$7:$C$126,INT((ROW()-7)/4)+1),""))</f>
        <v/>
      </c>
      <c r="D46" s="27">
        <f>IF(INDEX('01人员工时'!$D$7:$D$126,INT((ROW()-7)/4)+1)&amp;""="","",INDEX('01人员工时'!$D$7:$D$126,INT((ROW()-7)/4)+1))</f>
        <v/>
      </c>
      <c r="E46" s="27">
        <f>IF($D46="","",INDEX('参数设置'!$K$6:$K$9,MOD(ROW()-7,4)+1))</f>
        <v/>
      </c>
      <c r="F46" s="28">
        <f>IF($D46="","",IF($V46&lt;&gt;"",$V46,IFERROR(INDEX('参数设置'!$D$17:$G$26,MATCH($D46,'参数设置'!$C$17:$C$26,0),MATCH($E46,'参数设置'!$D$16:$G$16,0)),0)))</f>
        <v/>
      </c>
      <c r="G46" s="29">
        <f>IF($D46="","",INDEX('01人员工时'!$E$7:$E$126,INT((ROW()-7)/4)+1))</f>
        <v/>
      </c>
      <c r="H46" s="29">
        <f>IF($D46="","",INDEX('01人员工时'!$O$7:$O$126,INT((ROW()-7)/4)+1))</f>
        <v/>
      </c>
      <c r="I46" s="30">
        <f>IF(OR($D46="",$G46=0),"",$H46/$G46)</f>
        <v/>
      </c>
      <c r="J46" s="31">
        <f>IF($D46="","",ROUND($F46,2)-$S46)</f>
        <v/>
      </c>
      <c r="K46" s="31">
        <f>IF(OR($D46="",$G46=0),"",ROUND($F46*INDEX('01人员工时'!G$7:G$126,INT((ROW()-7)/4)+1)/$G46,2))</f>
        <v/>
      </c>
      <c r="L46" s="31">
        <f>IF(OR($D46="",$G46=0),"",ROUND($F46*INDEX('01人员工时'!H$7:H$126,INT((ROW()-7)/4)+1)/$G46,2))</f>
        <v/>
      </c>
      <c r="M46" s="31">
        <f>IF(OR($D46="",$G46=0),"",ROUND($F46*INDEX('01人员工时'!I$7:I$126,INT((ROW()-7)/4)+1)/$G46,2))</f>
        <v/>
      </c>
      <c r="N46" s="31">
        <f>IF(OR($D46="",$G46=0),"",ROUND($F46*INDEX('01人员工时'!J$7:J$126,INT((ROW()-7)/4)+1)/$G46,2))</f>
        <v/>
      </c>
      <c r="O46" s="31">
        <f>IF(OR($D46="",$G46=0),"",ROUND($F46*INDEX('01人员工时'!K$7:K$126,INT((ROW()-7)/4)+1)/$G46,2))</f>
        <v/>
      </c>
      <c r="P46" s="31">
        <f>IF(OR($D46="",$G46=0),"",ROUND($F46*INDEX('01人员工时'!L$7:L$126,INT((ROW()-7)/4)+1)/$G46,2))</f>
        <v/>
      </c>
      <c r="Q46" s="31">
        <f>IF(OR($D46="",$G46=0),"",ROUND($F46*INDEX('01人员工时'!M$7:M$126,INT((ROW()-7)/4)+1)/$G46,2))</f>
        <v/>
      </c>
      <c r="R46" s="31">
        <f>IF(OR($D46="",$G46=0),"",ROUND($F46*INDEX('01人员工时'!N$7:N$126,INT((ROW()-7)/4)+1)/$G46,2))</f>
        <v/>
      </c>
      <c r="S46" s="31">
        <f>IF($D46="","",SUM(K46:R46))</f>
        <v/>
      </c>
      <c r="T46" s="31">
        <f>IF($D46="","",$J46+$S46)</f>
        <v/>
      </c>
      <c r="U46" s="32">
        <f>IF($D46="","",IF($F46=0,"未维护标准",IF(ROUND($T46-$F46,2)=0,"√","差异")))</f>
        <v/>
      </c>
      <c r="V46" s="33" t="n"/>
      <c r="W46" s="34" t="n"/>
    </row>
    <row r="47" ht="18" customHeight="1">
      <c r="B47" s="21">
        <f>IF(INDEX('01人员工时'!$D$7:$D$126,INT((ROW()-7)/4)+1)&amp;""="","",INDEX('01人员工时'!$B$7:$B$126,INT((ROW()-7)/4)+1))</f>
        <v/>
      </c>
      <c r="C47" s="22">
        <f>IF($D47="","",IF(MOD(ROW()-7,4)=0,INDEX('01人员工时'!$C$7:$C$126,INT((ROW()-7)/4)+1),""))</f>
        <v/>
      </c>
      <c r="D47" s="22">
        <f>IF(INDEX('01人员工时'!$D$7:$D$126,INT((ROW()-7)/4)+1)&amp;""="","",INDEX('01人员工时'!$D$7:$D$126,INT((ROW()-7)/4)+1))</f>
        <v/>
      </c>
      <c r="E47" s="22">
        <f>IF($D47="","",INDEX('参数设置'!$K$6:$K$9,MOD(ROW()-7,4)+1))</f>
        <v/>
      </c>
      <c r="F47" s="23">
        <f>IF($D47="","",IF($V47&lt;&gt;"",$V47,IFERROR(INDEX('参数设置'!$D$17:$G$26,MATCH($D47,'参数设置'!$C$17:$C$26,0),MATCH($E47,'参数设置'!$D$16:$G$16,0)),0)))</f>
        <v/>
      </c>
      <c r="G47" s="24">
        <f>IF($D47="","",INDEX('01人员工时'!$E$7:$E$126,INT((ROW()-7)/4)+1))</f>
        <v/>
      </c>
      <c r="H47" s="24">
        <f>IF($D47="","",INDEX('01人员工时'!$O$7:$O$126,INT((ROW()-7)/4)+1))</f>
        <v/>
      </c>
      <c r="I47" s="20">
        <f>IF(OR($D47="",$G47=0),"",$H47/$G47)</f>
        <v/>
      </c>
      <c r="J47" s="12">
        <f>IF($D47="","",ROUND($F47,2)-$S47)</f>
        <v/>
      </c>
      <c r="K47" s="12">
        <f>IF(OR($D47="",$G47=0),"",ROUND($F47*INDEX('01人员工时'!G$7:G$126,INT((ROW()-7)/4)+1)/$G47,2))</f>
        <v/>
      </c>
      <c r="L47" s="12">
        <f>IF(OR($D47="",$G47=0),"",ROUND($F47*INDEX('01人员工时'!H$7:H$126,INT((ROW()-7)/4)+1)/$G47,2))</f>
        <v/>
      </c>
      <c r="M47" s="12">
        <f>IF(OR($D47="",$G47=0),"",ROUND($F47*INDEX('01人员工时'!I$7:I$126,INT((ROW()-7)/4)+1)/$G47,2))</f>
        <v/>
      </c>
      <c r="N47" s="12">
        <f>IF(OR($D47="",$G47=0),"",ROUND($F47*INDEX('01人员工时'!J$7:J$126,INT((ROW()-7)/4)+1)/$G47,2))</f>
        <v/>
      </c>
      <c r="O47" s="12">
        <f>IF(OR($D47="",$G47=0),"",ROUND($F47*INDEX('01人员工时'!K$7:K$126,INT((ROW()-7)/4)+1)/$G47,2))</f>
        <v/>
      </c>
      <c r="P47" s="12">
        <f>IF(OR($D47="",$G47=0),"",ROUND($F47*INDEX('01人员工时'!L$7:L$126,INT((ROW()-7)/4)+1)/$G47,2))</f>
        <v/>
      </c>
      <c r="Q47" s="12">
        <f>IF(OR($D47="",$G47=0),"",ROUND($F47*INDEX('01人员工时'!M$7:M$126,INT((ROW()-7)/4)+1)/$G47,2))</f>
        <v/>
      </c>
      <c r="R47" s="12">
        <f>IF(OR($D47="",$G47=0),"",ROUND($F47*INDEX('01人员工时'!N$7:N$126,INT((ROW()-7)/4)+1)/$G47,2))</f>
        <v/>
      </c>
      <c r="S47" s="12">
        <f>IF($D47="","",SUM(K47:R47))</f>
        <v/>
      </c>
      <c r="T47" s="12">
        <f>IF($D47="","",$J47+$S47)</f>
        <v/>
      </c>
      <c r="U47" s="25">
        <f>IF($D47="","",IF($F47=0,"未维护标准",IF(ROUND($T47-$F47,2)=0,"√","差异")))</f>
        <v/>
      </c>
      <c r="V47" s="11" t="n"/>
      <c r="W47" s="9" t="n"/>
    </row>
    <row r="48" ht="18" customHeight="1">
      <c r="B48" s="21">
        <f>IF(INDEX('01人员工时'!$D$7:$D$126,INT((ROW()-7)/4)+1)&amp;""="","",INDEX('01人员工时'!$B$7:$B$126,INT((ROW()-7)/4)+1))</f>
        <v/>
      </c>
      <c r="C48" s="22">
        <f>IF($D48="","",IF(MOD(ROW()-7,4)=0,INDEX('01人员工时'!$C$7:$C$126,INT((ROW()-7)/4)+1),""))</f>
        <v/>
      </c>
      <c r="D48" s="22">
        <f>IF(INDEX('01人员工时'!$D$7:$D$126,INT((ROW()-7)/4)+1)&amp;""="","",INDEX('01人员工时'!$D$7:$D$126,INT((ROW()-7)/4)+1))</f>
        <v/>
      </c>
      <c r="E48" s="22">
        <f>IF($D48="","",INDEX('参数设置'!$K$6:$K$9,MOD(ROW()-7,4)+1))</f>
        <v/>
      </c>
      <c r="F48" s="23">
        <f>IF($D48="","",IF($V48&lt;&gt;"",$V48,IFERROR(INDEX('参数设置'!$D$17:$G$26,MATCH($D48,'参数设置'!$C$17:$C$26,0),MATCH($E48,'参数设置'!$D$16:$G$16,0)),0)))</f>
        <v/>
      </c>
      <c r="G48" s="24">
        <f>IF($D48="","",INDEX('01人员工时'!$E$7:$E$126,INT((ROW()-7)/4)+1))</f>
        <v/>
      </c>
      <c r="H48" s="24">
        <f>IF($D48="","",INDEX('01人员工时'!$O$7:$O$126,INT((ROW()-7)/4)+1))</f>
        <v/>
      </c>
      <c r="I48" s="20">
        <f>IF(OR($D48="",$G48=0),"",$H48/$G48)</f>
        <v/>
      </c>
      <c r="J48" s="12">
        <f>IF($D48="","",ROUND($F48,2)-$S48)</f>
        <v/>
      </c>
      <c r="K48" s="12">
        <f>IF(OR($D48="",$G48=0),"",ROUND($F48*INDEX('01人员工时'!G$7:G$126,INT((ROW()-7)/4)+1)/$G48,2))</f>
        <v/>
      </c>
      <c r="L48" s="12">
        <f>IF(OR($D48="",$G48=0),"",ROUND($F48*INDEX('01人员工时'!H$7:H$126,INT((ROW()-7)/4)+1)/$G48,2))</f>
        <v/>
      </c>
      <c r="M48" s="12">
        <f>IF(OR($D48="",$G48=0),"",ROUND($F48*INDEX('01人员工时'!I$7:I$126,INT((ROW()-7)/4)+1)/$G48,2))</f>
        <v/>
      </c>
      <c r="N48" s="12">
        <f>IF(OR($D48="",$G48=0),"",ROUND($F48*INDEX('01人员工时'!J$7:J$126,INT((ROW()-7)/4)+1)/$G48,2))</f>
        <v/>
      </c>
      <c r="O48" s="12">
        <f>IF(OR($D48="",$G48=0),"",ROUND($F48*INDEX('01人员工时'!K$7:K$126,INT((ROW()-7)/4)+1)/$G48,2))</f>
        <v/>
      </c>
      <c r="P48" s="12">
        <f>IF(OR($D48="",$G48=0),"",ROUND($F48*INDEX('01人员工时'!L$7:L$126,INT((ROW()-7)/4)+1)/$G48,2))</f>
        <v/>
      </c>
      <c r="Q48" s="12">
        <f>IF(OR($D48="",$G48=0),"",ROUND($F48*INDEX('01人员工时'!M$7:M$126,INT((ROW()-7)/4)+1)/$G48,2))</f>
        <v/>
      </c>
      <c r="R48" s="12">
        <f>IF(OR($D48="",$G48=0),"",ROUND($F48*INDEX('01人员工时'!N$7:N$126,INT((ROW()-7)/4)+1)/$G48,2))</f>
        <v/>
      </c>
      <c r="S48" s="12">
        <f>IF($D48="","",SUM(K48:R48))</f>
        <v/>
      </c>
      <c r="T48" s="12">
        <f>IF($D48="","",$J48+$S48)</f>
        <v/>
      </c>
      <c r="U48" s="25">
        <f>IF($D48="","",IF($F48=0,"未维护标准",IF(ROUND($T48-$F48,2)=0,"√","差异")))</f>
        <v/>
      </c>
      <c r="V48" s="11" t="n"/>
      <c r="W48" s="9" t="n"/>
    </row>
    <row r="49" ht="18" customHeight="1">
      <c r="B49" s="21">
        <f>IF(INDEX('01人员工时'!$D$7:$D$126,INT((ROW()-7)/4)+1)&amp;""="","",INDEX('01人员工时'!$B$7:$B$126,INT((ROW()-7)/4)+1))</f>
        <v/>
      </c>
      <c r="C49" s="22">
        <f>IF($D49="","",IF(MOD(ROW()-7,4)=0,INDEX('01人员工时'!$C$7:$C$126,INT((ROW()-7)/4)+1),""))</f>
        <v/>
      </c>
      <c r="D49" s="22">
        <f>IF(INDEX('01人员工时'!$D$7:$D$126,INT((ROW()-7)/4)+1)&amp;""="","",INDEX('01人员工时'!$D$7:$D$126,INT((ROW()-7)/4)+1))</f>
        <v/>
      </c>
      <c r="E49" s="22">
        <f>IF($D49="","",INDEX('参数设置'!$K$6:$K$9,MOD(ROW()-7,4)+1))</f>
        <v/>
      </c>
      <c r="F49" s="23">
        <f>IF($D49="","",IF($V49&lt;&gt;"",$V49,IFERROR(INDEX('参数设置'!$D$17:$G$26,MATCH($D49,'参数设置'!$C$17:$C$26,0),MATCH($E49,'参数设置'!$D$16:$G$16,0)),0)))</f>
        <v/>
      </c>
      <c r="G49" s="24">
        <f>IF($D49="","",INDEX('01人员工时'!$E$7:$E$126,INT((ROW()-7)/4)+1))</f>
        <v/>
      </c>
      <c r="H49" s="24">
        <f>IF($D49="","",INDEX('01人员工时'!$O$7:$O$126,INT((ROW()-7)/4)+1))</f>
        <v/>
      </c>
      <c r="I49" s="20">
        <f>IF(OR($D49="",$G49=0),"",$H49/$G49)</f>
        <v/>
      </c>
      <c r="J49" s="12">
        <f>IF($D49="","",ROUND($F49,2)-$S49)</f>
        <v/>
      </c>
      <c r="K49" s="12">
        <f>IF(OR($D49="",$G49=0),"",ROUND($F49*INDEX('01人员工时'!G$7:G$126,INT((ROW()-7)/4)+1)/$G49,2))</f>
        <v/>
      </c>
      <c r="L49" s="12">
        <f>IF(OR($D49="",$G49=0),"",ROUND($F49*INDEX('01人员工时'!H$7:H$126,INT((ROW()-7)/4)+1)/$G49,2))</f>
        <v/>
      </c>
      <c r="M49" s="12">
        <f>IF(OR($D49="",$G49=0),"",ROUND($F49*INDEX('01人员工时'!I$7:I$126,INT((ROW()-7)/4)+1)/$G49,2))</f>
        <v/>
      </c>
      <c r="N49" s="12">
        <f>IF(OR($D49="",$G49=0),"",ROUND($F49*INDEX('01人员工时'!J$7:J$126,INT((ROW()-7)/4)+1)/$G49,2))</f>
        <v/>
      </c>
      <c r="O49" s="12">
        <f>IF(OR($D49="",$G49=0),"",ROUND($F49*INDEX('01人员工时'!K$7:K$126,INT((ROW()-7)/4)+1)/$G49,2))</f>
        <v/>
      </c>
      <c r="P49" s="12">
        <f>IF(OR($D49="",$G49=0),"",ROUND($F49*INDEX('01人员工时'!L$7:L$126,INT((ROW()-7)/4)+1)/$G49,2))</f>
        <v/>
      </c>
      <c r="Q49" s="12">
        <f>IF(OR($D49="",$G49=0),"",ROUND($F49*INDEX('01人员工时'!M$7:M$126,INT((ROW()-7)/4)+1)/$G49,2))</f>
        <v/>
      </c>
      <c r="R49" s="12">
        <f>IF(OR($D49="",$G49=0),"",ROUND($F49*INDEX('01人员工时'!N$7:N$126,INT((ROW()-7)/4)+1)/$G49,2))</f>
        <v/>
      </c>
      <c r="S49" s="12">
        <f>IF($D49="","",SUM(K49:R49))</f>
        <v/>
      </c>
      <c r="T49" s="12">
        <f>IF($D49="","",$J49+$S49)</f>
        <v/>
      </c>
      <c r="U49" s="25">
        <f>IF($D49="","",IF($F49=0,"未维护标准",IF(ROUND($T49-$F49,2)=0,"√","差异")))</f>
        <v/>
      </c>
      <c r="V49" s="11" t="n"/>
      <c r="W49" s="9" t="n"/>
    </row>
    <row r="50" ht="18" customHeight="1">
      <c r="B50" s="26">
        <f>IF(INDEX('01人员工时'!$D$7:$D$126,INT((ROW()-7)/4)+1)&amp;""="","",INDEX('01人员工时'!$B$7:$B$126,INT((ROW()-7)/4)+1))</f>
        <v/>
      </c>
      <c r="C50" s="27">
        <f>IF($D50="","",IF(MOD(ROW()-7,4)=0,INDEX('01人员工时'!$C$7:$C$126,INT((ROW()-7)/4)+1),""))</f>
        <v/>
      </c>
      <c r="D50" s="27">
        <f>IF(INDEX('01人员工时'!$D$7:$D$126,INT((ROW()-7)/4)+1)&amp;""="","",INDEX('01人员工时'!$D$7:$D$126,INT((ROW()-7)/4)+1))</f>
        <v/>
      </c>
      <c r="E50" s="27">
        <f>IF($D50="","",INDEX('参数设置'!$K$6:$K$9,MOD(ROW()-7,4)+1))</f>
        <v/>
      </c>
      <c r="F50" s="28">
        <f>IF($D50="","",IF($V50&lt;&gt;"",$V50,IFERROR(INDEX('参数设置'!$D$17:$G$26,MATCH($D50,'参数设置'!$C$17:$C$26,0),MATCH($E50,'参数设置'!$D$16:$G$16,0)),0)))</f>
        <v/>
      </c>
      <c r="G50" s="29">
        <f>IF($D50="","",INDEX('01人员工时'!$E$7:$E$126,INT((ROW()-7)/4)+1))</f>
        <v/>
      </c>
      <c r="H50" s="29">
        <f>IF($D50="","",INDEX('01人员工时'!$O$7:$O$126,INT((ROW()-7)/4)+1))</f>
        <v/>
      </c>
      <c r="I50" s="30">
        <f>IF(OR($D50="",$G50=0),"",$H50/$G50)</f>
        <v/>
      </c>
      <c r="J50" s="31">
        <f>IF($D50="","",ROUND($F50,2)-$S50)</f>
        <v/>
      </c>
      <c r="K50" s="31">
        <f>IF(OR($D50="",$G50=0),"",ROUND($F50*INDEX('01人员工时'!G$7:G$126,INT((ROW()-7)/4)+1)/$G50,2))</f>
        <v/>
      </c>
      <c r="L50" s="31">
        <f>IF(OR($D50="",$G50=0),"",ROUND($F50*INDEX('01人员工时'!H$7:H$126,INT((ROW()-7)/4)+1)/$G50,2))</f>
        <v/>
      </c>
      <c r="M50" s="31">
        <f>IF(OR($D50="",$G50=0),"",ROUND($F50*INDEX('01人员工时'!I$7:I$126,INT((ROW()-7)/4)+1)/$G50,2))</f>
        <v/>
      </c>
      <c r="N50" s="31">
        <f>IF(OR($D50="",$G50=0),"",ROUND($F50*INDEX('01人员工时'!J$7:J$126,INT((ROW()-7)/4)+1)/$G50,2))</f>
        <v/>
      </c>
      <c r="O50" s="31">
        <f>IF(OR($D50="",$G50=0),"",ROUND($F50*INDEX('01人员工时'!K$7:K$126,INT((ROW()-7)/4)+1)/$G50,2))</f>
        <v/>
      </c>
      <c r="P50" s="31">
        <f>IF(OR($D50="",$G50=0),"",ROUND($F50*INDEX('01人员工时'!L$7:L$126,INT((ROW()-7)/4)+1)/$G50,2))</f>
        <v/>
      </c>
      <c r="Q50" s="31">
        <f>IF(OR($D50="",$G50=0),"",ROUND($F50*INDEX('01人员工时'!M$7:M$126,INT((ROW()-7)/4)+1)/$G50,2))</f>
        <v/>
      </c>
      <c r="R50" s="31">
        <f>IF(OR($D50="",$G50=0),"",ROUND($F50*INDEX('01人员工时'!N$7:N$126,INT((ROW()-7)/4)+1)/$G50,2))</f>
        <v/>
      </c>
      <c r="S50" s="31">
        <f>IF($D50="","",SUM(K50:R50))</f>
        <v/>
      </c>
      <c r="T50" s="31">
        <f>IF($D50="","",$J50+$S50)</f>
        <v/>
      </c>
      <c r="U50" s="32">
        <f>IF($D50="","",IF($F50=0,"未维护标准",IF(ROUND($T50-$F50,2)=0,"√","差异")))</f>
        <v/>
      </c>
      <c r="V50" s="33" t="n"/>
      <c r="W50" s="34" t="n"/>
    </row>
    <row r="51" ht="18" customHeight="1">
      <c r="B51" s="21">
        <f>IF(INDEX('01人员工时'!$D$7:$D$126,INT((ROW()-7)/4)+1)&amp;""="","",INDEX('01人员工时'!$B$7:$B$126,INT((ROW()-7)/4)+1))</f>
        <v/>
      </c>
      <c r="C51" s="22">
        <f>IF($D51="","",IF(MOD(ROW()-7,4)=0,INDEX('01人员工时'!$C$7:$C$126,INT((ROW()-7)/4)+1),""))</f>
        <v/>
      </c>
      <c r="D51" s="22">
        <f>IF(INDEX('01人员工时'!$D$7:$D$126,INT((ROW()-7)/4)+1)&amp;""="","",INDEX('01人员工时'!$D$7:$D$126,INT((ROW()-7)/4)+1))</f>
        <v/>
      </c>
      <c r="E51" s="22">
        <f>IF($D51="","",INDEX('参数设置'!$K$6:$K$9,MOD(ROW()-7,4)+1))</f>
        <v/>
      </c>
      <c r="F51" s="23">
        <f>IF($D51="","",IF($V51&lt;&gt;"",$V51,IFERROR(INDEX('参数设置'!$D$17:$G$26,MATCH($D51,'参数设置'!$C$17:$C$26,0),MATCH($E51,'参数设置'!$D$16:$G$16,0)),0)))</f>
        <v/>
      </c>
      <c r="G51" s="24">
        <f>IF($D51="","",INDEX('01人员工时'!$E$7:$E$126,INT((ROW()-7)/4)+1))</f>
        <v/>
      </c>
      <c r="H51" s="24">
        <f>IF($D51="","",INDEX('01人员工时'!$O$7:$O$126,INT((ROW()-7)/4)+1))</f>
        <v/>
      </c>
      <c r="I51" s="20">
        <f>IF(OR($D51="",$G51=0),"",$H51/$G51)</f>
        <v/>
      </c>
      <c r="J51" s="12">
        <f>IF($D51="","",ROUND($F51,2)-$S51)</f>
        <v/>
      </c>
      <c r="K51" s="12">
        <f>IF(OR($D51="",$G51=0),"",ROUND($F51*INDEX('01人员工时'!G$7:G$126,INT((ROW()-7)/4)+1)/$G51,2))</f>
        <v/>
      </c>
      <c r="L51" s="12">
        <f>IF(OR($D51="",$G51=0),"",ROUND($F51*INDEX('01人员工时'!H$7:H$126,INT((ROW()-7)/4)+1)/$G51,2))</f>
        <v/>
      </c>
      <c r="M51" s="12">
        <f>IF(OR($D51="",$G51=0),"",ROUND($F51*INDEX('01人员工时'!I$7:I$126,INT((ROW()-7)/4)+1)/$G51,2))</f>
        <v/>
      </c>
      <c r="N51" s="12">
        <f>IF(OR($D51="",$G51=0),"",ROUND($F51*INDEX('01人员工时'!J$7:J$126,INT((ROW()-7)/4)+1)/$G51,2))</f>
        <v/>
      </c>
      <c r="O51" s="12">
        <f>IF(OR($D51="",$G51=0),"",ROUND($F51*INDEX('01人员工时'!K$7:K$126,INT((ROW()-7)/4)+1)/$G51,2))</f>
        <v/>
      </c>
      <c r="P51" s="12">
        <f>IF(OR($D51="",$G51=0),"",ROUND($F51*INDEX('01人员工时'!L$7:L$126,INT((ROW()-7)/4)+1)/$G51,2))</f>
        <v/>
      </c>
      <c r="Q51" s="12">
        <f>IF(OR($D51="",$G51=0),"",ROUND($F51*INDEX('01人员工时'!M$7:M$126,INT((ROW()-7)/4)+1)/$G51,2))</f>
        <v/>
      </c>
      <c r="R51" s="12">
        <f>IF(OR($D51="",$G51=0),"",ROUND($F51*INDEX('01人员工时'!N$7:N$126,INT((ROW()-7)/4)+1)/$G51,2))</f>
        <v/>
      </c>
      <c r="S51" s="12">
        <f>IF($D51="","",SUM(K51:R51))</f>
        <v/>
      </c>
      <c r="T51" s="12">
        <f>IF($D51="","",$J51+$S51)</f>
        <v/>
      </c>
      <c r="U51" s="25">
        <f>IF($D51="","",IF($F51=0,"未维护标准",IF(ROUND($T51-$F51,2)=0,"√","差异")))</f>
        <v/>
      </c>
      <c r="V51" s="11" t="n"/>
      <c r="W51" s="9" t="n"/>
    </row>
    <row r="52" ht="18" customHeight="1">
      <c r="B52" s="21">
        <f>IF(INDEX('01人员工时'!$D$7:$D$126,INT((ROW()-7)/4)+1)&amp;""="","",INDEX('01人员工时'!$B$7:$B$126,INT((ROW()-7)/4)+1))</f>
        <v/>
      </c>
      <c r="C52" s="22">
        <f>IF($D52="","",IF(MOD(ROW()-7,4)=0,INDEX('01人员工时'!$C$7:$C$126,INT((ROW()-7)/4)+1),""))</f>
        <v/>
      </c>
      <c r="D52" s="22">
        <f>IF(INDEX('01人员工时'!$D$7:$D$126,INT((ROW()-7)/4)+1)&amp;""="","",INDEX('01人员工时'!$D$7:$D$126,INT((ROW()-7)/4)+1))</f>
        <v/>
      </c>
      <c r="E52" s="22">
        <f>IF($D52="","",INDEX('参数设置'!$K$6:$K$9,MOD(ROW()-7,4)+1))</f>
        <v/>
      </c>
      <c r="F52" s="23">
        <f>IF($D52="","",IF($V52&lt;&gt;"",$V52,IFERROR(INDEX('参数设置'!$D$17:$G$26,MATCH($D52,'参数设置'!$C$17:$C$26,0),MATCH($E52,'参数设置'!$D$16:$G$16,0)),0)))</f>
        <v/>
      </c>
      <c r="G52" s="24">
        <f>IF($D52="","",INDEX('01人员工时'!$E$7:$E$126,INT((ROW()-7)/4)+1))</f>
        <v/>
      </c>
      <c r="H52" s="24">
        <f>IF($D52="","",INDEX('01人员工时'!$O$7:$O$126,INT((ROW()-7)/4)+1))</f>
        <v/>
      </c>
      <c r="I52" s="20">
        <f>IF(OR($D52="",$G52=0),"",$H52/$G52)</f>
        <v/>
      </c>
      <c r="J52" s="12">
        <f>IF($D52="","",ROUND($F52,2)-$S52)</f>
        <v/>
      </c>
      <c r="K52" s="12">
        <f>IF(OR($D52="",$G52=0),"",ROUND($F52*INDEX('01人员工时'!G$7:G$126,INT((ROW()-7)/4)+1)/$G52,2))</f>
        <v/>
      </c>
      <c r="L52" s="12">
        <f>IF(OR($D52="",$G52=0),"",ROUND($F52*INDEX('01人员工时'!H$7:H$126,INT((ROW()-7)/4)+1)/$G52,2))</f>
        <v/>
      </c>
      <c r="M52" s="12">
        <f>IF(OR($D52="",$G52=0),"",ROUND($F52*INDEX('01人员工时'!I$7:I$126,INT((ROW()-7)/4)+1)/$G52,2))</f>
        <v/>
      </c>
      <c r="N52" s="12">
        <f>IF(OR($D52="",$G52=0),"",ROUND($F52*INDEX('01人员工时'!J$7:J$126,INT((ROW()-7)/4)+1)/$G52,2))</f>
        <v/>
      </c>
      <c r="O52" s="12">
        <f>IF(OR($D52="",$G52=0),"",ROUND($F52*INDEX('01人员工时'!K$7:K$126,INT((ROW()-7)/4)+1)/$G52,2))</f>
        <v/>
      </c>
      <c r="P52" s="12">
        <f>IF(OR($D52="",$G52=0),"",ROUND($F52*INDEX('01人员工时'!L$7:L$126,INT((ROW()-7)/4)+1)/$G52,2))</f>
        <v/>
      </c>
      <c r="Q52" s="12">
        <f>IF(OR($D52="",$G52=0),"",ROUND($F52*INDEX('01人员工时'!M$7:M$126,INT((ROW()-7)/4)+1)/$G52,2))</f>
        <v/>
      </c>
      <c r="R52" s="12">
        <f>IF(OR($D52="",$G52=0),"",ROUND($F52*INDEX('01人员工时'!N$7:N$126,INT((ROW()-7)/4)+1)/$G52,2))</f>
        <v/>
      </c>
      <c r="S52" s="12">
        <f>IF($D52="","",SUM(K52:R52))</f>
        <v/>
      </c>
      <c r="T52" s="12">
        <f>IF($D52="","",$J52+$S52)</f>
        <v/>
      </c>
      <c r="U52" s="25">
        <f>IF($D52="","",IF($F52=0,"未维护标准",IF(ROUND($T52-$F52,2)=0,"√","差异")))</f>
        <v/>
      </c>
      <c r="V52" s="11" t="n"/>
      <c r="W52" s="9" t="n"/>
    </row>
    <row r="53" ht="18" customHeight="1">
      <c r="B53" s="21">
        <f>IF(INDEX('01人员工时'!$D$7:$D$126,INT((ROW()-7)/4)+1)&amp;""="","",INDEX('01人员工时'!$B$7:$B$126,INT((ROW()-7)/4)+1))</f>
        <v/>
      </c>
      <c r="C53" s="22">
        <f>IF($D53="","",IF(MOD(ROW()-7,4)=0,INDEX('01人员工时'!$C$7:$C$126,INT((ROW()-7)/4)+1),""))</f>
        <v/>
      </c>
      <c r="D53" s="22">
        <f>IF(INDEX('01人员工时'!$D$7:$D$126,INT((ROW()-7)/4)+1)&amp;""="","",INDEX('01人员工时'!$D$7:$D$126,INT((ROW()-7)/4)+1))</f>
        <v/>
      </c>
      <c r="E53" s="22">
        <f>IF($D53="","",INDEX('参数设置'!$K$6:$K$9,MOD(ROW()-7,4)+1))</f>
        <v/>
      </c>
      <c r="F53" s="23">
        <f>IF($D53="","",IF($V53&lt;&gt;"",$V53,IFERROR(INDEX('参数设置'!$D$17:$G$26,MATCH($D53,'参数设置'!$C$17:$C$26,0),MATCH($E53,'参数设置'!$D$16:$G$16,0)),0)))</f>
        <v/>
      </c>
      <c r="G53" s="24">
        <f>IF($D53="","",INDEX('01人员工时'!$E$7:$E$126,INT((ROW()-7)/4)+1))</f>
        <v/>
      </c>
      <c r="H53" s="24">
        <f>IF($D53="","",INDEX('01人员工时'!$O$7:$O$126,INT((ROW()-7)/4)+1))</f>
        <v/>
      </c>
      <c r="I53" s="20">
        <f>IF(OR($D53="",$G53=0),"",$H53/$G53)</f>
        <v/>
      </c>
      <c r="J53" s="12">
        <f>IF($D53="","",ROUND($F53,2)-$S53)</f>
        <v/>
      </c>
      <c r="K53" s="12">
        <f>IF(OR($D53="",$G53=0),"",ROUND($F53*INDEX('01人员工时'!G$7:G$126,INT((ROW()-7)/4)+1)/$G53,2))</f>
        <v/>
      </c>
      <c r="L53" s="12">
        <f>IF(OR($D53="",$G53=0),"",ROUND($F53*INDEX('01人员工时'!H$7:H$126,INT((ROW()-7)/4)+1)/$G53,2))</f>
        <v/>
      </c>
      <c r="M53" s="12">
        <f>IF(OR($D53="",$G53=0),"",ROUND($F53*INDEX('01人员工时'!I$7:I$126,INT((ROW()-7)/4)+1)/$G53,2))</f>
        <v/>
      </c>
      <c r="N53" s="12">
        <f>IF(OR($D53="",$G53=0),"",ROUND($F53*INDEX('01人员工时'!J$7:J$126,INT((ROW()-7)/4)+1)/$G53,2))</f>
        <v/>
      </c>
      <c r="O53" s="12">
        <f>IF(OR($D53="",$G53=0),"",ROUND($F53*INDEX('01人员工时'!K$7:K$126,INT((ROW()-7)/4)+1)/$G53,2))</f>
        <v/>
      </c>
      <c r="P53" s="12">
        <f>IF(OR($D53="",$G53=0),"",ROUND($F53*INDEX('01人员工时'!L$7:L$126,INT((ROW()-7)/4)+1)/$G53,2))</f>
        <v/>
      </c>
      <c r="Q53" s="12">
        <f>IF(OR($D53="",$G53=0),"",ROUND($F53*INDEX('01人员工时'!M$7:M$126,INT((ROW()-7)/4)+1)/$G53,2))</f>
        <v/>
      </c>
      <c r="R53" s="12">
        <f>IF(OR($D53="",$G53=0),"",ROUND($F53*INDEX('01人员工时'!N$7:N$126,INT((ROW()-7)/4)+1)/$G53,2))</f>
        <v/>
      </c>
      <c r="S53" s="12">
        <f>IF($D53="","",SUM(K53:R53))</f>
        <v/>
      </c>
      <c r="T53" s="12">
        <f>IF($D53="","",$J53+$S53)</f>
        <v/>
      </c>
      <c r="U53" s="25">
        <f>IF($D53="","",IF($F53=0,"未维护标准",IF(ROUND($T53-$F53,2)=0,"√","差异")))</f>
        <v/>
      </c>
      <c r="V53" s="11" t="n"/>
      <c r="W53" s="9" t="n"/>
    </row>
    <row r="54" ht="18" customHeight="1">
      <c r="B54" s="26">
        <f>IF(INDEX('01人员工时'!$D$7:$D$126,INT((ROW()-7)/4)+1)&amp;""="","",INDEX('01人员工时'!$B$7:$B$126,INT((ROW()-7)/4)+1))</f>
        <v/>
      </c>
      <c r="C54" s="27">
        <f>IF($D54="","",IF(MOD(ROW()-7,4)=0,INDEX('01人员工时'!$C$7:$C$126,INT((ROW()-7)/4)+1),""))</f>
        <v/>
      </c>
      <c r="D54" s="27">
        <f>IF(INDEX('01人员工时'!$D$7:$D$126,INT((ROW()-7)/4)+1)&amp;""="","",INDEX('01人员工时'!$D$7:$D$126,INT((ROW()-7)/4)+1))</f>
        <v/>
      </c>
      <c r="E54" s="27">
        <f>IF($D54="","",INDEX('参数设置'!$K$6:$K$9,MOD(ROW()-7,4)+1))</f>
        <v/>
      </c>
      <c r="F54" s="28">
        <f>IF($D54="","",IF($V54&lt;&gt;"",$V54,IFERROR(INDEX('参数设置'!$D$17:$G$26,MATCH($D54,'参数设置'!$C$17:$C$26,0),MATCH($E54,'参数设置'!$D$16:$G$16,0)),0)))</f>
        <v/>
      </c>
      <c r="G54" s="29">
        <f>IF($D54="","",INDEX('01人员工时'!$E$7:$E$126,INT((ROW()-7)/4)+1))</f>
        <v/>
      </c>
      <c r="H54" s="29">
        <f>IF($D54="","",INDEX('01人员工时'!$O$7:$O$126,INT((ROW()-7)/4)+1))</f>
        <v/>
      </c>
      <c r="I54" s="30">
        <f>IF(OR($D54="",$G54=0),"",$H54/$G54)</f>
        <v/>
      </c>
      <c r="J54" s="31">
        <f>IF($D54="","",ROUND($F54,2)-$S54)</f>
        <v/>
      </c>
      <c r="K54" s="31">
        <f>IF(OR($D54="",$G54=0),"",ROUND($F54*INDEX('01人员工时'!G$7:G$126,INT((ROW()-7)/4)+1)/$G54,2))</f>
        <v/>
      </c>
      <c r="L54" s="31">
        <f>IF(OR($D54="",$G54=0),"",ROUND($F54*INDEX('01人员工时'!H$7:H$126,INT((ROW()-7)/4)+1)/$G54,2))</f>
        <v/>
      </c>
      <c r="M54" s="31">
        <f>IF(OR($D54="",$G54=0),"",ROUND($F54*INDEX('01人员工时'!I$7:I$126,INT((ROW()-7)/4)+1)/$G54,2))</f>
        <v/>
      </c>
      <c r="N54" s="31">
        <f>IF(OR($D54="",$G54=0),"",ROUND($F54*INDEX('01人员工时'!J$7:J$126,INT((ROW()-7)/4)+1)/$G54,2))</f>
        <v/>
      </c>
      <c r="O54" s="31">
        <f>IF(OR($D54="",$G54=0),"",ROUND($F54*INDEX('01人员工时'!K$7:K$126,INT((ROW()-7)/4)+1)/$G54,2))</f>
        <v/>
      </c>
      <c r="P54" s="31">
        <f>IF(OR($D54="",$G54=0),"",ROUND($F54*INDEX('01人员工时'!L$7:L$126,INT((ROW()-7)/4)+1)/$G54,2))</f>
        <v/>
      </c>
      <c r="Q54" s="31">
        <f>IF(OR($D54="",$G54=0),"",ROUND($F54*INDEX('01人员工时'!M$7:M$126,INT((ROW()-7)/4)+1)/$G54,2))</f>
        <v/>
      </c>
      <c r="R54" s="31">
        <f>IF(OR($D54="",$G54=0),"",ROUND($F54*INDEX('01人员工时'!N$7:N$126,INT((ROW()-7)/4)+1)/$G54,2))</f>
        <v/>
      </c>
      <c r="S54" s="31">
        <f>IF($D54="","",SUM(K54:R54))</f>
        <v/>
      </c>
      <c r="T54" s="31">
        <f>IF($D54="","",$J54+$S54)</f>
        <v/>
      </c>
      <c r="U54" s="32">
        <f>IF($D54="","",IF($F54=0,"未维护标准",IF(ROUND($T54-$F54,2)=0,"√","差异")))</f>
        <v/>
      </c>
      <c r="V54" s="33" t="n"/>
      <c r="W54" s="34" t="n"/>
    </row>
    <row r="55" ht="18" customHeight="1">
      <c r="B55" s="21">
        <f>IF(INDEX('01人员工时'!$D$7:$D$126,INT((ROW()-7)/4)+1)&amp;""="","",INDEX('01人员工时'!$B$7:$B$126,INT((ROW()-7)/4)+1))</f>
        <v/>
      </c>
      <c r="C55" s="22">
        <f>IF($D55="","",IF(MOD(ROW()-7,4)=0,INDEX('01人员工时'!$C$7:$C$126,INT((ROW()-7)/4)+1),""))</f>
        <v/>
      </c>
      <c r="D55" s="22">
        <f>IF(INDEX('01人员工时'!$D$7:$D$126,INT((ROW()-7)/4)+1)&amp;""="","",INDEX('01人员工时'!$D$7:$D$126,INT((ROW()-7)/4)+1))</f>
        <v/>
      </c>
      <c r="E55" s="22">
        <f>IF($D55="","",INDEX('参数设置'!$K$6:$K$9,MOD(ROW()-7,4)+1))</f>
        <v/>
      </c>
      <c r="F55" s="23">
        <f>IF($D55="","",IF($V55&lt;&gt;"",$V55,IFERROR(INDEX('参数设置'!$D$17:$G$26,MATCH($D55,'参数设置'!$C$17:$C$26,0),MATCH($E55,'参数设置'!$D$16:$G$16,0)),0)))</f>
        <v/>
      </c>
      <c r="G55" s="24">
        <f>IF($D55="","",INDEX('01人员工时'!$E$7:$E$126,INT((ROW()-7)/4)+1))</f>
        <v/>
      </c>
      <c r="H55" s="24">
        <f>IF($D55="","",INDEX('01人员工时'!$O$7:$O$126,INT((ROW()-7)/4)+1))</f>
        <v/>
      </c>
      <c r="I55" s="20">
        <f>IF(OR($D55="",$G55=0),"",$H55/$G55)</f>
        <v/>
      </c>
      <c r="J55" s="12">
        <f>IF($D55="","",ROUND($F55,2)-$S55)</f>
        <v/>
      </c>
      <c r="K55" s="12">
        <f>IF(OR($D55="",$G55=0),"",ROUND($F55*INDEX('01人员工时'!G$7:G$126,INT((ROW()-7)/4)+1)/$G55,2))</f>
        <v/>
      </c>
      <c r="L55" s="12">
        <f>IF(OR($D55="",$G55=0),"",ROUND($F55*INDEX('01人员工时'!H$7:H$126,INT((ROW()-7)/4)+1)/$G55,2))</f>
        <v/>
      </c>
      <c r="M55" s="12">
        <f>IF(OR($D55="",$G55=0),"",ROUND($F55*INDEX('01人员工时'!I$7:I$126,INT((ROW()-7)/4)+1)/$G55,2))</f>
        <v/>
      </c>
      <c r="N55" s="12">
        <f>IF(OR($D55="",$G55=0),"",ROUND($F55*INDEX('01人员工时'!J$7:J$126,INT((ROW()-7)/4)+1)/$G55,2))</f>
        <v/>
      </c>
      <c r="O55" s="12">
        <f>IF(OR($D55="",$G55=0),"",ROUND($F55*INDEX('01人员工时'!K$7:K$126,INT((ROW()-7)/4)+1)/$G55,2))</f>
        <v/>
      </c>
      <c r="P55" s="12">
        <f>IF(OR($D55="",$G55=0),"",ROUND($F55*INDEX('01人员工时'!L$7:L$126,INT((ROW()-7)/4)+1)/$G55,2))</f>
        <v/>
      </c>
      <c r="Q55" s="12">
        <f>IF(OR($D55="",$G55=0),"",ROUND($F55*INDEX('01人员工时'!M$7:M$126,INT((ROW()-7)/4)+1)/$G55,2))</f>
        <v/>
      </c>
      <c r="R55" s="12">
        <f>IF(OR($D55="",$G55=0),"",ROUND($F55*INDEX('01人员工时'!N$7:N$126,INT((ROW()-7)/4)+1)/$G55,2))</f>
        <v/>
      </c>
      <c r="S55" s="12">
        <f>IF($D55="","",SUM(K55:R55))</f>
        <v/>
      </c>
      <c r="T55" s="12">
        <f>IF($D55="","",$J55+$S55)</f>
        <v/>
      </c>
      <c r="U55" s="25">
        <f>IF($D55="","",IF($F55=0,"未维护标准",IF(ROUND($T55-$F55,2)=0,"√","差异")))</f>
        <v/>
      </c>
      <c r="V55" s="11" t="n"/>
      <c r="W55" s="9" t="n"/>
    </row>
    <row r="56" ht="18" customHeight="1">
      <c r="B56" s="21">
        <f>IF(INDEX('01人员工时'!$D$7:$D$126,INT((ROW()-7)/4)+1)&amp;""="","",INDEX('01人员工时'!$B$7:$B$126,INT((ROW()-7)/4)+1))</f>
        <v/>
      </c>
      <c r="C56" s="22">
        <f>IF($D56="","",IF(MOD(ROW()-7,4)=0,INDEX('01人员工时'!$C$7:$C$126,INT((ROW()-7)/4)+1),""))</f>
        <v/>
      </c>
      <c r="D56" s="22">
        <f>IF(INDEX('01人员工时'!$D$7:$D$126,INT((ROW()-7)/4)+1)&amp;""="","",INDEX('01人员工时'!$D$7:$D$126,INT((ROW()-7)/4)+1))</f>
        <v/>
      </c>
      <c r="E56" s="22">
        <f>IF($D56="","",INDEX('参数设置'!$K$6:$K$9,MOD(ROW()-7,4)+1))</f>
        <v/>
      </c>
      <c r="F56" s="23">
        <f>IF($D56="","",IF($V56&lt;&gt;"",$V56,IFERROR(INDEX('参数设置'!$D$17:$G$26,MATCH($D56,'参数设置'!$C$17:$C$26,0),MATCH($E56,'参数设置'!$D$16:$G$16,0)),0)))</f>
        <v/>
      </c>
      <c r="G56" s="24">
        <f>IF($D56="","",INDEX('01人员工时'!$E$7:$E$126,INT((ROW()-7)/4)+1))</f>
        <v/>
      </c>
      <c r="H56" s="24">
        <f>IF($D56="","",INDEX('01人员工时'!$O$7:$O$126,INT((ROW()-7)/4)+1))</f>
        <v/>
      </c>
      <c r="I56" s="20">
        <f>IF(OR($D56="",$G56=0),"",$H56/$G56)</f>
        <v/>
      </c>
      <c r="J56" s="12">
        <f>IF($D56="","",ROUND($F56,2)-$S56)</f>
        <v/>
      </c>
      <c r="K56" s="12">
        <f>IF(OR($D56="",$G56=0),"",ROUND($F56*INDEX('01人员工时'!G$7:G$126,INT((ROW()-7)/4)+1)/$G56,2))</f>
        <v/>
      </c>
      <c r="L56" s="12">
        <f>IF(OR($D56="",$G56=0),"",ROUND($F56*INDEX('01人员工时'!H$7:H$126,INT((ROW()-7)/4)+1)/$G56,2))</f>
        <v/>
      </c>
      <c r="M56" s="12">
        <f>IF(OR($D56="",$G56=0),"",ROUND($F56*INDEX('01人员工时'!I$7:I$126,INT((ROW()-7)/4)+1)/$G56,2))</f>
        <v/>
      </c>
      <c r="N56" s="12">
        <f>IF(OR($D56="",$G56=0),"",ROUND($F56*INDEX('01人员工时'!J$7:J$126,INT((ROW()-7)/4)+1)/$G56,2))</f>
        <v/>
      </c>
      <c r="O56" s="12">
        <f>IF(OR($D56="",$G56=0),"",ROUND($F56*INDEX('01人员工时'!K$7:K$126,INT((ROW()-7)/4)+1)/$G56,2))</f>
        <v/>
      </c>
      <c r="P56" s="12">
        <f>IF(OR($D56="",$G56=0),"",ROUND($F56*INDEX('01人员工时'!L$7:L$126,INT((ROW()-7)/4)+1)/$G56,2))</f>
        <v/>
      </c>
      <c r="Q56" s="12">
        <f>IF(OR($D56="",$G56=0),"",ROUND($F56*INDEX('01人员工时'!M$7:M$126,INT((ROW()-7)/4)+1)/$G56,2))</f>
        <v/>
      </c>
      <c r="R56" s="12">
        <f>IF(OR($D56="",$G56=0),"",ROUND($F56*INDEX('01人员工时'!N$7:N$126,INT((ROW()-7)/4)+1)/$G56,2))</f>
        <v/>
      </c>
      <c r="S56" s="12">
        <f>IF($D56="","",SUM(K56:R56))</f>
        <v/>
      </c>
      <c r="T56" s="12">
        <f>IF($D56="","",$J56+$S56)</f>
        <v/>
      </c>
      <c r="U56" s="25">
        <f>IF($D56="","",IF($F56=0,"未维护标准",IF(ROUND($T56-$F56,2)=0,"√","差异")))</f>
        <v/>
      </c>
      <c r="V56" s="11" t="n"/>
      <c r="W56" s="9" t="n"/>
    </row>
    <row r="57" ht="18" customHeight="1">
      <c r="B57" s="21">
        <f>IF(INDEX('01人员工时'!$D$7:$D$126,INT((ROW()-7)/4)+1)&amp;""="","",INDEX('01人员工时'!$B$7:$B$126,INT((ROW()-7)/4)+1))</f>
        <v/>
      </c>
      <c r="C57" s="22">
        <f>IF($D57="","",IF(MOD(ROW()-7,4)=0,INDEX('01人员工时'!$C$7:$C$126,INT((ROW()-7)/4)+1),""))</f>
        <v/>
      </c>
      <c r="D57" s="22">
        <f>IF(INDEX('01人员工时'!$D$7:$D$126,INT((ROW()-7)/4)+1)&amp;""="","",INDEX('01人员工时'!$D$7:$D$126,INT((ROW()-7)/4)+1))</f>
        <v/>
      </c>
      <c r="E57" s="22">
        <f>IF($D57="","",INDEX('参数设置'!$K$6:$K$9,MOD(ROW()-7,4)+1))</f>
        <v/>
      </c>
      <c r="F57" s="23">
        <f>IF($D57="","",IF($V57&lt;&gt;"",$V57,IFERROR(INDEX('参数设置'!$D$17:$G$26,MATCH($D57,'参数设置'!$C$17:$C$26,0),MATCH($E57,'参数设置'!$D$16:$G$16,0)),0)))</f>
        <v/>
      </c>
      <c r="G57" s="24">
        <f>IF($D57="","",INDEX('01人员工时'!$E$7:$E$126,INT((ROW()-7)/4)+1))</f>
        <v/>
      </c>
      <c r="H57" s="24">
        <f>IF($D57="","",INDEX('01人员工时'!$O$7:$O$126,INT((ROW()-7)/4)+1))</f>
        <v/>
      </c>
      <c r="I57" s="20">
        <f>IF(OR($D57="",$G57=0),"",$H57/$G57)</f>
        <v/>
      </c>
      <c r="J57" s="12">
        <f>IF($D57="","",ROUND($F57,2)-$S57)</f>
        <v/>
      </c>
      <c r="K57" s="12">
        <f>IF(OR($D57="",$G57=0),"",ROUND($F57*INDEX('01人员工时'!G$7:G$126,INT((ROW()-7)/4)+1)/$G57,2))</f>
        <v/>
      </c>
      <c r="L57" s="12">
        <f>IF(OR($D57="",$G57=0),"",ROUND($F57*INDEX('01人员工时'!H$7:H$126,INT((ROW()-7)/4)+1)/$G57,2))</f>
        <v/>
      </c>
      <c r="M57" s="12">
        <f>IF(OR($D57="",$G57=0),"",ROUND($F57*INDEX('01人员工时'!I$7:I$126,INT((ROW()-7)/4)+1)/$G57,2))</f>
        <v/>
      </c>
      <c r="N57" s="12">
        <f>IF(OR($D57="",$G57=0),"",ROUND($F57*INDEX('01人员工时'!J$7:J$126,INT((ROW()-7)/4)+1)/$G57,2))</f>
        <v/>
      </c>
      <c r="O57" s="12">
        <f>IF(OR($D57="",$G57=0),"",ROUND($F57*INDEX('01人员工时'!K$7:K$126,INT((ROW()-7)/4)+1)/$G57,2))</f>
        <v/>
      </c>
      <c r="P57" s="12">
        <f>IF(OR($D57="",$G57=0),"",ROUND($F57*INDEX('01人员工时'!L$7:L$126,INT((ROW()-7)/4)+1)/$G57,2))</f>
        <v/>
      </c>
      <c r="Q57" s="12">
        <f>IF(OR($D57="",$G57=0),"",ROUND($F57*INDEX('01人员工时'!M$7:M$126,INT((ROW()-7)/4)+1)/$G57,2))</f>
        <v/>
      </c>
      <c r="R57" s="12">
        <f>IF(OR($D57="",$G57=0),"",ROUND($F57*INDEX('01人员工时'!N$7:N$126,INT((ROW()-7)/4)+1)/$G57,2))</f>
        <v/>
      </c>
      <c r="S57" s="12">
        <f>IF($D57="","",SUM(K57:R57))</f>
        <v/>
      </c>
      <c r="T57" s="12">
        <f>IF($D57="","",$J57+$S57)</f>
        <v/>
      </c>
      <c r="U57" s="25">
        <f>IF($D57="","",IF($F57=0,"未维护标准",IF(ROUND($T57-$F57,2)=0,"√","差异")))</f>
        <v/>
      </c>
      <c r="V57" s="11" t="n"/>
      <c r="W57" s="9" t="n"/>
    </row>
    <row r="58" ht="18" customHeight="1">
      <c r="B58" s="26">
        <f>IF(INDEX('01人员工时'!$D$7:$D$126,INT((ROW()-7)/4)+1)&amp;""="","",INDEX('01人员工时'!$B$7:$B$126,INT((ROW()-7)/4)+1))</f>
        <v/>
      </c>
      <c r="C58" s="27">
        <f>IF($D58="","",IF(MOD(ROW()-7,4)=0,INDEX('01人员工时'!$C$7:$C$126,INT((ROW()-7)/4)+1),""))</f>
        <v/>
      </c>
      <c r="D58" s="27">
        <f>IF(INDEX('01人员工时'!$D$7:$D$126,INT((ROW()-7)/4)+1)&amp;""="","",INDEX('01人员工时'!$D$7:$D$126,INT((ROW()-7)/4)+1))</f>
        <v/>
      </c>
      <c r="E58" s="27">
        <f>IF($D58="","",INDEX('参数设置'!$K$6:$K$9,MOD(ROW()-7,4)+1))</f>
        <v/>
      </c>
      <c r="F58" s="28">
        <f>IF($D58="","",IF($V58&lt;&gt;"",$V58,IFERROR(INDEX('参数设置'!$D$17:$G$26,MATCH($D58,'参数设置'!$C$17:$C$26,0),MATCH($E58,'参数设置'!$D$16:$G$16,0)),0)))</f>
        <v/>
      </c>
      <c r="G58" s="29">
        <f>IF($D58="","",INDEX('01人员工时'!$E$7:$E$126,INT((ROW()-7)/4)+1))</f>
        <v/>
      </c>
      <c r="H58" s="29">
        <f>IF($D58="","",INDEX('01人员工时'!$O$7:$O$126,INT((ROW()-7)/4)+1))</f>
        <v/>
      </c>
      <c r="I58" s="30">
        <f>IF(OR($D58="",$G58=0),"",$H58/$G58)</f>
        <v/>
      </c>
      <c r="J58" s="31">
        <f>IF($D58="","",ROUND($F58,2)-$S58)</f>
        <v/>
      </c>
      <c r="K58" s="31">
        <f>IF(OR($D58="",$G58=0),"",ROUND($F58*INDEX('01人员工时'!G$7:G$126,INT((ROW()-7)/4)+1)/$G58,2))</f>
        <v/>
      </c>
      <c r="L58" s="31">
        <f>IF(OR($D58="",$G58=0),"",ROUND($F58*INDEX('01人员工时'!H$7:H$126,INT((ROW()-7)/4)+1)/$G58,2))</f>
        <v/>
      </c>
      <c r="M58" s="31">
        <f>IF(OR($D58="",$G58=0),"",ROUND($F58*INDEX('01人员工时'!I$7:I$126,INT((ROW()-7)/4)+1)/$G58,2))</f>
        <v/>
      </c>
      <c r="N58" s="31">
        <f>IF(OR($D58="",$G58=0),"",ROUND($F58*INDEX('01人员工时'!J$7:J$126,INT((ROW()-7)/4)+1)/$G58,2))</f>
        <v/>
      </c>
      <c r="O58" s="31">
        <f>IF(OR($D58="",$G58=0),"",ROUND($F58*INDEX('01人员工时'!K$7:K$126,INT((ROW()-7)/4)+1)/$G58,2))</f>
        <v/>
      </c>
      <c r="P58" s="31">
        <f>IF(OR($D58="",$G58=0),"",ROUND($F58*INDEX('01人员工时'!L$7:L$126,INT((ROW()-7)/4)+1)/$G58,2))</f>
        <v/>
      </c>
      <c r="Q58" s="31">
        <f>IF(OR($D58="",$G58=0),"",ROUND($F58*INDEX('01人员工时'!M$7:M$126,INT((ROW()-7)/4)+1)/$G58,2))</f>
        <v/>
      </c>
      <c r="R58" s="31">
        <f>IF(OR($D58="",$G58=0),"",ROUND($F58*INDEX('01人员工时'!N$7:N$126,INT((ROW()-7)/4)+1)/$G58,2))</f>
        <v/>
      </c>
      <c r="S58" s="31">
        <f>IF($D58="","",SUM(K58:R58))</f>
        <v/>
      </c>
      <c r="T58" s="31">
        <f>IF($D58="","",$J58+$S58)</f>
        <v/>
      </c>
      <c r="U58" s="32">
        <f>IF($D58="","",IF($F58=0,"未维护标准",IF(ROUND($T58-$F58,2)=0,"√","差异")))</f>
        <v/>
      </c>
      <c r="V58" s="33" t="n"/>
      <c r="W58" s="34" t="n"/>
    </row>
    <row r="59" ht="18" customHeight="1">
      <c r="B59" s="21">
        <f>IF(INDEX('01人员工时'!$D$7:$D$126,INT((ROW()-7)/4)+1)&amp;""="","",INDEX('01人员工时'!$B$7:$B$126,INT((ROW()-7)/4)+1))</f>
        <v/>
      </c>
      <c r="C59" s="22">
        <f>IF($D59="","",IF(MOD(ROW()-7,4)=0,INDEX('01人员工时'!$C$7:$C$126,INT((ROW()-7)/4)+1),""))</f>
        <v/>
      </c>
      <c r="D59" s="22">
        <f>IF(INDEX('01人员工时'!$D$7:$D$126,INT((ROW()-7)/4)+1)&amp;""="","",INDEX('01人员工时'!$D$7:$D$126,INT((ROW()-7)/4)+1))</f>
        <v/>
      </c>
      <c r="E59" s="22">
        <f>IF($D59="","",INDEX('参数设置'!$K$6:$K$9,MOD(ROW()-7,4)+1))</f>
        <v/>
      </c>
      <c r="F59" s="23">
        <f>IF($D59="","",IF($V59&lt;&gt;"",$V59,IFERROR(INDEX('参数设置'!$D$17:$G$26,MATCH($D59,'参数设置'!$C$17:$C$26,0),MATCH($E59,'参数设置'!$D$16:$G$16,0)),0)))</f>
        <v/>
      </c>
      <c r="G59" s="24">
        <f>IF($D59="","",INDEX('01人员工时'!$E$7:$E$126,INT((ROW()-7)/4)+1))</f>
        <v/>
      </c>
      <c r="H59" s="24">
        <f>IF($D59="","",INDEX('01人员工时'!$O$7:$O$126,INT((ROW()-7)/4)+1))</f>
        <v/>
      </c>
      <c r="I59" s="20">
        <f>IF(OR($D59="",$G59=0),"",$H59/$G59)</f>
        <v/>
      </c>
      <c r="J59" s="12">
        <f>IF($D59="","",ROUND($F59,2)-$S59)</f>
        <v/>
      </c>
      <c r="K59" s="12">
        <f>IF(OR($D59="",$G59=0),"",ROUND($F59*INDEX('01人员工时'!G$7:G$126,INT((ROW()-7)/4)+1)/$G59,2))</f>
        <v/>
      </c>
      <c r="L59" s="12">
        <f>IF(OR($D59="",$G59=0),"",ROUND($F59*INDEX('01人员工时'!H$7:H$126,INT((ROW()-7)/4)+1)/$G59,2))</f>
        <v/>
      </c>
      <c r="M59" s="12">
        <f>IF(OR($D59="",$G59=0),"",ROUND($F59*INDEX('01人员工时'!I$7:I$126,INT((ROW()-7)/4)+1)/$G59,2))</f>
        <v/>
      </c>
      <c r="N59" s="12">
        <f>IF(OR($D59="",$G59=0),"",ROUND($F59*INDEX('01人员工时'!J$7:J$126,INT((ROW()-7)/4)+1)/$G59,2))</f>
        <v/>
      </c>
      <c r="O59" s="12">
        <f>IF(OR($D59="",$G59=0),"",ROUND($F59*INDEX('01人员工时'!K$7:K$126,INT((ROW()-7)/4)+1)/$G59,2))</f>
        <v/>
      </c>
      <c r="P59" s="12">
        <f>IF(OR($D59="",$G59=0),"",ROUND($F59*INDEX('01人员工时'!L$7:L$126,INT((ROW()-7)/4)+1)/$G59,2))</f>
        <v/>
      </c>
      <c r="Q59" s="12">
        <f>IF(OR($D59="",$G59=0),"",ROUND($F59*INDEX('01人员工时'!M$7:M$126,INT((ROW()-7)/4)+1)/$G59,2))</f>
        <v/>
      </c>
      <c r="R59" s="12">
        <f>IF(OR($D59="",$G59=0),"",ROUND($F59*INDEX('01人员工时'!N$7:N$126,INT((ROW()-7)/4)+1)/$G59,2))</f>
        <v/>
      </c>
      <c r="S59" s="12">
        <f>IF($D59="","",SUM(K59:R59))</f>
        <v/>
      </c>
      <c r="T59" s="12">
        <f>IF($D59="","",$J59+$S59)</f>
        <v/>
      </c>
      <c r="U59" s="25">
        <f>IF($D59="","",IF($F59=0,"未维护标准",IF(ROUND($T59-$F59,2)=0,"√","差异")))</f>
        <v/>
      </c>
      <c r="V59" s="11" t="n"/>
      <c r="W59" s="9" t="n"/>
    </row>
    <row r="60" ht="18" customHeight="1">
      <c r="B60" s="21">
        <f>IF(INDEX('01人员工时'!$D$7:$D$126,INT((ROW()-7)/4)+1)&amp;""="","",INDEX('01人员工时'!$B$7:$B$126,INT((ROW()-7)/4)+1))</f>
        <v/>
      </c>
      <c r="C60" s="22">
        <f>IF($D60="","",IF(MOD(ROW()-7,4)=0,INDEX('01人员工时'!$C$7:$C$126,INT((ROW()-7)/4)+1),""))</f>
        <v/>
      </c>
      <c r="D60" s="22">
        <f>IF(INDEX('01人员工时'!$D$7:$D$126,INT((ROW()-7)/4)+1)&amp;""="","",INDEX('01人员工时'!$D$7:$D$126,INT((ROW()-7)/4)+1))</f>
        <v/>
      </c>
      <c r="E60" s="22">
        <f>IF($D60="","",INDEX('参数设置'!$K$6:$K$9,MOD(ROW()-7,4)+1))</f>
        <v/>
      </c>
      <c r="F60" s="23">
        <f>IF($D60="","",IF($V60&lt;&gt;"",$V60,IFERROR(INDEX('参数设置'!$D$17:$G$26,MATCH($D60,'参数设置'!$C$17:$C$26,0),MATCH($E60,'参数设置'!$D$16:$G$16,0)),0)))</f>
        <v/>
      </c>
      <c r="G60" s="24">
        <f>IF($D60="","",INDEX('01人员工时'!$E$7:$E$126,INT((ROW()-7)/4)+1))</f>
        <v/>
      </c>
      <c r="H60" s="24">
        <f>IF($D60="","",INDEX('01人员工时'!$O$7:$O$126,INT((ROW()-7)/4)+1))</f>
        <v/>
      </c>
      <c r="I60" s="20">
        <f>IF(OR($D60="",$G60=0),"",$H60/$G60)</f>
        <v/>
      </c>
      <c r="J60" s="12">
        <f>IF($D60="","",ROUND($F60,2)-$S60)</f>
        <v/>
      </c>
      <c r="K60" s="12">
        <f>IF(OR($D60="",$G60=0),"",ROUND($F60*INDEX('01人员工时'!G$7:G$126,INT((ROW()-7)/4)+1)/$G60,2))</f>
        <v/>
      </c>
      <c r="L60" s="12">
        <f>IF(OR($D60="",$G60=0),"",ROUND($F60*INDEX('01人员工时'!H$7:H$126,INT((ROW()-7)/4)+1)/$G60,2))</f>
        <v/>
      </c>
      <c r="M60" s="12">
        <f>IF(OR($D60="",$G60=0),"",ROUND($F60*INDEX('01人员工时'!I$7:I$126,INT((ROW()-7)/4)+1)/$G60,2))</f>
        <v/>
      </c>
      <c r="N60" s="12">
        <f>IF(OR($D60="",$G60=0),"",ROUND($F60*INDEX('01人员工时'!J$7:J$126,INT((ROW()-7)/4)+1)/$G60,2))</f>
        <v/>
      </c>
      <c r="O60" s="12">
        <f>IF(OR($D60="",$G60=0),"",ROUND($F60*INDEX('01人员工时'!K$7:K$126,INT((ROW()-7)/4)+1)/$G60,2))</f>
        <v/>
      </c>
      <c r="P60" s="12">
        <f>IF(OR($D60="",$G60=0),"",ROUND($F60*INDEX('01人员工时'!L$7:L$126,INT((ROW()-7)/4)+1)/$G60,2))</f>
        <v/>
      </c>
      <c r="Q60" s="12">
        <f>IF(OR($D60="",$G60=0),"",ROUND($F60*INDEX('01人员工时'!M$7:M$126,INT((ROW()-7)/4)+1)/$G60,2))</f>
        <v/>
      </c>
      <c r="R60" s="12">
        <f>IF(OR($D60="",$G60=0),"",ROUND($F60*INDEX('01人员工时'!N$7:N$126,INT((ROW()-7)/4)+1)/$G60,2))</f>
        <v/>
      </c>
      <c r="S60" s="12">
        <f>IF($D60="","",SUM(K60:R60))</f>
        <v/>
      </c>
      <c r="T60" s="12">
        <f>IF($D60="","",$J60+$S60)</f>
        <v/>
      </c>
      <c r="U60" s="25">
        <f>IF($D60="","",IF($F60=0,"未维护标准",IF(ROUND($T60-$F60,2)=0,"√","差异")))</f>
        <v/>
      </c>
      <c r="V60" s="11" t="n"/>
      <c r="W60" s="9" t="n"/>
    </row>
    <row r="61" ht="18" customHeight="1">
      <c r="B61" s="21">
        <f>IF(INDEX('01人员工时'!$D$7:$D$126,INT((ROW()-7)/4)+1)&amp;""="","",INDEX('01人员工时'!$B$7:$B$126,INT((ROW()-7)/4)+1))</f>
        <v/>
      </c>
      <c r="C61" s="22">
        <f>IF($D61="","",IF(MOD(ROW()-7,4)=0,INDEX('01人员工时'!$C$7:$C$126,INT((ROW()-7)/4)+1),""))</f>
        <v/>
      </c>
      <c r="D61" s="22">
        <f>IF(INDEX('01人员工时'!$D$7:$D$126,INT((ROW()-7)/4)+1)&amp;""="","",INDEX('01人员工时'!$D$7:$D$126,INT((ROW()-7)/4)+1))</f>
        <v/>
      </c>
      <c r="E61" s="22">
        <f>IF($D61="","",INDEX('参数设置'!$K$6:$K$9,MOD(ROW()-7,4)+1))</f>
        <v/>
      </c>
      <c r="F61" s="23">
        <f>IF($D61="","",IF($V61&lt;&gt;"",$V61,IFERROR(INDEX('参数设置'!$D$17:$G$26,MATCH($D61,'参数设置'!$C$17:$C$26,0),MATCH($E61,'参数设置'!$D$16:$G$16,0)),0)))</f>
        <v/>
      </c>
      <c r="G61" s="24">
        <f>IF($D61="","",INDEX('01人员工时'!$E$7:$E$126,INT((ROW()-7)/4)+1))</f>
        <v/>
      </c>
      <c r="H61" s="24">
        <f>IF($D61="","",INDEX('01人员工时'!$O$7:$O$126,INT((ROW()-7)/4)+1))</f>
        <v/>
      </c>
      <c r="I61" s="20">
        <f>IF(OR($D61="",$G61=0),"",$H61/$G61)</f>
        <v/>
      </c>
      <c r="J61" s="12">
        <f>IF($D61="","",ROUND($F61,2)-$S61)</f>
        <v/>
      </c>
      <c r="K61" s="12">
        <f>IF(OR($D61="",$G61=0),"",ROUND($F61*INDEX('01人员工时'!G$7:G$126,INT((ROW()-7)/4)+1)/$G61,2))</f>
        <v/>
      </c>
      <c r="L61" s="12">
        <f>IF(OR($D61="",$G61=0),"",ROUND($F61*INDEX('01人员工时'!H$7:H$126,INT((ROW()-7)/4)+1)/$G61,2))</f>
        <v/>
      </c>
      <c r="M61" s="12">
        <f>IF(OR($D61="",$G61=0),"",ROUND($F61*INDEX('01人员工时'!I$7:I$126,INT((ROW()-7)/4)+1)/$G61,2))</f>
        <v/>
      </c>
      <c r="N61" s="12">
        <f>IF(OR($D61="",$G61=0),"",ROUND($F61*INDEX('01人员工时'!J$7:J$126,INT((ROW()-7)/4)+1)/$G61,2))</f>
        <v/>
      </c>
      <c r="O61" s="12">
        <f>IF(OR($D61="",$G61=0),"",ROUND($F61*INDEX('01人员工时'!K$7:K$126,INT((ROW()-7)/4)+1)/$G61,2))</f>
        <v/>
      </c>
      <c r="P61" s="12">
        <f>IF(OR($D61="",$G61=0),"",ROUND($F61*INDEX('01人员工时'!L$7:L$126,INT((ROW()-7)/4)+1)/$G61,2))</f>
        <v/>
      </c>
      <c r="Q61" s="12">
        <f>IF(OR($D61="",$G61=0),"",ROUND($F61*INDEX('01人员工时'!M$7:M$126,INT((ROW()-7)/4)+1)/$G61,2))</f>
        <v/>
      </c>
      <c r="R61" s="12">
        <f>IF(OR($D61="",$G61=0),"",ROUND($F61*INDEX('01人员工时'!N$7:N$126,INT((ROW()-7)/4)+1)/$G61,2))</f>
        <v/>
      </c>
      <c r="S61" s="12">
        <f>IF($D61="","",SUM(K61:R61))</f>
        <v/>
      </c>
      <c r="T61" s="12">
        <f>IF($D61="","",$J61+$S61)</f>
        <v/>
      </c>
      <c r="U61" s="25">
        <f>IF($D61="","",IF($F61=0,"未维护标准",IF(ROUND($T61-$F61,2)=0,"√","差异")))</f>
        <v/>
      </c>
      <c r="V61" s="11" t="n"/>
      <c r="W61" s="9" t="n"/>
    </row>
    <row r="62" ht="18" customHeight="1">
      <c r="B62" s="26">
        <f>IF(INDEX('01人员工时'!$D$7:$D$126,INT((ROW()-7)/4)+1)&amp;""="","",INDEX('01人员工时'!$B$7:$B$126,INT((ROW()-7)/4)+1))</f>
        <v/>
      </c>
      <c r="C62" s="27">
        <f>IF($D62="","",IF(MOD(ROW()-7,4)=0,INDEX('01人员工时'!$C$7:$C$126,INT((ROW()-7)/4)+1),""))</f>
        <v/>
      </c>
      <c r="D62" s="27">
        <f>IF(INDEX('01人员工时'!$D$7:$D$126,INT((ROW()-7)/4)+1)&amp;""="","",INDEX('01人员工时'!$D$7:$D$126,INT((ROW()-7)/4)+1))</f>
        <v/>
      </c>
      <c r="E62" s="27">
        <f>IF($D62="","",INDEX('参数设置'!$K$6:$K$9,MOD(ROW()-7,4)+1))</f>
        <v/>
      </c>
      <c r="F62" s="28">
        <f>IF($D62="","",IF($V62&lt;&gt;"",$V62,IFERROR(INDEX('参数设置'!$D$17:$G$26,MATCH($D62,'参数设置'!$C$17:$C$26,0),MATCH($E62,'参数设置'!$D$16:$G$16,0)),0)))</f>
        <v/>
      </c>
      <c r="G62" s="29">
        <f>IF($D62="","",INDEX('01人员工时'!$E$7:$E$126,INT((ROW()-7)/4)+1))</f>
        <v/>
      </c>
      <c r="H62" s="29">
        <f>IF($D62="","",INDEX('01人员工时'!$O$7:$O$126,INT((ROW()-7)/4)+1))</f>
        <v/>
      </c>
      <c r="I62" s="30">
        <f>IF(OR($D62="",$G62=0),"",$H62/$G62)</f>
        <v/>
      </c>
      <c r="J62" s="31">
        <f>IF($D62="","",ROUND($F62,2)-$S62)</f>
        <v/>
      </c>
      <c r="K62" s="31">
        <f>IF(OR($D62="",$G62=0),"",ROUND($F62*INDEX('01人员工时'!G$7:G$126,INT((ROW()-7)/4)+1)/$G62,2))</f>
        <v/>
      </c>
      <c r="L62" s="31">
        <f>IF(OR($D62="",$G62=0),"",ROUND($F62*INDEX('01人员工时'!H$7:H$126,INT((ROW()-7)/4)+1)/$G62,2))</f>
        <v/>
      </c>
      <c r="M62" s="31">
        <f>IF(OR($D62="",$G62=0),"",ROUND($F62*INDEX('01人员工时'!I$7:I$126,INT((ROW()-7)/4)+1)/$G62,2))</f>
        <v/>
      </c>
      <c r="N62" s="31">
        <f>IF(OR($D62="",$G62=0),"",ROUND($F62*INDEX('01人员工时'!J$7:J$126,INT((ROW()-7)/4)+1)/$G62,2))</f>
        <v/>
      </c>
      <c r="O62" s="31">
        <f>IF(OR($D62="",$G62=0),"",ROUND($F62*INDEX('01人员工时'!K$7:K$126,INT((ROW()-7)/4)+1)/$G62,2))</f>
        <v/>
      </c>
      <c r="P62" s="31">
        <f>IF(OR($D62="",$G62=0),"",ROUND($F62*INDEX('01人员工时'!L$7:L$126,INT((ROW()-7)/4)+1)/$G62,2))</f>
        <v/>
      </c>
      <c r="Q62" s="31">
        <f>IF(OR($D62="",$G62=0),"",ROUND($F62*INDEX('01人员工时'!M$7:M$126,INT((ROW()-7)/4)+1)/$G62,2))</f>
        <v/>
      </c>
      <c r="R62" s="31">
        <f>IF(OR($D62="",$G62=0),"",ROUND($F62*INDEX('01人员工时'!N$7:N$126,INT((ROW()-7)/4)+1)/$G62,2))</f>
        <v/>
      </c>
      <c r="S62" s="31">
        <f>IF($D62="","",SUM(K62:R62))</f>
        <v/>
      </c>
      <c r="T62" s="31">
        <f>IF($D62="","",$J62+$S62)</f>
        <v/>
      </c>
      <c r="U62" s="32">
        <f>IF($D62="","",IF($F62=0,"未维护标准",IF(ROUND($T62-$F62,2)=0,"√","差异")))</f>
        <v/>
      </c>
      <c r="V62" s="33" t="n"/>
      <c r="W62" s="34" t="n"/>
    </row>
    <row r="63" ht="18" customHeight="1">
      <c r="B63" s="21">
        <f>IF(INDEX('01人员工时'!$D$7:$D$126,INT((ROW()-7)/4)+1)&amp;""="","",INDEX('01人员工时'!$B$7:$B$126,INT((ROW()-7)/4)+1))</f>
        <v/>
      </c>
      <c r="C63" s="22">
        <f>IF($D63="","",IF(MOD(ROW()-7,4)=0,INDEX('01人员工时'!$C$7:$C$126,INT((ROW()-7)/4)+1),""))</f>
        <v/>
      </c>
      <c r="D63" s="22">
        <f>IF(INDEX('01人员工时'!$D$7:$D$126,INT((ROW()-7)/4)+1)&amp;""="","",INDEX('01人员工时'!$D$7:$D$126,INT((ROW()-7)/4)+1))</f>
        <v/>
      </c>
      <c r="E63" s="22">
        <f>IF($D63="","",INDEX('参数设置'!$K$6:$K$9,MOD(ROW()-7,4)+1))</f>
        <v/>
      </c>
      <c r="F63" s="23">
        <f>IF($D63="","",IF($V63&lt;&gt;"",$V63,IFERROR(INDEX('参数设置'!$D$17:$G$26,MATCH($D63,'参数设置'!$C$17:$C$26,0),MATCH($E63,'参数设置'!$D$16:$G$16,0)),0)))</f>
        <v/>
      </c>
      <c r="G63" s="24">
        <f>IF($D63="","",INDEX('01人员工时'!$E$7:$E$126,INT((ROW()-7)/4)+1))</f>
        <v/>
      </c>
      <c r="H63" s="24">
        <f>IF($D63="","",INDEX('01人员工时'!$O$7:$O$126,INT((ROW()-7)/4)+1))</f>
        <v/>
      </c>
      <c r="I63" s="20">
        <f>IF(OR($D63="",$G63=0),"",$H63/$G63)</f>
        <v/>
      </c>
      <c r="J63" s="12">
        <f>IF($D63="","",ROUND($F63,2)-$S63)</f>
        <v/>
      </c>
      <c r="K63" s="12">
        <f>IF(OR($D63="",$G63=0),"",ROUND($F63*INDEX('01人员工时'!G$7:G$126,INT((ROW()-7)/4)+1)/$G63,2))</f>
        <v/>
      </c>
      <c r="L63" s="12">
        <f>IF(OR($D63="",$G63=0),"",ROUND($F63*INDEX('01人员工时'!H$7:H$126,INT((ROW()-7)/4)+1)/$G63,2))</f>
        <v/>
      </c>
      <c r="M63" s="12">
        <f>IF(OR($D63="",$G63=0),"",ROUND($F63*INDEX('01人员工时'!I$7:I$126,INT((ROW()-7)/4)+1)/$G63,2))</f>
        <v/>
      </c>
      <c r="N63" s="12">
        <f>IF(OR($D63="",$G63=0),"",ROUND($F63*INDEX('01人员工时'!J$7:J$126,INT((ROW()-7)/4)+1)/$G63,2))</f>
        <v/>
      </c>
      <c r="O63" s="12">
        <f>IF(OR($D63="",$G63=0),"",ROUND($F63*INDEX('01人员工时'!K$7:K$126,INT((ROW()-7)/4)+1)/$G63,2))</f>
        <v/>
      </c>
      <c r="P63" s="12">
        <f>IF(OR($D63="",$G63=0),"",ROUND($F63*INDEX('01人员工时'!L$7:L$126,INT((ROW()-7)/4)+1)/$G63,2))</f>
        <v/>
      </c>
      <c r="Q63" s="12">
        <f>IF(OR($D63="",$G63=0),"",ROUND($F63*INDEX('01人员工时'!M$7:M$126,INT((ROW()-7)/4)+1)/$G63,2))</f>
        <v/>
      </c>
      <c r="R63" s="12">
        <f>IF(OR($D63="",$G63=0),"",ROUND($F63*INDEX('01人员工时'!N$7:N$126,INT((ROW()-7)/4)+1)/$G63,2))</f>
        <v/>
      </c>
      <c r="S63" s="12">
        <f>IF($D63="","",SUM(K63:R63))</f>
        <v/>
      </c>
      <c r="T63" s="12">
        <f>IF($D63="","",$J63+$S63)</f>
        <v/>
      </c>
      <c r="U63" s="25">
        <f>IF($D63="","",IF($F63=0,"未维护标准",IF(ROUND($T63-$F63,2)=0,"√","差异")))</f>
        <v/>
      </c>
      <c r="V63" s="11" t="n"/>
      <c r="W63" s="9" t="n"/>
    </row>
    <row r="64" ht="18" customHeight="1">
      <c r="B64" s="21">
        <f>IF(INDEX('01人员工时'!$D$7:$D$126,INT((ROW()-7)/4)+1)&amp;""="","",INDEX('01人员工时'!$B$7:$B$126,INT((ROW()-7)/4)+1))</f>
        <v/>
      </c>
      <c r="C64" s="22">
        <f>IF($D64="","",IF(MOD(ROW()-7,4)=0,INDEX('01人员工时'!$C$7:$C$126,INT((ROW()-7)/4)+1),""))</f>
        <v/>
      </c>
      <c r="D64" s="22">
        <f>IF(INDEX('01人员工时'!$D$7:$D$126,INT((ROW()-7)/4)+1)&amp;""="","",INDEX('01人员工时'!$D$7:$D$126,INT((ROW()-7)/4)+1))</f>
        <v/>
      </c>
      <c r="E64" s="22">
        <f>IF($D64="","",INDEX('参数设置'!$K$6:$K$9,MOD(ROW()-7,4)+1))</f>
        <v/>
      </c>
      <c r="F64" s="23">
        <f>IF($D64="","",IF($V64&lt;&gt;"",$V64,IFERROR(INDEX('参数设置'!$D$17:$G$26,MATCH($D64,'参数设置'!$C$17:$C$26,0),MATCH($E64,'参数设置'!$D$16:$G$16,0)),0)))</f>
        <v/>
      </c>
      <c r="G64" s="24">
        <f>IF($D64="","",INDEX('01人员工时'!$E$7:$E$126,INT((ROW()-7)/4)+1))</f>
        <v/>
      </c>
      <c r="H64" s="24">
        <f>IF($D64="","",INDEX('01人员工时'!$O$7:$O$126,INT((ROW()-7)/4)+1))</f>
        <v/>
      </c>
      <c r="I64" s="20">
        <f>IF(OR($D64="",$G64=0),"",$H64/$G64)</f>
        <v/>
      </c>
      <c r="J64" s="12">
        <f>IF($D64="","",ROUND($F64,2)-$S64)</f>
        <v/>
      </c>
      <c r="K64" s="12">
        <f>IF(OR($D64="",$G64=0),"",ROUND($F64*INDEX('01人员工时'!G$7:G$126,INT((ROW()-7)/4)+1)/$G64,2))</f>
        <v/>
      </c>
      <c r="L64" s="12">
        <f>IF(OR($D64="",$G64=0),"",ROUND($F64*INDEX('01人员工时'!H$7:H$126,INT((ROW()-7)/4)+1)/$G64,2))</f>
        <v/>
      </c>
      <c r="M64" s="12">
        <f>IF(OR($D64="",$G64=0),"",ROUND($F64*INDEX('01人员工时'!I$7:I$126,INT((ROW()-7)/4)+1)/$G64,2))</f>
        <v/>
      </c>
      <c r="N64" s="12">
        <f>IF(OR($D64="",$G64=0),"",ROUND($F64*INDEX('01人员工时'!J$7:J$126,INT((ROW()-7)/4)+1)/$G64,2))</f>
        <v/>
      </c>
      <c r="O64" s="12">
        <f>IF(OR($D64="",$G64=0),"",ROUND($F64*INDEX('01人员工时'!K$7:K$126,INT((ROW()-7)/4)+1)/$G64,2))</f>
        <v/>
      </c>
      <c r="P64" s="12">
        <f>IF(OR($D64="",$G64=0),"",ROUND($F64*INDEX('01人员工时'!L$7:L$126,INT((ROW()-7)/4)+1)/$G64,2))</f>
        <v/>
      </c>
      <c r="Q64" s="12">
        <f>IF(OR($D64="",$G64=0),"",ROUND($F64*INDEX('01人员工时'!M$7:M$126,INT((ROW()-7)/4)+1)/$G64,2))</f>
        <v/>
      </c>
      <c r="R64" s="12">
        <f>IF(OR($D64="",$G64=0),"",ROUND($F64*INDEX('01人员工时'!N$7:N$126,INT((ROW()-7)/4)+1)/$G64,2))</f>
        <v/>
      </c>
      <c r="S64" s="12">
        <f>IF($D64="","",SUM(K64:R64))</f>
        <v/>
      </c>
      <c r="T64" s="12">
        <f>IF($D64="","",$J64+$S64)</f>
        <v/>
      </c>
      <c r="U64" s="25">
        <f>IF($D64="","",IF($F64=0,"未维护标准",IF(ROUND($T64-$F64,2)=0,"√","差异")))</f>
        <v/>
      </c>
      <c r="V64" s="11" t="n"/>
      <c r="W64" s="9" t="n"/>
    </row>
    <row r="65" ht="18" customHeight="1">
      <c r="B65" s="21">
        <f>IF(INDEX('01人员工时'!$D$7:$D$126,INT((ROW()-7)/4)+1)&amp;""="","",INDEX('01人员工时'!$B$7:$B$126,INT((ROW()-7)/4)+1))</f>
        <v/>
      </c>
      <c r="C65" s="22">
        <f>IF($D65="","",IF(MOD(ROW()-7,4)=0,INDEX('01人员工时'!$C$7:$C$126,INT((ROW()-7)/4)+1),""))</f>
        <v/>
      </c>
      <c r="D65" s="22">
        <f>IF(INDEX('01人员工时'!$D$7:$D$126,INT((ROW()-7)/4)+1)&amp;""="","",INDEX('01人员工时'!$D$7:$D$126,INT((ROW()-7)/4)+1))</f>
        <v/>
      </c>
      <c r="E65" s="22">
        <f>IF($D65="","",INDEX('参数设置'!$K$6:$K$9,MOD(ROW()-7,4)+1))</f>
        <v/>
      </c>
      <c r="F65" s="23">
        <f>IF($D65="","",IF($V65&lt;&gt;"",$V65,IFERROR(INDEX('参数设置'!$D$17:$G$26,MATCH($D65,'参数设置'!$C$17:$C$26,0),MATCH($E65,'参数设置'!$D$16:$G$16,0)),0)))</f>
        <v/>
      </c>
      <c r="G65" s="24">
        <f>IF($D65="","",INDEX('01人员工时'!$E$7:$E$126,INT((ROW()-7)/4)+1))</f>
        <v/>
      </c>
      <c r="H65" s="24">
        <f>IF($D65="","",INDEX('01人员工时'!$O$7:$O$126,INT((ROW()-7)/4)+1))</f>
        <v/>
      </c>
      <c r="I65" s="20">
        <f>IF(OR($D65="",$G65=0),"",$H65/$G65)</f>
        <v/>
      </c>
      <c r="J65" s="12">
        <f>IF($D65="","",ROUND($F65,2)-$S65)</f>
        <v/>
      </c>
      <c r="K65" s="12">
        <f>IF(OR($D65="",$G65=0),"",ROUND($F65*INDEX('01人员工时'!G$7:G$126,INT((ROW()-7)/4)+1)/$G65,2))</f>
        <v/>
      </c>
      <c r="L65" s="12">
        <f>IF(OR($D65="",$G65=0),"",ROUND($F65*INDEX('01人员工时'!H$7:H$126,INT((ROW()-7)/4)+1)/$G65,2))</f>
        <v/>
      </c>
      <c r="M65" s="12">
        <f>IF(OR($D65="",$G65=0),"",ROUND($F65*INDEX('01人员工时'!I$7:I$126,INT((ROW()-7)/4)+1)/$G65,2))</f>
        <v/>
      </c>
      <c r="N65" s="12">
        <f>IF(OR($D65="",$G65=0),"",ROUND($F65*INDEX('01人员工时'!J$7:J$126,INT((ROW()-7)/4)+1)/$G65,2))</f>
        <v/>
      </c>
      <c r="O65" s="12">
        <f>IF(OR($D65="",$G65=0),"",ROUND($F65*INDEX('01人员工时'!K$7:K$126,INT((ROW()-7)/4)+1)/$G65,2))</f>
        <v/>
      </c>
      <c r="P65" s="12">
        <f>IF(OR($D65="",$G65=0),"",ROUND($F65*INDEX('01人员工时'!L$7:L$126,INT((ROW()-7)/4)+1)/$G65,2))</f>
        <v/>
      </c>
      <c r="Q65" s="12">
        <f>IF(OR($D65="",$G65=0),"",ROUND($F65*INDEX('01人员工时'!M$7:M$126,INT((ROW()-7)/4)+1)/$G65,2))</f>
        <v/>
      </c>
      <c r="R65" s="12">
        <f>IF(OR($D65="",$G65=0),"",ROUND($F65*INDEX('01人员工时'!N$7:N$126,INT((ROW()-7)/4)+1)/$G65,2))</f>
        <v/>
      </c>
      <c r="S65" s="12">
        <f>IF($D65="","",SUM(K65:R65))</f>
        <v/>
      </c>
      <c r="T65" s="12">
        <f>IF($D65="","",$J65+$S65)</f>
        <v/>
      </c>
      <c r="U65" s="25">
        <f>IF($D65="","",IF($F65=0,"未维护标准",IF(ROUND($T65-$F65,2)=0,"√","差异")))</f>
        <v/>
      </c>
      <c r="V65" s="11" t="n"/>
      <c r="W65" s="9" t="n"/>
    </row>
    <row r="66" ht="18" customHeight="1">
      <c r="B66" s="26">
        <f>IF(INDEX('01人员工时'!$D$7:$D$126,INT((ROW()-7)/4)+1)&amp;""="","",INDEX('01人员工时'!$B$7:$B$126,INT((ROW()-7)/4)+1))</f>
        <v/>
      </c>
      <c r="C66" s="27">
        <f>IF($D66="","",IF(MOD(ROW()-7,4)=0,INDEX('01人员工时'!$C$7:$C$126,INT((ROW()-7)/4)+1),""))</f>
        <v/>
      </c>
      <c r="D66" s="27">
        <f>IF(INDEX('01人员工时'!$D$7:$D$126,INT((ROW()-7)/4)+1)&amp;""="","",INDEX('01人员工时'!$D$7:$D$126,INT((ROW()-7)/4)+1))</f>
        <v/>
      </c>
      <c r="E66" s="27">
        <f>IF($D66="","",INDEX('参数设置'!$K$6:$K$9,MOD(ROW()-7,4)+1))</f>
        <v/>
      </c>
      <c r="F66" s="28">
        <f>IF($D66="","",IF($V66&lt;&gt;"",$V66,IFERROR(INDEX('参数设置'!$D$17:$G$26,MATCH($D66,'参数设置'!$C$17:$C$26,0),MATCH($E66,'参数设置'!$D$16:$G$16,0)),0)))</f>
        <v/>
      </c>
      <c r="G66" s="29">
        <f>IF($D66="","",INDEX('01人员工时'!$E$7:$E$126,INT((ROW()-7)/4)+1))</f>
        <v/>
      </c>
      <c r="H66" s="29">
        <f>IF($D66="","",INDEX('01人员工时'!$O$7:$O$126,INT((ROW()-7)/4)+1))</f>
        <v/>
      </c>
      <c r="I66" s="30">
        <f>IF(OR($D66="",$G66=0),"",$H66/$G66)</f>
        <v/>
      </c>
      <c r="J66" s="31">
        <f>IF($D66="","",ROUND($F66,2)-$S66)</f>
        <v/>
      </c>
      <c r="K66" s="31">
        <f>IF(OR($D66="",$G66=0),"",ROUND($F66*INDEX('01人员工时'!G$7:G$126,INT((ROW()-7)/4)+1)/$G66,2))</f>
        <v/>
      </c>
      <c r="L66" s="31">
        <f>IF(OR($D66="",$G66=0),"",ROUND($F66*INDEX('01人员工时'!H$7:H$126,INT((ROW()-7)/4)+1)/$G66,2))</f>
        <v/>
      </c>
      <c r="M66" s="31">
        <f>IF(OR($D66="",$G66=0),"",ROUND($F66*INDEX('01人员工时'!I$7:I$126,INT((ROW()-7)/4)+1)/$G66,2))</f>
        <v/>
      </c>
      <c r="N66" s="31">
        <f>IF(OR($D66="",$G66=0),"",ROUND($F66*INDEX('01人员工时'!J$7:J$126,INT((ROW()-7)/4)+1)/$G66,2))</f>
        <v/>
      </c>
      <c r="O66" s="31">
        <f>IF(OR($D66="",$G66=0),"",ROUND($F66*INDEX('01人员工时'!K$7:K$126,INT((ROW()-7)/4)+1)/$G66,2))</f>
        <v/>
      </c>
      <c r="P66" s="31">
        <f>IF(OR($D66="",$G66=0),"",ROUND($F66*INDEX('01人员工时'!L$7:L$126,INT((ROW()-7)/4)+1)/$G66,2))</f>
        <v/>
      </c>
      <c r="Q66" s="31">
        <f>IF(OR($D66="",$G66=0),"",ROUND($F66*INDEX('01人员工时'!M$7:M$126,INT((ROW()-7)/4)+1)/$G66,2))</f>
        <v/>
      </c>
      <c r="R66" s="31">
        <f>IF(OR($D66="",$G66=0),"",ROUND($F66*INDEX('01人员工时'!N$7:N$126,INT((ROW()-7)/4)+1)/$G66,2))</f>
        <v/>
      </c>
      <c r="S66" s="31">
        <f>IF($D66="","",SUM(K66:R66))</f>
        <v/>
      </c>
      <c r="T66" s="31">
        <f>IF($D66="","",$J66+$S66)</f>
        <v/>
      </c>
      <c r="U66" s="32">
        <f>IF($D66="","",IF($F66=0,"未维护标准",IF(ROUND($T66-$F66,2)=0,"√","差异")))</f>
        <v/>
      </c>
      <c r="V66" s="33" t="n"/>
      <c r="W66" s="34" t="n"/>
    </row>
    <row r="67" ht="18" customHeight="1">
      <c r="B67" s="21">
        <f>IF(INDEX('01人员工时'!$D$7:$D$126,INT((ROW()-7)/4)+1)&amp;""="","",INDEX('01人员工时'!$B$7:$B$126,INT((ROW()-7)/4)+1))</f>
        <v/>
      </c>
      <c r="C67" s="22">
        <f>IF($D67="","",IF(MOD(ROW()-7,4)=0,INDEX('01人员工时'!$C$7:$C$126,INT((ROW()-7)/4)+1),""))</f>
        <v/>
      </c>
      <c r="D67" s="22">
        <f>IF(INDEX('01人员工时'!$D$7:$D$126,INT((ROW()-7)/4)+1)&amp;""="","",INDEX('01人员工时'!$D$7:$D$126,INT((ROW()-7)/4)+1))</f>
        <v/>
      </c>
      <c r="E67" s="22">
        <f>IF($D67="","",INDEX('参数设置'!$K$6:$K$9,MOD(ROW()-7,4)+1))</f>
        <v/>
      </c>
      <c r="F67" s="23">
        <f>IF($D67="","",IF($V67&lt;&gt;"",$V67,IFERROR(INDEX('参数设置'!$D$17:$G$26,MATCH($D67,'参数设置'!$C$17:$C$26,0),MATCH($E67,'参数设置'!$D$16:$G$16,0)),0)))</f>
        <v/>
      </c>
      <c r="G67" s="24">
        <f>IF($D67="","",INDEX('01人员工时'!$E$7:$E$126,INT((ROW()-7)/4)+1))</f>
        <v/>
      </c>
      <c r="H67" s="24">
        <f>IF($D67="","",INDEX('01人员工时'!$O$7:$O$126,INT((ROW()-7)/4)+1))</f>
        <v/>
      </c>
      <c r="I67" s="20">
        <f>IF(OR($D67="",$G67=0),"",$H67/$G67)</f>
        <v/>
      </c>
      <c r="J67" s="12">
        <f>IF($D67="","",ROUND($F67,2)-$S67)</f>
        <v/>
      </c>
      <c r="K67" s="12">
        <f>IF(OR($D67="",$G67=0),"",ROUND($F67*INDEX('01人员工时'!G$7:G$126,INT((ROW()-7)/4)+1)/$G67,2))</f>
        <v/>
      </c>
      <c r="L67" s="12">
        <f>IF(OR($D67="",$G67=0),"",ROUND($F67*INDEX('01人员工时'!H$7:H$126,INT((ROW()-7)/4)+1)/$G67,2))</f>
        <v/>
      </c>
      <c r="M67" s="12">
        <f>IF(OR($D67="",$G67=0),"",ROUND($F67*INDEX('01人员工时'!I$7:I$126,INT((ROW()-7)/4)+1)/$G67,2))</f>
        <v/>
      </c>
      <c r="N67" s="12">
        <f>IF(OR($D67="",$G67=0),"",ROUND($F67*INDEX('01人员工时'!J$7:J$126,INT((ROW()-7)/4)+1)/$G67,2))</f>
        <v/>
      </c>
      <c r="O67" s="12">
        <f>IF(OR($D67="",$G67=0),"",ROUND($F67*INDEX('01人员工时'!K$7:K$126,INT((ROW()-7)/4)+1)/$G67,2))</f>
        <v/>
      </c>
      <c r="P67" s="12">
        <f>IF(OR($D67="",$G67=0),"",ROUND($F67*INDEX('01人员工时'!L$7:L$126,INT((ROW()-7)/4)+1)/$G67,2))</f>
        <v/>
      </c>
      <c r="Q67" s="12">
        <f>IF(OR($D67="",$G67=0),"",ROUND($F67*INDEX('01人员工时'!M$7:M$126,INT((ROW()-7)/4)+1)/$G67,2))</f>
        <v/>
      </c>
      <c r="R67" s="12">
        <f>IF(OR($D67="",$G67=0),"",ROUND($F67*INDEX('01人员工时'!N$7:N$126,INT((ROW()-7)/4)+1)/$G67,2))</f>
        <v/>
      </c>
      <c r="S67" s="12">
        <f>IF($D67="","",SUM(K67:R67))</f>
        <v/>
      </c>
      <c r="T67" s="12">
        <f>IF($D67="","",$J67+$S67)</f>
        <v/>
      </c>
      <c r="U67" s="25">
        <f>IF($D67="","",IF($F67=0,"未维护标准",IF(ROUND($T67-$F67,2)=0,"√","差异")))</f>
        <v/>
      </c>
      <c r="V67" s="11" t="n"/>
      <c r="W67" s="9" t="n"/>
    </row>
    <row r="68" ht="18" customHeight="1">
      <c r="B68" s="21">
        <f>IF(INDEX('01人员工时'!$D$7:$D$126,INT((ROW()-7)/4)+1)&amp;""="","",INDEX('01人员工时'!$B$7:$B$126,INT((ROW()-7)/4)+1))</f>
        <v/>
      </c>
      <c r="C68" s="22">
        <f>IF($D68="","",IF(MOD(ROW()-7,4)=0,INDEX('01人员工时'!$C$7:$C$126,INT((ROW()-7)/4)+1),""))</f>
        <v/>
      </c>
      <c r="D68" s="22">
        <f>IF(INDEX('01人员工时'!$D$7:$D$126,INT((ROW()-7)/4)+1)&amp;""="","",INDEX('01人员工时'!$D$7:$D$126,INT((ROW()-7)/4)+1))</f>
        <v/>
      </c>
      <c r="E68" s="22">
        <f>IF($D68="","",INDEX('参数设置'!$K$6:$K$9,MOD(ROW()-7,4)+1))</f>
        <v/>
      </c>
      <c r="F68" s="23">
        <f>IF($D68="","",IF($V68&lt;&gt;"",$V68,IFERROR(INDEX('参数设置'!$D$17:$G$26,MATCH($D68,'参数设置'!$C$17:$C$26,0),MATCH($E68,'参数设置'!$D$16:$G$16,0)),0)))</f>
        <v/>
      </c>
      <c r="G68" s="24">
        <f>IF($D68="","",INDEX('01人员工时'!$E$7:$E$126,INT((ROW()-7)/4)+1))</f>
        <v/>
      </c>
      <c r="H68" s="24">
        <f>IF($D68="","",INDEX('01人员工时'!$O$7:$O$126,INT((ROW()-7)/4)+1))</f>
        <v/>
      </c>
      <c r="I68" s="20">
        <f>IF(OR($D68="",$G68=0),"",$H68/$G68)</f>
        <v/>
      </c>
      <c r="J68" s="12">
        <f>IF($D68="","",ROUND($F68,2)-$S68)</f>
        <v/>
      </c>
      <c r="K68" s="12">
        <f>IF(OR($D68="",$G68=0),"",ROUND($F68*INDEX('01人员工时'!G$7:G$126,INT((ROW()-7)/4)+1)/$G68,2))</f>
        <v/>
      </c>
      <c r="L68" s="12">
        <f>IF(OR($D68="",$G68=0),"",ROUND($F68*INDEX('01人员工时'!H$7:H$126,INT((ROW()-7)/4)+1)/$G68,2))</f>
        <v/>
      </c>
      <c r="M68" s="12">
        <f>IF(OR($D68="",$G68=0),"",ROUND($F68*INDEX('01人员工时'!I$7:I$126,INT((ROW()-7)/4)+1)/$G68,2))</f>
        <v/>
      </c>
      <c r="N68" s="12">
        <f>IF(OR($D68="",$G68=0),"",ROUND($F68*INDEX('01人员工时'!J$7:J$126,INT((ROW()-7)/4)+1)/$G68,2))</f>
        <v/>
      </c>
      <c r="O68" s="12">
        <f>IF(OR($D68="",$G68=0),"",ROUND($F68*INDEX('01人员工时'!K$7:K$126,INT((ROW()-7)/4)+1)/$G68,2))</f>
        <v/>
      </c>
      <c r="P68" s="12">
        <f>IF(OR($D68="",$G68=0),"",ROUND($F68*INDEX('01人员工时'!L$7:L$126,INT((ROW()-7)/4)+1)/$G68,2))</f>
        <v/>
      </c>
      <c r="Q68" s="12">
        <f>IF(OR($D68="",$G68=0),"",ROUND($F68*INDEX('01人员工时'!M$7:M$126,INT((ROW()-7)/4)+1)/$G68,2))</f>
        <v/>
      </c>
      <c r="R68" s="12">
        <f>IF(OR($D68="",$G68=0),"",ROUND($F68*INDEX('01人员工时'!N$7:N$126,INT((ROW()-7)/4)+1)/$G68,2))</f>
        <v/>
      </c>
      <c r="S68" s="12">
        <f>IF($D68="","",SUM(K68:R68))</f>
        <v/>
      </c>
      <c r="T68" s="12">
        <f>IF($D68="","",$J68+$S68)</f>
        <v/>
      </c>
      <c r="U68" s="25">
        <f>IF($D68="","",IF($F68=0,"未维护标准",IF(ROUND($T68-$F68,2)=0,"√","差异")))</f>
        <v/>
      </c>
      <c r="V68" s="11" t="n"/>
      <c r="W68" s="9" t="n"/>
    </row>
    <row r="69" ht="18" customHeight="1">
      <c r="B69" s="21">
        <f>IF(INDEX('01人员工时'!$D$7:$D$126,INT((ROW()-7)/4)+1)&amp;""="","",INDEX('01人员工时'!$B$7:$B$126,INT((ROW()-7)/4)+1))</f>
        <v/>
      </c>
      <c r="C69" s="22">
        <f>IF($D69="","",IF(MOD(ROW()-7,4)=0,INDEX('01人员工时'!$C$7:$C$126,INT((ROW()-7)/4)+1),""))</f>
        <v/>
      </c>
      <c r="D69" s="22">
        <f>IF(INDEX('01人员工时'!$D$7:$D$126,INT((ROW()-7)/4)+1)&amp;""="","",INDEX('01人员工时'!$D$7:$D$126,INT((ROW()-7)/4)+1))</f>
        <v/>
      </c>
      <c r="E69" s="22">
        <f>IF($D69="","",INDEX('参数设置'!$K$6:$K$9,MOD(ROW()-7,4)+1))</f>
        <v/>
      </c>
      <c r="F69" s="23">
        <f>IF($D69="","",IF($V69&lt;&gt;"",$V69,IFERROR(INDEX('参数设置'!$D$17:$G$26,MATCH($D69,'参数设置'!$C$17:$C$26,0),MATCH($E69,'参数设置'!$D$16:$G$16,0)),0)))</f>
        <v/>
      </c>
      <c r="G69" s="24">
        <f>IF($D69="","",INDEX('01人员工时'!$E$7:$E$126,INT((ROW()-7)/4)+1))</f>
        <v/>
      </c>
      <c r="H69" s="24">
        <f>IF($D69="","",INDEX('01人员工时'!$O$7:$O$126,INT((ROW()-7)/4)+1))</f>
        <v/>
      </c>
      <c r="I69" s="20">
        <f>IF(OR($D69="",$G69=0),"",$H69/$G69)</f>
        <v/>
      </c>
      <c r="J69" s="12">
        <f>IF($D69="","",ROUND($F69,2)-$S69)</f>
        <v/>
      </c>
      <c r="K69" s="12">
        <f>IF(OR($D69="",$G69=0),"",ROUND($F69*INDEX('01人员工时'!G$7:G$126,INT((ROW()-7)/4)+1)/$G69,2))</f>
        <v/>
      </c>
      <c r="L69" s="12">
        <f>IF(OR($D69="",$G69=0),"",ROUND($F69*INDEX('01人员工时'!H$7:H$126,INT((ROW()-7)/4)+1)/$G69,2))</f>
        <v/>
      </c>
      <c r="M69" s="12">
        <f>IF(OR($D69="",$G69=0),"",ROUND($F69*INDEX('01人员工时'!I$7:I$126,INT((ROW()-7)/4)+1)/$G69,2))</f>
        <v/>
      </c>
      <c r="N69" s="12">
        <f>IF(OR($D69="",$G69=0),"",ROUND($F69*INDEX('01人员工时'!J$7:J$126,INT((ROW()-7)/4)+1)/$G69,2))</f>
        <v/>
      </c>
      <c r="O69" s="12">
        <f>IF(OR($D69="",$G69=0),"",ROUND($F69*INDEX('01人员工时'!K$7:K$126,INT((ROW()-7)/4)+1)/$G69,2))</f>
        <v/>
      </c>
      <c r="P69" s="12">
        <f>IF(OR($D69="",$G69=0),"",ROUND($F69*INDEX('01人员工时'!L$7:L$126,INT((ROW()-7)/4)+1)/$G69,2))</f>
        <v/>
      </c>
      <c r="Q69" s="12">
        <f>IF(OR($D69="",$G69=0),"",ROUND($F69*INDEX('01人员工时'!M$7:M$126,INT((ROW()-7)/4)+1)/$G69,2))</f>
        <v/>
      </c>
      <c r="R69" s="12">
        <f>IF(OR($D69="",$G69=0),"",ROUND($F69*INDEX('01人员工时'!N$7:N$126,INT((ROW()-7)/4)+1)/$G69,2))</f>
        <v/>
      </c>
      <c r="S69" s="12">
        <f>IF($D69="","",SUM(K69:R69))</f>
        <v/>
      </c>
      <c r="T69" s="12">
        <f>IF($D69="","",$J69+$S69)</f>
        <v/>
      </c>
      <c r="U69" s="25">
        <f>IF($D69="","",IF($F69=0,"未维护标准",IF(ROUND($T69-$F69,2)=0,"√","差异")))</f>
        <v/>
      </c>
      <c r="V69" s="11" t="n"/>
      <c r="W69" s="9" t="n"/>
    </row>
    <row r="70" ht="18" customHeight="1">
      <c r="B70" s="26">
        <f>IF(INDEX('01人员工时'!$D$7:$D$126,INT((ROW()-7)/4)+1)&amp;""="","",INDEX('01人员工时'!$B$7:$B$126,INT((ROW()-7)/4)+1))</f>
        <v/>
      </c>
      <c r="C70" s="27">
        <f>IF($D70="","",IF(MOD(ROW()-7,4)=0,INDEX('01人员工时'!$C$7:$C$126,INT((ROW()-7)/4)+1),""))</f>
        <v/>
      </c>
      <c r="D70" s="27">
        <f>IF(INDEX('01人员工时'!$D$7:$D$126,INT((ROW()-7)/4)+1)&amp;""="","",INDEX('01人员工时'!$D$7:$D$126,INT((ROW()-7)/4)+1))</f>
        <v/>
      </c>
      <c r="E70" s="27">
        <f>IF($D70="","",INDEX('参数设置'!$K$6:$K$9,MOD(ROW()-7,4)+1))</f>
        <v/>
      </c>
      <c r="F70" s="28">
        <f>IF($D70="","",IF($V70&lt;&gt;"",$V70,IFERROR(INDEX('参数设置'!$D$17:$G$26,MATCH($D70,'参数设置'!$C$17:$C$26,0),MATCH($E70,'参数设置'!$D$16:$G$16,0)),0)))</f>
        <v/>
      </c>
      <c r="G70" s="29">
        <f>IF($D70="","",INDEX('01人员工时'!$E$7:$E$126,INT((ROW()-7)/4)+1))</f>
        <v/>
      </c>
      <c r="H70" s="29">
        <f>IF($D70="","",INDEX('01人员工时'!$O$7:$O$126,INT((ROW()-7)/4)+1))</f>
        <v/>
      </c>
      <c r="I70" s="30">
        <f>IF(OR($D70="",$G70=0),"",$H70/$G70)</f>
        <v/>
      </c>
      <c r="J70" s="31">
        <f>IF($D70="","",ROUND($F70,2)-$S70)</f>
        <v/>
      </c>
      <c r="K70" s="31">
        <f>IF(OR($D70="",$G70=0),"",ROUND($F70*INDEX('01人员工时'!G$7:G$126,INT((ROW()-7)/4)+1)/$G70,2))</f>
        <v/>
      </c>
      <c r="L70" s="31">
        <f>IF(OR($D70="",$G70=0),"",ROUND($F70*INDEX('01人员工时'!H$7:H$126,INT((ROW()-7)/4)+1)/$G70,2))</f>
        <v/>
      </c>
      <c r="M70" s="31">
        <f>IF(OR($D70="",$G70=0),"",ROUND($F70*INDEX('01人员工时'!I$7:I$126,INT((ROW()-7)/4)+1)/$G70,2))</f>
        <v/>
      </c>
      <c r="N70" s="31">
        <f>IF(OR($D70="",$G70=0),"",ROUND($F70*INDEX('01人员工时'!J$7:J$126,INT((ROW()-7)/4)+1)/$G70,2))</f>
        <v/>
      </c>
      <c r="O70" s="31">
        <f>IF(OR($D70="",$G70=0),"",ROUND($F70*INDEX('01人员工时'!K$7:K$126,INT((ROW()-7)/4)+1)/$G70,2))</f>
        <v/>
      </c>
      <c r="P70" s="31">
        <f>IF(OR($D70="",$G70=0),"",ROUND($F70*INDEX('01人员工时'!L$7:L$126,INT((ROW()-7)/4)+1)/$G70,2))</f>
        <v/>
      </c>
      <c r="Q70" s="31">
        <f>IF(OR($D70="",$G70=0),"",ROUND($F70*INDEX('01人员工时'!M$7:M$126,INT((ROW()-7)/4)+1)/$G70,2))</f>
        <v/>
      </c>
      <c r="R70" s="31">
        <f>IF(OR($D70="",$G70=0),"",ROUND($F70*INDEX('01人员工时'!N$7:N$126,INT((ROW()-7)/4)+1)/$G70,2))</f>
        <v/>
      </c>
      <c r="S70" s="31">
        <f>IF($D70="","",SUM(K70:R70))</f>
        <v/>
      </c>
      <c r="T70" s="31">
        <f>IF($D70="","",$J70+$S70)</f>
        <v/>
      </c>
      <c r="U70" s="32">
        <f>IF($D70="","",IF($F70=0,"未维护标准",IF(ROUND($T70-$F70,2)=0,"√","差异")))</f>
        <v/>
      </c>
      <c r="V70" s="33" t="n"/>
      <c r="W70" s="34" t="n"/>
    </row>
    <row r="71" ht="18" customHeight="1">
      <c r="B71" s="21">
        <f>IF(INDEX('01人员工时'!$D$7:$D$126,INT((ROW()-7)/4)+1)&amp;""="","",INDEX('01人员工时'!$B$7:$B$126,INT((ROW()-7)/4)+1))</f>
        <v/>
      </c>
      <c r="C71" s="22">
        <f>IF($D71="","",IF(MOD(ROW()-7,4)=0,INDEX('01人员工时'!$C$7:$C$126,INT((ROW()-7)/4)+1),""))</f>
        <v/>
      </c>
      <c r="D71" s="22">
        <f>IF(INDEX('01人员工时'!$D$7:$D$126,INT((ROW()-7)/4)+1)&amp;""="","",INDEX('01人员工时'!$D$7:$D$126,INT((ROW()-7)/4)+1))</f>
        <v/>
      </c>
      <c r="E71" s="22">
        <f>IF($D71="","",INDEX('参数设置'!$K$6:$K$9,MOD(ROW()-7,4)+1))</f>
        <v/>
      </c>
      <c r="F71" s="23">
        <f>IF($D71="","",IF($V71&lt;&gt;"",$V71,IFERROR(INDEX('参数设置'!$D$17:$G$26,MATCH($D71,'参数设置'!$C$17:$C$26,0),MATCH($E71,'参数设置'!$D$16:$G$16,0)),0)))</f>
        <v/>
      </c>
      <c r="G71" s="24">
        <f>IF($D71="","",INDEX('01人员工时'!$E$7:$E$126,INT((ROW()-7)/4)+1))</f>
        <v/>
      </c>
      <c r="H71" s="24">
        <f>IF($D71="","",INDEX('01人员工时'!$O$7:$O$126,INT((ROW()-7)/4)+1))</f>
        <v/>
      </c>
      <c r="I71" s="20">
        <f>IF(OR($D71="",$G71=0),"",$H71/$G71)</f>
        <v/>
      </c>
      <c r="J71" s="12">
        <f>IF($D71="","",ROUND($F71,2)-$S71)</f>
        <v/>
      </c>
      <c r="K71" s="12">
        <f>IF(OR($D71="",$G71=0),"",ROUND($F71*INDEX('01人员工时'!G$7:G$126,INT((ROW()-7)/4)+1)/$G71,2))</f>
        <v/>
      </c>
      <c r="L71" s="12">
        <f>IF(OR($D71="",$G71=0),"",ROUND($F71*INDEX('01人员工时'!H$7:H$126,INT((ROW()-7)/4)+1)/$G71,2))</f>
        <v/>
      </c>
      <c r="M71" s="12">
        <f>IF(OR($D71="",$G71=0),"",ROUND($F71*INDEX('01人员工时'!I$7:I$126,INT((ROW()-7)/4)+1)/$G71,2))</f>
        <v/>
      </c>
      <c r="N71" s="12">
        <f>IF(OR($D71="",$G71=0),"",ROUND($F71*INDEX('01人员工时'!J$7:J$126,INT((ROW()-7)/4)+1)/$G71,2))</f>
        <v/>
      </c>
      <c r="O71" s="12">
        <f>IF(OR($D71="",$G71=0),"",ROUND($F71*INDEX('01人员工时'!K$7:K$126,INT((ROW()-7)/4)+1)/$G71,2))</f>
        <v/>
      </c>
      <c r="P71" s="12">
        <f>IF(OR($D71="",$G71=0),"",ROUND($F71*INDEX('01人员工时'!L$7:L$126,INT((ROW()-7)/4)+1)/$G71,2))</f>
        <v/>
      </c>
      <c r="Q71" s="12">
        <f>IF(OR($D71="",$G71=0),"",ROUND($F71*INDEX('01人员工时'!M$7:M$126,INT((ROW()-7)/4)+1)/$G71,2))</f>
        <v/>
      </c>
      <c r="R71" s="12">
        <f>IF(OR($D71="",$G71=0),"",ROUND($F71*INDEX('01人员工时'!N$7:N$126,INT((ROW()-7)/4)+1)/$G71,2))</f>
        <v/>
      </c>
      <c r="S71" s="12">
        <f>IF($D71="","",SUM(K71:R71))</f>
        <v/>
      </c>
      <c r="T71" s="12">
        <f>IF($D71="","",$J71+$S71)</f>
        <v/>
      </c>
      <c r="U71" s="25">
        <f>IF($D71="","",IF($F71=0,"未维护标准",IF(ROUND($T71-$F71,2)=0,"√","差异")))</f>
        <v/>
      </c>
      <c r="V71" s="11" t="n"/>
      <c r="W71" s="9" t="n"/>
    </row>
    <row r="72" ht="18" customHeight="1">
      <c r="B72" s="21">
        <f>IF(INDEX('01人员工时'!$D$7:$D$126,INT((ROW()-7)/4)+1)&amp;""="","",INDEX('01人员工时'!$B$7:$B$126,INT((ROW()-7)/4)+1))</f>
        <v/>
      </c>
      <c r="C72" s="22">
        <f>IF($D72="","",IF(MOD(ROW()-7,4)=0,INDEX('01人员工时'!$C$7:$C$126,INT((ROW()-7)/4)+1),""))</f>
        <v/>
      </c>
      <c r="D72" s="22">
        <f>IF(INDEX('01人员工时'!$D$7:$D$126,INT((ROW()-7)/4)+1)&amp;""="","",INDEX('01人员工时'!$D$7:$D$126,INT((ROW()-7)/4)+1))</f>
        <v/>
      </c>
      <c r="E72" s="22">
        <f>IF($D72="","",INDEX('参数设置'!$K$6:$K$9,MOD(ROW()-7,4)+1))</f>
        <v/>
      </c>
      <c r="F72" s="23">
        <f>IF($D72="","",IF($V72&lt;&gt;"",$V72,IFERROR(INDEX('参数设置'!$D$17:$G$26,MATCH($D72,'参数设置'!$C$17:$C$26,0),MATCH($E72,'参数设置'!$D$16:$G$16,0)),0)))</f>
        <v/>
      </c>
      <c r="G72" s="24">
        <f>IF($D72="","",INDEX('01人员工时'!$E$7:$E$126,INT((ROW()-7)/4)+1))</f>
        <v/>
      </c>
      <c r="H72" s="24">
        <f>IF($D72="","",INDEX('01人员工时'!$O$7:$O$126,INT((ROW()-7)/4)+1))</f>
        <v/>
      </c>
      <c r="I72" s="20">
        <f>IF(OR($D72="",$G72=0),"",$H72/$G72)</f>
        <v/>
      </c>
      <c r="J72" s="12">
        <f>IF($D72="","",ROUND($F72,2)-$S72)</f>
        <v/>
      </c>
      <c r="K72" s="12">
        <f>IF(OR($D72="",$G72=0),"",ROUND($F72*INDEX('01人员工时'!G$7:G$126,INT((ROW()-7)/4)+1)/$G72,2))</f>
        <v/>
      </c>
      <c r="L72" s="12">
        <f>IF(OR($D72="",$G72=0),"",ROUND($F72*INDEX('01人员工时'!H$7:H$126,INT((ROW()-7)/4)+1)/$G72,2))</f>
        <v/>
      </c>
      <c r="M72" s="12">
        <f>IF(OR($D72="",$G72=0),"",ROUND($F72*INDEX('01人员工时'!I$7:I$126,INT((ROW()-7)/4)+1)/$G72,2))</f>
        <v/>
      </c>
      <c r="N72" s="12">
        <f>IF(OR($D72="",$G72=0),"",ROUND($F72*INDEX('01人员工时'!J$7:J$126,INT((ROW()-7)/4)+1)/$G72,2))</f>
        <v/>
      </c>
      <c r="O72" s="12">
        <f>IF(OR($D72="",$G72=0),"",ROUND($F72*INDEX('01人员工时'!K$7:K$126,INT((ROW()-7)/4)+1)/$G72,2))</f>
        <v/>
      </c>
      <c r="P72" s="12">
        <f>IF(OR($D72="",$G72=0),"",ROUND($F72*INDEX('01人员工时'!L$7:L$126,INT((ROW()-7)/4)+1)/$G72,2))</f>
        <v/>
      </c>
      <c r="Q72" s="12">
        <f>IF(OR($D72="",$G72=0),"",ROUND($F72*INDEX('01人员工时'!M$7:M$126,INT((ROW()-7)/4)+1)/$G72,2))</f>
        <v/>
      </c>
      <c r="R72" s="12">
        <f>IF(OR($D72="",$G72=0),"",ROUND($F72*INDEX('01人员工时'!N$7:N$126,INT((ROW()-7)/4)+1)/$G72,2))</f>
        <v/>
      </c>
      <c r="S72" s="12">
        <f>IF($D72="","",SUM(K72:R72))</f>
        <v/>
      </c>
      <c r="T72" s="12">
        <f>IF($D72="","",$J72+$S72)</f>
        <v/>
      </c>
      <c r="U72" s="25">
        <f>IF($D72="","",IF($F72=0,"未维护标准",IF(ROUND($T72-$F72,2)=0,"√","差异")))</f>
        <v/>
      </c>
      <c r="V72" s="11" t="n"/>
      <c r="W72" s="9" t="n"/>
    </row>
    <row r="73" ht="18" customHeight="1">
      <c r="B73" s="21">
        <f>IF(INDEX('01人员工时'!$D$7:$D$126,INT((ROW()-7)/4)+1)&amp;""="","",INDEX('01人员工时'!$B$7:$B$126,INT((ROW()-7)/4)+1))</f>
        <v/>
      </c>
      <c r="C73" s="22">
        <f>IF($D73="","",IF(MOD(ROW()-7,4)=0,INDEX('01人员工时'!$C$7:$C$126,INT((ROW()-7)/4)+1),""))</f>
        <v/>
      </c>
      <c r="D73" s="22">
        <f>IF(INDEX('01人员工时'!$D$7:$D$126,INT((ROW()-7)/4)+1)&amp;""="","",INDEX('01人员工时'!$D$7:$D$126,INT((ROW()-7)/4)+1))</f>
        <v/>
      </c>
      <c r="E73" s="22">
        <f>IF($D73="","",INDEX('参数设置'!$K$6:$K$9,MOD(ROW()-7,4)+1))</f>
        <v/>
      </c>
      <c r="F73" s="23">
        <f>IF($D73="","",IF($V73&lt;&gt;"",$V73,IFERROR(INDEX('参数设置'!$D$17:$G$26,MATCH($D73,'参数设置'!$C$17:$C$26,0),MATCH($E73,'参数设置'!$D$16:$G$16,0)),0)))</f>
        <v/>
      </c>
      <c r="G73" s="24">
        <f>IF($D73="","",INDEX('01人员工时'!$E$7:$E$126,INT((ROW()-7)/4)+1))</f>
        <v/>
      </c>
      <c r="H73" s="24">
        <f>IF($D73="","",INDEX('01人员工时'!$O$7:$O$126,INT((ROW()-7)/4)+1))</f>
        <v/>
      </c>
      <c r="I73" s="20">
        <f>IF(OR($D73="",$G73=0),"",$H73/$G73)</f>
        <v/>
      </c>
      <c r="J73" s="12">
        <f>IF($D73="","",ROUND($F73,2)-$S73)</f>
        <v/>
      </c>
      <c r="K73" s="12">
        <f>IF(OR($D73="",$G73=0),"",ROUND($F73*INDEX('01人员工时'!G$7:G$126,INT((ROW()-7)/4)+1)/$G73,2))</f>
        <v/>
      </c>
      <c r="L73" s="12">
        <f>IF(OR($D73="",$G73=0),"",ROUND($F73*INDEX('01人员工时'!H$7:H$126,INT((ROW()-7)/4)+1)/$G73,2))</f>
        <v/>
      </c>
      <c r="M73" s="12">
        <f>IF(OR($D73="",$G73=0),"",ROUND($F73*INDEX('01人员工时'!I$7:I$126,INT((ROW()-7)/4)+1)/$G73,2))</f>
        <v/>
      </c>
      <c r="N73" s="12">
        <f>IF(OR($D73="",$G73=0),"",ROUND($F73*INDEX('01人员工时'!J$7:J$126,INT((ROW()-7)/4)+1)/$G73,2))</f>
        <v/>
      </c>
      <c r="O73" s="12">
        <f>IF(OR($D73="",$G73=0),"",ROUND($F73*INDEX('01人员工时'!K$7:K$126,INT((ROW()-7)/4)+1)/$G73,2))</f>
        <v/>
      </c>
      <c r="P73" s="12">
        <f>IF(OR($D73="",$G73=0),"",ROUND($F73*INDEX('01人员工时'!L$7:L$126,INT((ROW()-7)/4)+1)/$G73,2))</f>
        <v/>
      </c>
      <c r="Q73" s="12">
        <f>IF(OR($D73="",$G73=0),"",ROUND($F73*INDEX('01人员工时'!M$7:M$126,INT((ROW()-7)/4)+1)/$G73,2))</f>
        <v/>
      </c>
      <c r="R73" s="12">
        <f>IF(OR($D73="",$G73=0),"",ROUND($F73*INDEX('01人员工时'!N$7:N$126,INT((ROW()-7)/4)+1)/$G73,2))</f>
        <v/>
      </c>
      <c r="S73" s="12">
        <f>IF($D73="","",SUM(K73:R73))</f>
        <v/>
      </c>
      <c r="T73" s="12">
        <f>IF($D73="","",$J73+$S73)</f>
        <v/>
      </c>
      <c r="U73" s="25">
        <f>IF($D73="","",IF($F73=0,"未维护标准",IF(ROUND($T73-$F73,2)=0,"√","差异")))</f>
        <v/>
      </c>
      <c r="V73" s="11" t="n"/>
      <c r="W73" s="9" t="n"/>
    </row>
    <row r="74" ht="18" customHeight="1">
      <c r="B74" s="26">
        <f>IF(INDEX('01人员工时'!$D$7:$D$126,INT((ROW()-7)/4)+1)&amp;""="","",INDEX('01人员工时'!$B$7:$B$126,INT((ROW()-7)/4)+1))</f>
        <v/>
      </c>
      <c r="C74" s="27">
        <f>IF($D74="","",IF(MOD(ROW()-7,4)=0,INDEX('01人员工时'!$C$7:$C$126,INT((ROW()-7)/4)+1),""))</f>
        <v/>
      </c>
      <c r="D74" s="27">
        <f>IF(INDEX('01人员工时'!$D$7:$D$126,INT((ROW()-7)/4)+1)&amp;""="","",INDEX('01人员工时'!$D$7:$D$126,INT((ROW()-7)/4)+1))</f>
        <v/>
      </c>
      <c r="E74" s="27">
        <f>IF($D74="","",INDEX('参数设置'!$K$6:$K$9,MOD(ROW()-7,4)+1))</f>
        <v/>
      </c>
      <c r="F74" s="28">
        <f>IF($D74="","",IF($V74&lt;&gt;"",$V74,IFERROR(INDEX('参数设置'!$D$17:$G$26,MATCH($D74,'参数设置'!$C$17:$C$26,0),MATCH($E74,'参数设置'!$D$16:$G$16,0)),0)))</f>
        <v/>
      </c>
      <c r="G74" s="29">
        <f>IF($D74="","",INDEX('01人员工时'!$E$7:$E$126,INT((ROW()-7)/4)+1))</f>
        <v/>
      </c>
      <c r="H74" s="29">
        <f>IF($D74="","",INDEX('01人员工时'!$O$7:$O$126,INT((ROW()-7)/4)+1))</f>
        <v/>
      </c>
      <c r="I74" s="30">
        <f>IF(OR($D74="",$G74=0),"",$H74/$G74)</f>
        <v/>
      </c>
      <c r="J74" s="31">
        <f>IF($D74="","",ROUND($F74,2)-$S74)</f>
        <v/>
      </c>
      <c r="K74" s="31">
        <f>IF(OR($D74="",$G74=0),"",ROUND($F74*INDEX('01人员工时'!G$7:G$126,INT((ROW()-7)/4)+1)/$G74,2))</f>
        <v/>
      </c>
      <c r="L74" s="31">
        <f>IF(OR($D74="",$G74=0),"",ROUND($F74*INDEX('01人员工时'!H$7:H$126,INT((ROW()-7)/4)+1)/$G74,2))</f>
        <v/>
      </c>
      <c r="M74" s="31">
        <f>IF(OR($D74="",$G74=0),"",ROUND($F74*INDEX('01人员工时'!I$7:I$126,INT((ROW()-7)/4)+1)/$G74,2))</f>
        <v/>
      </c>
      <c r="N74" s="31">
        <f>IF(OR($D74="",$G74=0),"",ROUND($F74*INDEX('01人员工时'!J$7:J$126,INT((ROW()-7)/4)+1)/$G74,2))</f>
        <v/>
      </c>
      <c r="O74" s="31">
        <f>IF(OR($D74="",$G74=0),"",ROUND($F74*INDEX('01人员工时'!K$7:K$126,INT((ROW()-7)/4)+1)/$G74,2))</f>
        <v/>
      </c>
      <c r="P74" s="31">
        <f>IF(OR($D74="",$G74=0),"",ROUND($F74*INDEX('01人员工时'!L$7:L$126,INT((ROW()-7)/4)+1)/$G74,2))</f>
        <v/>
      </c>
      <c r="Q74" s="31">
        <f>IF(OR($D74="",$G74=0),"",ROUND($F74*INDEX('01人员工时'!M$7:M$126,INT((ROW()-7)/4)+1)/$G74,2))</f>
        <v/>
      </c>
      <c r="R74" s="31">
        <f>IF(OR($D74="",$G74=0),"",ROUND($F74*INDEX('01人员工时'!N$7:N$126,INT((ROW()-7)/4)+1)/$G74,2))</f>
        <v/>
      </c>
      <c r="S74" s="31">
        <f>IF($D74="","",SUM(K74:R74))</f>
        <v/>
      </c>
      <c r="T74" s="31">
        <f>IF($D74="","",$J74+$S74)</f>
        <v/>
      </c>
      <c r="U74" s="32">
        <f>IF($D74="","",IF($F74=0,"未维护标准",IF(ROUND($T74-$F74,2)=0,"√","差异")))</f>
        <v/>
      </c>
      <c r="V74" s="33" t="n"/>
      <c r="W74" s="34" t="n"/>
    </row>
    <row r="75" ht="18" customHeight="1">
      <c r="B75" s="21">
        <f>IF(INDEX('01人员工时'!$D$7:$D$126,INT((ROW()-7)/4)+1)&amp;""="","",INDEX('01人员工时'!$B$7:$B$126,INT((ROW()-7)/4)+1))</f>
        <v/>
      </c>
      <c r="C75" s="22">
        <f>IF($D75="","",IF(MOD(ROW()-7,4)=0,INDEX('01人员工时'!$C$7:$C$126,INT((ROW()-7)/4)+1),""))</f>
        <v/>
      </c>
      <c r="D75" s="22">
        <f>IF(INDEX('01人员工时'!$D$7:$D$126,INT((ROW()-7)/4)+1)&amp;""="","",INDEX('01人员工时'!$D$7:$D$126,INT((ROW()-7)/4)+1))</f>
        <v/>
      </c>
      <c r="E75" s="22">
        <f>IF($D75="","",INDEX('参数设置'!$K$6:$K$9,MOD(ROW()-7,4)+1))</f>
        <v/>
      </c>
      <c r="F75" s="23">
        <f>IF($D75="","",IF($V75&lt;&gt;"",$V75,IFERROR(INDEX('参数设置'!$D$17:$G$26,MATCH($D75,'参数设置'!$C$17:$C$26,0),MATCH($E75,'参数设置'!$D$16:$G$16,0)),0)))</f>
        <v/>
      </c>
      <c r="G75" s="24">
        <f>IF($D75="","",INDEX('01人员工时'!$E$7:$E$126,INT((ROW()-7)/4)+1))</f>
        <v/>
      </c>
      <c r="H75" s="24">
        <f>IF($D75="","",INDEX('01人员工时'!$O$7:$O$126,INT((ROW()-7)/4)+1))</f>
        <v/>
      </c>
      <c r="I75" s="20">
        <f>IF(OR($D75="",$G75=0),"",$H75/$G75)</f>
        <v/>
      </c>
      <c r="J75" s="12">
        <f>IF($D75="","",ROUND($F75,2)-$S75)</f>
        <v/>
      </c>
      <c r="K75" s="12">
        <f>IF(OR($D75="",$G75=0),"",ROUND($F75*INDEX('01人员工时'!G$7:G$126,INT((ROW()-7)/4)+1)/$G75,2))</f>
        <v/>
      </c>
      <c r="L75" s="12">
        <f>IF(OR($D75="",$G75=0),"",ROUND($F75*INDEX('01人员工时'!H$7:H$126,INT((ROW()-7)/4)+1)/$G75,2))</f>
        <v/>
      </c>
      <c r="M75" s="12">
        <f>IF(OR($D75="",$G75=0),"",ROUND($F75*INDEX('01人员工时'!I$7:I$126,INT((ROW()-7)/4)+1)/$G75,2))</f>
        <v/>
      </c>
      <c r="N75" s="12">
        <f>IF(OR($D75="",$G75=0),"",ROUND($F75*INDEX('01人员工时'!J$7:J$126,INT((ROW()-7)/4)+1)/$G75,2))</f>
        <v/>
      </c>
      <c r="O75" s="12">
        <f>IF(OR($D75="",$G75=0),"",ROUND($F75*INDEX('01人员工时'!K$7:K$126,INT((ROW()-7)/4)+1)/$G75,2))</f>
        <v/>
      </c>
      <c r="P75" s="12">
        <f>IF(OR($D75="",$G75=0),"",ROUND($F75*INDEX('01人员工时'!L$7:L$126,INT((ROW()-7)/4)+1)/$G75,2))</f>
        <v/>
      </c>
      <c r="Q75" s="12">
        <f>IF(OR($D75="",$G75=0),"",ROUND($F75*INDEX('01人员工时'!M$7:M$126,INT((ROW()-7)/4)+1)/$G75,2))</f>
        <v/>
      </c>
      <c r="R75" s="12">
        <f>IF(OR($D75="",$G75=0),"",ROUND($F75*INDEX('01人员工时'!N$7:N$126,INT((ROW()-7)/4)+1)/$G75,2))</f>
        <v/>
      </c>
      <c r="S75" s="12">
        <f>IF($D75="","",SUM(K75:R75))</f>
        <v/>
      </c>
      <c r="T75" s="12">
        <f>IF($D75="","",$J75+$S75)</f>
        <v/>
      </c>
      <c r="U75" s="25">
        <f>IF($D75="","",IF($F75=0,"未维护标准",IF(ROUND($T75-$F75,2)=0,"√","差异")))</f>
        <v/>
      </c>
      <c r="V75" s="11" t="n"/>
      <c r="W75" s="9" t="n"/>
    </row>
    <row r="76" ht="18" customHeight="1">
      <c r="B76" s="21">
        <f>IF(INDEX('01人员工时'!$D$7:$D$126,INT((ROW()-7)/4)+1)&amp;""="","",INDEX('01人员工时'!$B$7:$B$126,INT((ROW()-7)/4)+1))</f>
        <v/>
      </c>
      <c r="C76" s="22">
        <f>IF($D76="","",IF(MOD(ROW()-7,4)=0,INDEX('01人员工时'!$C$7:$C$126,INT((ROW()-7)/4)+1),""))</f>
        <v/>
      </c>
      <c r="D76" s="22">
        <f>IF(INDEX('01人员工时'!$D$7:$D$126,INT((ROW()-7)/4)+1)&amp;""="","",INDEX('01人员工时'!$D$7:$D$126,INT((ROW()-7)/4)+1))</f>
        <v/>
      </c>
      <c r="E76" s="22">
        <f>IF($D76="","",INDEX('参数设置'!$K$6:$K$9,MOD(ROW()-7,4)+1))</f>
        <v/>
      </c>
      <c r="F76" s="23">
        <f>IF($D76="","",IF($V76&lt;&gt;"",$V76,IFERROR(INDEX('参数设置'!$D$17:$G$26,MATCH($D76,'参数设置'!$C$17:$C$26,0),MATCH($E76,'参数设置'!$D$16:$G$16,0)),0)))</f>
        <v/>
      </c>
      <c r="G76" s="24">
        <f>IF($D76="","",INDEX('01人员工时'!$E$7:$E$126,INT((ROW()-7)/4)+1))</f>
        <v/>
      </c>
      <c r="H76" s="24">
        <f>IF($D76="","",INDEX('01人员工时'!$O$7:$O$126,INT((ROW()-7)/4)+1))</f>
        <v/>
      </c>
      <c r="I76" s="20">
        <f>IF(OR($D76="",$G76=0),"",$H76/$G76)</f>
        <v/>
      </c>
      <c r="J76" s="12">
        <f>IF($D76="","",ROUND($F76,2)-$S76)</f>
        <v/>
      </c>
      <c r="K76" s="12">
        <f>IF(OR($D76="",$G76=0),"",ROUND($F76*INDEX('01人员工时'!G$7:G$126,INT((ROW()-7)/4)+1)/$G76,2))</f>
        <v/>
      </c>
      <c r="L76" s="12">
        <f>IF(OR($D76="",$G76=0),"",ROUND($F76*INDEX('01人员工时'!H$7:H$126,INT((ROW()-7)/4)+1)/$G76,2))</f>
        <v/>
      </c>
      <c r="M76" s="12">
        <f>IF(OR($D76="",$G76=0),"",ROUND($F76*INDEX('01人员工时'!I$7:I$126,INT((ROW()-7)/4)+1)/$G76,2))</f>
        <v/>
      </c>
      <c r="N76" s="12">
        <f>IF(OR($D76="",$G76=0),"",ROUND($F76*INDEX('01人员工时'!J$7:J$126,INT((ROW()-7)/4)+1)/$G76,2))</f>
        <v/>
      </c>
      <c r="O76" s="12">
        <f>IF(OR($D76="",$G76=0),"",ROUND($F76*INDEX('01人员工时'!K$7:K$126,INT((ROW()-7)/4)+1)/$G76,2))</f>
        <v/>
      </c>
      <c r="P76" s="12">
        <f>IF(OR($D76="",$G76=0),"",ROUND($F76*INDEX('01人员工时'!L$7:L$126,INT((ROW()-7)/4)+1)/$G76,2))</f>
        <v/>
      </c>
      <c r="Q76" s="12">
        <f>IF(OR($D76="",$G76=0),"",ROUND($F76*INDEX('01人员工时'!M$7:M$126,INT((ROW()-7)/4)+1)/$G76,2))</f>
        <v/>
      </c>
      <c r="R76" s="12">
        <f>IF(OR($D76="",$G76=0),"",ROUND($F76*INDEX('01人员工时'!N$7:N$126,INT((ROW()-7)/4)+1)/$G76,2))</f>
        <v/>
      </c>
      <c r="S76" s="12">
        <f>IF($D76="","",SUM(K76:R76))</f>
        <v/>
      </c>
      <c r="T76" s="12">
        <f>IF($D76="","",$J76+$S76)</f>
        <v/>
      </c>
      <c r="U76" s="25">
        <f>IF($D76="","",IF($F76=0,"未维护标准",IF(ROUND($T76-$F76,2)=0,"√","差异")))</f>
        <v/>
      </c>
      <c r="V76" s="11" t="n"/>
      <c r="W76" s="9" t="n"/>
    </row>
    <row r="77" ht="18" customHeight="1">
      <c r="B77" s="21">
        <f>IF(INDEX('01人员工时'!$D$7:$D$126,INT((ROW()-7)/4)+1)&amp;""="","",INDEX('01人员工时'!$B$7:$B$126,INT((ROW()-7)/4)+1))</f>
        <v/>
      </c>
      <c r="C77" s="22">
        <f>IF($D77="","",IF(MOD(ROW()-7,4)=0,INDEX('01人员工时'!$C$7:$C$126,INT((ROW()-7)/4)+1),""))</f>
        <v/>
      </c>
      <c r="D77" s="22">
        <f>IF(INDEX('01人员工时'!$D$7:$D$126,INT((ROW()-7)/4)+1)&amp;""="","",INDEX('01人员工时'!$D$7:$D$126,INT((ROW()-7)/4)+1))</f>
        <v/>
      </c>
      <c r="E77" s="22">
        <f>IF($D77="","",INDEX('参数设置'!$K$6:$K$9,MOD(ROW()-7,4)+1))</f>
        <v/>
      </c>
      <c r="F77" s="23">
        <f>IF($D77="","",IF($V77&lt;&gt;"",$V77,IFERROR(INDEX('参数设置'!$D$17:$G$26,MATCH($D77,'参数设置'!$C$17:$C$26,0),MATCH($E77,'参数设置'!$D$16:$G$16,0)),0)))</f>
        <v/>
      </c>
      <c r="G77" s="24">
        <f>IF($D77="","",INDEX('01人员工时'!$E$7:$E$126,INT((ROW()-7)/4)+1))</f>
        <v/>
      </c>
      <c r="H77" s="24">
        <f>IF($D77="","",INDEX('01人员工时'!$O$7:$O$126,INT((ROW()-7)/4)+1))</f>
        <v/>
      </c>
      <c r="I77" s="20">
        <f>IF(OR($D77="",$G77=0),"",$H77/$G77)</f>
        <v/>
      </c>
      <c r="J77" s="12">
        <f>IF($D77="","",ROUND($F77,2)-$S77)</f>
        <v/>
      </c>
      <c r="K77" s="12">
        <f>IF(OR($D77="",$G77=0),"",ROUND($F77*INDEX('01人员工时'!G$7:G$126,INT((ROW()-7)/4)+1)/$G77,2))</f>
        <v/>
      </c>
      <c r="L77" s="12">
        <f>IF(OR($D77="",$G77=0),"",ROUND($F77*INDEX('01人员工时'!H$7:H$126,INT((ROW()-7)/4)+1)/$G77,2))</f>
        <v/>
      </c>
      <c r="M77" s="12">
        <f>IF(OR($D77="",$G77=0),"",ROUND($F77*INDEX('01人员工时'!I$7:I$126,INT((ROW()-7)/4)+1)/$G77,2))</f>
        <v/>
      </c>
      <c r="N77" s="12">
        <f>IF(OR($D77="",$G77=0),"",ROUND($F77*INDEX('01人员工时'!J$7:J$126,INT((ROW()-7)/4)+1)/$G77,2))</f>
        <v/>
      </c>
      <c r="O77" s="12">
        <f>IF(OR($D77="",$G77=0),"",ROUND($F77*INDEX('01人员工时'!K$7:K$126,INT((ROW()-7)/4)+1)/$G77,2))</f>
        <v/>
      </c>
      <c r="P77" s="12">
        <f>IF(OR($D77="",$G77=0),"",ROUND($F77*INDEX('01人员工时'!L$7:L$126,INT((ROW()-7)/4)+1)/$G77,2))</f>
        <v/>
      </c>
      <c r="Q77" s="12">
        <f>IF(OR($D77="",$G77=0),"",ROUND($F77*INDEX('01人员工时'!M$7:M$126,INT((ROW()-7)/4)+1)/$G77,2))</f>
        <v/>
      </c>
      <c r="R77" s="12">
        <f>IF(OR($D77="",$G77=0),"",ROUND($F77*INDEX('01人员工时'!N$7:N$126,INT((ROW()-7)/4)+1)/$G77,2))</f>
        <v/>
      </c>
      <c r="S77" s="12">
        <f>IF($D77="","",SUM(K77:R77))</f>
        <v/>
      </c>
      <c r="T77" s="12">
        <f>IF($D77="","",$J77+$S77)</f>
        <v/>
      </c>
      <c r="U77" s="25">
        <f>IF($D77="","",IF($F77=0,"未维护标准",IF(ROUND($T77-$F77,2)=0,"√","差异")))</f>
        <v/>
      </c>
      <c r="V77" s="11" t="n"/>
      <c r="W77" s="9" t="n"/>
    </row>
    <row r="78" ht="18" customHeight="1">
      <c r="B78" s="26">
        <f>IF(INDEX('01人员工时'!$D$7:$D$126,INT((ROW()-7)/4)+1)&amp;""="","",INDEX('01人员工时'!$B$7:$B$126,INT((ROW()-7)/4)+1))</f>
        <v/>
      </c>
      <c r="C78" s="27">
        <f>IF($D78="","",IF(MOD(ROW()-7,4)=0,INDEX('01人员工时'!$C$7:$C$126,INT((ROW()-7)/4)+1),""))</f>
        <v/>
      </c>
      <c r="D78" s="27">
        <f>IF(INDEX('01人员工时'!$D$7:$D$126,INT((ROW()-7)/4)+1)&amp;""="","",INDEX('01人员工时'!$D$7:$D$126,INT((ROW()-7)/4)+1))</f>
        <v/>
      </c>
      <c r="E78" s="27">
        <f>IF($D78="","",INDEX('参数设置'!$K$6:$K$9,MOD(ROW()-7,4)+1))</f>
        <v/>
      </c>
      <c r="F78" s="28">
        <f>IF($D78="","",IF($V78&lt;&gt;"",$V78,IFERROR(INDEX('参数设置'!$D$17:$G$26,MATCH($D78,'参数设置'!$C$17:$C$26,0),MATCH($E78,'参数设置'!$D$16:$G$16,0)),0)))</f>
        <v/>
      </c>
      <c r="G78" s="29">
        <f>IF($D78="","",INDEX('01人员工时'!$E$7:$E$126,INT((ROW()-7)/4)+1))</f>
        <v/>
      </c>
      <c r="H78" s="29">
        <f>IF($D78="","",INDEX('01人员工时'!$O$7:$O$126,INT((ROW()-7)/4)+1))</f>
        <v/>
      </c>
      <c r="I78" s="30">
        <f>IF(OR($D78="",$G78=0),"",$H78/$G78)</f>
        <v/>
      </c>
      <c r="J78" s="31">
        <f>IF($D78="","",ROUND($F78,2)-$S78)</f>
        <v/>
      </c>
      <c r="K78" s="31">
        <f>IF(OR($D78="",$G78=0),"",ROUND($F78*INDEX('01人员工时'!G$7:G$126,INT((ROW()-7)/4)+1)/$G78,2))</f>
        <v/>
      </c>
      <c r="L78" s="31">
        <f>IF(OR($D78="",$G78=0),"",ROUND($F78*INDEX('01人员工时'!H$7:H$126,INT((ROW()-7)/4)+1)/$G78,2))</f>
        <v/>
      </c>
      <c r="M78" s="31">
        <f>IF(OR($D78="",$G78=0),"",ROUND($F78*INDEX('01人员工时'!I$7:I$126,INT((ROW()-7)/4)+1)/$G78,2))</f>
        <v/>
      </c>
      <c r="N78" s="31">
        <f>IF(OR($D78="",$G78=0),"",ROUND($F78*INDEX('01人员工时'!J$7:J$126,INT((ROW()-7)/4)+1)/$G78,2))</f>
        <v/>
      </c>
      <c r="O78" s="31">
        <f>IF(OR($D78="",$G78=0),"",ROUND($F78*INDEX('01人员工时'!K$7:K$126,INT((ROW()-7)/4)+1)/$G78,2))</f>
        <v/>
      </c>
      <c r="P78" s="31">
        <f>IF(OR($D78="",$G78=0),"",ROUND($F78*INDEX('01人员工时'!L$7:L$126,INT((ROW()-7)/4)+1)/$G78,2))</f>
        <v/>
      </c>
      <c r="Q78" s="31">
        <f>IF(OR($D78="",$G78=0),"",ROUND($F78*INDEX('01人员工时'!M$7:M$126,INT((ROW()-7)/4)+1)/$G78,2))</f>
        <v/>
      </c>
      <c r="R78" s="31">
        <f>IF(OR($D78="",$G78=0),"",ROUND($F78*INDEX('01人员工时'!N$7:N$126,INT((ROW()-7)/4)+1)/$G78,2))</f>
        <v/>
      </c>
      <c r="S78" s="31">
        <f>IF($D78="","",SUM(K78:R78))</f>
        <v/>
      </c>
      <c r="T78" s="31">
        <f>IF($D78="","",$J78+$S78)</f>
        <v/>
      </c>
      <c r="U78" s="32">
        <f>IF($D78="","",IF($F78=0,"未维护标准",IF(ROUND($T78-$F78,2)=0,"√","差异")))</f>
        <v/>
      </c>
      <c r="V78" s="33" t="n"/>
      <c r="W78" s="34" t="n"/>
    </row>
    <row r="79" ht="18" customHeight="1">
      <c r="B79" s="21">
        <f>IF(INDEX('01人员工时'!$D$7:$D$126,INT((ROW()-7)/4)+1)&amp;""="","",INDEX('01人员工时'!$B$7:$B$126,INT((ROW()-7)/4)+1))</f>
        <v/>
      </c>
      <c r="C79" s="22">
        <f>IF($D79="","",IF(MOD(ROW()-7,4)=0,INDEX('01人员工时'!$C$7:$C$126,INT((ROW()-7)/4)+1),""))</f>
        <v/>
      </c>
      <c r="D79" s="22">
        <f>IF(INDEX('01人员工时'!$D$7:$D$126,INT((ROW()-7)/4)+1)&amp;""="","",INDEX('01人员工时'!$D$7:$D$126,INT((ROW()-7)/4)+1))</f>
        <v/>
      </c>
      <c r="E79" s="22">
        <f>IF($D79="","",INDEX('参数设置'!$K$6:$K$9,MOD(ROW()-7,4)+1))</f>
        <v/>
      </c>
      <c r="F79" s="23">
        <f>IF($D79="","",IF($V79&lt;&gt;"",$V79,IFERROR(INDEX('参数设置'!$D$17:$G$26,MATCH($D79,'参数设置'!$C$17:$C$26,0),MATCH($E79,'参数设置'!$D$16:$G$16,0)),0)))</f>
        <v/>
      </c>
      <c r="G79" s="24">
        <f>IF($D79="","",INDEX('01人员工时'!$E$7:$E$126,INT((ROW()-7)/4)+1))</f>
        <v/>
      </c>
      <c r="H79" s="24">
        <f>IF($D79="","",INDEX('01人员工时'!$O$7:$O$126,INT((ROW()-7)/4)+1))</f>
        <v/>
      </c>
      <c r="I79" s="20">
        <f>IF(OR($D79="",$G79=0),"",$H79/$G79)</f>
        <v/>
      </c>
      <c r="J79" s="12">
        <f>IF($D79="","",ROUND($F79,2)-$S79)</f>
        <v/>
      </c>
      <c r="K79" s="12">
        <f>IF(OR($D79="",$G79=0),"",ROUND($F79*INDEX('01人员工时'!G$7:G$126,INT((ROW()-7)/4)+1)/$G79,2))</f>
        <v/>
      </c>
      <c r="L79" s="12">
        <f>IF(OR($D79="",$G79=0),"",ROUND($F79*INDEX('01人员工时'!H$7:H$126,INT((ROW()-7)/4)+1)/$G79,2))</f>
        <v/>
      </c>
      <c r="M79" s="12">
        <f>IF(OR($D79="",$G79=0),"",ROUND($F79*INDEX('01人员工时'!I$7:I$126,INT((ROW()-7)/4)+1)/$G79,2))</f>
        <v/>
      </c>
      <c r="N79" s="12">
        <f>IF(OR($D79="",$G79=0),"",ROUND($F79*INDEX('01人员工时'!J$7:J$126,INT((ROW()-7)/4)+1)/$G79,2))</f>
        <v/>
      </c>
      <c r="O79" s="12">
        <f>IF(OR($D79="",$G79=0),"",ROUND($F79*INDEX('01人员工时'!K$7:K$126,INT((ROW()-7)/4)+1)/$G79,2))</f>
        <v/>
      </c>
      <c r="P79" s="12">
        <f>IF(OR($D79="",$G79=0),"",ROUND($F79*INDEX('01人员工时'!L$7:L$126,INT((ROW()-7)/4)+1)/$G79,2))</f>
        <v/>
      </c>
      <c r="Q79" s="12">
        <f>IF(OR($D79="",$G79=0),"",ROUND($F79*INDEX('01人员工时'!M$7:M$126,INT((ROW()-7)/4)+1)/$G79,2))</f>
        <v/>
      </c>
      <c r="R79" s="12">
        <f>IF(OR($D79="",$G79=0),"",ROUND($F79*INDEX('01人员工时'!N$7:N$126,INT((ROW()-7)/4)+1)/$G79,2))</f>
        <v/>
      </c>
      <c r="S79" s="12">
        <f>IF($D79="","",SUM(K79:R79))</f>
        <v/>
      </c>
      <c r="T79" s="12">
        <f>IF($D79="","",$J79+$S79)</f>
        <v/>
      </c>
      <c r="U79" s="25">
        <f>IF($D79="","",IF($F79=0,"未维护标准",IF(ROUND($T79-$F79,2)=0,"√","差异")))</f>
        <v/>
      </c>
      <c r="V79" s="11" t="n"/>
      <c r="W79" s="9" t="n"/>
    </row>
    <row r="80" ht="18" customHeight="1">
      <c r="B80" s="21">
        <f>IF(INDEX('01人员工时'!$D$7:$D$126,INT((ROW()-7)/4)+1)&amp;""="","",INDEX('01人员工时'!$B$7:$B$126,INT((ROW()-7)/4)+1))</f>
        <v/>
      </c>
      <c r="C80" s="22">
        <f>IF($D80="","",IF(MOD(ROW()-7,4)=0,INDEX('01人员工时'!$C$7:$C$126,INT((ROW()-7)/4)+1),""))</f>
        <v/>
      </c>
      <c r="D80" s="22">
        <f>IF(INDEX('01人员工时'!$D$7:$D$126,INT((ROW()-7)/4)+1)&amp;""="","",INDEX('01人员工时'!$D$7:$D$126,INT((ROW()-7)/4)+1))</f>
        <v/>
      </c>
      <c r="E80" s="22">
        <f>IF($D80="","",INDEX('参数设置'!$K$6:$K$9,MOD(ROW()-7,4)+1))</f>
        <v/>
      </c>
      <c r="F80" s="23">
        <f>IF($D80="","",IF($V80&lt;&gt;"",$V80,IFERROR(INDEX('参数设置'!$D$17:$G$26,MATCH($D80,'参数设置'!$C$17:$C$26,0),MATCH($E80,'参数设置'!$D$16:$G$16,0)),0)))</f>
        <v/>
      </c>
      <c r="G80" s="24">
        <f>IF($D80="","",INDEX('01人员工时'!$E$7:$E$126,INT((ROW()-7)/4)+1))</f>
        <v/>
      </c>
      <c r="H80" s="24">
        <f>IF($D80="","",INDEX('01人员工时'!$O$7:$O$126,INT((ROW()-7)/4)+1))</f>
        <v/>
      </c>
      <c r="I80" s="20">
        <f>IF(OR($D80="",$G80=0),"",$H80/$G80)</f>
        <v/>
      </c>
      <c r="J80" s="12">
        <f>IF($D80="","",ROUND($F80,2)-$S80)</f>
        <v/>
      </c>
      <c r="K80" s="12">
        <f>IF(OR($D80="",$G80=0),"",ROUND($F80*INDEX('01人员工时'!G$7:G$126,INT((ROW()-7)/4)+1)/$G80,2))</f>
        <v/>
      </c>
      <c r="L80" s="12">
        <f>IF(OR($D80="",$G80=0),"",ROUND($F80*INDEX('01人员工时'!H$7:H$126,INT((ROW()-7)/4)+1)/$G80,2))</f>
        <v/>
      </c>
      <c r="M80" s="12">
        <f>IF(OR($D80="",$G80=0),"",ROUND($F80*INDEX('01人员工时'!I$7:I$126,INT((ROW()-7)/4)+1)/$G80,2))</f>
        <v/>
      </c>
      <c r="N80" s="12">
        <f>IF(OR($D80="",$G80=0),"",ROUND($F80*INDEX('01人员工时'!J$7:J$126,INT((ROW()-7)/4)+1)/$G80,2))</f>
        <v/>
      </c>
      <c r="O80" s="12">
        <f>IF(OR($D80="",$G80=0),"",ROUND($F80*INDEX('01人员工时'!K$7:K$126,INT((ROW()-7)/4)+1)/$G80,2))</f>
        <v/>
      </c>
      <c r="P80" s="12">
        <f>IF(OR($D80="",$G80=0),"",ROUND($F80*INDEX('01人员工时'!L$7:L$126,INT((ROW()-7)/4)+1)/$G80,2))</f>
        <v/>
      </c>
      <c r="Q80" s="12">
        <f>IF(OR($D80="",$G80=0),"",ROUND($F80*INDEX('01人员工时'!M$7:M$126,INT((ROW()-7)/4)+1)/$G80,2))</f>
        <v/>
      </c>
      <c r="R80" s="12">
        <f>IF(OR($D80="",$G80=0),"",ROUND($F80*INDEX('01人员工时'!N$7:N$126,INT((ROW()-7)/4)+1)/$G80,2))</f>
        <v/>
      </c>
      <c r="S80" s="12">
        <f>IF($D80="","",SUM(K80:R80))</f>
        <v/>
      </c>
      <c r="T80" s="12">
        <f>IF($D80="","",$J80+$S80)</f>
        <v/>
      </c>
      <c r="U80" s="25">
        <f>IF($D80="","",IF($F80=0,"未维护标准",IF(ROUND($T80-$F80,2)=0,"√","差异")))</f>
        <v/>
      </c>
      <c r="V80" s="11" t="n"/>
      <c r="W80" s="9" t="n"/>
    </row>
    <row r="81" ht="18" customHeight="1">
      <c r="B81" s="21">
        <f>IF(INDEX('01人员工时'!$D$7:$D$126,INT((ROW()-7)/4)+1)&amp;""="","",INDEX('01人员工时'!$B$7:$B$126,INT((ROW()-7)/4)+1))</f>
        <v/>
      </c>
      <c r="C81" s="22">
        <f>IF($D81="","",IF(MOD(ROW()-7,4)=0,INDEX('01人员工时'!$C$7:$C$126,INT((ROW()-7)/4)+1),""))</f>
        <v/>
      </c>
      <c r="D81" s="22">
        <f>IF(INDEX('01人员工时'!$D$7:$D$126,INT((ROW()-7)/4)+1)&amp;""="","",INDEX('01人员工时'!$D$7:$D$126,INT((ROW()-7)/4)+1))</f>
        <v/>
      </c>
      <c r="E81" s="22">
        <f>IF($D81="","",INDEX('参数设置'!$K$6:$K$9,MOD(ROW()-7,4)+1))</f>
        <v/>
      </c>
      <c r="F81" s="23">
        <f>IF($D81="","",IF($V81&lt;&gt;"",$V81,IFERROR(INDEX('参数设置'!$D$17:$G$26,MATCH($D81,'参数设置'!$C$17:$C$26,0),MATCH($E81,'参数设置'!$D$16:$G$16,0)),0)))</f>
        <v/>
      </c>
      <c r="G81" s="24">
        <f>IF($D81="","",INDEX('01人员工时'!$E$7:$E$126,INT((ROW()-7)/4)+1))</f>
        <v/>
      </c>
      <c r="H81" s="24">
        <f>IF($D81="","",INDEX('01人员工时'!$O$7:$O$126,INT((ROW()-7)/4)+1))</f>
        <v/>
      </c>
      <c r="I81" s="20">
        <f>IF(OR($D81="",$G81=0),"",$H81/$G81)</f>
        <v/>
      </c>
      <c r="J81" s="12">
        <f>IF($D81="","",ROUND($F81,2)-$S81)</f>
        <v/>
      </c>
      <c r="K81" s="12">
        <f>IF(OR($D81="",$G81=0),"",ROUND($F81*INDEX('01人员工时'!G$7:G$126,INT((ROW()-7)/4)+1)/$G81,2))</f>
        <v/>
      </c>
      <c r="L81" s="12">
        <f>IF(OR($D81="",$G81=0),"",ROUND($F81*INDEX('01人员工时'!H$7:H$126,INT((ROW()-7)/4)+1)/$G81,2))</f>
        <v/>
      </c>
      <c r="M81" s="12">
        <f>IF(OR($D81="",$G81=0),"",ROUND($F81*INDEX('01人员工时'!I$7:I$126,INT((ROW()-7)/4)+1)/$G81,2))</f>
        <v/>
      </c>
      <c r="N81" s="12">
        <f>IF(OR($D81="",$G81=0),"",ROUND($F81*INDEX('01人员工时'!J$7:J$126,INT((ROW()-7)/4)+1)/$G81,2))</f>
        <v/>
      </c>
      <c r="O81" s="12">
        <f>IF(OR($D81="",$G81=0),"",ROUND($F81*INDEX('01人员工时'!K$7:K$126,INT((ROW()-7)/4)+1)/$G81,2))</f>
        <v/>
      </c>
      <c r="P81" s="12">
        <f>IF(OR($D81="",$G81=0),"",ROUND($F81*INDEX('01人员工时'!L$7:L$126,INT((ROW()-7)/4)+1)/$G81,2))</f>
        <v/>
      </c>
      <c r="Q81" s="12">
        <f>IF(OR($D81="",$G81=0),"",ROUND($F81*INDEX('01人员工时'!M$7:M$126,INT((ROW()-7)/4)+1)/$G81,2))</f>
        <v/>
      </c>
      <c r="R81" s="12">
        <f>IF(OR($D81="",$G81=0),"",ROUND($F81*INDEX('01人员工时'!N$7:N$126,INT((ROW()-7)/4)+1)/$G81,2))</f>
        <v/>
      </c>
      <c r="S81" s="12">
        <f>IF($D81="","",SUM(K81:R81))</f>
        <v/>
      </c>
      <c r="T81" s="12">
        <f>IF($D81="","",$J81+$S81)</f>
        <v/>
      </c>
      <c r="U81" s="25">
        <f>IF($D81="","",IF($F81=0,"未维护标准",IF(ROUND($T81-$F81,2)=0,"√","差异")))</f>
        <v/>
      </c>
      <c r="V81" s="11" t="n"/>
      <c r="W81" s="9" t="n"/>
    </row>
    <row r="82" ht="18" customHeight="1">
      <c r="B82" s="26">
        <f>IF(INDEX('01人员工时'!$D$7:$D$126,INT((ROW()-7)/4)+1)&amp;""="","",INDEX('01人员工时'!$B$7:$B$126,INT((ROW()-7)/4)+1))</f>
        <v/>
      </c>
      <c r="C82" s="27">
        <f>IF($D82="","",IF(MOD(ROW()-7,4)=0,INDEX('01人员工时'!$C$7:$C$126,INT((ROW()-7)/4)+1),""))</f>
        <v/>
      </c>
      <c r="D82" s="27">
        <f>IF(INDEX('01人员工时'!$D$7:$D$126,INT((ROW()-7)/4)+1)&amp;""="","",INDEX('01人员工时'!$D$7:$D$126,INT((ROW()-7)/4)+1))</f>
        <v/>
      </c>
      <c r="E82" s="27">
        <f>IF($D82="","",INDEX('参数设置'!$K$6:$K$9,MOD(ROW()-7,4)+1))</f>
        <v/>
      </c>
      <c r="F82" s="28">
        <f>IF($D82="","",IF($V82&lt;&gt;"",$V82,IFERROR(INDEX('参数设置'!$D$17:$G$26,MATCH($D82,'参数设置'!$C$17:$C$26,0),MATCH($E82,'参数设置'!$D$16:$G$16,0)),0)))</f>
        <v/>
      </c>
      <c r="G82" s="29">
        <f>IF($D82="","",INDEX('01人员工时'!$E$7:$E$126,INT((ROW()-7)/4)+1))</f>
        <v/>
      </c>
      <c r="H82" s="29">
        <f>IF($D82="","",INDEX('01人员工时'!$O$7:$O$126,INT((ROW()-7)/4)+1))</f>
        <v/>
      </c>
      <c r="I82" s="30">
        <f>IF(OR($D82="",$G82=0),"",$H82/$G82)</f>
        <v/>
      </c>
      <c r="J82" s="31">
        <f>IF($D82="","",ROUND($F82,2)-$S82)</f>
        <v/>
      </c>
      <c r="K82" s="31">
        <f>IF(OR($D82="",$G82=0),"",ROUND($F82*INDEX('01人员工时'!G$7:G$126,INT((ROW()-7)/4)+1)/$G82,2))</f>
        <v/>
      </c>
      <c r="L82" s="31">
        <f>IF(OR($D82="",$G82=0),"",ROUND($F82*INDEX('01人员工时'!H$7:H$126,INT((ROW()-7)/4)+1)/$G82,2))</f>
        <v/>
      </c>
      <c r="M82" s="31">
        <f>IF(OR($D82="",$G82=0),"",ROUND($F82*INDEX('01人员工时'!I$7:I$126,INT((ROW()-7)/4)+1)/$G82,2))</f>
        <v/>
      </c>
      <c r="N82" s="31">
        <f>IF(OR($D82="",$G82=0),"",ROUND($F82*INDEX('01人员工时'!J$7:J$126,INT((ROW()-7)/4)+1)/$G82,2))</f>
        <v/>
      </c>
      <c r="O82" s="31">
        <f>IF(OR($D82="",$G82=0),"",ROUND($F82*INDEX('01人员工时'!K$7:K$126,INT((ROW()-7)/4)+1)/$G82,2))</f>
        <v/>
      </c>
      <c r="P82" s="31">
        <f>IF(OR($D82="",$G82=0),"",ROUND($F82*INDEX('01人员工时'!L$7:L$126,INT((ROW()-7)/4)+1)/$G82,2))</f>
        <v/>
      </c>
      <c r="Q82" s="31">
        <f>IF(OR($D82="",$G82=0),"",ROUND($F82*INDEX('01人员工时'!M$7:M$126,INT((ROW()-7)/4)+1)/$G82,2))</f>
        <v/>
      </c>
      <c r="R82" s="31">
        <f>IF(OR($D82="",$G82=0),"",ROUND($F82*INDEX('01人员工时'!N$7:N$126,INT((ROW()-7)/4)+1)/$G82,2))</f>
        <v/>
      </c>
      <c r="S82" s="31">
        <f>IF($D82="","",SUM(K82:R82))</f>
        <v/>
      </c>
      <c r="T82" s="31">
        <f>IF($D82="","",$J82+$S82)</f>
        <v/>
      </c>
      <c r="U82" s="32">
        <f>IF($D82="","",IF($F82=0,"未维护标准",IF(ROUND($T82-$F82,2)=0,"√","差异")))</f>
        <v/>
      </c>
      <c r="V82" s="33" t="n"/>
      <c r="W82" s="34" t="n"/>
    </row>
    <row r="83" ht="18" customHeight="1">
      <c r="B83" s="21">
        <f>IF(INDEX('01人员工时'!$D$7:$D$126,INT((ROW()-7)/4)+1)&amp;""="","",INDEX('01人员工时'!$B$7:$B$126,INT((ROW()-7)/4)+1))</f>
        <v/>
      </c>
      <c r="C83" s="22">
        <f>IF($D83="","",IF(MOD(ROW()-7,4)=0,INDEX('01人员工时'!$C$7:$C$126,INT((ROW()-7)/4)+1),""))</f>
        <v/>
      </c>
      <c r="D83" s="22">
        <f>IF(INDEX('01人员工时'!$D$7:$D$126,INT((ROW()-7)/4)+1)&amp;""="","",INDEX('01人员工时'!$D$7:$D$126,INT((ROW()-7)/4)+1))</f>
        <v/>
      </c>
      <c r="E83" s="22">
        <f>IF($D83="","",INDEX('参数设置'!$K$6:$K$9,MOD(ROW()-7,4)+1))</f>
        <v/>
      </c>
      <c r="F83" s="23">
        <f>IF($D83="","",IF($V83&lt;&gt;"",$V83,IFERROR(INDEX('参数设置'!$D$17:$G$26,MATCH($D83,'参数设置'!$C$17:$C$26,0),MATCH($E83,'参数设置'!$D$16:$G$16,0)),0)))</f>
        <v/>
      </c>
      <c r="G83" s="24">
        <f>IF($D83="","",INDEX('01人员工时'!$E$7:$E$126,INT((ROW()-7)/4)+1))</f>
        <v/>
      </c>
      <c r="H83" s="24">
        <f>IF($D83="","",INDEX('01人员工时'!$O$7:$O$126,INT((ROW()-7)/4)+1))</f>
        <v/>
      </c>
      <c r="I83" s="20">
        <f>IF(OR($D83="",$G83=0),"",$H83/$G83)</f>
        <v/>
      </c>
      <c r="J83" s="12">
        <f>IF($D83="","",ROUND($F83,2)-$S83)</f>
        <v/>
      </c>
      <c r="K83" s="12">
        <f>IF(OR($D83="",$G83=0),"",ROUND($F83*INDEX('01人员工时'!G$7:G$126,INT((ROW()-7)/4)+1)/$G83,2))</f>
        <v/>
      </c>
      <c r="L83" s="12">
        <f>IF(OR($D83="",$G83=0),"",ROUND($F83*INDEX('01人员工时'!H$7:H$126,INT((ROW()-7)/4)+1)/$G83,2))</f>
        <v/>
      </c>
      <c r="M83" s="12">
        <f>IF(OR($D83="",$G83=0),"",ROUND($F83*INDEX('01人员工时'!I$7:I$126,INT((ROW()-7)/4)+1)/$G83,2))</f>
        <v/>
      </c>
      <c r="N83" s="12">
        <f>IF(OR($D83="",$G83=0),"",ROUND($F83*INDEX('01人员工时'!J$7:J$126,INT((ROW()-7)/4)+1)/$G83,2))</f>
        <v/>
      </c>
      <c r="O83" s="12">
        <f>IF(OR($D83="",$G83=0),"",ROUND($F83*INDEX('01人员工时'!K$7:K$126,INT((ROW()-7)/4)+1)/$G83,2))</f>
        <v/>
      </c>
      <c r="P83" s="12">
        <f>IF(OR($D83="",$G83=0),"",ROUND($F83*INDEX('01人员工时'!L$7:L$126,INT((ROW()-7)/4)+1)/$G83,2))</f>
        <v/>
      </c>
      <c r="Q83" s="12">
        <f>IF(OR($D83="",$G83=0),"",ROUND($F83*INDEX('01人员工时'!M$7:M$126,INT((ROW()-7)/4)+1)/$G83,2))</f>
        <v/>
      </c>
      <c r="R83" s="12">
        <f>IF(OR($D83="",$G83=0),"",ROUND($F83*INDEX('01人员工时'!N$7:N$126,INT((ROW()-7)/4)+1)/$G83,2))</f>
        <v/>
      </c>
      <c r="S83" s="12">
        <f>IF($D83="","",SUM(K83:R83))</f>
        <v/>
      </c>
      <c r="T83" s="12">
        <f>IF($D83="","",$J83+$S83)</f>
        <v/>
      </c>
      <c r="U83" s="25">
        <f>IF($D83="","",IF($F83=0,"未维护标准",IF(ROUND($T83-$F83,2)=0,"√","差异")))</f>
        <v/>
      </c>
      <c r="V83" s="11" t="n"/>
      <c r="W83" s="9" t="n"/>
    </row>
    <row r="84" ht="18" customHeight="1">
      <c r="B84" s="21">
        <f>IF(INDEX('01人员工时'!$D$7:$D$126,INT((ROW()-7)/4)+1)&amp;""="","",INDEX('01人员工时'!$B$7:$B$126,INT((ROW()-7)/4)+1))</f>
        <v/>
      </c>
      <c r="C84" s="22">
        <f>IF($D84="","",IF(MOD(ROW()-7,4)=0,INDEX('01人员工时'!$C$7:$C$126,INT((ROW()-7)/4)+1),""))</f>
        <v/>
      </c>
      <c r="D84" s="22">
        <f>IF(INDEX('01人员工时'!$D$7:$D$126,INT((ROW()-7)/4)+1)&amp;""="","",INDEX('01人员工时'!$D$7:$D$126,INT((ROW()-7)/4)+1))</f>
        <v/>
      </c>
      <c r="E84" s="22">
        <f>IF($D84="","",INDEX('参数设置'!$K$6:$K$9,MOD(ROW()-7,4)+1))</f>
        <v/>
      </c>
      <c r="F84" s="23">
        <f>IF($D84="","",IF($V84&lt;&gt;"",$V84,IFERROR(INDEX('参数设置'!$D$17:$G$26,MATCH($D84,'参数设置'!$C$17:$C$26,0),MATCH($E84,'参数设置'!$D$16:$G$16,0)),0)))</f>
        <v/>
      </c>
      <c r="G84" s="24">
        <f>IF($D84="","",INDEX('01人员工时'!$E$7:$E$126,INT((ROW()-7)/4)+1))</f>
        <v/>
      </c>
      <c r="H84" s="24">
        <f>IF($D84="","",INDEX('01人员工时'!$O$7:$O$126,INT((ROW()-7)/4)+1))</f>
        <v/>
      </c>
      <c r="I84" s="20">
        <f>IF(OR($D84="",$G84=0),"",$H84/$G84)</f>
        <v/>
      </c>
      <c r="J84" s="12">
        <f>IF($D84="","",ROUND($F84,2)-$S84)</f>
        <v/>
      </c>
      <c r="K84" s="12">
        <f>IF(OR($D84="",$G84=0),"",ROUND($F84*INDEX('01人员工时'!G$7:G$126,INT((ROW()-7)/4)+1)/$G84,2))</f>
        <v/>
      </c>
      <c r="L84" s="12">
        <f>IF(OR($D84="",$G84=0),"",ROUND($F84*INDEX('01人员工时'!H$7:H$126,INT((ROW()-7)/4)+1)/$G84,2))</f>
        <v/>
      </c>
      <c r="M84" s="12">
        <f>IF(OR($D84="",$G84=0),"",ROUND($F84*INDEX('01人员工时'!I$7:I$126,INT((ROW()-7)/4)+1)/$G84,2))</f>
        <v/>
      </c>
      <c r="N84" s="12">
        <f>IF(OR($D84="",$G84=0),"",ROUND($F84*INDEX('01人员工时'!J$7:J$126,INT((ROW()-7)/4)+1)/$G84,2))</f>
        <v/>
      </c>
      <c r="O84" s="12">
        <f>IF(OR($D84="",$G84=0),"",ROUND($F84*INDEX('01人员工时'!K$7:K$126,INT((ROW()-7)/4)+1)/$G84,2))</f>
        <v/>
      </c>
      <c r="P84" s="12">
        <f>IF(OR($D84="",$G84=0),"",ROUND($F84*INDEX('01人员工时'!L$7:L$126,INT((ROW()-7)/4)+1)/$G84,2))</f>
        <v/>
      </c>
      <c r="Q84" s="12">
        <f>IF(OR($D84="",$G84=0),"",ROUND($F84*INDEX('01人员工时'!M$7:M$126,INT((ROW()-7)/4)+1)/$G84,2))</f>
        <v/>
      </c>
      <c r="R84" s="12">
        <f>IF(OR($D84="",$G84=0),"",ROUND($F84*INDEX('01人员工时'!N$7:N$126,INT((ROW()-7)/4)+1)/$G84,2))</f>
        <v/>
      </c>
      <c r="S84" s="12">
        <f>IF($D84="","",SUM(K84:R84))</f>
        <v/>
      </c>
      <c r="T84" s="12">
        <f>IF($D84="","",$J84+$S84)</f>
        <v/>
      </c>
      <c r="U84" s="25">
        <f>IF($D84="","",IF($F84=0,"未维护标准",IF(ROUND($T84-$F84,2)=0,"√","差异")))</f>
        <v/>
      </c>
      <c r="V84" s="11" t="n"/>
      <c r="W84" s="9" t="n"/>
    </row>
    <row r="85" ht="18" customHeight="1">
      <c r="B85" s="21">
        <f>IF(INDEX('01人员工时'!$D$7:$D$126,INT((ROW()-7)/4)+1)&amp;""="","",INDEX('01人员工时'!$B$7:$B$126,INT((ROW()-7)/4)+1))</f>
        <v/>
      </c>
      <c r="C85" s="22">
        <f>IF($D85="","",IF(MOD(ROW()-7,4)=0,INDEX('01人员工时'!$C$7:$C$126,INT((ROW()-7)/4)+1),""))</f>
        <v/>
      </c>
      <c r="D85" s="22">
        <f>IF(INDEX('01人员工时'!$D$7:$D$126,INT((ROW()-7)/4)+1)&amp;""="","",INDEX('01人员工时'!$D$7:$D$126,INT((ROW()-7)/4)+1))</f>
        <v/>
      </c>
      <c r="E85" s="22">
        <f>IF($D85="","",INDEX('参数设置'!$K$6:$K$9,MOD(ROW()-7,4)+1))</f>
        <v/>
      </c>
      <c r="F85" s="23">
        <f>IF($D85="","",IF($V85&lt;&gt;"",$V85,IFERROR(INDEX('参数设置'!$D$17:$G$26,MATCH($D85,'参数设置'!$C$17:$C$26,0),MATCH($E85,'参数设置'!$D$16:$G$16,0)),0)))</f>
        <v/>
      </c>
      <c r="G85" s="24">
        <f>IF($D85="","",INDEX('01人员工时'!$E$7:$E$126,INT((ROW()-7)/4)+1))</f>
        <v/>
      </c>
      <c r="H85" s="24">
        <f>IF($D85="","",INDEX('01人员工时'!$O$7:$O$126,INT((ROW()-7)/4)+1))</f>
        <v/>
      </c>
      <c r="I85" s="20">
        <f>IF(OR($D85="",$G85=0),"",$H85/$G85)</f>
        <v/>
      </c>
      <c r="J85" s="12">
        <f>IF($D85="","",ROUND($F85,2)-$S85)</f>
        <v/>
      </c>
      <c r="K85" s="12">
        <f>IF(OR($D85="",$G85=0),"",ROUND($F85*INDEX('01人员工时'!G$7:G$126,INT((ROW()-7)/4)+1)/$G85,2))</f>
        <v/>
      </c>
      <c r="L85" s="12">
        <f>IF(OR($D85="",$G85=0),"",ROUND($F85*INDEX('01人员工时'!H$7:H$126,INT((ROW()-7)/4)+1)/$G85,2))</f>
        <v/>
      </c>
      <c r="M85" s="12">
        <f>IF(OR($D85="",$G85=0),"",ROUND($F85*INDEX('01人员工时'!I$7:I$126,INT((ROW()-7)/4)+1)/$G85,2))</f>
        <v/>
      </c>
      <c r="N85" s="12">
        <f>IF(OR($D85="",$G85=0),"",ROUND($F85*INDEX('01人员工时'!J$7:J$126,INT((ROW()-7)/4)+1)/$G85,2))</f>
        <v/>
      </c>
      <c r="O85" s="12">
        <f>IF(OR($D85="",$G85=0),"",ROUND($F85*INDEX('01人员工时'!K$7:K$126,INT((ROW()-7)/4)+1)/$G85,2))</f>
        <v/>
      </c>
      <c r="P85" s="12">
        <f>IF(OR($D85="",$G85=0),"",ROUND($F85*INDEX('01人员工时'!L$7:L$126,INT((ROW()-7)/4)+1)/$G85,2))</f>
        <v/>
      </c>
      <c r="Q85" s="12">
        <f>IF(OR($D85="",$G85=0),"",ROUND($F85*INDEX('01人员工时'!M$7:M$126,INT((ROW()-7)/4)+1)/$G85,2))</f>
        <v/>
      </c>
      <c r="R85" s="12">
        <f>IF(OR($D85="",$G85=0),"",ROUND($F85*INDEX('01人员工时'!N$7:N$126,INT((ROW()-7)/4)+1)/$G85,2))</f>
        <v/>
      </c>
      <c r="S85" s="12">
        <f>IF($D85="","",SUM(K85:R85))</f>
        <v/>
      </c>
      <c r="T85" s="12">
        <f>IF($D85="","",$J85+$S85)</f>
        <v/>
      </c>
      <c r="U85" s="25">
        <f>IF($D85="","",IF($F85=0,"未维护标准",IF(ROUND($T85-$F85,2)=0,"√","差异")))</f>
        <v/>
      </c>
      <c r="V85" s="11" t="n"/>
      <c r="W85" s="9" t="n"/>
    </row>
    <row r="86" ht="18" customHeight="1">
      <c r="B86" s="26">
        <f>IF(INDEX('01人员工时'!$D$7:$D$126,INT((ROW()-7)/4)+1)&amp;""="","",INDEX('01人员工时'!$B$7:$B$126,INT((ROW()-7)/4)+1))</f>
        <v/>
      </c>
      <c r="C86" s="27">
        <f>IF($D86="","",IF(MOD(ROW()-7,4)=0,INDEX('01人员工时'!$C$7:$C$126,INT((ROW()-7)/4)+1),""))</f>
        <v/>
      </c>
      <c r="D86" s="27">
        <f>IF(INDEX('01人员工时'!$D$7:$D$126,INT((ROW()-7)/4)+1)&amp;""="","",INDEX('01人员工时'!$D$7:$D$126,INT((ROW()-7)/4)+1))</f>
        <v/>
      </c>
      <c r="E86" s="27">
        <f>IF($D86="","",INDEX('参数设置'!$K$6:$K$9,MOD(ROW()-7,4)+1))</f>
        <v/>
      </c>
      <c r="F86" s="28">
        <f>IF($D86="","",IF($V86&lt;&gt;"",$V86,IFERROR(INDEX('参数设置'!$D$17:$G$26,MATCH($D86,'参数设置'!$C$17:$C$26,0),MATCH($E86,'参数设置'!$D$16:$G$16,0)),0)))</f>
        <v/>
      </c>
      <c r="G86" s="29">
        <f>IF($D86="","",INDEX('01人员工时'!$E$7:$E$126,INT((ROW()-7)/4)+1))</f>
        <v/>
      </c>
      <c r="H86" s="29">
        <f>IF($D86="","",INDEX('01人员工时'!$O$7:$O$126,INT((ROW()-7)/4)+1))</f>
        <v/>
      </c>
      <c r="I86" s="30">
        <f>IF(OR($D86="",$G86=0),"",$H86/$G86)</f>
        <v/>
      </c>
      <c r="J86" s="31">
        <f>IF($D86="","",ROUND($F86,2)-$S86)</f>
        <v/>
      </c>
      <c r="K86" s="31">
        <f>IF(OR($D86="",$G86=0),"",ROUND($F86*INDEX('01人员工时'!G$7:G$126,INT((ROW()-7)/4)+1)/$G86,2))</f>
        <v/>
      </c>
      <c r="L86" s="31">
        <f>IF(OR($D86="",$G86=0),"",ROUND($F86*INDEX('01人员工时'!H$7:H$126,INT((ROW()-7)/4)+1)/$G86,2))</f>
        <v/>
      </c>
      <c r="M86" s="31">
        <f>IF(OR($D86="",$G86=0),"",ROUND($F86*INDEX('01人员工时'!I$7:I$126,INT((ROW()-7)/4)+1)/$G86,2))</f>
        <v/>
      </c>
      <c r="N86" s="31">
        <f>IF(OR($D86="",$G86=0),"",ROUND($F86*INDEX('01人员工时'!J$7:J$126,INT((ROW()-7)/4)+1)/$G86,2))</f>
        <v/>
      </c>
      <c r="O86" s="31">
        <f>IF(OR($D86="",$G86=0),"",ROUND($F86*INDEX('01人员工时'!K$7:K$126,INT((ROW()-7)/4)+1)/$G86,2))</f>
        <v/>
      </c>
      <c r="P86" s="31">
        <f>IF(OR($D86="",$G86=0),"",ROUND($F86*INDEX('01人员工时'!L$7:L$126,INT((ROW()-7)/4)+1)/$G86,2))</f>
        <v/>
      </c>
      <c r="Q86" s="31">
        <f>IF(OR($D86="",$G86=0),"",ROUND($F86*INDEX('01人员工时'!M$7:M$126,INT((ROW()-7)/4)+1)/$G86,2))</f>
        <v/>
      </c>
      <c r="R86" s="31">
        <f>IF(OR($D86="",$G86=0),"",ROUND($F86*INDEX('01人员工时'!N$7:N$126,INT((ROW()-7)/4)+1)/$G86,2))</f>
        <v/>
      </c>
      <c r="S86" s="31">
        <f>IF($D86="","",SUM(K86:R86))</f>
        <v/>
      </c>
      <c r="T86" s="31">
        <f>IF($D86="","",$J86+$S86)</f>
        <v/>
      </c>
      <c r="U86" s="32">
        <f>IF($D86="","",IF($F86=0,"未维护标准",IF(ROUND($T86-$F86,2)=0,"√","差异")))</f>
        <v/>
      </c>
      <c r="V86" s="33" t="n"/>
      <c r="W86" s="34" t="n"/>
    </row>
    <row r="87" ht="18" customHeight="1">
      <c r="B87" s="21">
        <f>IF(INDEX('01人员工时'!$D$7:$D$126,INT((ROW()-7)/4)+1)&amp;""="","",INDEX('01人员工时'!$B$7:$B$126,INT((ROW()-7)/4)+1))</f>
        <v/>
      </c>
      <c r="C87" s="22">
        <f>IF($D87="","",IF(MOD(ROW()-7,4)=0,INDEX('01人员工时'!$C$7:$C$126,INT((ROW()-7)/4)+1),""))</f>
        <v/>
      </c>
      <c r="D87" s="22">
        <f>IF(INDEX('01人员工时'!$D$7:$D$126,INT((ROW()-7)/4)+1)&amp;""="","",INDEX('01人员工时'!$D$7:$D$126,INT((ROW()-7)/4)+1))</f>
        <v/>
      </c>
      <c r="E87" s="22">
        <f>IF($D87="","",INDEX('参数设置'!$K$6:$K$9,MOD(ROW()-7,4)+1))</f>
        <v/>
      </c>
      <c r="F87" s="23">
        <f>IF($D87="","",IF($V87&lt;&gt;"",$V87,IFERROR(INDEX('参数设置'!$D$17:$G$26,MATCH($D87,'参数设置'!$C$17:$C$26,0),MATCH($E87,'参数设置'!$D$16:$G$16,0)),0)))</f>
        <v/>
      </c>
      <c r="G87" s="24">
        <f>IF($D87="","",INDEX('01人员工时'!$E$7:$E$126,INT((ROW()-7)/4)+1))</f>
        <v/>
      </c>
      <c r="H87" s="24">
        <f>IF($D87="","",INDEX('01人员工时'!$O$7:$O$126,INT((ROW()-7)/4)+1))</f>
        <v/>
      </c>
      <c r="I87" s="20">
        <f>IF(OR($D87="",$G87=0),"",$H87/$G87)</f>
        <v/>
      </c>
      <c r="J87" s="12">
        <f>IF($D87="","",ROUND($F87,2)-$S87)</f>
        <v/>
      </c>
      <c r="K87" s="12">
        <f>IF(OR($D87="",$G87=0),"",ROUND($F87*INDEX('01人员工时'!G$7:G$126,INT((ROW()-7)/4)+1)/$G87,2))</f>
        <v/>
      </c>
      <c r="L87" s="12">
        <f>IF(OR($D87="",$G87=0),"",ROUND($F87*INDEX('01人员工时'!H$7:H$126,INT((ROW()-7)/4)+1)/$G87,2))</f>
        <v/>
      </c>
      <c r="M87" s="12">
        <f>IF(OR($D87="",$G87=0),"",ROUND($F87*INDEX('01人员工时'!I$7:I$126,INT((ROW()-7)/4)+1)/$G87,2))</f>
        <v/>
      </c>
      <c r="N87" s="12">
        <f>IF(OR($D87="",$G87=0),"",ROUND($F87*INDEX('01人员工时'!J$7:J$126,INT((ROW()-7)/4)+1)/$G87,2))</f>
        <v/>
      </c>
      <c r="O87" s="12">
        <f>IF(OR($D87="",$G87=0),"",ROUND($F87*INDEX('01人员工时'!K$7:K$126,INT((ROW()-7)/4)+1)/$G87,2))</f>
        <v/>
      </c>
      <c r="P87" s="12">
        <f>IF(OR($D87="",$G87=0),"",ROUND($F87*INDEX('01人员工时'!L$7:L$126,INT((ROW()-7)/4)+1)/$G87,2))</f>
        <v/>
      </c>
      <c r="Q87" s="12">
        <f>IF(OR($D87="",$G87=0),"",ROUND($F87*INDEX('01人员工时'!M$7:M$126,INT((ROW()-7)/4)+1)/$G87,2))</f>
        <v/>
      </c>
      <c r="R87" s="12">
        <f>IF(OR($D87="",$G87=0),"",ROUND($F87*INDEX('01人员工时'!N$7:N$126,INT((ROW()-7)/4)+1)/$G87,2))</f>
        <v/>
      </c>
      <c r="S87" s="12">
        <f>IF($D87="","",SUM(K87:R87))</f>
        <v/>
      </c>
      <c r="T87" s="12">
        <f>IF($D87="","",$J87+$S87)</f>
        <v/>
      </c>
      <c r="U87" s="25">
        <f>IF($D87="","",IF($F87=0,"未维护标准",IF(ROUND($T87-$F87,2)=0,"√","差异")))</f>
        <v/>
      </c>
      <c r="V87" s="11" t="n"/>
      <c r="W87" s="9" t="n"/>
    </row>
    <row r="88" ht="18" customHeight="1">
      <c r="B88" s="21">
        <f>IF(INDEX('01人员工时'!$D$7:$D$126,INT((ROW()-7)/4)+1)&amp;""="","",INDEX('01人员工时'!$B$7:$B$126,INT((ROW()-7)/4)+1))</f>
        <v/>
      </c>
      <c r="C88" s="22">
        <f>IF($D88="","",IF(MOD(ROW()-7,4)=0,INDEX('01人员工时'!$C$7:$C$126,INT((ROW()-7)/4)+1),""))</f>
        <v/>
      </c>
      <c r="D88" s="22">
        <f>IF(INDEX('01人员工时'!$D$7:$D$126,INT((ROW()-7)/4)+1)&amp;""="","",INDEX('01人员工时'!$D$7:$D$126,INT((ROW()-7)/4)+1))</f>
        <v/>
      </c>
      <c r="E88" s="22">
        <f>IF($D88="","",INDEX('参数设置'!$K$6:$K$9,MOD(ROW()-7,4)+1))</f>
        <v/>
      </c>
      <c r="F88" s="23">
        <f>IF($D88="","",IF($V88&lt;&gt;"",$V88,IFERROR(INDEX('参数设置'!$D$17:$G$26,MATCH($D88,'参数设置'!$C$17:$C$26,0),MATCH($E88,'参数设置'!$D$16:$G$16,0)),0)))</f>
        <v/>
      </c>
      <c r="G88" s="24">
        <f>IF($D88="","",INDEX('01人员工时'!$E$7:$E$126,INT((ROW()-7)/4)+1))</f>
        <v/>
      </c>
      <c r="H88" s="24">
        <f>IF($D88="","",INDEX('01人员工时'!$O$7:$O$126,INT((ROW()-7)/4)+1))</f>
        <v/>
      </c>
      <c r="I88" s="20">
        <f>IF(OR($D88="",$G88=0),"",$H88/$G88)</f>
        <v/>
      </c>
      <c r="J88" s="12">
        <f>IF($D88="","",ROUND($F88,2)-$S88)</f>
        <v/>
      </c>
      <c r="K88" s="12">
        <f>IF(OR($D88="",$G88=0),"",ROUND($F88*INDEX('01人员工时'!G$7:G$126,INT((ROW()-7)/4)+1)/$G88,2))</f>
        <v/>
      </c>
      <c r="L88" s="12">
        <f>IF(OR($D88="",$G88=0),"",ROUND($F88*INDEX('01人员工时'!H$7:H$126,INT((ROW()-7)/4)+1)/$G88,2))</f>
        <v/>
      </c>
      <c r="M88" s="12">
        <f>IF(OR($D88="",$G88=0),"",ROUND($F88*INDEX('01人员工时'!I$7:I$126,INT((ROW()-7)/4)+1)/$G88,2))</f>
        <v/>
      </c>
      <c r="N88" s="12">
        <f>IF(OR($D88="",$G88=0),"",ROUND($F88*INDEX('01人员工时'!J$7:J$126,INT((ROW()-7)/4)+1)/$G88,2))</f>
        <v/>
      </c>
      <c r="O88" s="12">
        <f>IF(OR($D88="",$G88=0),"",ROUND($F88*INDEX('01人员工时'!K$7:K$126,INT((ROW()-7)/4)+1)/$G88,2))</f>
        <v/>
      </c>
      <c r="P88" s="12">
        <f>IF(OR($D88="",$G88=0),"",ROUND($F88*INDEX('01人员工时'!L$7:L$126,INT((ROW()-7)/4)+1)/$G88,2))</f>
        <v/>
      </c>
      <c r="Q88" s="12">
        <f>IF(OR($D88="",$G88=0),"",ROUND($F88*INDEX('01人员工时'!M$7:M$126,INT((ROW()-7)/4)+1)/$G88,2))</f>
        <v/>
      </c>
      <c r="R88" s="12">
        <f>IF(OR($D88="",$G88=0),"",ROUND($F88*INDEX('01人员工时'!N$7:N$126,INT((ROW()-7)/4)+1)/$G88,2))</f>
        <v/>
      </c>
      <c r="S88" s="12">
        <f>IF($D88="","",SUM(K88:R88))</f>
        <v/>
      </c>
      <c r="T88" s="12">
        <f>IF($D88="","",$J88+$S88)</f>
        <v/>
      </c>
      <c r="U88" s="25">
        <f>IF($D88="","",IF($F88=0,"未维护标准",IF(ROUND($T88-$F88,2)=0,"√","差异")))</f>
        <v/>
      </c>
      <c r="V88" s="11" t="n"/>
      <c r="W88" s="9" t="n"/>
    </row>
    <row r="89" ht="18" customHeight="1">
      <c r="B89" s="21">
        <f>IF(INDEX('01人员工时'!$D$7:$D$126,INT((ROW()-7)/4)+1)&amp;""="","",INDEX('01人员工时'!$B$7:$B$126,INT((ROW()-7)/4)+1))</f>
        <v/>
      </c>
      <c r="C89" s="22">
        <f>IF($D89="","",IF(MOD(ROW()-7,4)=0,INDEX('01人员工时'!$C$7:$C$126,INT((ROW()-7)/4)+1),""))</f>
        <v/>
      </c>
      <c r="D89" s="22">
        <f>IF(INDEX('01人员工时'!$D$7:$D$126,INT((ROW()-7)/4)+1)&amp;""="","",INDEX('01人员工时'!$D$7:$D$126,INT((ROW()-7)/4)+1))</f>
        <v/>
      </c>
      <c r="E89" s="22">
        <f>IF($D89="","",INDEX('参数设置'!$K$6:$K$9,MOD(ROW()-7,4)+1))</f>
        <v/>
      </c>
      <c r="F89" s="23">
        <f>IF($D89="","",IF($V89&lt;&gt;"",$V89,IFERROR(INDEX('参数设置'!$D$17:$G$26,MATCH($D89,'参数设置'!$C$17:$C$26,0),MATCH($E89,'参数设置'!$D$16:$G$16,0)),0)))</f>
        <v/>
      </c>
      <c r="G89" s="24">
        <f>IF($D89="","",INDEX('01人员工时'!$E$7:$E$126,INT((ROW()-7)/4)+1))</f>
        <v/>
      </c>
      <c r="H89" s="24">
        <f>IF($D89="","",INDEX('01人员工时'!$O$7:$O$126,INT((ROW()-7)/4)+1))</f>
        <v/>
      </c>
      <c r="I89" s="20">
        <f>IF(OR($D89="",$G89=0),"",$H89/$G89)</f>
        <v/>
      </c>
      <c r="J89" s="12">
        <f>IF($D89="","",ROUND($F89,2)-$S89)</f>
        <v/>
      </c>
      <c r="K89" s="12">
        <f>IF(OR($D89="",$G89=0),"",ROUND($F89*INDEX('01人员工时'!G$7:G$126,INT((ROW()-7)/4)+1)/$G89,2))</f>
        <v/>
      </c>
      <c r="L89" s="12">
        <f>IF(OR($D89="",$G89=0),"",ROUND($F89*INDEX('01人员工时'!H$7:H$126,INT((ROW()-7)/4)+1)/$G89,2))</f>
        <v/>
      </c>
      <c r="M89" s="12">
        <f>IF(OR($D89="",$G89=0),"",ROUND($F89*INDEX('01人员工时'!I$7:I$126,INT((ROW()-7)/4)+1)/$G89,2))</f>
        <v/>
      </c>
      <c r="N89" s="12">
        <f>IF(OR($D89="",$G89=0),"",ROUND($F89*INDEX('01人员工时'!J$7:J$126,INT((ROW()-7)/4)+1)/$G89,2))</f>
        <v/>
      </c>
      <c r="O89" s="12">
        <f>IF(OR($D89="",$G89=0),"",ROUND($F89*INDEX('01人员工时'!K$7:K$126,INT((ROW()-7)/4)+1)/$G89,2))</f>
        <v/>
      </c>
      <c r="P89" s="12">
        <f>IF(OR($D89="",$G89=0),"",ROUND($F89*INDEX('01人员工时'!L$7:L$126,INT((ROW()-7)/4)+1)/$G89,2))</f>
        <v/>
      </c>
      <c r="Q89" s="12">
        <f>IF(OR($D89="",$G89=0),"",ROUND($F89*INDEX('01人员工时'!M$7:M$126,INT((ROW()-7)/4)+1)/$G89,2))</f>
        <v/>
      </c>
      <c r="R89" s="12">
        <f>IF(OR($D89="",$G89=0),"",ROUND($F89*INDEX('01人员工时'!N$7:N$126,INT((ROW()-7)/4)+1)/$G89,2))</f>
        <v/>
      </c>
      <c r="S89" s="12">
        <f>IF($D89="","",SUM(K89:R89))</f>
        <v/>
      </c>
      <c r="T89" s="12">
        <f>IF($D89="","",$J89+$S89)</f>
        <v/>
      </c>
      <c r="U89" s="25">
        <f>IF($D89="","",IF($F89=0,"未维护标准",IF(ROUND($T89-$F89,2)=0,"√","差异")))</f>
        <v/>
      </c>
      <c r="V89" s="11" t="n"/>
      <c r="W89" s="9" t="n"/>
    </row>
    <row r="90" ht="18" customHeight="1">
      <c r="B90" s="26">
        <f>IF(INDEX('01人员工时'!$D$7:$D$126,INT((ROW()-7)/4)+1)&amp;""="","",INDEX('01人员工时'!$B$7:$B$126,INT((ROW()-7)/4)+1))</f>
        <v/>
      </c>
      <c r="C90" s="27">
        <f>IF($D90="","",IF(MOD(ROW()-7,4)=0,INDEX('01人员工时'!$C$7:$C$126,INT((ROW()-7)/4)+1),""))</f>
        <v/>
      </c>
      <c r="D90" s="27">
        <f>IF(INDEX('01人员工时'!$D$7:$D$126,INT((ROW()-7)/4)+1)&amp;""="","",INDEX('01人员工时'!$D$7:$D$126,INT((ROW()-7)/4)+1))</f>
        <v/>
      </c>
      <c r="E90" s="27">
        <f>IF($D90="","",INDEX('参数设置'!$K$6:$K$9,MOD(ROW()-7,4)+1))</f>
        <v/>
      </c>
      <c r="F90" s="28">
        <f>IF($D90="","",IF($V90&lt;&gt;"",$V90,IFERROR(INDEX('参数设置'!$D$17:$G$26,MATCH($D90,'参数设置'!$C$17:$C$26,0),MATCH($E90,'参数设置'!$D$16:$G$16,0)),0)))</f>
        <v/>
      </c>
      <c r="G90" s="29">
        <f>IF($D90="","",INDEX('01人员工时'!$E$7:$E$126,INT((ROW()-7)/4)+1))</f>
        <v/>
      </c>
      <c r="H90" s="29">
        <f>IF($D90="","",INDEX('01人员工时'!$O$7:$O$126,INT((ROW()-7)/4)+1))</f>
        <v/>
      </c>
      <c r="I90" s="30">
        <f>IF(OR($D90="",$G90=0),"",$H90/$G90)</f>
        <v/>
      </c>
      <c r="J90" s="31">
        <f>IF($D90="","",ROUND($F90,2)-$S90)</f>
        <v/>
      </c>
      <c r="K90" s="31">
        <f>IF(OR($D90="",$G90=0),"",ROUND($F90*INDEX('01人员工时'!G$7:G$126,INT((ROW()-7)/4)+1)/$G90,2))</f>
        <v/>
      </c>
      <c r="L90" s="31">
        <f>IF(OR($D90="",$G90=0),"",ROUND($F90*INDEX('01人员工时'!H$7:H$126,INT((ROW()-7)/4)+1)/$G90,2))</f>
        <v/>
      </c>
      <c r="M90" s="31">
        <f>IF(OR($D90="",$G90=0),"",ROUND($F90*INDEX('01人员工时'!I$7:I$126,INT((ROW()-7)/4)+1)/$G90,2))</f>
        <v/>
      </c>
      <c r="N90" s="31">
        <f>IF(OR($D90="",$G90=0),"",ROUND($F90*INDEX('01人员工时'!J$7:J$126,INT((ROW()-7)/4)+1)/$G90,2))</f>
        <v/>
      </c>
      <c r="O90" s="31">
        <f>IF(OR($D90="",$G90=0),"",ROUND($F90*INDEX('01人员工时'!K$7:K$126,INT((ROW()-7)/4)+1)/$G90,2))</f>
        <v/>
      </c>
      <c r="P90" s="31">
        <f>IF(OR($D90="",$G90=0),"",ROUND($F90*INDEX('01人员工时'!L$7:L$126,INT((ROW()-7)/4)+1)/$G90,2))</f>
        <v/>
      </c>
      <c r="Q90" s="31">
        <f>IF(OR($D90="",$G90=0),"",ROUND($F90*INDEX('01人员工时'!M$7:M$126,INT((ROW()-7)/4)+1)/$G90,2))</f>
        <v/>
      </c>
      <c r="R90" s="31">
        <f>IF(OR($D90="",$G90=0),"",ROUND($F90*INDEX('01人员工时'!N$7:N$126,INT((ROW()-7)/4)+1)/$G90,2))</f>
        <v/>
      </c>
      <c r="S90" s="31">
        <f>IF($D90="","",SUM(K90:R90))</f>
        <v/>
      </c>
      <c r="T90" s="31">
        <f>IF($D90="","",$J90+$S90)</f>
        <v/>
      </c>
      <c r="U90" s="32">
        <f>IF($D90="","",IF($F90=0,"未维护标准",IF(ROUND($T90-$F90,2)=0,"√","差异")))</f>
        <v/>
      </c>
      <c r="V90" s="33" t="n"/>
      <c r="W90" s="34" t="n"/>
    </row>
    <row r="91" ht="18" customHeight="1">
      <c r="B91" s="21">
        <f>IF(INDEX('01人员工时'!$D$7:$D$126,INT((ROW()-7)/4)+1)&amp;""="","",INDEX('01人员工时'!$B$7:$B$126,INT((ROW()-7)/4)+1))</f>
        <v/>
      </c>
      <c r="C91" s="22">
        <f>IF($D91="","",IF(MOD(ROW()-7,4)=0,INDEX('01人员工时'!$C$7:$C$126,INT((ROW()-7)/4)+1),""))</f>
        <v/>
      </c>
      <c r="D91" s="22">
        <f>IF(INDEX('01人员工时'!$D$7:$D$126,INT((ROW()-7)/4)+1)&amp;""="","",INDEX('01人员工时'!$D$7:$D$126,INT((ROW()-7)/4)+1))</f>
        <v/>
      </c>
      <c r="E91" s="22">
        <f>IF($D91="","",INDEX('参数设置'!$K$6:$K$9,MOD(ROW()-7,4)+1))</f>
        <v/>
      </c>
      <c r="F91" s="23">
        <f>IF($D91="","",IF($V91&lt;&gt;"",$V91,IFERROR(INDEX('参数设置'!$D$17:$G$26,MATCH($D91,'参数设置'!$C$17:$C$26,0),MATCH($E91,'参数设置'!$D$16:$G$16,0)),0)))</f>
        <v/>
      </c>
      <c r="G91" s="24">
        <f>IF($D91="","",INDEX('01人员工时'!$E$7:$E$126,INT((ROW()-7)/4)+1))</f>
        <v/>
      </c>
      <c r="H91" s="24">
        <f>IF($D91="","",INDEX('01人员工时'!$O$7:$O$126,INT((ROW()-7)/4)+1))</f>
        <v/>
      </c>
      <c r="I91" s="20">
        <f>IF(OR($D91="",$G91=0),"",$H91/$G91)</f>
        <v/>
      </c>
      <c r="J91" s="12">
        <f>IF($D91="","",ROUND($F91,2)-$S91)</f>
        <v/>
      </c>
      <c r="K91" s="12">
        <f>IF(OR($D91="",$G91=0),"",ROUND($F91*INDEX('01人员工时'!G$7:G$126,INT((ROW()-7)/4)+1)/$G91,2))</f>
        <v/>
      </c>
      <c r="L91" s="12">
        <f>IF(OR($D91="",$G91=0),"",ROUND($F91*INDEX('01人员工时'!H$7:H$126,INT((ROW()-7)/4)+1)/$G91,2))</f>
        <v/>
      </c>
      <c r="M91" s="12">
        <f>IF(OR($D91="",$G91=0),"",ROUND($F91*INDEX('01人员工时'!I$7:I$126,INT((ROW()-7)/4)+1)/$G91,2))</f>
        <v/>
      </c>
      <c r="N91" s="12">
        <f>IF(OR($D91="",$G91=0),"",ROUND($F91*INDEX('01人员工时'!J$7:J$126,INT((ROW()-7)/4)+1)/$G91,2))</f>
        <v/>
      </c>
      <c r="O91" s="12">
        <f>IF(OR($D91="",$G91=0),"",ROUND($F91*INDEX('01人员工时'!K$7:K$126,INT((ROW()-7)/4)+1)/$G91,2))</f>
        <v/>
      </c>
      <c r="P91" s="12">
        <f>IF(OR($D91="",$G91=0),"",ROUND($F91*INDEX('01人员工时'!L$7:L$126,INT((ROW()-7)/4)+1)/$G91,2))</f>
        <v/>
      </c>
      <c r="Q91" s="12">
        <f>IF(OR($D91="",$G91=0),"",ROUND($F91*INDEX('01人员工时'!M$7:M$126,INT((ROW()-7)/4)+1)/$G91,2))</f>
        <v/>
      </c>
      <c r="R91" s="12">
        <f>IF(OR($D91="",$G91=0),"",ROUND($F91*INDEX('01人员工时'!N$7:N$126,INT((ROW()-7)/4)+1)/$G91,2))</f>
        <v/>
      </c>
      <c r="S91" s="12">
        <f>IF($D91="","",SUM(K91:R91))</f>
        <v/>
      </c>
      <c r="T91" s="12">
        <f>IF($D91="","",$J91+$S91)</f>
        <v/>
      </c>
      <c r="U91" s="25">
        <f>IF($D91="","",IF($F91=0,"未维护标准",IF(ROUND($T91-$F91,2)=0,"√","差异")))</f>
        <v/>
      </c>
      <c r="V91" s="11" t="n"/>
      <c r="W91" s="9" t="n"/>
    </row>
    <row r="92" ht="18" customHeight="1">
      <c r="B92" s="21">
        <f>IF(INDEX('01人员工时'!$D$7:$D$126,INT((ROW()-7)/4)+1)&amp;""="","",INDEX('01人员工时'!$B$7:$B$126,INT((ROW()-7)/4)+1))</f>
        <v/>
      </c>
      <c r="C92" s="22">
        <f>IF($D92="","",IF(MOD(ROW()-7,4)=0,INDEX('01人员工时'!$C$7:$C$126,INT((ROW()-7)/4)+1),""))</f>
        <v/>
      </c>
      <c r="D92" s="22">
        <f>IF(INDEX('01人员工时'!$D$7:$D$126,INT((ROW()-7)/4)+1)&amp;""="","",INDEX('01人员工时'!$D$7:$D$126,INT((ROW()-7)/4)+1))</f>
        <v/>
      </c>
      <c r="E92" s="22">
        <f>IF($D92="","",INDEX('参数设置'!$K$6:$K$9,MOD(ROW()-7,4)+1))</f>
        <v/>
      </c>
      <c r="F92" s="23">
        <f>IF($D92="","",IF($V92&lt;&gt;"",$V92,IFERROR(INDEX('参数设置'!$D$17:$G$26,MATCH($D92,'参数设置'!$C$17:$C$26,0),MATCH($E92,'参数设置'!$D$16:$G$16,0)),0)))</f>
        <v/>
      </c>
      <c r="G92" s="24">
        <f>IF($D92="","",INDEX('01人员工时'!$E$7:$E$126,INT((ROW()-7)/4)+1))</f>
        <v/>
      </c>
      <c r="H92" s="24">
        <f>IF($D92="","",INDEX('01人员工时'!$O$7:$O$126,INT((ROW()-7)/4)+1))</f>
        <v/>
      </c>
      <c r="I92" s="20">
        <f>IF(OR($D92="",$G92=0),"",$H92/$G92)</f>
        <v/>
      </c>
      <c r="J92" s="12">
        <f>IF($D92="","",ROUND($F92,2)-$S92)</f>
        <v/>
      </c>
      <c r="K92" s="12">
        <f>IF(OR($D92="",$G92=0),"",ROUND($F92*INDEX('01人员工时'!G$7:G$126,INT((ROW()-7)/4)+1)/$G92,2))</f>
        <v/>
      </c>
      <c r="L92" s="12">
        <f>IF(OR($D92="",$G92=0),"",ROUND($F92*INDEX('01人员工时'!H$7:H$126,INT((ROW()-7)/4)+1)/$G92,2))</f>
        <v/>
      </c>
      <c r="M92" s="12">
        <f>IF(OR($D92="",$G92=0),"",ROUND($F92*INDEX('01人员工时'!I$7:I$126,INT((ROW()-7)/4)+1)/$G92,2))</f>
        <v/>
      </c>
      <c r="N92" s="12">
        <f>IF(OR($D92="",$G92=0),"",ROUND($F92*INDEX('01人员工时'!J$7:J$126,INT((ROW()-7)/4)+1)/$G92,2))</f>
        <v/>
      </c>
      <c r="O92" s="12">
        <f>IF(OR($D92="",$G92=0),"",ROUND($F92*INDEX('01人员工时'!K$7:K$126,INT((ROW()-7)/4)+1)/$G92,2))</f>
        <v/>
      </c>
      <c r="P92" s="12">
        <f>IF(OR($D92="",$G92=0),"",ROUND($F92*INDEX('01人员工时'!L$7:L$126,INT((ROW()-7)/4)+1)/$G92,2))</f>
        <v/>
      </c>
      <c r="Q92" s="12">
        <f>IF(OR($D92="",$G92=0),"",ROUND($F92*INDEX('01人员工时'!M$7:M$126,INT((ROW()-7)/4)+1)/$G92,2))</f>
        <v/>
      </c>
      <c r="R92" s="12">
        <f>IF(OR($D92="",$G92=0),"",ROUND($F92*INDEX('01人员工时'!N$7:N$126,INT((ROW()-7)/4)+1)/$G92,2))</f>
        <v/>
      </c>
      <c r="S92" s="12">
        <f>IF($D92="","",SUM(K92:R92))</f>
        <v/>
      </c>
      <c r="T92" s="12">
        <f>IF($D92="","",$J92+$S92)</f>
        <v/>
      </c>
      <c r="U92" s="25">
        <f>IF($D92="","",IF($F92=0,"未维护标准",IF(ROUND($T92-$F92,2)=0,"√","差异")))</f>
        <v/>
      </c>
      <c r="V92" s="11" t="n"/>
      <c r="W92" s="9" t="n"/>
    </row>
    <row r="93" ht="18" customHeight="1">
      <c r="B93" s="21">
        <f>IF(INDEX('01人员工时'!$D$7:$D$126,INT((ROW()-7)/4)+1)&amp;""="","",INDEX('01人员工时'!$B$7:$B$126,INT((ROW()-7)/4)+1))</f>
        <v/>
      </c>
      <c r="C93" s="22">
        <f>IF($D93="","",IF(MOD(ROW()-7,4)=0,INDEX('01人员工时'!$C$7:$C$126,INT((ROW()-7)/4)+1),""))</f>
        <v/>
      </c>
      <c r="D93" s="22">
        <f>IF(INDEX('01人员工时'!$D$7:$D$126,INT((ROW()-7)/4)+1)&amp;""="","",INDEX('01人员工时'!$D$7:$D$126,INT((ROW()-7)/4)+1))</f>
        <v/>
      </c>
      <c r="E93" s="22">
        <f>IF($D93="","",INDEX('参数设置'!$K$6:$K$9,MOD(ROW()-7,4)+1))</f>
        <v/>
      </c>
      <c r="F93" s="23">
        <f>IF($D93="","",IF($V93&lt;&gt;"",$V93,IFERROR(INDEX('参数设置'!$D$17:$G$26,MATCH($D93,'参数设置'!$C$17:$C$26,0),MATCH($E93,'参数设置'!$D$16:$G$16,0)),0)))</f>
        <v/>
      </c>
      <c r="G93" s="24">
        <f>IF($D93="","",INDEX('01人员工时'!$E$7:$E$126,INT((ROW()-7)/4)+1))</f>
        <v/>
      </c>
      <c r="H93" s="24">
        <f>IF($D93="","",INDEX('01人员工时'!$O$7:$O$126,INT((ROW()-7)/4)+1))</f>
        <v/>
      </c>
      <c r="I93" s="20">
        <f>IF(OR($D93="",$G93=0),"",$H93/$G93)</f>
        <v/>
      </c>
      <c r="J93" s="12">
        <f>IF($D93="","",ROUND($F93,2)-$S93)</f>
        <v/>
      </c>
      <c r="K93" s="12">
        <f>IF(OR($D93="",$G93=0),"",ROUND($F93*INDEX('01人员工时'!G$7:G$126,INT((ROW()-7)/4)+1)/$G93,2))</f>
        <v/>
      </c>
      <c r="L93" s="12">
        <f>IF(OR($D93="",$G93=0),"",ROUND($F93*INDEX('01人员工时'!H$7:H$126,INT((ROW()-7)/4)+1)/$G93,2))</f>
        <v/>
      </c>
      <c r="M93" s="12">
        <f>IF(OR($D93="",$G93=0),"",ROUND($F93*INDEX('01人员工时'!I$7:I$126,INT((ROW()-7)/4)+1)/$G93,2))</f>
        <v/>
      </c>
      <c r="N93" s="12">
        <f>IF(OR($D93="",$G93=0),"",ROUND($F93*INDEX('01人员工时'!J$7:J$126,INT((ROW()-7)/4)+1)/$G93,2))</f>
        <v/>
      </c>
      <c r="O93" s="12">
        <f>IF(OR($D93="",$G93=0),"",ROUND($F93*INDEX('01人员工时'!K$7:K$126,INT((ROW()-7)/4)+1)/$G93,2))</f>
        <v/>
      </c>
      <c r="P93" s="12">
        <f>IF(OR($D93="",$G93=0),"",ROUND($F93*INDEX('01人员工时'!L$7:L$126,INT((ROW()-7)/4)+1)/$G93,2))</f>
        <v/>
      </c>
      <c r="Q93" s="12">
        <f>IF(OR($D93="",$G93=0),"",ROUND($F93*INDEX('01人员工时'!M$7:M$126,INT((ROW()-7)/4)+1)/$G93,2))</f>
        <v/>
      </c>
      <c r="R93" s="12">
        <f>IF(OR($D93="",$G93=0),"",ROUND($F93*INDEX('01人员工时'!N$7:N$126,INT((ROW()-7)/4)+1)/$G93,2))</f>
        <v/>
      </c>
      <c r="S93" s="12">
        <f>IF($D93="","",SUM(K93:R93))</f>
        <v/>
      </c>
      <c r="T93" s="12">
        <f>IF($D93="","",$J93+$S93)</f>
        <v/>
      </c>
      <c r="U93" s="25">
        <f>IF($D93="","",IF($F93=0,"未维护标准",IF(ROUND($T93-$F93,2)=0,"√","差异")))</f>
        <v/>
      </c>
      <c r="V93" s="11" t="n"/>
      <c r="W93" s="9" t="n"/>
    </row>
    <row r="94" ht="18" customHeight="1">
      <c r="B94" s="26">
        <f>IF(INDEX('01人员工时'!$D$7:$D$126,INT((ROW()-7)/4)+1)&amp;""="","",INDEX('01人员工时'!$B$7:$B$126,INT((ROW()-7)/4)+1))</f>
        <v/>
      </c>
      <c r="C94" s="27">
        <f>IF($D94="","",IF(MOD(ROW()-7,4)=0,INDEX('01人员工时'!$C$7:$C$126,INT((ROW()-7)/4)+1),""))</f>
        <v/>
      </c>
      <c r="D94" s="27">
        <f>IF(INDEX('01人员工时'!$D$7:$D$126,INT((ROW()-7)/4)+1)&amp;""="","",INDEX('01人员工时'!$D$7:$D$126,INT((ROW()-7)/4)+1))</f>
        <v/>
      </c>
      <c r="E94" s="27">
        <f>IF($D94="","",INDEX('参数设置'!$K$6:$K$9,MOD(ROW()-7,4)+1))</f>
        <v/>
      </c>
      <c r="F94" s="28">
        <f>IF($D94="","",IF($V94&lt;&gt;"",$V94,IFERROR(INDEX('参数设置'!$D$17:$G$26,MATCH($D94,'参数设置'!$C$17:$C$26,0),MATCH($E94,'参数设置'!$D$16:$G$16,0)),0)))</f>
        <v/>
      </c>
      <c r="G94" s="29">
        <f>IF($D94="","",INDEX('01人员工时'!$E$7:$E$126,INT((ROW()-7)/4)+1))</f>
        <v/>
      </c>
      <c r="H94" s="29">
        <f>IF($D94="","",INDEX('01人员工时'!$O$7:$O$126,INT((ROW()-7)/4)+1))</f>
        <v/>
      </c>
      <c r="I94" s="30">
        <f>IF(OR($D94="",$G94=0),"",$H94/$G94)</f>
        <v/>
      </c>
      <c r="J94" s="31">
        <f>IF($D94="","",ROUND($F94,2)-$S94)</f>
        <v/>
      </c>
      <c r="K94" s="31">
        <f>IF(OR($D94="",$G94=0),"",ROUND($F94*INDEX('01人员工时'!G$7:G$126,INT((ROW()-7)/4)+1)/$G94,2))</f>
        <v/>
      </c>
      <c r="L94" s="31">
        <f>IF(OR($D94="",$G94=0),"",ROUND($F94*INDEX('01人员工时'!H$7:H$126,INT((ROW()-7)/4)+1)/$G94,2))</f>
        <v/>
      </c>
      <c r="M94" s="31">
        <f>IF(OR($D94="",$G94=0),"",ROUND($F94*INDEX('01人员工时'!I$7:I$126,INT((ROW()-7)/4)+1)/$G94,2))</f>
        <v/>
      </c>
      <c r="N94" s="31">
        <f>IF(OR($D94="",$G94=0),"",ROUND($F94*INDEX('01人员工时'!J$7:J$126,INT((ROW()-7)/4)+1)/$G94,2))</f>
        <v/>
      </c>
      <c r="O94" s="31">
        <f>IF(OR($D94="",$G94=0),"",ROUND($F94*INDEX('01人员工时'!K$7:K$126,INT((ROW()-7)/4)+1)/$G94,2))</f>
        <v/>
      </c>
      <c r="P94" s="31">
        <f>IF(OR($D94="",$G94=0),"",ROUND($F94*INDEX('01人员工时'!L$7:L$126,INT((ROW()-7)/4)+1)/$G94,2))</f>
        <v/>
      </c>
      <c r="Q94" s="31">
        <f>IF(OR($D94="",$G94=0),"",ROUND($F94*INDEX('01人员工时'!M$7:M$126,INT((ROW()-7)/4)+1)/$G94,2))</f>
        <v/>
      </c>
      <c r="R94" s="31">
        <f>IF(OR($D94="",$G94=0),"",ROUND($F94*INDEX('01人员工时'!N$7:N$126,INT((ROW()-7)/4)+1)/$G94,2))</f>
        <v/>
      </c>
      <c r="S94" s="31">
        <f>IF($D94="","",SUM(K94:R94))</f>
        <v/>
      </c>
      <c r="T94" s="31">
        <f>IF($D94="","",$J94+$S94)</f>
        <v/>
      </c>
      <c r="U94" s="32">
        <f>IF($D94="","",IF($F94=0,"未维护标准",IF(ROUND($T94-$F94,2)=0,"√","差异")))</f>
        <v/>
      </c>
      <c r="V94" s="33" t="n"/>
      <c r="W94" s="34" t="n"/>
    </row>
    <row r="95" ht="18" customHeight="1">
      <c r="B95" s="21">
        <f>IF(INDEX('01人员工时'!$D$7:$D$126,INT((ROW()-7)/4)+1)&amp;""="","",INDEX('01人员工时'!$B$7:$B$126,INT((ROW()-7)/4)+1))</f>
        <v/>
      </c>
      <c r="C95" s="22">
        <f>IF($D95="","",IF(MOD(ROW()-7,4)=0,INDEX('01人员工时'!$C$7:$C$126,INT((ROW()-7)/4)+1),""))</f>
        <v/>
      </c>
      <c r="D95" s="22">
        <f>IF(INDEX('01人员工时'!$D$7:$D$126,INT((ROW()-7)/4)+1)&amp;""="","",INDEX('01人员工时'!$D$7:$D$126,INT((ROW()-7)/4)+1))</f>
        <v/>
      </c>
      <c r="E95" s="22">
        <f>IF($D95="","",INDEX('参数设置'!$K$6:$K$9,MOD(ROW()-7,4)+1))</f>
        <v/>
      </c>
      <c r="F95" s="23">
        <f>IF($D95="","",IF($V95&lt;&gt;"",$V95,IFERROR(INDEX('参数设置'!$D$17:$G$26,MATCH($D95,'参数设置'!$C$17:$C$26,0),MATCH($E95,'参数设置'!$D$16:$G$16,0)),0)))</f>
        <v/>
      </c>
      <c r="G95" s="24">
        <f>IF($D95="","",INDEX('01人员工时'!$E$7:$E$126,INT((ROW()-7)/4)+1))</f>
        <v/>
      </c>
      <c r="H95" s="24">
        <f>IF($D95="","",INDEX('01人员工时'!$O$7:$O$126,INT((ROW()-7)/4)+1))</f>
        <v/>
      </c>
      <c r="I95" s="20">
        <f>IF(OR($D95="",$G95=0),"",$H95/$G95)</f>
        <v/>
      </c>
      <c r="J95" s="12">
        <f>IF($D95="","",ROUND($F95,2)-$S95)</f>
        <v/>
      </c>
      <c r="K95" s="12">
        <f>IF(OR($D95="",$G95=0),"",ROUND($F95*INDEX('01人员工时'!G$7:G$126,INT((ROW()-7)/4)+1)/$G95,2))</f>
        <v/>
      </c>
      <c r="L95" s="12">
        <f>IF(OR($D95="",$G95=0),"",ROUND($F95*INDEX('01人员工时'!H$7:H$126,INT((ROW()-7)/4)+1)/$G95,2))</f>
        <v/>
      </c>
      <c r="M95" s="12">
        <f>IF(OR($D95="",$G95=0),"",ROUND($F95*INDEX('01人员工时'!I$7:I$126,INT((ROW()-7)/4)+1)/$G95,2))</f>
        <v/>
      </c>
      <c r="N95" s="12">
        <f>IF(OR($D95="",$G95=0),"",ROUND($F95*INDEX('01人员工时'!J$7:J$126,INT((ROW()-7)/4)+1)/$G95,2))</f>
        <v/>
      </c>
      <c r="O95" s="12">
        <f>IF(OR($D95="",$G95=0),"",ROUND($F95*INDEX('01人员工时'!K$7:K$126,INT((ROW()-7)/4)+1)/$G95,2))</f>
        <v/>
      </c>
      <c r="P95" s="12">
        <f>IF(OR($D95="",$G95=0),"",ROUND($F95*INDEX('01人员工时'!L$7:L$126,INT((ROW()-7)/4)+1)/$G95,2))</f>
        <v/>
      </c>
      <c r="Q95" s="12">
        <f>IF(OR($D95="",$G95=0),"",ROUND($F95*INDEX('01人员工时'!M$7:M$126,INT((ROW()-7)/4)+1)/$G95,2))</f>
        <v/>
      </c>
      <c r="R95" s="12">
        <f>IF(OR($D95="",$G95=0),"",ROUND($F95*INDEX('01人员工时'!N$7:N$126,INT((ROW()-7)/4)+1)/$G95,2))</f>
        <v/>
      </c>
      <c r="S95" s="12">
        <f>IF($D95="","",SUM(K95:R95))</f>
        <v/>
      </c>
      <c r="T95" s="12">
        <f>IF($D95="","",$J95+$S95)</f>
        <v/>
      </c>
      <c r="U95" s="25">
        <f>IF($D95="","",IF($F95=0,"未维护标准",IF(ROUND($T95-$F95,2)=0,"√","差异")))</f>
        <v/>
      </c>
      <c r="V95" s="11" t="n"/>
      <c r="W95" s="9" t="n"/>
    </row>
    <row r="96" ht="18" customHeight="1">
      <c r="B96" s="21">
        <f>IF(INDEX('01人员工时'!$D$7:$D$126,INT((ROW()-7)/4)+1)&amp;""="","",INDEX('01人员工时'!$B$7:$B$126,INT((ROW()-7)/4)+1))</f>
        <v/>
      </c>
      <c r="C96" s="22">
        <f>IF($D96="","",IF(MOD(ROW()-7,4)=0,INDEX('01人员工时'!$C$7:$C$126,INT((ROW()-7)/4)+1),""))</f>
        <v/>
      </c>
      <c r="D96" s="22">
        <f>IF(INDEX('01人员工时'!$D$7:$D$126,INT((ROW()-7)/4)+1)&amp;""="","",INDEX('01人员工时'!$D$7:$D$126,INT((ROW()-7)/4)+1))</f>
        <v/>
      </c>
      <c r="E96" s="22">
        <f>IF($D96="","",INDEX('参数设置'!$K$6:$K$9,MOD(ROW()-7,4)+1))</f>
        <v/>
      </c>
      <c r="F96" s="23">
        <f>IF($D96="","",IF($V96&lt;&gt;"",$V96,IFERROR(INDEX('参数设置'!$D$17:$G$26,MATCH($D96,'参数设置'!$C$17:$C$26,0),MATCH($E96,'参数设置'!$D$16:$G$16,0)),0)))</f>
        <v/>
      </c>
      <c r="G96" s="24">
        <f>IF($D96="","",INDEX('01人员工时'!$E$7:$E$126,INT((ROW()-7)/4)+1))</f>
        <v/>
      </c>
      <c r="H96" s="24">
        <f>IF($D96="","",INDEX('01人员工时'!$O$7:$O$126,INT((ROW()-7)/4)+1))</f>
        <v/>
      </c>
      <c r="I96" s="20">
        <f>IF(OR($D96="",$G96=0),"",$H96/$G96)</f>
        <v/>
      </c>
      <c r="J96" s="12">
        <f>IF($D96="","",ROUND($F96,2)-$S96)</f>
        <v/>
      </c>
      <c r="K96" s="12">
        <f>IF(OR($D96="",$G96=0),"",ROUND($F96*INDEX('01人员工时'!G$7:G$126,INT((ROW()-7)/4)+1)/$G96,2))</f>
        <v/>
      </c>
      <c r="L96" s="12">
        <f>IF(OR($D96="",$G96=0),"",ROUND($F96*INDEX('01人员工时'!H$7:H$126,INT((ROW()-7)/4)+1)/$G96,2))</f>
        <v/>
      </c>
      <c r="M96" s="12">
        <f>IF(OR($D96="",$G96=0),"",ROUND($F96*INDEX('01人员工时'!I$7:I$126,INT((ROW()-7)/4)+1)/$G96,2))</f>
        <v/>
      </c>
      <c r="N96" s="12">
        <f>IF(OR($D96="",$G96=0),"",ROUND($F96*INDEX('01人员工时'!J$7:J$126,INT((ROW()-7)/4)+1)/$G96,2))</f>
        <v/>
      </c>
      <c r="O96" s="12">
        <f>IF(OR($D96="",$G96=0),"",ROUND($F96*INDEX('01人员工时'!K$7:K$126,INT((ROW()-7)/4)+1)/$G96,2))</f>
        <v/>
      </c>
      <c r="P96" s="12">
        <f>IF(OR($D96="",$G96=0),"",ROUND($F96*INDEX('01人员工时'!L$7:L$126,INT((ROW()-7)/4)+1)/$G96,2))</f>
        <v/>
      </c>
      <c r="Q96" s="12">
        <f>IF(OR($D96="",$G96=0),"",ROUND($F96*INDEX('01人员工时'!M$7:M$126,INT((ROW()-7)/4)+1)/$G96,2))</f>
        <v/>
      </c>
      <c r="R96" s="12">
        <f>IF(OR($D96="",$G96=0),"",ROUND($F96*INDEX('01人员工时'!N$7:N$126,INT((ROW()-7)/4)+1)/$G96,2))</f>
        <v/>
      </c>
      <c r="S96" s="12">
        <f>IF($D96="","",SUM(K96:R96))</f>
        <v/>
      </c>
      <c r="T96" s="12">
        <f>IF($D96="","",$J96+$S96)</f>
        <v/>
      </c>
      <c r="U96" s="25">
        <f>IF($D96="","",IF($F96=0,"未维护标准",IF(ROUND($T96-$F96,2)=0,"√","差异")))</f>
        <v/>
      </c>
      <c r="V96" s="11" t="n"/>
      <c r="W96" s="9" t="n"/>
    </row>
    <row r="97" ht="18" customHeight="1">
      <c r="B97" s="21">
        <f>IF(INDEX('01人员工时'!$D$7:$D$126,INT((ROW()-7)/4)+1)&amp;""="","",INDEX('01人员工时'!$B$7:$B$126,INT((ROW()-7)/4)+1))</f>
        <v/>
      </c>
      <c r="C97" s="22">
        <f>IF($D97="","",IF(MOD(ROW()-7,4)=0,INDEX('01人员工时'!$C$7:$C$126,INT((ROW()-7)/4)+1),""))</f>
        <v/>
      </c>
      <c r="D97" s="22">
        <f>IF(INDEX('01人员工时'!$D$7:$D$126,INT((ROW()-7)/4)+1)&amp;""="","",INDEX('01人员工时'!$D$7:$D$126,INT((ROW()-7)/4)+1))</f>
        <v/>
      </c>
      <c r="E97" s="22">
        <f>IF($D97="","",INDEX('参数设置'!$K$6:$K$9,MOD(ROW()-7,4)+1))</f>
        <v/>
      </c>
      <c r="F97" s="23">
        <f>IF($D97="","",IF($V97&lt;&gt;"",$V97,IFERROR(INDEX('参数设置'!$D$17:$G$26,MATCH($D97,'参数设置'!$C$17:$C$26,0),MATCH($E97,'参数设置'!$D$16:$G$16,0)),0)))</f>
        <v/>
      </c>
      <c r="G97" s="24">
        <f>IF($D97="","",INDEX('01人员工时'!$E$7:$E$126,INT((ROW()-7)/4)+1))</f>
        <v/>
      </c>
      <c r="H97" s="24">
        <f>IF($D97="","",INDEX('01人员工时'!$O$7:$O$126,INT((ROW()-7)/4)+1))</f>
        <v/>
      </c>
      <c r="I97" s="20">
        <f>IF(OR($D97="",$G97=0),"",$H97/$G97)</f>
        <v/>
      </c>
      <c r="J97" s="12">
        <f>IF($D97="","",ROUND($F97,2)-$S97)</f>
        <v/>
      </c>
      <c r="K97" s="12">
        <f>IF(OR($D97="",$G97=0),"",ROUND($F97*INDEX('01人员工时'!G$7:G$126,INT((ROW()-7)/4)+1)/$G97,2))</f>
        <v/>
      </c>
      <c r="L97" s="12">
        <f>IF(OR($D97="",$G97=0),"",ROUND($F97*INDEX('01人员工时'!H$7:H$126,INT((ROW()-7)/4)+1)/$G97,2))</f>
        <v/>
      </c>
      <c r="M97" s="12">
        <f>IF(OR($D97="",$G97=0),"",ROUND($F97*INDEX('01人员工时'!I$7:I$126,INT((ROW()-7)/4)+1)/$G97,2))</f>
        <v/>
      </c>
      <c r="N97" s="12">
        <f>IF(OR($D97="",$G97=0),"",ROUND($F97*INDEX('01人员工时'!J$7:J$126,INT((ROW()-7)/4)+1)/$G97,2))</f>
        <v/>
      </c>
      <c r="O97" s="12">
        <f>IF(OR($D97="",$G97=0),"",ROUND($F97*INDEX('01人员工时'!K$7:K$126,INT((ROW()-7)/4)+1)/$G97,2))</f>
        <v/>
      </c>
      <c r="P97" s="12">
        <f>IF(OR($D97="",$G97=0),"",ROUND($F97*INDEX('01人员工时'!L$7:L$126,INT((ROW()-7)/4)+1)/$G97,2))</f>
        <v/>
      </c>
      <c r="Q97" s="12">
        <f>IF(OR($D97="",$G97=0),"",ROUND($F97*INDEX('01人员工时'!M$7:M$126,INT((ROW()-7)/4)+1)/$G97,2))</f>
        <v/>
      </c>
      <c r="R97" s="12">
        <f>IF(OR($D97="",$G97=0),"",ROUND($F97*INDEX('01人员工时'!N$7:N$126,INT((ROW()-7)/4)+1)/$G97,2))</f>
        <v/>
      </c>
      <c r="S97" s="12">
        <f>IF($D97="","",SUM(K97:R97))</f>
        <v/>
      </c>
      <c r="T97" s="12">
        <f>IF($D97="","",$J97+$S97)</f>
        <v/>
      </c>
      <c r="U97" s="25">
        <f>IF($D97="","",IF($F97=0,"未维护标准",IF(ROUND($T97-$F97,2)=0,"√","差异")))</f>
        <v/>
      </c>
      <c r="V97" s="11" t="n"/>
      <c r="W97" s="9" t="n"/>
    </row>
    <row r="98" ht="18" customHeight="1">
      <c r="B98" s="26">
        <f>IF(INDEX('01人员工时'!$D$7:$D$126,INT((ROW()-7)/4)+1)&amp;""="","",INDEX('01人员工时'!$B$7:$B$126,INT((ROW()-7)/4)+1))</f>
        <v/>
      </c>
      <c r="C98" s="27">
        <f>IF($D98="","",IF(MOD(ROW()-7,4)=0,INDEX('01人员工时'!$C$7:$C$126,INT((ROW()-7)/4)+1),""))</f>
        <v/>
      </c>
      <c r="D98" s="27">
        <f>IF(INDEX('01人员工时'!$D$7:$D$126,INT((ROW()-7)/4)+1)&amp;""="","",INDEX('01人员工时'!$D$7:$D$126,INT((ROW()-7)/4)+1))</f>
        <v/>
      </c>
      <c r="E98" s="27">
        <f>IF($D98="","",INDEX('参数设置'!$K$6:$K$9,MOD(ROW()-7,4)+1))</f>
        <v/>
      </c>
      <c r="F98" s="28">
        <f>IF($D98="","",IF($V98&lt;&gt;"",$V98,IFERROR(INDEX('参数设置'!$D$17:$G$26,MATCH($D98,'参数设置'!$C$17:$C$26,0),MATCH($E98,'参数设置'!$D$16:$G$16,0)),0)))</f>
        <v/>
      </c>
      <c r="G98" s="29">
        <f>IF($D98="","",INDEX('01人员工时'!$E$7:$E$126,INT((ROW()-7)/4)+1))</f>
        <v/>
      </c>
      <c r="H98" s="29">
        <f>IF($D98="","",INDEX('01人员工时'!$O$7:$O$126,INT((ROW()-7)/4)+1))</f>
        <v/>
      </c>
      <c r="I98" s="30">
        <f>IF(OR($D98="",$G98=0),"",$H98/$G98)</f>
        <v/>
      </c>
      <c r="J98" s="31">
        <f>IF($D98="","",ROUND($F98,2)-$S98)</f>
        <v/>
      </c>
      <c r="K98" s="31">
        <f>IF(OR($D98="",$G98=0),"",ROUND($F98*INDEX('01人员工时'!G$7:G$126,INT((ROW()-7)/4)+1)/$G98,2))</f>
        <v/>
      </c>
      <c r="L98" s="31">
        <f>IF(OR($D98="",$G98=0),"",ROUND($F98*INDEX('01人员工时'!H$7:H$126,INT((ROW()-7)/4)+1)/$G98,2))</f>
        <v/>
      </c>
      <c r="M98" s="31">
        <f>IF(OR($D98="",$G98=0),"",ROUND($F98*INDEX('01人员工时'!I$7:I$126,INT((ROW()-7)/4)+1)/$G98,2))</f>
        <v/>
      </c>
      <c r="N98" s="31">
        <f>IF(OR($D98="",$G98=0),"",ROUND($F98*INDEX('01人员工时'!J$7:J$126,INT((ROW()-7)/4)+1)/$G98,2))</f>
        <v/>
      </c>
      <c r="O98" s="31">
        <f>IF(OR($D98="",$G98=0),"",ROUND($F98*INDEX('01人员工时'!K$7:K$126,INT((ROW()-7)/4)+1)/$G98,2))</f>
        <v/>
      </c>
      <c r="P98" s="31">
        <f>IF(OR($D98="",$G98=0),"",ROUND($F98*INDEX('01人员工时'!L$7:L$126,INT((ROW()-7)/4)+1)/$G98,2))</f>
        <v/>
      </c>
      <c r="Q98" s="31">
        <f>IF(OR($D98="",$G98=0),"",ROUND($F98*INDEX('01人员工时'!M$7:M$126,INT((ROW()-7)/4)+1)/$G98,2))</f>
        <v/>
      </c>
      <c r="R98" s="31">
        <f>IF(OR($D98="",$G98=0),"",ROUND($F98*INDEX('01人员工时'!N$7:N$126,INT((ROW()-7)/4)+1)/$G98,2))</f>
        <v/>
      </c>
      <c r="S98" s="31">
        <f>IF($D98="","",SUM(K98:R98))</f>
        <v/>
      </c>
      <c r="T98" s="31">
        <f>IF($D98="","",$J98+$S98)</f>
        <v/>
      </c>
      <c r="U98" s="32">
        <f>IF($D98="","",IF($F98=0,"未维护标准",IF(ROUND($T98-$F98,2)=0,"√","差异")))</f>
        <v/>
      </c>
      <c r="V98" s="33" t="n"/>
      <c r="W98" s="34" t="n"/>
    </row>
    <row r="99" ht="18" customHeight="1">
      <c r="B99" s="21">
        <f>IF(INDEX('01人员工时'!$D$7:$D$126,INT((ROW()-7)/4)+1)&amp;""="","",INDEX('01人员工时'!$B$7:$B$126,INT((ROW()-7)/4)+1))</f>
        <v/>
      </c>
      <c r="C99" s="22">
        <f>IF($D99="","",IF(MOD(ROW()-7,4)=0,INDEX('01人员工时'!$C$7:$C$126,INT((ROW()-7)/4)+1),""))</f>
        <v/>
      </c>
      <c r="D99" s="22">
        <f>IF(INDEX('01人员工时'!$D$7:$D$126,INT((ROW()-7)/4)+1)&amp;""="","",INDEX('01人员工时'!$D$7:$D$126,INT((ROW()-7)/4)+1))</f>
        <v/>
      </c>
      <c r="E99" s="22">
        <f>IF($D99="","",INDEX('参数设置'!$K$6:$K$9,MOD(ROW()-7,4)+1))</f>
        <v/>
      </c>
      <c r="F99" s="23">
        <f>IF($D99="","",IF($V99&lt;&gt;"",$V99,IFERROR(INDEX('参数设置'!$D$17:$G$26,MATCH($D99,'参数设置'!$C$17:$C$26,0),MATCH($E99,'参数设置'!$D$16:$G$16,0)),0)))</f>
        <v/>
      </c>
      <c r="G99" s="24">
        <f>IF($D99="","",INDEX('01人员工时'!$E$7:$E$126,INT((ROW()-7)/4)+1))</f>
        <v/>
      </c>
      <c r="H99" s="24">
        <f>IF($D99="","",INDEX('01人员工时'!$O$7:$O$126,INT((ROW()-7)/4)+1))</f>
        <v/>
      </c>
      <c r="I99" s="20">
        <f>IF(OR($D99="",$G99=0),"",$H99/$G99)</f>
        <v/>
      </c>
      <c r="J99" s="12">
        <f>IF($D99="","",ROUND($F99,2)-$S99)</f>
        <v/>
      </c>
      <c r="K99" s="12">
        <f>IF(OR($D99="",$G99=0),"",ROUND($F99*INDEX('01人员工时'!G$7:G$126,INT((ROW()-7)/4)+1)/$G99,2))</f>
        <v/>
      </c>
      <c r="L99" s="12">
        <f>IF(OR($D99="",$G99=0),"",ROUND($F99*INDEX('01人员工时'!H$7:H$126,INT((ROW()-7)/4)+1)/$G99,2))</f>
        <v/>
      </c>
      <c r="M99" s="12">
        <f>IF(OR($D99="",$G99=0),"",ROUND($F99*INDEX('01人员工时'!I$7:I$126,INT((ROW()-7)/4)+1)/$G99,2))</f>
        <v/>
      </c>
      <c r="N99" s="12">
        <f>IF(OR($D99="",$G99=0),"",ROUND($F99*INDEX('01人员工时'!J$7:J$126,INT((ROW()-7)/4)+1)/$G99,2))</f>
        <v/>
      </c>
      <c r="O99" s="12">
        <f>IF(OR($D99="",$G99=0),"",ROUND($F99*INDEX('01人员工时'!K$7:K$126,INT((ROW()-7)/4)+1)/$G99,2))</f>
        <v/>
      </c>
      <c r="P99" s="12">
        <f>IF(OR($D99="",$G99=0),"",ROUND($F99*INDEX('01人员工时'!L$7:L$126,INT((ROW()-7)/4)+1)/$G99,2))</f>
        <v/>
      </c>
      <c r="Q99" s="12">
        <f>IF(OR($D99="",$G99=0),"",ROUND($F99*INDEX('01人员工时'!M$7:M$126,INT((ROW()-7)/4)+1)/$G99,2))</f>
        <v/>
      </c>
      <c r="R99" s="12">
        <f>IF(OR($D99="",$G99=0),"",ROUND($F99*INDEX('01人员工时'!N$7:N$126,INT((ROW()-7)/4)+1)/$G99,2))</f>
        <v/>
      </c>
      <c r="S99" s="12">
        <f>IF($D99="","",SUM(K99:R99))</f>
        <v/>
      </c>
      <c r="T99" s="12">
        <f>IF($D99="","",$J99+$S99)</f>
        <v/>
      </c>
      <c r="U99" s="25">
        <f>IF($D99="","",IF($F99=0,"未维护标准",IF(ROUND($T99-$F99,2)=0,"√","差异")))</f>
        <v/>
      </c>
      <c r="V99" s="11" t="n"/>
      <c r="W99" s="9" t="n"/>
    </row>
    <row r="100" ht="18" customHeight="1">
      <c r="B100" s="21">
        <f>IF(INDEX('01人员工时'!$D$7:$D$126,INT((ROW()-7)/4)+1)&amp;""="","",INDEX('01人员工时'!$B$7:$B$126,INT((ROW()-7)/4)+1))</f>
        <v/>
      </c>
      <c r="C100" s="22">
        <f>IF($D100="","",IF(MOD(ROW()-7,4)=0,INDEX('01人员工时'!$C$7:$C$126,INT((ROW()-7)/4)+1),""))</f>
        <v/>
      </c>
      <c r="D100" s="22">
        <f>IF(INDEX('01人员工时'!$D$7:$D$126,INT((ROW()-7)/4)+1)&amp;""="","",INDEX('01人员工时'!$D$7:$D$126,INT((ROW()-7)/4)+1))</f>
        <v/>
      </c>
      <c r="E100" s="22">
        <f>IF($D100="","",INDEX('参数设置'!$K$6:$K$9,MOD(ROW()-7,4)+1))</f>
        <v/>
      </c>
      <c r="F100" s="23">
        <f>IF($D100="","",IF($V100&lt;&gt;"",$V100,IFERROR(INDEX('参数设置'!$D$17:$G$26,MATCH($D100,'参数设置'!$C$17:$C$26,0),MATCH($E100,'参数设置'!$D$16:$G$16,0)),0)))</f>
        <v/>
      </c>
      <c r="G100" s="24">
        <f>IF($D100="","",INDEX('01人员工时'!$E$7:$E$126,INT((ROW()-7)/4)+1))</f>
        <v/>
      </c>
      <c r="H100" s="24">
        <f>IF($D100="","",INDEX('01人员工时'!$O$7:$O$126,INT((ROW()-7)/4)+1))</f>
        <v/>
      </c>
      <c r="I100" s="20">
        <f>IF(OR($D100="",$G100=0),"",$H100/$G100)</f>
        <v/>
      </c>
      <c r="J100" s="12">
        <f>IF($D100="","",ROUND($F100,2)-$S100)</f>
        <v/>
      </c>
      <c r="K100" s="12">
        <f>IF(OR($D100="",$G100=0),"",ROUND($F100*INDEX('01人员工时'!G$7:G$126,INT((ROW()-7)/4)+1)/$G100,2))</f>
        <v/>
      </c>
      <c r="L100" s="12">
        <f>IF(OR($D100="",$G100=0),"",ROUND($F100*INDEX('01人员工时'!H$7:H$126,INT((ROW()-7)/4)+1)/$G100,2))</f>
        <v/>
      </c>
      <c r="M100" s="12">
        <f>IF(OR($D100="",$G100=0),"",ROUND($F100*INDEX('01人员工时'!I$7:I$126,INT((ROW()-7)/4)+1)/$G100,2))</f>
        <v/>
      </c>
      <c r="N100" s="12">
        <f>IF(OR($D100="",$G100=0),"",ROUND($F100*INDEX('01人员工时'!J$7:J$126,INT((ROW()-7)/4)+1)/$G100,2))</f>
        <v/>
      </c>
      <c r="O100" s="12">
        <f>IF(OR($D100="",$G100=0),"",ROUND($F100*INDEX('01人员工时'!K$7:K$126,INT((ROW()-7)/4)+1)/$G100,2))</f>
        <v/>
      </c>
      <c r="P100" s="12">
        <f>IF(OR($D100="",$G100=0),"",ROUND($F100*INDEX('01人员工时'!L$7:L$126,INT((ROW()-7)/4)+1)/$G100,2))</f>
        <v/>
      </c>
      <c r="Q100" s="12">
        <f>IF(OR($D100="",$G100=0),"",ROUND($F100*INDEX('01人员工时'!M$7:M$126,INT((ROW()-7)/4)+1)/$G100,2))</f>
        <v/>
      </c>
      <c r="R100" s="12">
        <f>IF(OR($D100="",$G100=0),"",ROUND($F100*INDEX('01人员工时'!N$7:N$126,INT((ROW()-7)/4)+1)/$G100,2))</f>
        <v/>
      </c>
      <c r="S100" s="12">
        <f>IF($D100="","",SUM(K100:R100))</f>
        <v/>
      </c>
      <c r="T100" s="12">
        <f>IF($D100="","",$J100+$S100)</f>
        <v/>
      </c>
      <c r="U100" s="25">
        <f>IF($D100="","",IF($F100=0,"未维护标准",IF(ROUND($T100-$F100,2)=0,"√","差异")))</f>
        <v/>
      </c>
      <c r="V100" s="11" t="n"/>
      <c r="W100" s="9" t="n"/>
    </row>
    <row r="101" ht="18" customHeight="1">
      <c r="B101" s="21">
        <f>IF(INDEX('01人员工时'!$D$7:$D$126,INT((ROW()-7)/4)+1)&amp;""="","",INDEX('01人员工时'!$B$7:$B$126,INT((ROW()-7)/4)+1))</f>
        <v/>
      </c>
      <c r="C101" s="22">
        <f>IF($D101="","",IF(MOD(ROW()-7,4)=0,INDEX('01人员工时'!$C$7:$C$126,INT((ROW()-7)/4)+1),""))</f>
        <v/>
      </c>
      <c r="D101" s="22">
        <f>IF(INDEX('01人员工时'!$D$7:$D$126,INT((ROW()-7)/4)+1)&amp;""="","",INDEX('01人员工时'!$D$7:$D$126,INT((ROW()-7)/4)+1))</f>
        <v/>
      </c>
      <c r="E101" s="22">
        <f>IF($D101="","",INDEX('参数设置'!$K$6:$K$9,MOD(ROW()-7,4)+1))</f>
        <v/>
      </c>
      <c r="F101" s="23">
        <f>IF($D101="","",IF($V101&lt;&gt;"",$V101,IFERROR(INDEX('参数设置'!$D$17:$G$26,MATCH($D101,'参数设置'!$C$17:$C$26,0),MATCH($E101,'参数设置'!$D$16:$G$16,0)),0)))</f>
        <v/>
      </c>
      <c r="G101" s="24">
        <f>IF($D101="","",INDEX('01人员工时'!$E$7:$E$126,INT((ROW()-7)/4)+1))</f>
        <v/>
      </c>
      <c r="H101" s="24">
        <f>IF($D101="","",INDEX('01人员工时'!$O$7:$O$126,INT((ROW()-7)/4)+1))</f>
        <v/>
      </c>
      <c r="I101" s="20">
        <f>IF(OR($D101="",$G101=0),"",$H101/$G101)</f>
        <v/>
      </c>
      <c r="J101" s="12">
        <f>IF($D101="","",ROUND($F101,2)-$S101)</f>
        <v/>
      </c>
      <c r="K101" s="12">
        <f>IF(OR($D101="",$G101=0),"",ROUND($F101*INDEX('01人员工时'!G$7:G$126,INT((ROW()-7)/4)+1)/$G101,2))</f>
        <v/>
      </c>
      <c r="L101" s="12">
        <f>IF(OR($D101="",$G101=0),"",ROUND($F101*INDEX('01人员工时'!H$7:H$126,INT((ROW()-7)/4)+1)/$G101,2))</f>
        <v/>
      </c>
      <c r="M101" s="12">
        <f>IF(OR($D101="",$G101=0),"",ROUND($F101*INDEX('01人员工时'!I$7:I$126,INT((ROW()-7)/4)+1)/$G101,2))</f>
        <v/>
      </c>
      <c r="N101" s="12">
        <f>IF(OR($D101="",$G101=0),"",ROUND($F101*INDEX('01人员工时'!J$7:J$126,INT((ROW()-7)/4)+1)/$G101,2))</f>
        <v/>
      </c>
      <c r="O101" s="12">
        <f>IF(OR($D101="",$G101=0),"",ROUND($F101*INDEX('01人员工时'!K$7:K$126,INT((ROW()-7)/4)+1)/$G101,2))</f>
        <v/>
      </c>
      <c r="P101" s="12">
        <f>IF(OR($D101="",$G101=0),"",ROUND($F101*INDEX('01人员工时'!L$7:L$126,INT((ROW()-7)/4)+1)/$G101,2))</f>
        <v/>
      </c>
      <c r="Q101" s="12">
        <f>IF(OR($D101="",$G101=0),"",ROUND($F101*INDEX('01人员工时'!M$7:M$126,INT((ROW()-7)/4)+1)/$G101,2))</f>
        <v/>
      </c>
      <c r="R101" s="12">
        <f>IF(OR($D101="",$G101=0),"",ROUND($F101*INDEX('01人员工时'!N$7:N$126,INT((ROW()-7)/4)+1)/$G101,2))</f>
        <v/>
      </c>
      <c r="S101" s="12">
        <f>IF($D101="","",SUM(K101:R101))</f>
        <v/>
      </c>
      <c r="T101" s="12">
        <f>IF($D101="","",$J101+$S101)</f>
        <v/>
      </c>
      <c r="U101" s="25">
        <f>IF($D101="","",IF($F101=0,"未维护标准",IF(ROUND($T101-$F101,2)=0,"√","差异")))</f>
        <v/>
      </c>
      <c r="V101" s="11" t="n"/>
      <c r="W101" s="9" t="n"/>
    </row>
    <row r="102" ht="18" customHeight="1">
      <c r="B102" s="26">
        <f>IF(INDEX('01人员工时'!$D$7:$D$126,INT((ROW()-7)/4)+1)&amp;""="","",INDEX('01人员工时'!$B$7:$B$126,INT((ROW()-7)/4)+1))</f>
        <v/>
      </c>
      <c r="C102" s="27">
        <f>IF($D102="","",IF(MOD(ROW()-7,4)=0,INDEX('01人员工时'!$C$7:$C$126,INT((ROW()-7)/4)+1),""))</f>
        <v/>
      </c>
      <c r="D102" s="27">
        <f>IF(INDEX('01人员工时'!$D$7:$D$126,INT((ROW()-7)/4)+1)&amp;""="","",INDEX('01人员工时'!$D$7:$D$126,INT((ROW()-7)/4)+1))</f>
        <v/>
      </c>
      <c r="E102" s="27">
        <f>IF($D102="","",INDEX('参数设置'!$K$6:$K$9,MOD(ROW()-7,4)+1))</f>
        <v/>
      </c>
      <c r="F102" s="28">
        <f>IF($D102="","",IF($V102&lt;&gt;"",$V102,IFERROR(INDEX('参数设置'!$D$17:$G$26,MATCH($D102,'参数设置'!$C$17:$C$26,0),MATCH($E102,'参数设置'!$D$16:$G$16,0)),0)))</f>
        <v/>
      </c>
      <c r="G102" s="29">
        <f>IF($D102="","",INDEX('01人员工时'!$E$7:$E$126,INT((ROW()-7)/4)+1))</f>
        <v/>
      </c>
      <c r="H102" s="29">
        <f>IF($D102="","",INDEX('01人员工时'!$O$7:$O$126,INT((ROW()-7)/4)+1))</f>
        <v/>
      </c>
      <c r="I102" s="30">
        <f>IF(OR($D102="",$G102=0),"",$H102/$G102)</f>
        <v/>
      </c>
      <c r="J102" s="31">
        <f>IF($D102="","",ROUND($F102,2)-$S102)</f>
        <v/>
      </c>
      <c r="K102" s="31">
        <f>IF(OR($D102="",$G102=0),"",ROUND($F102*INDEX('01人员工时'!G$7:G$126,INT((ROW()-7)/4)+1)/$G102,2))</f>
        <v/>
      </c>
      <c r="L102" s="31">
        <f>IF(OR($D102="",$G102=0),"",ROUND($F102*INDEX('01人员工时'!H$7:H$126,INT((ROW()-7)/4)+1)/$G102,2))</f>
        <v/>
      </c>
      <c r="M102" s="31">
        <f>IF(OR($D102="",$G102=0),"",ROUND($F102*INDEX('01人员工时'!I$7:I$126,INT((ROW()-7)/4)+1)/$G102,2))</f>
        <v/>
      </c>
      <c r="N102" s="31">
        <f>IF(OR($D102="",$G102=0),"",ROUND($F102*INDEX('01人员工时'!J$7:J$126,INT((ROW()-7)/4)+1)/$G102,2))</f>
        <v/>
      </c>
      <c r="O102" s="31">
        <f>IF(OR($D102="",$G102=0),"",ROUND($F102*INDEX('01人员工时'!K$7:K$126,INT((ROW()-7)/4)+1)/$G102,2))</f>
        <v/>
      </c>
      <c r="P102" s="31">
        <f>IF(OR($D102="",$G102=0),"",ROUND($F102*INDEX('01人员工时'!L$7:L$126,INT((ROW()-7)/4)+1)/$G102,2))</f>
        <v/>
      </c>
      <c r="Q102" s="31">
        <f>IF(OR($D102="",$G102=0),"",ROUND($F102*INDEX('01人员工时'!M$7:M$126,INT((ROW()-7)/4)+1)/$G102,2))</f>
        <v/>
      </c>
      <c r="R102" s="31">
        <f>IF(OR($D102="",$G102=0),"",ROUND($F102*INDEX('01人员工时'!N$7:N$126,INT((ROW()-7)/4)+1)/$G102,2))</f>
        <v/>
      </c>
      <c r="S102" s="31">
        <f>IF($D102="","",SUM(K102:R102))</f>
        <v/>
      </c>
      <c r="T102" s="31">
        <f>IF($D102="","",$J102+$S102)</f>
        <v/>
      </c>
      <c r="U102" s="32">
        <f>IF($D102="","",IF($F102=0,"未维护标准",IF(ROUND($T102-$F102,2)=0,"√","差异")))</f>
        <v/>
      </c>
      <c r="V102" s="33" t="n"/>
      <c r="W102" s="34" t="n"/>
    </row>
    <row r="103" ht="18" customHeight="1">
      <c r="B103" s="21">
        <f>IF(INDEX('01人员工时'!$D$7:$D$126,INT((ROW()-7)/4)+1)&amp;""="","",INDEX('01人员工时'!$B$7:$B$126,INT((ROW()-7)/4)+1))</f>
        <v/>
      </c>
      <c r="C103" s="22">
        <f>IF($D103="","",IF(MOD(ROW()-7,4)=0,INDEX('01人员工时'!$C$7:$C$126,INT((ROW()-7)/4)+1),""))</f>
        <v/>
      </c>
      <c r="D103" s="22">
        <f>IF(INDEX('01人员工时'!$D$7:$D$126,INT((ROW()-7)/4)+1)&amp;""="","",INDEX('01人员工时'!$D$7:$D$126,INT((ROW()-7)/4)+1))</f>
        <v/>
      </c>
      <c r="E103" s="22">
        <f>IF($D103="","",INDEX('参数设置'!$K$6:$K$9,MOD(ROW()-7,4)+1))</f>
        <v/>
      </c>
      <c r="F103" s="23">
        <f>IF($D103="","",IF($V103&lt;&gt;"",$V103,IFERROR(INDEX('参数设置'!$D$17:$G$26,MATCH($D103,'参数设置'!$C$17:$C$26,0),MATCH($E103,'参数设置'!$D$16:$G$16,0)),0)))</f>
        <v/>
      </c>
      <c r="G103" s="24">
        <f>IF($D103="","",INDEX('01人员工时'!$E$7:$E$126,INT((ROW()-7)/4)+1))</f>
        <v/>
      </c>
      <c r="H103" s="24">
        <f>IF($D103="","",INDEX('01人员工时'!$O$7:$O$126,INT((ROW()-7)/4)+1))</f>
        <v/>
      </c>
      <c r="I103" s="20">
        <f>IF(OR($D103="",$G103=0),"",$H103/$G103)</f>
        <v/>
      </c>
      <c r="J103" s="12">
        <f>IF($D103="","",ROUND($F103,2)-$S103)</f>
        <v/>
      </c>
      <c r="K103" s="12">
        <f>IF(OR($D103="",$G103=0),"",ROUND($F103*INDEX('01人员工时'!G$7:G$126,INT((ROW()-7)/4)+1)/$G103,2))</f>
        <v/>
      </c>
      <c r="L103" s="12">
        <f>IF(OR($D103="",$G103=0),"",ROUND($F103*INDEX('01人员工时'!H$7:H$126,INT((ROW()-7)/4)+1)/$G103,2))</f>
        <v/>
      </c>
      <c r="M103" s="12">
        <f>IF(OR($D103="",$G103=0),"",ROUND($F103*INDEX('01人员工时'!I$7:I$126,INT((ROW()-7)/4)+1)/$G103,2))</f>
        <v/>
      </c>
      <c r="N103" s="12">
        <f>IF(OR($D103="",$G103=0),"",ROUND($F103*INDEX('01人员工时'!J$7:J$126,INT((ROW()-7)/4)+1)/$G103,2))</f>
        <v/>
      </c>
      <c r="O103" s="12">
        <f>IF(OR($D103="",$G103=0),"",ROUND($F103*INDEX('01人员工时'!K$7:K$126,INT((ROW()-7)/4)+1)/$G103,2))</f>
        <v/>
      </c>
      <c r="P103" s="12">
        <f>IF(OR($D103="",$G103=0),"",ROUND($F103*INDEX('01人员工时'!L$7:L$126,INT((ROW()-7)/4)+1)/$G103,2))</f>
        <v/>
      </c>
      <c r="Q103" s="12">
        <f>IF(OR($D103="",$G103=0),"",ROUND($F103*INDEX('01人员工时'!M$7:M$126,INT((ROW()-7)/4)+1)/$G103,2))</f>
        <v/>
      </c>
      <c r="R103" s="12">
        <f>IF(OR($D103="",$G103=0),"",ROUND($F103*INDEX('01人员工时'!N$7:N$126,INT((ROW()-7)/4)+1)/$G103,2))</f>
        <v/>
      </c>
      <c r="S103" s="12">
        <f>IF($D103="","",SUM(K103:R103))</f>
        <v/>
      </c>
      <c r="T103" s="12">
        <f>IF($D103="","",$J103+$S103)</f>
        <v/>
      </c>
      <c r="U103" s="25">
        <f>IF($D103="","",IF($F103=0,"未维护标准",IF(ROUND($T103-$F103,2)=0,"√","差异")))</f>
        <v/>
      </c>
      <c r="V103" s="11" t="n"/>
      <c r="W103" s="9" t="n"/>
    </row>
    <row r="104" ht="18" customHeight="1">
      <c r="B104" s="21">
        <f>IF(INDEX('01人员工时'!$D$7:$D$126,INT((ROW()-7)/4)+1)&amp;""="","",INDEX('01人员工时'!$B$7:$B$126,INT((ROW()-7)/4)+1))</f>
        <v/>
      </c>
      <c r="C104" s="22">
        <f>IF($D104="","",IF(MOD(ROW()-7,4)=0,INDEX('01人员工时'!$C$7:$C$126,INT((ROW()-7)/4)+1),""))</f>
        <v/>
      </c>
      <c r="D104" s="22">
        <f>IF(INDEX('01人员工时'!$D$7:$D$126,INT((ROW()-7)/4)+1)&amp;""="","",INDEX('01人员工时'!$D$7:$D$126,INT((ROW()-7)/4)+1))</f>
        <v/>
      </c>
      <c r="E104" s="22">
        <f>IF($D104="","",INDEX('参数设置'!$K$6:$K$9,MOD(ROW()-7,4)+1))</f>
        <v/>
      </c>
      <c r="F104" s="23">
        <f>IF($D104="","",IF($V104&lt;&gt;"",$V104,IFERROR(INDEX('参数设置'!$D$17:$G$26,MATCH($D104,'参数设置'!$C$17:$C$26,0),MATCH($E104,'参数设置'!$D$16:$G$16,0)),0)))</f>
        <v/>
      </c>
      <c r="G104" s="24">
        <f>IF($D104="","",INDEX('01人员工时'!$E$7:$E$126,INT((ROW()-7)/4)+1))</f>
        <v/>
      </c>
      <c r="H104" s="24">
        <f>IF($D104="","",INDEX('01人员工时'!$O$7:$O$126,INT((ROW()-7)/4)+1))</f>
        <v/>
      </c>
      <c r="I104" s="20">
        <f>IF(OR($D104="",$G104=0),"",$H104/$G104)</f>
        <v/>
      </c>
      <c r="J104" s="12">
        <f>IF($D104="","",ROUND($F104,2)-$S104)</f>
        <v/>
      </c>
      <c r="K104" s="12">
        <f>IF(OR($D104="",$G104=0),"",ROUND($F104*INDEX('01人员工时'!G$7:G$126,INT((ROW()-7)/4)+1)/$G104,2))</f>
        <v/>
      </c>
      <c r="L104" s="12">
        <f>IF(OR($D104="",$G104=0),"",ROUND($F104*INDEX('01人员工时'!H$7:H$126,INT((ROW()-7)/4)+1)/$G104,2))</f>
        <v/>
      </c>
      <c r="M104" s="12">
        <f>IF(OR($D104="",$G104=0),"",ROUND($F104*INDEX('01人员工时'!I$7:I$126,INT((ROW()-7)/4)+1)/$G104,2))</f>
        <v/>
      </c>
      <c r="N104" s="12">
        <f>IF(OR($D104="",$G104=0),"",ROUND($F104*INDEX('01人员工时'!J$7:J$126,INT((ROW()-7)/4)+1)/$G104,2))</f>
        <v/>
      </c>
      <c r="O104" s="12">
        <f>IF(OR($D104="",$G104=0),"",ROUND($F104*INDEX('01人员工时'!K$7:K$126,INT((ROW()-7)/4)+1)/$G104,2))</f>
        <v/>
      </c>
      <c r="P104" s="12">
        <f>IF(OR($D104="",$G104=0),"",ROUND($F104*INDEX('01人员工时'!L$7:L$126,INT((ROW()-7)/4)+1)/$G104,2))</f>
        <v/>
      </c>
      <c r="Q104" s="12">
        <f>IF(OR($D104="",$G104=0),"",ROUND($F104*INDEX('01人员工时'!M$7:M$126,INT((ROW()-7)/4)+1)/$G104,2))</f>
        <v/>
      </c>
      <c r="R104" s="12">
        <f>IF(OR($D104="",$G104=0),"",ROUND($F104*INDEX('01人员工时'!N$7:N$126,INT((ROW()-7)/4)+1)/$G104,2))</f>
        <v/>
      </c>
      <c r="S104" s="12">
        <f>IF($D104="","",SUM(K104:R104))</f>
        <v/>
      </c>
      <c r="T104" s="12">
        <f>IF($D104="","",$J104+$S104)</f>
        <v/>
      </c>
      <c r="U104" s="25">
        <f>IF($D104="","",IF($F104=0,"未维护标准",IF(ROUND($T104-$F104,2)=0,"√","差异")))</f>
        <v/>
      </c>
      <c r="V104" s="11" t="n"/>
      <c r="W104" s="9" t="n"/>
    </row>
    <row r="105" ht="18" customHeight="1">
      <c r="B105" s="21">
        <f>IF(INDEX('01人员工时'!$D$7:$D$126,INT((ROW()-7)/4)+1)&amp;""="","",INDEX('01人员工时'!$B$7:$B$126,INT((ROW()-7)/4)+1))</f>
        <v/>
      </c>
      <c r="C105" s="22">
        <f>IF($D105="","",IF(MOD(ROW()-7,4)=0,INDEX('01人员工时'!$C$7:$C$126,INT((ROW()-7)/4)+1),""))</f>
        <v/>
      </c>
      <c r="D105" s="22">
        <f>IF(INDEX('01人员工时'!$D$7:$D$126,INT((ROW()-7)/4)+1)&amp;""="","",INDEX('01人员工时'!$D$7:$D$126,INT((ROW()-7)/4)+1))</f>
        <v/>
      </c>
      <c r="E105" s="22">
        <f>IF($D105="","",INDEX('参数设置'!$K$6:$K$9,MOD(ROW()-7,4)+1))</f>
        <v/>
      </c>
      <c r="F105" s="23">
        <f>IF($D105="","",IF($V105&lt;&gt;"",$V105,IFERROR(INDEX('参数设置'!$D$17:$G$26,MATCH($D105,'参数设置'!$C$17:$C$26,0),MATCH($E105,'参数设置'!$D$16:$G$16,0)),0)))</f>
        <v/>
      </c>
      <c r="G105" s="24">
        <f>IF($D105="","",INDEX('01人员工时'!$E$7:$E$126,INT((ROW()-7)/4)+1))</f>
        <v/>
      </c>
      <c r="H105" s="24">
        <f>IF($D105="","",INDEX('01人员工时'!$O$7:$O$126,INT((ROW()-7)/4)+1))</f>
        <v/>
      </c>
      <c r="I105" s="20">
        <f>IF(OR($D105="",$G105=0),"",$H105/$G105)</f>
        <v/>
      </c>
      <c r="J105" s="12">
        <f>IF($D105="","",ROUND($F105,2)-$S105)</f>
        <v/>
      </c>
      <c r="K105" s="12">
        <f>IF(OR($D105="",$G105=0),"",ROUND($F105*INDEX('01人员工时'!G$7:G$126,INT((ROW()-7)/4)+1)/$G105,2))</f>
        <v/>
      </c>
      <c r="L105" s="12">
        <f>IF(OR($D105="",$G105=0),"",ROUND($F105*INDEX('01人员工时'!H$7:H$126,INT((ROW()-7)/4)+1)/$G105,2))</f>
        <v/>
      </c>
      <c r="M105" s="12">
        <f>IF(OR($D105="",$G105=0),"",ROUND($F105*INDEX('01人员工时'!I$7:I$126,INT((ROW()-7)/4)+1)/$G105,2))</f>
        <v/>
      </c>
      <c r="N105" s="12">
        <f>IF(OR($D105="",$G105=0),"",ROUND($F105*INDEX('01人员工时'!J$7:J$126,INT((ROW()-7)/4)+1)/$G105,2))</f>
        <v/>
      </c>
      <c r="O105" s="12">
        <f>IF(OR($D105="",$G105=0),"",ROUND($F105*INDEX('01人员工时'!K$7:K$126,INT((ROW()-7)/4)+1)/$G105,2))</f>
        <v/>
      </c>
      <c r="P105" s="12">
        <f>IF(OR($D105="",$G105=0),"",ROUND($F105*INDEX('01人员工时'!L$7:L$126,INT((ROW()-7)/4)+1)/$G105,2))</f>
        <v/>
      </c>
      <c r="Q105" s="12">
        <f>IF(OR($D105="",$G105=0),"",ROUND($F105*INDEX('01人员工时'!M$7:M$126,INT((ROW()-7)/4)+1)/$G105,2))</f>
        <v/>
      </c>
      <c r="R105" s="12">
        <f>IF(OR($D105="",$G105=0),"",ROUND($F105*INDEX('01人员工时'!N$7:N$126,INT((ROW()-7)/4)+1)/$G105,2))</f>
        <v/>
      </c>
      <c r="S105" s="12">
        <f>IF($D105="","",SUM(K105:R105))</f>
        <v/>
      </c>
      <c r="T105" s="12">
        <f>IF($D105="","",$J105+$S105)</f>
        <v/>
      </c>
      <c r="U105" s="25">
        <f>IF($D105="","",IF($F105=0,"未维护标准",IF(ROUND($T105-$F105,2)=0,"√","差异")))</f>
        <v/>
      </c>
      <c r="V105" s="11" t="n"/>
      <c r="W105" s="9" t="n"/>
    </row>
    <row r="106" ht="18" customHeight="1">
      <c r="B106" s="26">
        <f>IF(INDEX('01人员工时'!$D$7:$D$126,INT((ROW()-7)/4)+1)&amp;""="","",INDEX('01人员工时'!$B$7:$B$126,INT((ROW()-7)/4)+1))</f>
        <v/>
      </c>
      <c r="C106" s="27">
        <f>IF($D106="","",IF(MOD(ROW()-7,4)=0,INDEX('01人员工时'!$C$7:$C$126,INT((ROW()-7)/4)+1),""))</f>
        <v/>
      </c>
      <c r="D106" s="27">
        <f>IF(INDEX('01人员工时'!$D$7:$D$126,INT((ROW()-7)/4)+1)&amp;""="","",INDEX('01人员工时'!$D$7:$D$126,INT((ROW()-7)/4)+1))</f>
        <v/>
      </c>
      <c r="E106" s="27">
        <f>IF($D106="","",INDEX('参数设置'!$K$6:$K$9,MOD(ROW()-7,4)+1))</f>
        <v/>
      </c>
      <c r="F106" s="28">
        <f>IF($D106="","",IF($V106&lt;&gt;"",$V106,IFERROR(INDEX('参数设置'!$D$17:$G$26,MATCH($D106,'参数设置'!$C$17:$C$26,0),MATCH($E106,'参数设置'!$D$16:$G$16,0)),0)))</f>
        <v/>
      </c>
      <c r="G106" s="29">
        <f>IF($D106="","",INDEX('01人员工时'!$E$7:$E$126,INT((ROW()-7)/4)+1))</f>
        <v/>
      </c>
      <c r="H106" s="29">
        <f>IF($D106="","",INDEX('01人员工时'!$O$7:$O$126,INT((ROW()-7)/4)+1))</f>
        <v/>
      </c>
      <c r="I106" s="30">
        <f>IF(OR($D106="",$G106=0),"",$H106/$G106)</f>
        <v/>
      </c>
      <c r="J106" s="31">
        <f>IF($D106="","",ROUND($F106,2)-$S106)</f>
        <v/>
      </c>
      <c r="K106" s="31">
        <f>IF(OR($D106="",$G106=0),"",ROUND($F106*INDEX('01人员工时'!G$7:G$126,INT((ROW()-7)/4)+1)/$G106,2))</f>
        <v/>
      </c>
      <c r="L106" s="31">
        <f>IF(OR($D106="",$G106=0),"",ROUND($F106*INDEX('01人员工时'!H$7:H$126,INT((ROW()-7)/4)+1)/$G106,2))</f>
        <v/>
      </c>
      <c r="M106" s="31">
        <f>IF(OR($D106="",$G106=0),"",ROUND($F106*INDEX('01人员工时'!I$7:I$126,INT((ROW()-7)/4)+1)/$G106,2))</f>
        <v/>
      </c>
      <c r="N106" s="31">
        <f>IF(OR($D106="",$G106=0),"",ROUND($F106*INDEX('01人员工时'!J$7:J$126,INT((ROW()-7)/4)+1)/$G106,2))</f>
        <v/>
      </c>
      <c r="O106" s="31">
        <f>IF(OR($D106="",$G106=0),"",ROUND($F106*INDEX('01人员工时'!K$7:K$126,INT((ROW()-7)/4)+1)/$G106,2))</f>
        <v/>
      </c>
      <c r="P106" s="31">
        <f>IF(OR($D106="",$G106=0),"",ROUND($F106*INDEX('01人员工时'!L$7:L$126,INT((ROW()-7)/4)+1)/$G106,2))</f>
        <v/>
      </c>
      <c r="Q106" s="31">
        <f>IF(OR($D106="",$G106=0),"",ROUND($F106*INDEX('01人员工时'!M$7:M$126,INT((ROW()-7)/4)+1)/$G106,2))</f>
        <v/>
      </c>
      <c r="R106" s="31">
        <f>IF(OR($D106="",$G106=0),"",ROUND($F106*INDEX('01人员工时'!N$7:N$126,INT((ROW()-7)/4)+1)/$G106,2))</f>
        <v/>
      </c>
      <c r="S106" s="31">
        <f>IF($D106="","",SUM(K106:R106))</f>
        <v/>
      </c>
      <c r="T106" s="31">
        <f>IF($D106="","",$J106+$S106)</f>
        <v/>
      </c>
      <c r="U106" s="32">
        <f>IF($D106="","",IF($F106=0,"未维护标准",IF(ROUND($T106-$F106,2)=0,"√","差异")))</f>
        <v/>
      </c>
      <c r="V106" s="33" t="n"/>
      <c r="W106" s="34" t="n"/>
    </row>
    <row r="107" ht="18" customHeight="1">
      <c r="B107" s="21">
        <f>IF(INDEX('01人员工时'!$D$7:$D$126,INT((ROW()-7)/4)+1)&amp;""="","",INDEX('01人员工时'!$B$7:$B$126,INT((ROW()-7)/4)+1))</f>
        <v/>
      </c>
      <c r="C107" s="22">
        <f>IF($D107="","",IF(MOD(ROW()-7,4)=0,INDEX('01人员工时'!$C$7:$C$126,INT((ROW()-7)/4)+1),""))</f>
        <v/>
      </c>
      <c r="D107" s="22">
        <f>IF(INDEX('01人员工时'!$D$7:$D$126,INT((ROW()-7)/4)+1)&amp;""="","",INDEX('01人员工时'!$D$7:$D$126,INT((ROW()-7)/4)+1))</f>
        <v/>
      </c>
      <c r="E107" s="22">
        <f>IF($D107="","",INDEX('参数设置'!$K$6:$K$9,MOD(ROW()-7,4)+1))</f>
        <v/>
      </c>
      <c r="F107" s="23">
        <f>IF($D107="","",IF($V107&lt;&gt;"",$V107,IFERROR(INDEX('参数设置'!$D$17:$G$26,MATCH($D107,'参数设置'!$C$17:$C$26,0),MATCH($E107,'参数设置'!$D$16:$G$16,0)),0)))</f>
        <v/>
      </c>
      <c r="G107" s="24">
        <f>IF($D107="","",INDEX('01人员工时'!$E$7:$E$126,INT((ROW()-7)/4)+1))</f>
        <v/>
      </c>
      <c r="H107" s="24">
        <f>IF($D107="","",INDEX('01人员工时'!$O$7:$O$126,INT((ROW()-7)/4)+1))</f>
        <v/>
      </c>
      <c r="I107" s="20">
        <f>IF(OR($D107="",$G107=0),"",$H107/$G107)</f>
        <v/>
      </c>
      <c r="J107" s="12">
        <f>IF($D107="","",ROUND($F107,2)-$S107)</f>
        <v/>
      </c>
      <c r="K107" s="12">
        <f>IF(OR($D107="",$G107=0),"",ROUND($F107*INDEX('01人员工时'!G$7:G$126,INT((ROW()-7)/4)+1)/$G107,2))</f>
        <v/>
      </c>
      <c r="L107" s="12">
        <f>IF(OR($D107="",$G107=0),"",ROUND($F107*INDEX('01人员工时'!H$7:H$126,INT((ROW()-7)/4)+1)/$G107,2))</f>
        <v/>
      </c>
      <c r="M107" s="12">
        <f>IF(OR($D107="",$G107=0),"",ROUND($F107*INDEX('01人员工时'!I$7:I$126,INT((ROW()-7)/4)+1)/$G107,2))</f>
        <v/>
      </c>
      <c r="N107" s="12">
        <f>IF(OR($D107="",$G107=0),"",ROUND($F107*INDEX('01人员工时'!J$7:J$126,INT((ROW()-7)/4)+1)/$G107,2))</f>
        <v/>
      </c>
      <c r="O107" s="12">
        <f>IF(OR($D107="",$G107=0),"",ROUND($F107*INDEX('01人员工时'!K$7:K$126,INT((ROW()-7)/4)+1)/$G107,2))</f>
        <v/>
      </c>
      <c r="P107" s="12">
        <f>IF(OR($D107="",$G107=0),"",ROUND($F107*INDEX('01人员工时'!L$7:L$126,INT((ROW()-7)/4)+1)/$G107,2))</f>
        <v/>
      </c>
      <c r="Q107" s="12">
        <f>IF(OR($D107="",$G107=0),"",ROUND($F107*INDEX('01人员工时'!M$7:M$126,INT((ROW()-7)/4)+1)/$G107,2))</f>
        <v/>
      </c>
      <c r="R107" s="12">
        <f>IF(OR($D107="",$G107=0),"",ROUND($F107*INDEX('01人员工时'!N$7:N$126,INT((ROW()-7)/4)+1)/$G107,2))</f>
        <v/>
      </c>
      <c r="S107" s="12">
        <f>IF($D107="","",SUM(K107:R107))</f>
        <v/>
      </c>
      <c r="T107" s="12">
        <f>IF($D107="","",$J107+$S107)</f>
        <v/>
      </c>
      <c r="U107" s="25">
        <f>IF($D107="","",IF($F107=0,"未维护标准",IF(ROUND($T107-$F107,2)=0,"√","差异")))</f>
        <v/>
      </c>
      <c r="V107" s="11" t="n"/>
      <c r="W107" s="9" t="n"/>
    </row>
    <row r="108" ht="18" customHeight="1">
      <c r="B108" s="21">
        <f>IF(INDEX('01人员工时'!$D$7:$D$126,INT((ROW()-7)/4)+1)&amp;""="","",INDEX('01人员工时'!$B$7:$B$126,INT((ROW()-7)/4)+1))</f>
        <v/>
      </c>
      <c r="C108" s="22">
        <f>IF($D108="","",IF(MOD(ROW()-7,4)=0,INDEX('01人员工时'!$C$7:$C$126,INT((ROW()-7)/4)+1),""))</f>
        <v/>
      </c>
      <c r="D108" s="22">
        <f>IF(INDEX('01人员工时'!$D$7:$D$126,INT((ROW()-7)/4)+1)&amp;""="","",INDEX('01人员工时'!$D$7:$D$126,INT((ROW()-7)/4)+1))</f>
        <v/>
      </c>
      <c r="E108" s="22">
        <f>IF($D108="","",INDEX('参数设置'!$K$6:$K$9,MOD(ROW()-7,4)+1))</f>
        <v/>
      </c>
      <c r="F108" s="23">
        <f>IF($D108="","",IF($V108&lt;&gt;"",$V108,IFERROR(INDEX('参数设置'!$D$17:$G$26,MATCH($D108,'参数设置'!$C$17:$C$26,0),MATCH($E108,'参数设置'!$D$16:$G$16,0)),0)))</f>
        <v/>
      </c>
      <c r="G108" s="24">
        <f>IF($D108="","",INDEX('01人员工时'!$E$7:$E$126,INT((ROW()-7)/4)+1))</f>
        <v/>
      </c>
      <c r="H108" s="24">
        <f>IF($D108="","",INDEX('01人员工时'!$O$7:$O$126,INT((ROW()-7)/4)+1))</f>
        <v/>
      </c>
      <c r="I108" s="20">
        <f>IF(OR($D108="",$G108=0),"",$H108/$G108)</f>
        <v/>
      </c>
      <c r="J108" s="12">
        <f>IF($D108="","",ROUND($F108,2)-$S108)</f>
        <v/>
      </c>
      <c r="K108" s="12">
        <f>IF(OR($D108="",$G108=0),"",ROUND($F108*INDEX('01人员工时'!G$7:G$126,INT((ROW()-7)/4)+1)/$G108,2))</f>
        <v/>
      </c>
      <c r="L108" s="12">
        <f>IF(OR($D108="",$G108=0),"",ROUND($F108*INDEX('01人员工时'!H$7:H$126,INT((ROW()-7)/4)+1)/$G108,2))</f>
        <v/>
      </c>
      <c r="M108" s="12">
        <f>IF(OR($D108="",$G108=0),"",ROUND($F108*INDEX('01人员工时'!I$7:I$126,INT((ROW()-7)/4)+1)/$G108,2))</f>
        <v/>
      </c>
      <c r="N108" s="12">
        <f>IF(OR($D108="",$G108=0),"",ROUND($F108*INDEX('01人员工时'!J$7:J$126,INT((ROW()-7)/4)+1)/$G108,2))</f>
        <v/>
      </c>
      <c r="O108" s="12">
        <f>IF(OR($D108="",$G108=0),"",ROUND($F108*INDEX('01人员工时'!K$7:K$126,INT((ROW()-7)/4)+1)/$G108,2))</f>
        <v/>
      </c>
      <c r="P108" s="12">
        <f>IF(OR($D108="",$G108=0),"",ROUND($F108*INDEX('01人员工时'!L$7:L$126,INT((ROW()-7)/4)+1)/$G108,2))</f>
        <v/>
      </c>
      <c r="Q108" s="12">
        <f>IF(OR($D108="",$G108=0),"",ROUND($F108*INDEX('01人员工时'!M$7:M$126,INT((ROW()-7)/4)+1)/$G108,2))</f>
        <v/>
      </c>
      <c r="R108" s="12">
        <f>IF(OR($D108="",$G108=0),"",ROUND($F108*INDEX('01人员工时'!N$7:N$126,INT((ROW()-7)/4)+1)/$G108,2))</f>
        <v/>
      </c>
      <c r="S108" s="12">
        <f>IF($D108="","",SUM(K108:R108))</f>
        <v/>
      </c>
      <c r="T108" s="12">
        <f>IF($D108="","",$J108+$S108)</f>
        <v/>
      </c>
      <c r="U108" s="25">
        <f>IF($D108="","",IF($F108=0,"未维护标准",IF(ROUND($T108-$F108,2)=0,"√","差异")))</f>
        <v/>
      </c>
      <c r="V108" s="11" t="n"/>
      <c r="W108" s="9" t="n"/>
    </row>
    <row r="109" ht="18" customHeight="1">
      <c r="B109" s="21">
        <f>IF(INDEX('01人员工时'!$D$7:$D$126,INT((ROW()-7)/4)+1)&amp;""="","",INDEX('01人员工时'!$B$7:$B$126,INT((ROW()-7)/4)+1))</f>
        <v/>
      </c>
      <c r="C109" s="22">
        <f>IF($D109="","",IF(MOD(ROW()-7,4)=0,INDEX('01人员工时'!$C$7:$C$126,INT((ROW()-7)/4)+1),""))</f>
        <v/>
      </c>
      <c r="D109" s="22">
        <f>IF(INDEX('01人员工时'!$D$7:$D$126,INT((ROW()-7)/4)+1)&amp;""="","",INDEX('01人员工时'!$D$7:$D$126,INT((ROW()-7)/4)+1))</f>
        <v/>
      </c>
      <c r="E109" s="22">
        <f>IF($D109="","",INDEX('参数设置'!$K$6:$K$9,MOD(ROW()-7,4)+1))</f>
        <v/>
      </c>
      <c r="F109" s="23">
        <f>IF($D109="","",IF($V109&lt;&gt;"",$V109,IFERROR(INDEX('参数设置'!$D$17:$G$26,MATCH($D109,'参数设置'!$C$17:$C$26,0),MATCH($E109,'参数设置'!$D$16:$G$16,0)),0)))</f>
        <v/>
      </c>
      <c r="G109" s="24">
        <f>IF($D109="","",INDEX('01人员工时'!$E$7:$E$126,INT((ROW()-7)/4)+1))</f>
        <v/>
      </c>
      <c r="H109" s="24">
        <f>IF($D109="","",INDEX('01人员工时'!$O$7:$O$126,INT((ROW()-7)/4)+1))</f>
        <v/>
      </c>
      <c r="I109" s="20">
        <f>IF(OR($D109="",$G109=0),"",$H109/$G109)</f>
        <v/>
      </c>
      <c r="J109" s="12">
        <f>IF($D109="","",ROUND($F109,2)-$S109)</f>
        <v/>
      </c>
      <c r="K109" s="12">
        <f>IF(OR($D109="",$G109=0),"",ROUND($F109*INDEX('01人员工时'!G$7:G$126,INT((ROW()-7)/4)+1)/$G109,2))</f>
        <v/>
      </c>
      <c r="L109" s="12">
        <f>IF(OR($D109="",$G109=0),"",ROUND($F109*INDEX('01人员工时'!H$7:H$126,INT((ROW()-7)/4)+1)/$G109,2))</f>
        <v/>
      </c>
      <c r="M109" s="12">
        <f>IF(OR($D109="",$G109=0),"",ROUND($F109*INDEX('01人员工时'!I$7:I$126,INT((ROW()-7)/4)+1)/$G109,2))</f>
        <v/>
      </c>
      <c r="N109" s="12">
        <f>IF(OR($D109="",$G109=0),"",ROUND($F109*INDEX('01人员工时'!J$7:J$126,INT((ROW()-7)/4)+1)/$G109,2))</f>
        <v/>
      </c>
      <c r="O109" s="12">
        <f>IF(OR($D109="",$G109=0),"",ROUND($F109*INDEX('01人员工时'!K$7:K$126,INT((ROW()-7)/4)+1)/$G109,2))</f>
        <v/>
      </c>
      <c r="P109" s="12">
        <f>IF(OR($D109="",$G109=0),"",ROUND($F109*INDEX('01人员工时'!L$7:L$126,INT((ROW()-7)/4)+1)/$G109,2))</f>
        <v/>
      </c>
      <c r="Q109" s="12">
        <f>IF(OR($D109="",$G109=0),"",ROUND($F109*INDEX('01人员工时'!M$7:M$126,INT((ROW()-7)/4)+1)/$G109,2))</f>
        <v/>
      </c>
      <c r="R109" s="12">
        <f>IF(OR($D109="",$G109=0),"",ROUND($F109*INDEX('01人员工时'!N$7:N$126,INT((ROW()-7)/4)+1)/$G109,2))</f>
        <v/>
      </c>
      <c r="S109" s="12">
        <f>IF($D109="","",SUM(K109:R109))</f>
        <v/>
      </c>
      <c r="T109" s="12">
        <f>IF($D109="","",$J109+$S109)</f>
        <v/>
      </c>
      <c r="U109" s="25">
        <f>IF($D109="","",IF($F109=0,"未维护标准",IF(ROUND($T109-$F109,2)=0,"√","差异")))</f>
        <v/>
      </c>
      <c r="V109" s="11" t="n"/>
      <c r="W109" s="9" t="n"/>
    </row>
    <row r="110" ht="18" customHeight="1">
      <c r="B110" s="26">
        <f>IF(INDEX('01人员工时'!$D$7:$D$126,INT((ROW()-7)/4)+1)&amp;""="","",INDEX('01人员工时'!$B$7:$B$126,INT((ROW()-7)/4)+1))</f>
        <v/>
      </c>
      <c r="C110" s="27">
        <f>IF($D110="","",IF(MOD(ROW()-7,4)=0,INDEX('01人员工时'!$C$7:$C$126,INT((ROW()-7)/4)+1),""))</f>
        <v/>
      </c>
      <c r="D110" s="27">
        <f>IF(INDEX('01人员工时'!$D$7:$D$126,INT((ROW()-7)/4)+1)&amp;""="","",INDEX('01人员工时'!$D$7:$D$126,INT((ROW()-7)/4)+1))</f>
        <v/>
      </c>
      <c r="E110" s="27">
        <f>IF($D110="","",INDEX('参数设置'!$K$6:$K$9,MOD(ROW()-7,4)+1))</f>
        <v/>
      </c>
      <c r="F110" s="28">
        <f>IF($D110="","",IF($V110&lt;&gt;"",$V110,IFERROR(INDEX('参数设置'!$D$17:$G$26,MATCH($D110,'参数设置'!$C$17:$C$26,0),MATCH($E110,'参数设置'!$D$16:$G$16,0)),0)))</f>
        <v/>
      </c>
      <c r="G110" s="29">
        <f>IF($D110="","",INDEX('01人员工时'!$E$7:$E$126,INT((ROW()-7)/4)+1))</f>
        <v/>
      </c>
      <c r="H110" s="29">
        <f>IF($D110="","",INDEX('01人员工时'!$O$7:$O$126,INT((ROW()-7)/4)+1))</f>
        <v/>
      </c>
      <c r="I110" s="30">
        <f>IF(OR($D110="",$G110=0),"",$H110/$G110)</f>
        <v/>
      </c>
      <c r="J110" s="31">
        <f>IF($D110="","",ROUND($F110,2)-$S110)</f>
        <v/>
      </c>
      <c r="K110" s="31">
        <f>IF(OR($D110="",$G110=0),"",ROUND($F110*INDEX('01人员工时'!G$7:G$126,INT((ROW()-7)/4)+1)/$G110,2))</f>
        <v/>
      </c>
      <c r="L110" s="31">
        <f>IF(OR($D110="",$G110=0),"",ROUND($F110*INDEX('01人员工时'!H$7:H$126,INT((ROW()-7)/4)+1)/$G110,2))</f>
        <v/>
      </c>
      <c r="M110" s="31">
        <f>IF(OR($D110="",$G110=0),"",ROUND($F110*INDEX('01人员工时'!I$7:I$126,INT((ROW()-7)/4)+1)/$G110,2))</f>
        <v/>
      </c>
      <c r="N110" s="31">
        <f>IF(OR($D110="",$G110=0),"",ROUND($F110*INDEX('01人员工时'!J$7:J$126,INT((ROW()-7)/4)+1)/$G110,2))</f>
        <v/>
      </c>
      <c r="O110" s="31">
        <f>IF(OR($D110="",$G110=0),"",ROUND($F110*INDEX('01人员工时'!K$7:K$126,INT((ROW()-7)/4)+1)/$G110,2))</f>
        <v/>
      </c>
      <c r="P110" s="31">
        <f>IF(OR($D110="",$G110=0),"",ROUND($F110*INDEX('01人员工时'!L$7:L$126,INT((ROW()-7)/4)+1)/$G110,2))</f>
        <v/>
      </c>
      <c r="Q110" s="31">
        <f>IF(OR($D110="",$G110=0),"",ROUND($F110*INDEX('01人员工时'!M$7:M$126,INT((ROW()-7)/4)+1)/$G110,2))</f>
        <v/>
      </c>
      <c r="R110" s="31">
        <f>IF(OR($D110="",$G110=0),"",ROUND($F110*INDEX('01人员工时'!N$7:N$126,INT((ROW()-7)/4)+1)/$G110,2))</f>
        <v/>
      </c>
      <c r="S110" s="31">
        <f>IF($D110="","",SUM(K110:R110))</f>
        <v/>
      </c>
      <c r="T110" s="31">
        <f>IF($D110="","",$J110+$S110)</f>
        <v/>
      </c>
      <c r="U110" s="32">
        <f>IF($D110="","",IF($F110=0,"未维护标准",IF(ROUND($T110-$F110,2)=0,"√","差异")))</f>
        <v/>
      </c>
      <c r="V110" s="33" t="n"/>
      <c r="W110" s="34" t="n"/>
    </row>
    <row r="111" ht="18" customHeight="1">
      <c r="B111" s="21">
        <f>IF(INDEX('01人员工时'!$D$7:$D$126,INT((ROW()-7)/4)+1)&amp;""="","",INDEX('01人员工时'!$B$7:$B$126,INT((ROW()-7)/4)+1))</f>
        <v/>
      </c>
      <c r="C111" s="22">
        <f>IF($D111="","",IF(MOD(ROW()-7,4)=0,INDEX('01人员工时'!$C$7:$C$126,INT((ROW()-7)/4)+1),""))</f>
        <v/>
      </c>
      <c r="D111" s="22">
        <f>IF(INDEX('01人员工时'!$D$7:$D$126,INT((ROW()-7)/4)+1)&amp;""="","",INDEX('01人员工时'!$D$7:$D$126,INT((ROW()-7)/4)+1))</f>
        <v/>
      </c>
      <c r="E111" s="22">
        <f>IF($D111="","",INDEX('参数设置'!$K$6:$K$9,MOD(ROW()-7,4)+1))</f>
        <v/>
      </c>
      <c r="F111" s="23">
        <f>IF($D111="","",IF($V111&lt;&gt;"",$V111,IFERROR(INDEX('参数设置'!$D$17:$G$26,MATCH($D111,'参数设置'!$C$17:$C$26,0),MATCH($E111,'参数设置'!$D$16:$G$16,0)),0)))</f>
        <v/>
      </c>
      <c r="G111" s="24">
        <f>IF($D111="","",INDEX('01人员工时'!$E$7:$E$126,INT((ROW()-7)/4)+1))</f>
        <v/>
      </c>
      <c r="H111" s="24">
        <f>IF($D111="","",INDEX('01人员工时'!$O$7:$O$126,INT((ROW()-7)/4)+1))</f>
        <v/>
      </c>
      <c r="I111" s="20">
        <f>IF(OR($D111="",$G111=0),"",$H111/$G111)</f>
        <v/>
      </c>
      <c r="J111" s="12">
        <f>IF($D111="","",ROUND($F111,2)-$S111)</f>
        <v/>
      </c>
      <c r="K111" s="12">
        <f>IF(OR($D111="",$G111=0),"",ROUND($F111*INDEX('01人员工时'!G$7:G$126,INT((ROW()-7)/4)+1)/$G111,2))</f>
        <v/>
      </c>
      <c r="L111" s="12">
        <f>IF(OR($D111="",$G111=0),"",ROUND($F111*INDEX('01人员工时'!H$7:H$126,INT((ROW()-7)/4)+1)/$G111,2))</f>
        <v/>
      </c>
      <c r="M111" s="12">
        <f>IF(OR($D111="",$G111=0),"",ROUND($F111*INDEX('01人员工时'!I$7:I$126,INT((ROW()-7)/4)+1)/$G111,2))</f>
        <v/>
      </c>
      <c r="N111" s="12">
        <f>IF(OR($D111="",$G111=0),"",ROUND($F111*INDEX('01人员工时'!J$7:J$126,INT((ROW()-7)/4)+1)/$G111,2))</f>
        <v/>
      </c>
      <c r="O111" s="12">
        <f>IF(OR($D111="",$G111=0),"",ROUND($F111*INDEX('01人员工时'!K$7:K$126,INT((ROW()-7)/4)+1)/$G111,2))</f>
        <v/>
      </c>
      <c r="P111" s="12">
        <f>IF(OR($D111="",$G111=0),"",ROUND($F111*INDEX('01人员工时'!L$7:L$126,INT((ROW()-7)/4)+1)/$G111,2))</f>
        <v/>
      </c>
      <c r="Q111" s="12">
        <f>IF(OR($D111="",$G111=0),"",ROUND($F111*INDEX('01人员工时'!M$7:M$126,INT((ROW()-7)/4)+1)/$G111,2))</f>
        <v/>
      </c>
      <c r="R111" s="12">
        <f>IF(OR($D111="",$G111=0),"",ROUND($F111*INDEX('01人员工时'!N$7:N$126,INT((ROW()-7)/4)+1)/$G111,2))</f>
        <v/>
      </c>
      <c r="S111" s="12">
        <f>IF($D111="","",SUM(K111:R111))</f>
        <v/>
      </c>
      <c r="T111" s="12">
        <f>IF($D111="","",$J111+$S111)</f>
        <v/>
      </c>
      <c r="U111" s="25">
        <f>IF($D111="","",IF($F111=0,"未维护标准",IF(ROUND($T111-$F111,2)=0,"√","差异")))</f>
        <v/>
      </c>
      <c r="V111" s="11" t="n"/>
      <c r="W111" s="9" t="n"/>
    </row>
    <row r="112" ht="18" customHeight="1">
      <c r="B112" s="21">
        <f>IF(INDEX('01人员工时'!$D$7:$D$126,INT((ROW()-7)/4)+1)&amp;""="","",INDEX('01人员工时'!$B$7:$B$126,INT((ROW()-7)/4)+1))</f>
        <v/>
      </c>
      <c r="C112" s="22">
        <f>IF($D112="","",IF(MOD(ROW()-7,4)=0,INDEX('01人员工时'!$C$7:$C$126,INT((ROW()-7)/4)+1),""))</f>
        <v/>
      </c>
      <c r="D112" s="22">
        <f>IF(INDEX('01人员工时'!$D$7:$D$126,INT((ROW()-7)/4)+1)&amp;""="","",INDEX('01人员工时'!$D$7:$D$126,INT((ROW()-7)/4)+1))</f>
        <v/>
      </c>
      <c r="E112" s="22">
        <f>IF($D112="","",INDEX('参数设置'!$K$6:$K$9,MOD(ROW()-7,4)+1))</f>
        <v/>
      </c>
      <c r="F112" s="23">
        <f>IF($D112="","",IF($V112&lt;&gt;"",$V112,IFERROR(INDEX('参数设置'!$D$17:$G$26,MATCH($D112,'参数设置'!$C$17:$C$26,0),MATCH($E112,'参数设置'!$D$16:$G$16,0)),0)))</f>
        <v/>
      </c>
      <c r="G112" s="24">
        <f>IF($D112="","",INDEX('01人员工时'!$E$7:$E$126,INT((ROW()-7)/4)+1))</f>
        <v/>
      </c>
      <c r="H112" s="24">
        <f>IF($D112="","",INDEX('01人员工时'!$O$7:$O$126,INT((ROW()-7)/4)+1))</f>
        <v/>
      </c>
      <c r="I112" s="20">
        <f>IF(OR($D112="",$G112=0),"",$H112/$G112)</f>
        <v/>
      </c>
      <c r="J112" s="12">
        <f>IF($D112="","",ROUND($F112,2)-$S112)</f>
        <v/>
      </c>
      <c r="K112" s="12">
        <f>IF(OR($D112="",$G112=0),"",ROUND($F112*INDEX('01人员工时'!G$7:G$126,INT((ROW()-7)/4)+1)/$G112,2))</f>
        <v/>
      </c>
      <c r="L112" s="12">
        <f>IF(OR($D112="",$G112=0),"",ROUND($F112*INDEX('01人员工时'!H$7:H$126,INT((ROW()-7)/4)+1)/$G112,2))</f>
        <v/>
      </c>
      <c r="M112" s="12">
        <f>IF(OR($D112="",$G112=0),"",ROUND($F112*INDEX('01人员工时'!I$7:I$126,INT((ROW()-7)/4)+1)/$G112,2))</f>
        <v/>
      </c>
      <c r="N112" s="12">
        <f>IF(OR($D112="",$G112=0),"",ROUND($F112*INDEX('01人员工时'!J$7:J$126,INT((ROW()-7)/4)+1)/$G112,2))</f>
        <v/>
      </c>
      <c r="O112" s="12">
        <f>IF(OR($D112="",$G112=0),"",ROUND($F112*INDEX('01人员工时'!K$7:K$126,INT((ROW()-7)/4)+1)/$G112,2))</f>
        <v/>
      </c>
      <c r="P112" s="12">
        <f>IF(OR($D112="",$G112=0),"",ROUND($F112*INDEX('01人员工时'!L$7:L$126,INT((ROW()-7)/4)+1)/$G112,2))</f>
        <v/>
      </c>
      <c r="Q112" s="12">
        <f>IF(OR($D112="",$G112=0),"",ROUND($F112*INDEX('01人员工时'!M$7:M$126,INT((ROW()-7)/4)+1)/$G112,2))</f>
        <v/>
      </c>
      <c r="R112" s="12">
        <f>IF(OR($D112="",$G112=0),"",ROUND($F112*INDEX('01人员工时'!N$7:N$126,INT((ROW()-7)/4)+1)/$G112,2))</f>
        <v/>
      </c>
      <c r="S112" s="12">
        <f>IF($D112="","",SUM(K112:R112))</f>
        <v/>
      </c>
      <c r="T112" s="12">
        <f>IF($D112="","",$J112+$S112)</f>
        <v/>
      </c>
      <c r="U112" s="25">
        <f>IF($D112="","",IF($F112=0,"未维护标准",IF(ROUND($T112-$F112,2)=0,"√","差异")))</f>
        <v/>
      </c>
      <c r="V112" s="11" t="n"/>
      <c r="W112" s="9" t="n"/>
    </row>
    <row r="113" ht="18" customHeight="1">
      <c r="B113" s="21">
        <f>IF(INDEX('01人员工时'!$D$7:$D$126,INT((ROW()-7)/4)+1)&amp;""="","",INDEX('01人员工时'!$B$7:$B$126,INT((ROW()-7)/4)+1))</f>
        <v/>
      </c>
      <c r="C113" s="22">
        <f>IF($D113="","",IF(MOD(ROW()-7,4)=0,INDEX('01人员工时'!$C$7:$C$126,INT((ROW()-7)/4)+1),""))</f>
        <v/>
      </c>
      <c r="D113" s="22">
        <f>IF(INDEX('01人员工时'!$D$7:$D$126,INT((ROW()-7)/4)+1)&amp;""="","",INDEX('01人员工时'!$D$7:$D$126,INT((ROW()-7)/4)+1))</f>
        <v/>
      </c>
      <c r="E113" s="22">
        <f>IF($D113="","",INDEX('参数设置'!$K$6:$K$9,MOD(ROW()-7,4)+1))</f>
        <v/>
      </c>
      <c r="F113" s="23">
        <f>IF($D113="","",IF($V113&lt;&gt;"",$V113,IFERROR(INDEX('参数设置'!$D$17:$G$26,MATCH($D113,'参数设置'!$C$17:$C$26,0),MATCH($E113,'参数设置'!$D$16:$G$16,0)),0)))</f>
        <v/>
      </c>
      <c r="G113" s="24">
        <f>IF($D113="","",INDEX('01人员工时'!$E$7:$E$126,INT((ROW()-7)/4)+1))</f>
        <v/>
      </c>
      <c r="H113" s="24">
        <f>IF($D113="","",INDEX('01人员工时'!$O$7:$O$126,INT((ROW()-7)/4)+1))</f>
        <v/>
      </c>
      <c r="I113" s="20">
        <f>IF(OR($D113="",$G113=0),"",$H113/$G113)</f>
        <v/>
      </c>
      <c r="J113" s="12">
        <f>IF($D113="","",ROUND($F113,2)-$S113)</f>
        <v/>
      </c>
      <c r="K113" s="12">
        <f>IF(OR($D113="",$G113=0),"",ROUND($F113*INDEX('01人员工时'!G$7:G$126,INT((ROW()-7)/4)+1)/$G113,2))</f>
        <v/>
      </c>
      <c r="L113" s="12">
        <f>IF(OR($D113="",$G113=0),"",ROUND($F113*INDEX('01人员工时'!H$7:H$126,INT((ROW()-7)/4)+1)/$G113,2))</f>
        <v/>
      </c>
      <c r="M113" s="12">
        <f>IF(OR($D113="",$G113=0),"",ROUND($F113*INDEX('01人员工时'!I$7:I$126,INT((ROW()-7)/4)+1)/$G113,2))</f>
        <v/>
      </c>
      <c r="N113" s="12">
        <f>IF(OR($D113="",$G113=0),"",ROUND($F113*INDEX('01人员工时'!J$7:J$126,INT((ROW()-7)/4)+1)/$G113,2))</f>
        <v/>
      </c>
      <c r="O113" s="12">
        <f>IF(OR($D113="",$G113=0),"",ROUND($F113*INDEX('01人员工时'!K$7:K$126,INT((ROW()-7)/4)+1)/$G113,2))</f>
        <v/>
      </c>
      <c r="P113" s="12">
        <f>IF(OR($D113="",$G113=0),"",ROUND($F113*INDEX('01人员工时'!L$7:L$126,INT((ROW()-7)/4)+1)/$G113,2))</f>
        <v/>
      </c>
      <c r="Q113" s="12">
        <f>IF(OR($D113="",$G113=0),"",ROUND($F113*INDEX('01人员工时'!M$7:M$126,INT((ROW()-7)/4)+1)/$G113,2))</f>
        <v/>
      </c>
      <c r="R113" s="12">
        <f>IF(OR($D113="",$G113=0),"",ROUND($F113*INDEX('01人员工时'!N$7:N$126,INT((ROW()-7)/4)+1)/$G113,2))</f>
        <v/>
      </c>
      <c r="S113" s="12">
        <f>IF($D113="","",SUM(K113:R113))</f>
        <v/>
      </c>
      <c r="T113" s="12">
        <f>IF($D113="","",$J113+$S113)</f>
        <v/>
      </c>
      <c r="U113" s="25">
        <f>IF($D113="","",IF($F113=0,"未维护标准",IF(ROUND($T113-$F113,2)=0,"√","差异")))</f>
        <v/>
      </c>
      <c r="V113" s="11" t="n"/>
      <c r="W113" s="9" t="n"/>
    </row>
    <row r="114" ht="18" customHeight="1">
      <c r="B114" s="26">
        <f>IF(INDEX('01人员工时'!$D$7:$D$126,INT((ROW()-7)/4)+1)&amp;""="","",INDEX('01人员工时'!$B$7:$B$126,INT((ROW()-7)/4)+1))</f>
        <v/>
      </c>
      <c r="C114" s="27">
        <f>IF($D114="","",IF(MOD(ROW()-7,4)=0,INDEX('01人员工时'!$C$7:$C$126,INT((ROW()-7)/4)+1),""))</f>
        <v/>
      </c>
      <c r="D114" s="27">
        <f>IF(INDEX('01人员工时'!$D$7:$D$126,INT((ROW()-7)/4)+1)&amp;""="","",INDEX('01人员工时'!$D$7:$D$126,INT((ROW()-7)/4)+1))</f>
        <v/>
      </c>
      <c r="E114" s="27">
        <f>IF($D114="","",INDEX('参数设置'!$K$6:$K$9,MOD(ROW()-7,4)+1))</f>
        <v/>
      </c>
      <c r="F114" s="28">
        <f>IF($D114="","",IF($V114&lt;&gt;"",$V114,IFERROR(INDEX('参数设置'!$D$17:$G$26,MATCH($D114,'参数设置'!$C$17:$C$26,0),MATCH($E114,'参数设置'!$D$16:$G$16,0)),0)))</f>
        <v/>
      </c>
      <c r="G114" s="29">
        <f>IF($D114="","",INDEX('01人员工时'!$E$7:$E$126,INT((ROW()-7)/4)+1))</f>
        <v/>
      </c>
      <c r="H114" s="29">
        <f>IF($D114="","",INDEX('01人员工时'!$O$7:$O$126,INT((ROW()-7)/4)+1))</f>
        <v/>
      </c>
      <c r="I114" s="30">
        <f>IF(OR($D114="",$G114=0),"",$H114/$G114)</f>
        <v/>
      </c>
      <c r="J114" s="31">
        <f>IF($D114="","",ROUND($F114,2)-$S114)</f>
        <v/>
      </c>
      <c r="K114" s="31">
        <f>IF(OR($D114="",$G114=0),"",ROUND($F114*INDEX('01人员工时'!G$7:G$126,INT((ROW()-7)/4)+1)/$G114,2))</f>
        <v/>
      </c>
      <c r="L114" s="31">
        <f>IF(OR($D114="",$G114=0),"",ROUND($F114*INDEX('01人员工时'!H$7:H$126,INT((ROW()-7)/4)+1)/$G114,2))</f>
        <v/>
      </c>
      <c r="M114" s="31">
        <f>IF(OR($D114="",$G114=0),"",ROUND($F114*INDEX('01人员工时'!I$7:I$126,INT((ROW()-7)/4)+1)/$G114,2))</f>
        <v/>
      </c>
      <c r="N114" s="31">
        <f>IF(OR($D114="",$G114=0),"",ROUND($F114*INDEX('01人员工时'!J$7:J$126,INT((ROW()-7)/4)+1)/$G114,2))</f>
        <v/>
      </c>
      <c r="O114" s="31">
        <f>IF(OR($D114="",$G114=0),"",ROUND($F114*INDEX('01人员工时'!K$7:K$126,INT((ROW()-7)/4)+1)/$G114,2))</f>
        <v/>
      </c>
      <c r="P114" s="31">
        <f>IF(OR($D114="",$G114=0),"",ROUND($F114*INDEX('01人员工时'!L$7:L$126,INT((ROW()-7)/4)+1)/$G114,2))</f>
        <v/>
      </c>
      <c r="Q114" s="31">
        <f>IF(OR($D114="",$G114=0),"",ROUND($F114*INDEX('01人员工时'!M$7:M$126,INT((ROW()-7)/4)+1)/$G114,2))</f>
        <v/>
      </c>
      <c r="R114" s="31">
        <f>IF(OR($D114="",$G114=0),"",ROUND($F114*INDEX('01人员工时'!N$7:N$126,INT((ROW()-7)/4)+1)/$G114,2))</f>
        <v/>
      </c>
      <c r="S114" s="31">
        <f>IF($D114="","",SUM(K114:R114))</f>
        <v/>
      </c>
      <c r="T114" s="31">
        <f>IF($D114="","",$J114+$S114)</f>
        <v/>
      </c>
      <c r="U114" s="32">
        <f>IF($D114="","",IF($F114=0,"未维护标准",IF(ROUND($T114-$F114,2)=0,"√","差异")))</f>
        <v/>
      </c>
      <c r="V114" s="33" t="n"/>
      <c r="W114" s="34" t="n"/>
    </row>
    <row r="115" ht="18" customHeight="1">
      <c r="B115" s="21">
        <f>IF(INDEX('01人员工时'!$D$7:$D$126,INT((ROW()-7)/4)+1)&amp;""="","",INDEX('01人员工时'!$B$7:$B$126,INT((ROW()-7)/4)+1))</f>
        <v/>
      </c>
      <c r="C115" s="22">
        <f>IF($D115="","",IF(MOD(ROW()-7,4)=0,INDEX('01人员工时'!$C$7:$C$126,INT((ROW()-7)/4)+1),""))</f>
        <v/>
      </c>
      <c r="D115" s="22">
        <f>IF(INDEX('01人员工时'!$D$7:$D$126,INT((ROW()-7)/4)+1)&amp;""="","",INDEX('01人员工时'!$D$7:$D$126,INT((ROW()-7)/4)+1))</f>
        <v/>
      </c>
      <c r="E115" s="22">
        <f>IF($D115="","",INDEX('参数设置'!$K$6:$K$9,MOD(ROW()-7,4)+1))</f>
        <v/>
      </c>
      <c r="F115" s="23">
        <f>IF($D115="","",IF($V115&lt;&gt;"",$V115,IFERROR(INDEX('参数设置'!$D$17:$G$26,MATCH($D115,'参数设置'!$C$17:$C$26,0),MATCH($E115,'参数设置'!$D$16:$G$16,0)),0)))</f>
        <v/>
      </c>
      <c r="G115" s="24">
        <f>IF($D115="","",INDEX('01人员工时'!$E$7:$E$126,INT((ROW()-7)/4)+1))</f>
        <v/>
      </c>
      <c r="H115" s="24">
        <f>IF($D115="","",INDEX('01人员工时'!$O$7:$O$126,INT((ROW()-7)/4)+1))</f>
        <v/>
      </c>
      <c r="I115" s="20">
        <f>IF(OR($D115="",$G115=0),"",$H115/$G115)</f>
        <v/>
      </c>
      <c r="J115" s="12">
        <f>IF($D115="","",ROUND($F115,2)-$S115)</f>
        <v/>
      </c>
      <c r="K115" s="12">
        <f>IF(OR($D115="",$G115=0),"",ROUND($F115*INDEX('01人员工时'!G$7:G$126,INT((ROW()-7)/4)+1)/$G115,2))</f>
        <v/>
      </c>
      <c r="L115" s="12">
        <f>IF(OR($D115="",$G115=0),"",ROUND($F115*INDEX('01人员工时'!H$7:H$126,INT((ROW()-7)/4)+1)/$G115,2))</f>
        <v/>
      </c>
      <c r="M115" s="12">
        <f>IF(OR($D115="",$G115=0),"",ROUND($F115*INDEX('01人员工时'!I$7:I$126,INT((ROW()-7)/4)+1)/$G115,2))</f>
        <v/>
      </c>
      <c r="N115" s="12">
        <f>IF(OR($D115="",$G115=0),"",ROUND($F115*INDEX('01人员工时'!J$7:J$126,INT((ROW()-7)/4)+1)/$G115,2))</f>
        <v/>
      </c>
      <c r="O115" s="12">
        <f>IF(OR($D115="",$G115=0),"",ROUND($F115*INDEX('01人员工时'!K$7:K$126,INT((ROW()-7)/4)+1)/$G115,2))</f>
        <v/>
      </c>
      <c r="P115" s="12">
        <f>IF(OR($D115="",$G115=0),"",ROUND($F115*INDEX('01人员工时'!L$7:L$126,INT((ROW()-7)/4)+1)/$G115,2))</f>
        <v/>
      </c>
      <c r="Q115" s="12">
        <f>IF(OR($D115="",$G115=0),"",ROUND($F115*INDEX('01人员工时'!M$7:M$126,INT((ROW()-7)/4)+1)/$G115,2))</f>
        <v/>
      </c>
      <c r="R115" s="12">
        <f>IF(OR($D115="",$G115=0),"",ROUND($F115*INDEX('01人员工时'!N$7:N$126,INT((ROW()-7)/4)+1)/$G115,2))</f>
        <v/>
      </c>
      <c r="S115" s="12">
        <f>IF($D115="","",SUM(K115:R115))</f>
        <v/>
      </c>
      <c r="T115" s="12">
        <f>IF($D115="","",$J115+$S115)</f>
        <v/>
      </c>
      <c r="U115" s="25">
        <f>IF($D115="","",IF($F115=0,"未维护标准",IF(ROUND($T115-$F115,2)=0,"√","差异")))</f>
        <v/>
      </c>
      <c r="V115" s="11" t="n"/>
      <c r="W115" s="9" t="n"/>
    </row>
    <row r="116" ht="18" customHeight="1">
      <c r="B116" s="21">
        <f>IF(INDEX('01人员工时'!$D$7:$D$126,INT((ROW()-7)/4)+1)&amp;""="","",INDEX('01人员工时'!$B$7:$B$126,INT((ROW()-7)/4)+1))</f>
        <v/>
      </c>
      <c r="C116" s="22">
        <f>IF($D116="","",IF(MOD(ROW()-7,4)=0,INDEX('01人员工时'!$C$7:$C$126,INT((ROW()-7)/4)+1),""))</f>
        <v/>
      </c>
      <c r="D116" s="22">
        <f>IF(INDEX('01人员工时'!$D$7:$D$126,INT((ROW()-7)/4)+1)&amp;""="","",INDEX('01人员工时'!$D$7:$D$126,INT((ROW()-7)/4)+1))</f>
        <v/>
      </c>
      <c r="E116" s="22">
        <f>IF($D116="","",INDEX('参数设置'!$K$6:$K$9,MOD(ROW()-7,4)+1))</f>
        <v/>
      </c>
      <c r="F116" s="23">
        <f>IF($D116="","",IF($V116&lt;&gt;"",$V116,IFERROR(INDEX('参数设置'!$D$17:$G$26,MATCH($D116,'参数设置'!$C$17:$C$26,0),MATCH($E116,'参数设置'!$D$16:$G$16,0)),0)))</f>
        <v/>
      </c>
      <c r="G116" s="24">
        <f>IF($D116="","",INDEX('01人员工时'!$E$7:$E$126,INT((ROW()-7)/4)+1))</f>
        <v/>
      </c>
      <c r="H116" s="24">
        <f>IF($D116="","",INDEX('01人员工时'!$O$7:$O$126,INT((ROW()-7)/4)+1))</f>
        <v/>
      </c>
      <c r="I116" s="20">
        <f>IF(OR($D116="",$G116=0),"",$H116/$G116)</f>
        <v/>
      </c>
      <c r="J116" s="12">
        <f>IF($D116="","",ROUND($F116,2)-$S116)</f>
        <v/>
      </c>
      <c r="K116" s="12">
        <f>IF(OR($D116="",$G116=0),"",ROUND($F116*INDEX('01人员工时'!G$7:G$126,INT((ROW()-7)/4)+1)/$G116,2))</f>
        <v/>
      </c>
      <c r="L116" s="12">
        <f>IF(OR($D116="",$G116=0),"",ROUND($F116*INDEX('01人员工时'!H$7:H$126,INT((ROW()-7)/4)+1)/$G116,2))</f>
        <v/>
      </c>
      <c r="M116" s="12">
        <f>IF(OR($D116="",$G116=0),"",ROUND($F116*INDEX('01人员工时'!I$7:I$126,INT((ROW()-7)/4)+1)/$G116,2))</f>
        <v/>
      </c>
      <c r="N116" s="12">
        <f>IF(OR($D116="",$G116=0),"",ROUND($F116*INDEX('01人员工时'!J$7:J$126,INT((ROW()-7)/4)+1)/$G116,2))</f>
        <v/>
      </c>
      <c r="O116" s="12">
        <f>IF(OR($D116="",$G116=0),"",ROUND($F116*INDEX('01人员工时'!K$7:K$126,INT((ROW()-7)/4)+1)/$G116,2))</f>
        <v/>
      </c>
      <c r="P116" s="12">
        <f>IF(OR($D116="",$G116=0),"",ROUND($F116*INDEX('01人员工时'!L$7:L$126,INT((ROW()-7)/4)+1)/$G116,2))</f>
        <v/>
      </c>
      <c r="Q116" s="12">
        <f>IF(OR($D116="",$G116=0),"",ROUND($F116*INDEX('01人员工时'!M$7:M$126,INT((ROW()-7)/4)+1)/$G116,2))</f>
        <v/>
      </c>
      <c r="R116" s="12">
        <f>IF(OR($D116="",$G116=0),"",ROUND($F116*INDEX('01人员工时'!N$7:N$126,INT((ROW()-7)/4)+1)/$G116,2))</f>
        <v/>
      </c>
      <c r="S116" s="12">
        <f>IF($D116="","",SUM(K116:R116))</f>
        <v/>
      </c>
      <c r="T116" s="12">
        <f>IF($D116="","",$J116+$S116)</f>
        <v/>
      </c>
      <c r="U116" s="25">
        <f>IF($D116="","",IF($F116=0,"未维护标准",IF(ROUND($T116-$F116,2)=0,"√","差异")))</f>
        <v/>
      </c>
      <c r="V116" s="11" t="n"/>
      <c r="W116" s="9" t="n"/>
    </row>
    <row r="117" ht="18" customHeight="1">
      <c r="B117" s="21">
        <f>IF(INDEX('01人员工时'!$D$7:$D$126,INT((ROW()-7)/4)+1)&amp;""="","",INDEX('01人员工时'!$B$7:$B$126,INT((ROW()-7)/4)+1))</f>
        <v/>
      </c>
      <c r="C117" s="22">
        <f>IF($D117="","",IF(MOD(ROW()-7,4)=0,INDEX('01人员工时'!$C$7:$C$126,INT((ROW()-7)/4)+1),""))</f>
        <v/>
      </c>
      <c r="D117" s="22">
        <f>IF(INDEX('01人员工时'!$D$7:$D$126,INT((ROW()-7)/4)+1)&amp;""="","",INDEX('01人员工时'!$D$7:$D$126,INT((ROW()-7)/4)+1))</f>
        <v/>
      </c>
      <c r="E117" s="22">
        <f>IF($D117="","",INDEX('参数设置'!$K$6:$K$9,MOD(ROW()-7,4)+1))</f>
        <v/>
      </c>
      <c r="F117" s="23">
        <f>IF($D117="","",IF($V117&lt;&gt;"",$V117,IFERROR(INDEX('参数设置'!$D$17:$G$26,MATCH($D117,'参数设置'!$C$17:$C$26,0),MATCH($E117,'参数设置'!$D$16:$G$16,0)),0)))</f>
        <v/>
      </c>
      <c r="G117" s="24">
        <f>IF($D117="","",INDEX('01人员工时'!$E$7:$E$126,INT((ROW()-7)/4)+1))</f>
        <v/>
      </c>
      <c r="H117" s="24">
        <f>IF($D117="","",INDEX('01人员工时'!$O$7:$O$126,INT((ROW()-7)/4)+1))</f>
        <v/>
      </c>
      <c r="I117" s="20">
        <f>IF(OR($D117="",$G117=0),"",$H117/$G117)</f>
        <v/>
      </c>
      <c r="J117" s="12">
        <f>IF($D117="","",ROUND($F117,2)-$S117)</f>
        <v/>
      </c>
      <c r="K117" s="12">
        <f>IF(OR($D117="",$G117=0),"",ROUND($F117*INDEX('01人员工时'!G$7:G$126,INT((ROW()-7)/4)+1)/$G117,2))</f>
        <v/>
      </c>
      <c r="L117" s="12">
        <f>IF(OR($D117="",$G117=0),"",ROUND($F117*INDEX('01人员工时'!H$7:H$126,INT((ROW()-7)/4)+1)/$G117,2))</f>
        <v/>
      </c>
      <c r="M117" s="12">
        <f>IF(OR($D117="",$G117=0),"",ROUND($F117*INDEX('01人员工时'!I$7:I$126,INT((ROW()-7)/4)+1)/$G117,2))</f>
        <v/>
      </c>
      <c r="N117" s="12">
        <f>IF(OR($D117="",$G117=0),"",ROUND($F117*INDEX('01人员工时'!J$7:J$126,INT((ROW()-7)/4)+1)/$G117,2))</f>
        <v/>
      </c>
      <c r="O117" s="12">
        <f>IF(OR($D117="",$G117=0),"",ROUND($F117*INDEX('01人员工时'!K$7:K$126,INT((ROW()-7)/4)+1)/$G117,2))</f>
        <v/>
      </c>
      <c r="P117" s="12">
        <f>IF(OR($D117="",$G117=0),"",ROUND($F117*INDEX('01人员工时'!L$7:L$126,INT((ROW()-7)/4)+1)/$G117,2))</f>
        <v/>
      </c>
      <c r="Q117" s="12">
        <f>IF(OR($D117="",$G117=0),"",ROUND($F117*INDEX('01人员工时'!M$7:M$126,INT((ROW()-7)/4)+1)/$G117,2))</f>
        <v/>
      </c>
      <c r="R117" s="12">
        <f>IF(OR($D117="",$G117=0),"",ROUND($F117*INDEX('01人员工时'!N$7:N$126,INT((ROW()-7)/4)+1)/$G117,2))</f>
        <v/>
      </c>
      <c r="S117" s="12">
        <f>IF($D117="","",SUM(K117:R117))</f>
        <v/>
      </c>
      <c r="T117" s="12">
        <f>IF($D117="","",$J117+$S117)</f>
        <v/>
      </c>
      <c r="U117" s="25">
        <f>IF($D117="","",IF($F117=0,"未维护标准",IF(ROUND($T117-$F117,2)=0,"√","差异")))</f>
        <v/>
      </c>
      <c r="V117" s="11" t="n"/>
      <c r="W117" s="9" t="n"/>
    </row>
    <row r="118" ht="18" customHeight="1">
      <c r="B118" s="26">
        <f>IF(INDEX('01人员工时'!$D$7:$D$126,INT((ROW()-7)/4)+1)&amp;""="","",INDEX('01人员工时'!$B$7:$B$126,INT((ROW()-7)/4)+1))</f>
        <v/>
      </c>
      <c r="C118" s="27">
        <f>IF($D118="","",IF(MOD(ROW()-7,4)=0,INDEX('01人员工时'!$C$7:$C$126,INT((ROW()-7)/4)+1),""))</f>
        <v/>
      </c>
      <c r="D118" s="27">
        <f>IF(INDEX('01人员工时'!$D$7:$D$126,INT((ROW()-7)/4)+1)&amp;""="","",INDEX('01人员工时'!$D$7:$D$126,INT((ROW()-7)/4)+1))</f>
        <v/>
      </c>
      <c r="E118" s="27">
        <f>IF($D118="","",INDEX('参数设置'!$K$6:$K$9,MOD(ROW()-7,4)+1))</f>
        <v/>
      </c>
      <c r="F118" s="28">
        <f>IF($D118="","",IF($V118&lt;&gt;"",$V118,IFERROR(INDEX('参数设置'!$D$17:$G$26,MATCH($D118,'参数设置'!$C$17:$C$26,0),MATCH($E118,'参数设置'!$D$16:$G$16,0)),0)))</f>
        <v/>
      </c>
      <c r="G118" s="29">
        <f>IF($D118="","",INDEX('01人员工时'!$E$7:$E$126,INT((ROW()-7)/4)+1))</f>
        <v/>
      </c>
      <c r="H118" s="29">
        <f>IF($D118="","",INDEX('01人员工时'!$O$7:$O$126,INT((ROW()-7)/4)+1))</f>
        <v/>
      </c>
      <c r="I118" s="30">
        <f>IF(OR($D118="",$G118=0),"",$H118/$G118)</f>
        <v/>
      </c>
      <c r="J118" s="31">
        <f>IF($D118="","",ROUND($F118,2)-$S118)</f>
        <v/>
      </c>
      <c r="K118" s="31">
        <f>IF(OR($D118="",$G118=0),"",ROUND($F118*INDEX('01人员工时'!G$7:G$126,INT((ROW()-7)/4)+1)/$G118,2))</f>
        <v/>
      </c>
      <c r="L118" s="31">
        <f>IF(OR($D118="",$G118=0),"",ROUND($F118*INDEX('01人员工时'!H$7:H$126,INT((ROW()-7)/4)+1)/$G118,2))</f>
        <v/>
      </c>
      <c r="M118" s="31">
        <f>IF(OR($D118="",$G118=0),"",ROUND($F118*INDEX('01人员工时'!I$7:I$126,INT((ROW()-7)/4)+1)/$G118,2))</f>
        <v/>
      </c>
      <c r="N118" s="31">
        <f>IF(OR($D118="",$G118=0),"",ROUND($F118*INDEX('01人员工时'!J$7:J$126,INT((ROW()-7)/4)+1)/$G118,2))</f>
        <v/>
      </c>
      <c r="O118" s="31">
        <f>IF(OR($D118="",$G118=0),"",ROUND($F118*INDEX('01人员工时'!K$7:K$126,INT((ROW()-7)/4)+1)/$G118,2))</f>
        <v/>
      </c>
      <c r="P118" s="31">
        <f>IF(OR($D118="",$G118=0),"",ROUND($F118*INDEX('01人员工时'!L$7:L$126,INT((ROW()-7)/4)+1)/$G118,2))</f>
        <v/>
      </c>
      <c r="Q118" s="31">
        <f>IF(OR($D118="",$G118=0),"",ROUND($F118*INDEX('01人员工时'!M$7:M$126,INT((ROW()-7)/4)+1)/$G118,2))</f>
        <v/>
      </c>
      <c r="R118" s="31">
        <f>IF(OR($D118="",$G118=0),"",ROUND($F118*INDEX('01人员工时'!N$7:N$126,INT((ROW()-7)/4)+1)/$G118,2))</f>
        <v/>
      </c>
      <c r="S118" s="31">
        <f>IF($D118="","",SUM(K118:R118))</f>
        <v/>
      </c>
      <c r="T118" s="31">
        <f>IF($D118="","",$J118+$S118)</f>
        <v/>
      </c>
      <c r="U118" s="32">
        <f>IF($D118="","",IF($F118=0,"未维护标准",IF(ROUND($T118-$F118,2)=0,"√","差异")))</f>
        <v/>
      </c>
      <c r="V118" s="33" t="n"/>
      <c r="W118" s="34" t="n"/>
    </row>
    <row r="119" ht="18" customHeight="1">
      <c r="B119" s="21">
        <f>IF(INDEX('01人员工时'!$D$7:$D$126,INT((ROW()-7)/4)+1)&amp;""="","",INDEX('01人员工时'!$B$7:$B$126,INT((ROW()-7)/4)+1))</f>
        <v/>
      </c>
      <c r="C119" s="22">
        <f>IF($D119="","",IF(MOD(ROW()-7,4)=0,INDEX('01人员工时'!$C$7:$C$126,INT((ROW()-7)/4)+1),""))</f>
        <v/>
      </c>
      <c r="D119" s="22">
        <f>IF(INDEX('01人员工时'!$D$7:$D$126,INT((ROW()-7)/4)+1)&amp;""="","",INDEX('01人员工时'!$D$7:$D$126,INT((ROW()-7)/4)+1))</f>
        <v/>
      </c>
      <c r="E119" s="22">
        <f>IF($D119="","",INDEX('参数设置'!$K$6:$K$9,MOD(ROW()-7,4)+1))</f>
        <v/>
      </c>
      <c r="F119" s="23">
        <f>IF($D119="","",IF($V119&lt;&gt;"",$V119,IFERROR(INDEX('参数设置'!$D$17:$G$26,MATCH($D119,'参数设置'!$C$17:$C$26,0),MATCH($E119,'参数设置'!$D$16:$G$16,0)),0)))</f>
        <v/>
      </c>
      <c r="G119" s="24">
        <f>IF($D119="","",INDEX('01人员工时'!$E$7:$E$126,INT((ROW()-7)/4)+1))</f>
        <v/>
      </c>
      <c r="H119" s="24">
        <f>IF($D119="","",INDEX('01人员工时'!$O$7:$O$126,INT((ROW()-7)/4)+1))</f>
        <v/>
      </c>
      <c r="I119" s="20">
        <f>IF(OR($D119="",$G119=0),"",$H119/$G119)</f>
        <v/>
      </c>
      <c r="J119" s="12">
        <f>IF($D119="","",ROUND($F119,2)-$S119)</f>
        <v/>
      </c>
      <c r="K119" s="12">
        <f>IF(OR($D119="",$G119=0),"",ROUND($F119*INDEX('01人员工时'!G$7:G$126,INT((ROW()-7)/4)+1)/$G119,2))</f>
        <v/>
      </c>
      <c r="L119" s="12">
        <f>IF(OR($D119="",$G119=0),"",ROUND($F119*INDEX('01人员工时'!H$7:H$126,INT((ROW()-7)/4)+1)/$G119,2))</f>
        <v/>
      </c>
      <c r="M119" s="12">
        <f>IF(OR($D119="",$G119=0),"",ROUND($F119*INDEX('01人员工时'!I$7:I$126,INT((ROW()-7)/4)+1)/$G119,2))</f>
        <v/>
      </c>
      <c r="N119" s="12">
        <f>IF(OR($D119="",$G119=0),"",ROUND($F119*INDEX('01人员工时'!J$7:J$126,INT((ROW()-7)/4)+1)/$G119,2))</f>
        <v/>
      </c>
      <c r="O119" s="12">
        <f>IF(OR($D119="",$G119=0),"",ROUND($F119*INDEX('01人员工时'!K$7:K$126,INT((ROW()-7)/4)+1)/$G119,2))</f>
        <v/>
      </c>
      <c r="P119" s="12">
        <f>IF(OR($D119="",$G119=0),"",ROUND($F119*INDEX('01人员工时'!L$7:L$126,INT((ROW()-7)/4)+1)/$G119,2))</f>
        <v/>
      </c>
      <c r="Q119" s="12">
        <f>IF(OR($D119="",$G119=0),"",ROUND($F119*INDEX('01人员工时'!M$7:M$126,INT((ROW()-7)/4)+1)/$G119,2))</f>
        <v/>
      </c>
      <c r="R119" s="12">
        <f>IF(OR($D119="",$G119=0),"",ROUND($F119*INDEX('01人员工时'!N$7:N$126,INT((ROW()-7)/4)+1)/$G119,2))</f>
        <v/>
      </c>
      <c r="S119" s="12">
        <f>IF($D119="","",SUM(K119:R119))</f>
        <v/>
      </c>
      <c r="T119" s="12">
        <f>IF($D119="","",$J119+$S119)</f>
        <v/>
      </c>
      <c r="U119" s="25">
        <f>IF($D119="","",IF($F119=0,"未维护标准",IF(ROUND($T119-$F119,2)=0,"√","差异")))</f>
        <v/>
      </c>
      <c r="V119" s="11" t="n"/>
      <c r="W119" s="9" t="n"/>
    </row>
    <row r="120" ht="18" customHeight="1">
      <c r="B120" s="21">
        <f>IF(INDEX('01人员工时'!$D$7:$D$126,INT((ROW()-7)/4)+1)&amp;""="","",INDEX('01人员工时'!$B$7:$B$126,INT((ROW()-7)/4)+1))</f>
        <v/>
      </c>
      <c r="C120" s="22">
        <f>IF($D120="","",IF(MOD(ROW()-7,4)=0,INDEX('01人员工时'!$C$7:$C$126,INT((ROW()-7)/4)+1),""))</f>
        <v/>
      </c>
      <c r="D120" s="22">
        <f>IF(INDEX('01人员工时'!$D$7:$D$126,INT((ROW()-7)/4)+1)&amp;""="","",INDEX('01人员工时'!$D$7:$D$126,INT((ROW()-7)/4)+1))</f>
        <v/>
      </c>
      <c r="E120" s="22">
        <f>IF($D120="","",INDEX('参数设置'!$K$6:$K$9,MOD(ROW()-7,4)+1))</f>
        <v/>
      </c>
      <c r="F120" s="23">
        <f>IF($D120="","",IF($V120&lt;&gt;"",$V120,IFERROR(INDEX('参数设置'!$D$17:$G$26,MATCH($D120,'参数设置'!$C$17:$C$26,0),MATCH($E120,'参数设置'!$D$16:$G$16,0)),0)))</f>
        <v/>
      </c>
      <c r="G120" s="24">
        <f>IF($D120="","",INDEX('01人员工时'!$E$7:$E$126,INT((ROW()-7)/4)+1))</f>
        <v/>
      </c>
      <c r="H120" s="24">
        <f>IF($D120="","",INDEX('01人员工时'!$O$7:$O$126,INT((ROW()-7)/4)+1))</f>
        <v/>
      </c>
      <c r="I120" s="20">
        <f>IF(OR($D120="",$G120=0),"",$H120/$G120)</f>
        <v/>
      </c>
      <c r="J120" s="12">
        <f>IF($D120="","",ROUND($F120,2)-$S120)</f>
        <v/>
      </c>
      <c r="K120" s="12">
        <f>IF(OR($D120="",$G120=0),"",ROUND($F120*INDEX('01人员工时'!G$7:G$126,INT((ROW()-7)/4)+1)/$G120,2))</f>
        <v/>
      </c>
      <c r="L120" s="12">
        <f>IF(OR($D120="",$G120=0),"",ROUND($F120*INDEX('01人员工时'!H$7:H$126,INT((ROW()-7)/4)+1)/$G120,2))</f>
        <v/>
      </c>
      <c r="M120" s="12">
        <f>IF(OR($D120="",$G120=0),"",ROUND($F120*INDEX('01人员工时'!I$7:I$126,INT((ROW()-7)/4)+1)/$G120,2))</f>
        <v/>
      </c>
      <c r="N120" s="12">
        <f>IF(OR($D120="",$G120=0),"",ROUND($F120*INDEX('01人员工时'!J$7:J$126,INT((ROW()-7)/4)+1)/$G120,2))</f>
        <v/>
      </c>
      <c r="O120" s="12">
        <f>IF(OR($D120="",$G120=0),"",ROUND($F120*INDEX('01人员工时'!K$7:K$126,INT((ROW()-7)/4)+1)/$G120,2))</f>
        <v/>
      </c>
      <c r="P120" s="12">
        <f>IF(OR($D120="",$G120=0),"",ROUND($F120*INDEX('01人员工时'!L$7:L$126,INT((ROW()-7)/4)+1)/$G120,2))</f>
        <v/>
      </c>
      <c r="Q120" s="12">
        <f>IF(OR($D120="",$G120=0),"",ROUND($F120*INDEX('01人员工时'!M$7:M$126,INT((ROW()-7)/4)+1)/$G120,2))</f>
        <v/>
      </c>
      <c r="R120" s="12">
        <f>IF(OR($D120="",$G120=0),"",ROUND($F120*INDEX('01人员工时'!N$7:N$126,INT((ROW()-7)/4)+1)/$G120,2))</f>
        <v/>
      </c>
      <c r="S120" s="12">
        <f>IF($D120="","",SUM(K120:R120))</f>
        <v/>
      </c>
      <c r="T120" s="12">
        <f>IF($D120="","",$J120+$S120)</f>
        <v/>
      </c>
      <c r="U120" s="25">
        <f>IF($D120="","",IF($F120=0,"未维护标准",IF(ROUND($T120-$F120,2)=0,"√","差异")))</f>
        <v/>
      </c>
      <c r="V120" s="11" t="n"/>
      <c r="W120" s="9" t="n"/>
    </row>
    <row r="121" ht="18" customHeight="1">
      <c r="B121" s="21">
        <f>IF(INDEX('01人员工时'!$D$7:$D$126,INT((ROW()-7)/4)+1)&amp;""="","",INDEX('01人员工时'!$B$7:$B$126,INT((ROW()-7)/4)+1))</f>
        <v/>
      </c>
      <c r="C121" s="22">
        <f>IF($D121="","",IF(MOD(ROW()-7,4)=0,INDEX('01人员工时'!$C$7:$C$126,INT((ROW()-7)/4)+1),""))</f>
        <v/>
      </c>
      <c r="D121" s="22">
        <f>IF(INDEX('01人员工时'!$D$7:$D$126,INT((ROW()-7)/4)+1)&amp;""="","",INDEX('01人员工时'!$D$7:$D$126,INT((ROW()-7)/4)+1))</f>
        <v/>
      </c>
      <c r="E121" s="22">
        <f>IF($D121="","",INDEX('参数设置'!$K$6:$K$9,MOD(ROW()-7,4)+1))</f>
        <v/>
      </c>
      <c r="F121" s="23">
        <f>IF($D121="","",IF($V121&lt;&gt;"",$V121,IFERROR(INDEX('参数设置'!$D$17:$G$26,MATCH($D121,'参数设置'!$C$17:$C$26,0),MATCH($E121,'参数设置'!$D$16:$G$16,0)),0)))</f>
        <v/>
      </c>
      <c r="G121" s="24">
        <f>IF($D121="","",INDEX('01人员工时'!$E$7:$E$126,INT((ROW()-7)/4)+1))</f>
        <v/>
      </c>
      <c r="H121" s="24">
        <f>IF($D121="","",INDEX('01人员工时'!$O$7:$O$126,INT((ROW()-7)/4)+1))</f>
        <v/>
      </c>
      <c r="I121" s="20">
        <f>IF(OR($D121="",$G121=0),"",$H121/$G121)</f>
        <v/>
      </c>
      <c r="J121" s="12">
        <f>IF($D121="","",ROUND($F121,2)-$S121)</f>
        <v/>
      </c>
      <c r="K121" s="12">
        <f>IF(OR($D121="",$G121=0),"",ROUND($F121*INDEX('01人员工时'!G$7:G$126,INT((ROW()-7)/4)+1)/$G121,2))</f>
        <v/>
      </c>
      <c r="L121" s="12">
        <f>IF(OR($D121="",$G121=0),"",ROUND($F121*INDEX('01人员工时'!H$7:H$126,INT((ROW()-7)/4)+1)/$G121,2))</f>
        <v/>
      </c>
      <c r="M121" s="12">
        <f>IF(OR($D121="",$G121=0),"",ROUND($F121*INDEX('01人员工时'!I$7:I$126,INT((ROW()-7)/4)+1)/$G121,2))</f>
        <v/>
      </c>
      <c r="N121" s="12">
        <f>IF(OR($D121="",$G121=0),"",ROUND($F121*INDEX('01人员工时'!J$7:J$126,INT((ROW()-7)/4)+1)/$G121,2))</f>
        <v/>
      </c>
      <c r="O121" s="12">
        <f>IF(OR($D121="",$G121=0),"",ROUND($F121*INDEX('01人员工时'!K$7:K$126,INT((ROW()-7)/4)+1)/$G121,2))</f>
        <v/>
      </c>
      <c r="P121" s="12">
        <f>IF(OR($D121="",$G121=0),"",ROUND($F121*INDEX('01人员工时'!L$7:L$126,INT((ROW()-7)/4)+1)/$G121,2))</f>
        <v/>
      </c>
      <c r="Q121" s="12">
        <f>IF(OR($D121="",$G121=0),"",ROUND($F121*INDEX('01人员工时'!M$7:M$126,INT((ROW()-7)/4)+1)/$G121,2))</f>
        <v/>
      </c>
      <c r="R121" s="12">
        <f>IF(OR($D121="",$G121=0),"",ROUND($F121*INDEX('01人员工时'!N$7:N$126,INT((ROW()-7)/4)+1)/$G121,2))</f>
        <v/>
      </c>
      <c r="S121" s="12">
        <f>IF($D121="","",SUM(K121:R121))</f>
        <v/>
      </c>
      <c r="T121" s="12">
        <f>IF($D121="","",$J121+$S121)</f>
        <v/>
      </c>
      <c r="U121" s="25">
        <f>IF($D121="","",IF($F121=0,"未维护标准",IF(ROUND($T121-$F121,2)=0,"√","差异")))</f>
        <v/>
      </c>
      <c r="V121" s="11" t="n"/>
      <c r="W121" s="9" t="n"/>
    </row>
    <row r="122" ht="18" customHeight="1">
      <c r="B122" s="26">
        <f>IF(INDEX('01人员工时'!$D$7:$D$126,INT((ROW()-7)/4)+1)&amp;""="","",INDEX('01人员工时'!$B$7:$B$126,INT((ROW()-7)/4)+1))</f>
        <v/>
      </c>
      <c r="C122" s="27">
        <f>IF($D122="","",IF(MOD(ROW()-7,4)=0,INDEX('01人员工时'!$C$7:$C$126,INT((ROW()-7)/4)+1),""))</f>
        <v/>
      </c>
      <c r="D122" s="27">
        <f>IF(INDEX('01人员工时'!$D$7:$D$126,INT((ROW()-7)/4)+1)&amp;""="","",INDEX('01人员工时'!$D$7:$D$126,INT((ROW()-7)/4)+1))</f>
        <v/>
      </c>
      <c r="E122" s="27">
        <f>IF($D122="","",INDEX('参数设置'!$K$6:$K$9,MOD(ROW()-7,4)+1))</f>
        <v/>
      </c>
      <c r="F122" s="28">
        <f>IF($D122="","",IF($V122&lt;&gt;"",$V122,IFERROR(INDEX('参数设置'!$D$17:$G$26,MATCH($D122,'参数设置'!$C$17:$C$26,0),MATCH($E122,'参数设置'!$D$16:$G$16,0)),0)))</f>
        <v/>
      </c>
      <c r="G122" s="29">
        <f>IF($D122="","",INDEX('01人员工时'!$E$7:$E$126,INT((ROW()-7)/4)+1))</f>
        <v/>
      </c>
      <c r="H122" s="29">
        <f>IF($D122="","",INDEX('01人员工时'!$O$7:$O$126,INT((ROW()-7)/4)+1))</f>
        <v/>
      </c>
      <c r="I122" s="30">
        <f>IF(OR($D122="",$G122=0),"",$H122/$G122)</f>
        <v/>
      </c>
      <c r="J122" s="31">
        <f>IF($D122="","",ROUND($F122,2)-$S122)</f>
        <v/>
      </c>
      <c r="K122" s="31">
        <f>IF(OR($D122="",$G122=0),"",ROUND($F122*INDEX('01人员工时'!G$7:G$126,INT((ROW()-7)/4)+1)/$G122,2))</f>
        <v/>
      </c>
      <c r="L122" s="31">
        <f>IF(OR($D122="",$G122=0),"",ROUND($F122*INDEX('01人员工时'!H$7:H$126,INT((ROW()-7)/4)+1)/$G122,2))</f>
        <v/>
      </c>
      <c r="M122" s="31">
        <f>IF(OR($D122="",$G122=0),"",ROUND($F122*INDEX('01人员工时'!I$7:I$126,INT((ROW()-7)/4)+1)/$G122,2))</f>
        <v/>
      </c>
      <c r="N122" s="31">
        <f>IF(OR($D122="",$G122=0),"",ROUND($F122*INDEX('01人员工时'!J$7:J$126,INT((ROW()-7)/4)+1)/$G122,2))</f>
        <v/>
      </c>
      <c r="O122" s="31">
        <f>IF(OR($D122="",$G122=0),"",ROUND($F122*INDEX('01人员工时'!K$7:K$126,INT((ROW()-7)/4)+1)/$G122,2))</f>
        <v/>
      </c>
      <c r="P122" s="31">
        <f>IF(OR($D122="",$G122=0),"",ROUND($F122*INDEX('01人员工时'!L$7:L$126,INT((ROW()-7)/4)+1)/$G122,2))</f>
        <v/>
      </c>
      <c r="Q122" s="31">
        <f>IF(OR($D122="",$G122=0),"",ROUND($F122*INDEX('01人员工时'!M$7:M$126,INT((ROW()-7)/4)+1)/$G122,2))</f>
        <v/>
      </c>
      <c r="R122" s="31">
        <f>IF(OR($D122="",$G122=0),"",ROUND($F122*INDEX('01人员工时'!N$7:N$126,INT((ROW()-7)/4)+1)/$G122,2))</f>
        <v/>
      </c>
      <c r="S122" s="31">
        <f>IF($D122="","",SUM(K122:R122))</f>
        <v/>
      </c>
      <c r="T122" s="31">
        <f>IF($D122="","",$J122+$S122)</f>
        <v/>
      </c>
      <c r="U122" s="32">
        <f>IF($D122="","",IF($F122=0,"未维护标准",IF(ROUND($T122-$F122,2)=0,"√","差异")))</f>
        <v/>
      </c>
      <c r="V122" s="33" t="n"/>
      <c r="W122" s="34" t="n"/>
    </row>
    <row r="123" ht="18" customHeight="1">
      <c r="B123" s="21">
        <f>IF(INDEX('01人员工时'!$D$7:$D$126,INT((ROW()-7)/4)+1)&amp;""="","",INDEX('01人员工时'!$B$7:$B$126,INT((ROW()-7)/4)+1))</f>
        <v/>
      </c>
      <c r="C123" s="22">
        <f>IF($D123="","",IF(MOD(ROW()-7,4)=0,INDEX('01人员工时'!$C$7:$C$126,INT((ROW()-7)/4)+1),""))</f>
        <v/>
      </c>
      <c r="D123" s="22">
        <f>IF(INDEX('01人员工时'!$D$7:$D$126,INT((ROW()-7)/4)+1)&amp;""="","",INDEX('01人员工时'!$D$7:$D$126,INT((ROW()-7)/4)+1))</f>
        <v/>
      </c>
      <c r="E123" s="22">
        <f>IF($D123="","",INDEX('参数设置'!$K$6:$K$9,MOD(ROW()-7,4)+1))</f>
        <v/>
      </c>
      <c r="F123" s="23">
        <f>IF($D123="","",IF($V123&lt;&gt;"",$V123,IFERROR(INDEX('参数设置'!$D$17:$G$26,MATCH($D123,'参数设置'!$C$17:$C$26,0),MATCH($E123,'参数设置'!$D$16:$G$16,0)),0)))</f>
        <v/>
      </c>
      <c r="G123" s="24">
        <f>IF($D123="","",INDEX('01人员工时'!$E$7:$E$126,INT((ROW()-7)/4)+1))</f>
        <v/>
      </c>
      <c r="H123" s="24">
        <f>IF($D123="","",INDEX('01人员工时'!$O$7:$O$126,INT((ROW()-7)/4)+1))</f>
        <v/>
      </c>
      <c r="I123" s="20">
        <f>IF(OR($D123="",$G123=0),"",$H123/$G123)</f>
        <v/>
      </c>
      <c r="J123" s="12">
        <f>IF($D123="","",ROUND($F123,2)-$S123)</f>
        <v/>
      </c>
      <c r="K123" s="12">
        <f>IF(OR($D123="",$G123=0),"",ROUND($F123*INDEX('01人员工时'!G$7:G$126,INT((ROW()-7)/4)+1)/$G123,2))</f>
        <v/>
      </c>
      <c r="L123" s="12">
        <f>IF(OR($D123="",$G123=0),"",ROUND($F123*INDEX('01人员工时'!H$7:H$126,INT((ROW()-7)/4)+1)/$G123,2))</f>
        <v/>
      </c>
      <c r="M123" s="12">
        <f>IF(OR($D123="",$G123=0),"",ROUND($F123*INDEX('01人员工时'!I$7:I$126,INT((ROW()-7)/4)+1)/$G123,2))</f>
        <v/>
      </c>
      <c r="N123" s="12">
        <f>IF(OR($D123="",$G123=0),"",ROUND($F123*INDEX('01人员工时'!J$7:J$126,INT((ROW()-7)/4)+1)/$G123,2))</f>
        <v/>
      </c>
      <c r="O123" s="12">
        <f>IF(OR($D123="",$G123=0),"",ROUND($F123*INDEX('01人员工时'!K$7:K$126,INT((ROW()-7)/4)+1)/$G123,2))</f>
        <v/>
      </c>
      <c r="P123" s="12">
        <f>IF(OR($D123="",$G123=0),"",ROUND($F123*INDEX('01人员工时'!L$7:L$126,INT((ROW()-7)/4)+1)/$G123,2))</f>
        <v/>
      </c>
      <c r="Q123" s="12">
        <f>IF(OR($D123="",$G123=0),"",ROUND($F123*INDEX('01人员工时'!M$7:M$126,INT((ROW()-7)/4)+1)/$G123,2))</f>
        <v/>
      </c>
      <c r="R123" s="12">
        <f>IF(OR($D123="",$G123=0),"",ROUND($F123*INDEX('01人员工时'!N$7:N$126,INT((ROW()-7)/4)+1)/$G123,2))</f>
        <v/>
      </c>
      <c r="S123" s="12">
        <f>IF($D123="","",SUM(K123:R123))</f>
        <v/>
      </c>
      <c r="T123" s="12">
        <f>IF($D123="","",$J123+$S123)</f>
        <v/>
      </c>
      <c r="U123" s="25">
        <f>IF($D123="","",IF($F123=0,"未维护标准",IF(ROUND($T123-$F123,2)=0,"√","差异")))</f>
        <v/>
      </c>
      <c r="V123" s="11" t="n"/>
      <c r="W123" s="9" t="n"/>
    </row>
    <row r="124" ht="18" customHeight="1">
      <c r="B124" s="21">
        <f>IF(INDEX('01人员工时'!$D$7:$D$126,INT((ROW()-7)/4)+1)&amp;""="","",INDEX('01人员工时'!$B$7:$B$126,INT((ROW()-7)/4)+1))</f>
        <v/>
      </c>
      <c r="C124" s="22">
        <f>IF($D124="","",IF(MOD(ROW()-7,4)=0,INDEX('01人员工时'!$C$7:$C$126,INT((ROW()-7)/4)+1),""))</f>
        <v/>
      </c>
      <c r="D124" s="22">
        <f>IF(INDEX('01人员工时'!$D$7:$D$126,INT((ROW()-7)/4)+1)&amp;""="","",INDEX('01人员工时'!$D$7:$D$126,INT((ROW()-7)/4)+1))</f>
        <v/>
      </c>
      <c r="E124" s="22">
        <f>IF($D124="","",INDEX('参数设置'!$K$6:$K$9,MOD(ROW()-7,4)+1))</f>
        <v/>
      </c>
      <c r="F124" s="23">
        <f>IF($D124="","",IF($V124&lt;&gt;"",$V124,IFERROR(INDEX('参数设置'!$D$17:$G$26,MATCH($D124,'参数设置'!$C$17:$C$26,0),MATCH($E124,'参数设置'!$D$16:$G$16,0)),0)))</f>
        <v/>
      </c>
      <c r="G124" s="24">
        <f>IF($D124="","",INDEX('01人员工时'!$E$7:$E$126,INT((ROW()-7)/4)+1))</f>
        <v/>
      </c>
      <c r="H124" s="24">
        <f>IF($D124="","",INDEX('01人员工时'!$O$7:$O$126,INT((ROW()-7)/4)+1))</f>
        <v/>
      </c>
      <c r="I124" s="20">
        <f>IF(OR($D124="",$G124=0),"",$H124/$G124)</f>
        <v/>
      </c>
      <c r="J124" s="12">
        <f>IF($D124="","",ROUND($F124,2)-$S124)</f>
        <v/>
      </c>
      <c r="K124" s="12">
        <f>IF(OR($D124="",$G124=0),"",ROUND($F124*INDEX('01人员工时'!G$7:G$126,INT((ROW()-7)/4)+1)/$G124,2))</f>
        <v/>
      </c>
      <c r="L124" s="12">
        <f>IF(OR($D124="",$G124=0),"",ROUND($F124*INDEX('01人员工时'!H$7:H$126,INT((ROW()-7)/4)+1)/$G124,2))</f>
        <v/>
      </c>
      <c r="M124" s="12">
        <f>IF(OR($D124="",$G124=0),"",ROUND($F124*INDEX('01人员工时'!I$7:I$126,INT((ROW()-7)/4)+1)/$G124,2))</f>
        <v/>
      </c>
      <c r="N124" s="12">
        <f>IF(OR($D124="",$G124=0),"",ROUND($F124*INDEX('01人员工时'!J$7:J$126,INT((ROW()-7)/4)+1)/$G124,2))</f>
        <v/>
      </c>
      <c r="O124" s="12">
        <f>IF(OR($D124="",$G124=0),"",ROUND($F124*INDEX('01人员工时'!K$7:K$126,INT((ROW()-7)/4)+1)/$G124,2))</f>
        <v/>
      </c>
      <c r="P124" s="12">
        <f>IF(OR($D124="",$G124=0),"",ROUND($F124*INDEX('01人员工时'!L$7:L$126,INT((ROW()-7)/4)+1)/$G124,2))</f>
        <v/>
      </c>
      <c r="Q124" s="12">
        <f>IF(OR($D124="",$G124=0),"",ROUND($F124*INDEX('01人员工时'!M$7:M$126,INT((ROW()-7)/4)+1)/$G124,2))</f>
        <v/>
      </c>
      <c r="R124" s="12">
        <f>IF(OR($D124="",$G124=0),"",ROUND($F124*INDEX('01人员工时'!N$7:N$126,INT((ROW()-7)/4)+1)/$G124,2))</f>
        <v/>
      </c>
      <c r="S124" s="12">
        <f>IF($D124="","",SUM(K124:R124))</f>
        <v/>
      </c>
      <c r="T124" s="12">
        <f>IF($D124="","",$J124+$S124)</f>
        <v/>
      </c>
      <c r="U124" s="25">
        <f>IF($D124="","",IF($F124=0,"未维护标准",IF(ROUND($T124-$F124,2)=0,"√","差异")))</f>
        <v/>
      </c>
      <c r="V124" s="11" t="n"/>
      <c r="W124" s="9" t="n"/>
    </row>
    <row r="125" ht="18" customHeight="1">
      <c r="B125" s="21">
        <f>IF(INDEX('01人员工时'!$D$7:$D$126,INT((ROW()-7)/4)+1)&amp;""="","",INDEX('01人员工时'!$B$7:$B$126,INT((ROW()-7)/4)+1))</f>
        <v/>
      </c>
      <c r="C125" s="22">
        <f>IF($D125="","",IF(MOD(ROW()-7,4)=0,INDEX('01人员工时'!$C$7:$C$126,INT((ROW()-7)/4)+1),""))</f>
        <v/>
      </c>
      <c r="D125" s="22">
        <f>IF(INDEX('01人员工时'!$D$7:$D$126,INT((ROW()-7)/4)+1)&amp;""="","",INDEX('01人员工时'!$D$7:$D$126,INT((ROW()-7)/4)+1))</f>
        <v/>
      </c>
      <c r="E125" s="22">
        <f>IF($D125="","",INDEX('参数设置'!$K$6:$K$9,MOD(ROW()-7,4)+1))</f>
        <v/>
      </c>
      <c r="F125" s="23">
        <f>IF($D125="","",IF($V125&lt;&gt;"",$V125,IFERROR(INDEX('参数设置'!$D$17:$G$26,MATCH($D125,'参数设置'!$C$17:$C$26,0),MATCH($E125,'参数设置'!$D$16:$G$16,0)),0)))</f>
        <v/>
      </c>
      <c r="G125" s="24">
        <f>IF($D125="","",INDEX('01人员工时'!$E$7:$E$126,INT((ROW()-7)/4)+1))</f>
        <v/>
      </c>
      <c r="H125" s="24">
        <f>IF($D125="","",INDEX('01人员工时'!$O$7:$O$126,INT((ROW()-7)/4)+1))</f>
        <v/>
      </c>
      <c r="I125" s="20">
        <f>IF(OR($D125="",$G125=0),"",$H125/$G125)</f>
        <v/>
      </c>
      <c r="J125" s="12">
        <f>IF($D125="","",ROUND($F125,2)-$S125)</f>
        <v/>
      </c>
      <c r="K125" s="12">
        <f>IF(OR($D125="",$G125=0),"",ROUND($F125*INDEX('01人员工时'!G$7:G$126,INT((ROW()-7)/4)+1)/$G125,2))</f>
        <v/>
      </c>
      <c r="L125" s="12">
        <f>IF(OR($D125="",$G125=0),"",ROUND($F125*INDEX('01人员工时'!H$7:H$126,INT((ROW()-7)/4)+1)/$G125,2))</f>
        <v/>
      </c>
      <c r="M125" s="12">
        <f>IF(OR($D125="",$G125=0),"",ROUND($F125*INDEX('01人员工时'!I$7:I$126,INT((ROW()-7)/4)+1)/$G125,2))</f>
        <v/>
      </c>
      <c r="N125" s="12">
        <f>IF(OR($D125="",$G125=0),"",ROUND($F125*INDEX('01人员工时'!J$7:J$126,INT((ROW()-7)/4)+1)/$G125,2))</f>
        <v/>
      </c>
      <c r="O125" s="12">
        <f>IF(OR($D125="",$G125=0),"",ROUND($F125*INDEX('01人员工时'!K$7:K$126,INT((ROW()-7)/4)+1)/$G125,2))</f>
        <v/>
      </c>
      <c r="P125" s="12">
        <f>IF(OR($D125="",$G125=0),"",ROUND($F125*INDEX('01人员工时'!L$7:L$126,INT((ROW()-7)/4)+1)/$G125,2))</f>
        <v/>
      </c>
      <c r="Q125" s="12">
        <f>IF(OR($D125="",$G125=0),"",ROUND($F125*INDEX('01人员工时'!M$7:M$126,INT((ROW()-7)/4)+1)/$G125,2))</f>
        <v/>
      </c>
      <c r="R125" s="12">
        <f>IF(OR($D125="",$G125=0),"",ROUND($F125*INDEX('01人员工时'!N$7:N$126,INT((ROW()-7)/4)+1)/$G125,2))</f>
        <v/>
      </c>
      <c r="S125" s="12">
        <f>IF($D125="","",SUM(K125:R125))</f>
        <v/>
      </c>
      <c r="T125" s="12">
        <f>IF($D125="","",$J125+$S125)</f>
        <v/>
      </c>
      <c r="U125" s="25">
        <f>IF($D125="","",IF($F125=0,"未维护标准",IF(ROUND($T125-$F125,2)=0,"√","差异")))</f>
        <v/>
      </c>
      <c r="V125" s="11" t="n"/>
      <c r="W125" s="9" t="n"/>
    </row>
    <row r="126" ht="18" customHeight="1">
      <c r="B126" s="26">
        <f>IF(INDEX('01人员工时'!$D$7:$D$126,INT((ROW()-7)/4)+1)&amp;""="","",INDEX('01人员工时'!$B$7:$B$126,INT((ROW()-7)/4)+1))</f>
        <v/>
      </c>
      <c r="C126" s="27">
        <f>IF($D126="","",IF(MOD(ROW()-7,4)=0,INDEX('01人员工时'!$C$7:$C$126,INT((ROW()-7)/4)+1),""))</f>
        <v/>
      </c>
      <c r="D126" s="27">
        <f>IF(INDEX('01人员工时'!$D$7:$D$126,INT((ROW()-7)/4)+1)&amp;""="","",INDEX('01人员工时'!$D$7:$D$126,INT((ROW()-7)/4)+1))</f>
        <v/>
      </c>
      <c r="E126" s="27">
        <f>IF($D126="","",INDEX('参数设置'!$K$6:$K$9,MOD(ROW()-7,4)+1))</f>
        <v/>
      </c>
      <c r="F126" s="28">
        <f>IF($D126="","",IF($V126&lt;&gt;"",$V126,IFERROR(INDEX('参数设置'!$D$17:$G$26,MATCH($D126,'参数设置'!$C$17:$C$26,0),MATCH($E126,'参数设置'!$D$16:$G$16,0)),0)))</f>
        <v/>
      </c>
      <c r="G126" s="29">
        <f>IF($D126="","",INDEX('01人员工时'!$E$7:$E$126,INT((ROW()-7)/4)+1))</f>
        <v/>
      </c>
      <c r="H126" s="29">
        <f>IF($D126="","",INDEX('01人员工时'!$O$7:$O$126,INT((ROW()-7)/4)+1))</f>
        <v/>
      </c>
      <c r="I126" s="30">
        <f>IF(OR($D126="",$G126=0),"",$H126/$G126)</f>
        <v/>
      </c>
      <c r="J126" s="31">
        <f>IF($D126="","",ROUND($F126,2)-$S126)</f>
        <v/>
      </c>
      <c r="K126" s="31">
        <f>IF(OR($D126="",$G126=0),"",ROUND($F126*INDEX('01人员工时'!G$7:G$126,INT((ROW()-7)/4)+1)/$G126,2))</f>
        <v/>
      </c>
      <c r="L126" s="31">
        <f>IF(OR($D126="",$G126=0),"",ROUND($F126*INDEX('01人员工时'!H$7:H$126,INT((ROW()-7)/4)+1)/$G126,2))</f>
        <v/>
      </c>
      <c r="M126" s="31">
        <f>IF(OR($D126="",$G126=0),"",ROUND($F126*INDEX('01人员工时'!I$7:I$126,INT((ROW()-7)/4)+1)/$G126,2))</f>
        <v/>
      </c>
      <c r="N126" s="31">
        <f>IF(OR($D126="",$G126=0),"",ROUND($F126*INDEX('01人员工时'!J$7:J$126,INT((ROW()-7)/4)+1)/$G126,2))</f>
        <v/>
      </c>
      <c r="O126" s="31">
        <f>IF(OR($D126="",$G126=0),"",ROUND($F126*INDEX('01人员工时'!K$7:K$126,INT((ROW()-7)/4)+1)/$G126,2))</f>
        <v/>
      </c>
      <c r="P126" s="31">
        <f>IF(OR($D126="",$G126=0),"",ROUND($F126*INDEX('01人员工时'!L$7:L$126,INT((ROW()-7)/4)+1)/$G126,2))</f>
        <v/>
      </c>
      <c r="Q126" s="31">
        <f>IF(OR($D126="",$G126=0),"",ROUND($F126*INDEX('01人员工时'!M$7:M$126,INT((ROW()-7)/4)+1)/$G126,2))</f>
        <v/>
      </c>
      <c r="R126" s="31">
        <f>IF(OR($D126="",$G126=0),"",ROUND($F126*INDEX('01人员工时'!N$7:N$126,INT((ROW()-7)/4)+1)/$G126,2))</f>
        <v/>
      </c>
      <c r="S126" s="31">
        <f>IF($D126="","",SUM(K126:R126))</f>
        <v/>
      </c>
      <c r="T126" s="31">
        <f>IF($D126="","",$J126+$S126)</f>
        <v/>
      </c>
      <c r="U126" s="32">
        <f>IF($D126="","",IF($F126=0,"未维护标准",IF(ROUND($T126-$F126,2)=0,"√","差异")))</f>
        <v/>
      </c>
      <c r="V126" s="33" t="n"/>
      <c r="W126" s="34" t="n"/>
    </row>
    <row r="127" ht="18" customHeight="1">
      <c r="B127" s="21">
        <f>IF(INDEX('01人员工时'!$D$7:$D$126,INT((ROW()-7)/4)+1)&amp;""="","",INDEX('01人员工时'!$B$7:$B$126,INT((ROW()-7)/4)+1))</f>
        <v/>
      </c>
      <c r="C127" s="22">
        <f>IF($D127="","",IF(MOD(ROW()-7,4)=0,INDEX('01人员工时'!$C$7:$C$126,INT((ROW()-7)/4)+1),""))</f>
        <v/>
      </c>
      <c r="D127" s="22">
        <f>IF(INDEX('01人员工时'!$D$7:$D$126,INT((ROW()-7)/4)+1)&amp;""="","",INDEX('01人员工时'!$D$7:$D$126,INT((ROW()-7)/4)+1))</f>
        <v/>
      </c>
      <c r="E127" s="22">
        <f>IF($D127="","",INDEX('参数设置'!$K$6:$K$9,MOD(ROW()-7,4)+1))</f>
        <v/>
      </c>
      <c r="F127" s="23">
        <f>IF($D127="","",IF($V127&lt;&gt;"",$V127,IFERROR(INDEX('参数设置'!$D$17:$G$26,MATCH($D127,'参数设置'!$C$17:$C$26,0),MATCH($E127,'参数设置'!$D$16:$G$16,0)),0)))</f>
        <v/>
      </c>
      <c r="G127" s="24">
        <f>IF($D127="","",INDEX('01人员工时'!$E$7:$E$126,INT((ROW()-7)/4)+1))</f>
        <v/>
      </c>
      <c r="H127" s="24">
        <f>IF($D127="","",INDEX('01人员工时'!$O$7:$O$126,INT((ROW()-7)/4)+1))</f>
        <v/>
      </c>
      <c r="I127" s="20">
        <f>IF(OR($D127="",$G127=0),"",$H127/$G127)</f>
        <v/>
      </c>
      <c r="J127" s="12">
        <f>IF($D127="","",ROUND($F127,2)-$S127)</f>
        <v/>
      </c>
      <c r="K127" s="12">
        <f>IF(OR($D127="",$G127=0),"",ROUND($F127*INDEX('01人员工时'!G$7:G$126,INT((ROW()-7)/4)+1)/$G127,2))</f>
        <v/>
      </c>
      <c r="L127" s="12">
        <f>IF(OR($D127="",$G127=0),"",ROUND($F127*INDEX('01人员工时'!H$7:H$126,INT((ROW()-7)/4)+1)/$G127,2))</f>
        <v/>
      </c>
      <c r="M127" s="12">
        <f>IF(OR($D127="",$G127=0),"",ROUND($F127*INDEX('01人员工时'!I$7:I$126,INT((ROW()-7)/4)+1)/$G127,2))</f>
        <v/>
      </c>
      <c r="N127" s="12">
        <f>IF(OR($D127="",$G127=0),"",ROUND($F127*INDEX('01人员工时'!J$7:J$126,INT((ROW()-7)/4)+1)/$G127,2))</f>
        <v/>
      </c>
      <c r="O127" s="12">
        <f>IF(OR($D127="",$G127=0),"",ROUND($F127*INDEX('01人员工时'!K$7:K$126,INT((ROW()-7)/4)+1)/$G127,2))</f>
        <v/>
      </c>
      <c r="P127" s="12">
        <f>IF(OR($D127="",$G127=0),"",ROUND($F127*INDEX('01人员工时'!L$7:L$126,INT((ROW()-7)/4)+1)/$G127,2))</f>
        <v/>
      </c>
      <c r="Q127" s="12">
        <f>IF(OR($D127="",$G127=0),"",ROUND($F127*INDEX('01人员工时'!M$7:M$126,INT((ROW()-7)/4)+1)/$G127,2))</f>
        <v/>
      </c>
      <c r="R127" s="12">
        <f>IF(OR($D127="",$G127=0),"",ROUND($F127*INDEX('01人员工时'!N$7:N$126,INT((ROW()-7)/4)+1)/$G127,2))</f>
        <v/>
      </c>
      <c r="S127" s="12">
        <f>IF($D127="","",SUM(K127:R127))</f>
        <v/>
      </c>
      <c r="T127" s="12">
        <f>IF($D127="","",$J127+$S127)</f>
        <v/>
      </c>
      <c r="U127" s="25">
        <f>IF($D127="","",IF($F127=0,"未维护标准",IF(ROUND($T127-$F127,2)=0,"√","差异")))</f>
        <v/>
      </c>
      <c r="V127" s="11" t="n"/>
      <c r="W127" s="9" t="n"/>
    </row>
    <row r="128" ht="18" customHeight="1">
      <c r="B128" s="21">
        <f>IF(INDEX('01人员工时'!$D$7:$D$126,INT((ROW()-7)/4)+1)&amp;""="","",INDEX('01人员工时'!$B$7:$B$126,INT((ROW()-7)/4)+1))</f>
        <v/>
      </c>
      <c r="C128" s="22">
        <f>IF($D128="","",IF(MOD(ROW()-7,4)=0,INDEX('01人员工时'!$C$7:$C$126,INT((ROW()-7)/4)+1),""))</f>
        <v/>
      </c>
      <c r="D128" s="22">
        <f>IF(INDEX('01人员工时'!$D$7:$D$126,INT((ROW()-7)/4)+1)&amp;""="","",INDEX('01人员工时'!$D$7:$D$126,INT((ROW()-7)/4)+1))</f>
        <v/>
      </c>
      <c r="E128" s="22">
        <f>IF($D128="","",INDEX('参数设置'!$K$6:$K$9,MOD(ROW()-7,4)+1))</f>
        <v/>
      </c>
      <c r="F128" s="23">
        <f>IF($D128="","",IF($V128&lt;&gt;"",$V128,IFERROR(INDEX('参数设置'!$D$17:$G$26,MATCH($D128,'参数设置'!$C$17:$C$26,0),MATCH($E128,'参数设置'!$D$16:$G$16,0)),0)))</f>
        <v/>
      </c>
      <c r="G128" s="24">
        <f>IF($D128="","",INDEX('01人员工时'!$E$7:$E$126,INT((ROW()-7)/4)+1))</f>
        <v/>
      </c>
      <c r="H128" s="24">
        <f>IF($D128="","",INDEX('01人员工时'!$O$7:$O$126,INT((ROW()-7)/4)+1))</f>
        <v/>
      </c>
      <c r="I128" s="20">
        <f>IF(OR($D128="",$G128=0),"",$H128/$G128)</f>
        <v/>
      </c>
      <c r="J128" s="12">
        <f>IF($D128="","",ROUND($F128,2)-$S128)</f>
        <v/>
      </c>
      <c r="K128" s="12">
        <f>IF(OR($D128="",$G128=0),"",ROUND($F128*INDEX('01人员工时'!G$7:G$126,INT((ROW()-7)/4)+1)/$G128,2))</f>
        <v/>
      </c>
      <c r="L128" s="12">
        <f>IF(OR($D128="",$G128=0),"",ROUND($F128*INDEX('01人员工时'!H$7:H$126,INT((ROW()-7)/4)+1)/$G128,2))</f>
        <v/>
      </c>
      <c r="M128" s="12">
        <f>IF(OR($D128="",$G128=0),"",ROUND($F128*INDEX('01人员工时'!I$7:I$126,INT((ROW()-7)/4)+1)/$G128,2))</f>
        <v/>
      </c>
      <c r="N128" s="12">
        <f>IF(OR($D128="",$G128=0),"",ROUND($F128*INDEX('01人员工时'!J$7:J$126,INT((ROW()-7)/4)+1)/$G128,2))</f>
        <v/>
      </c>
      <c r="O128" s="12">
        <f>IF(OR($D128="",$G128=0),"",ROUND($F128*INDEX('01人员工时'!K$7:K$126,INT((ROW()-7)/4)+1)/$G128,2))</f>
        <v/>
      </c>
      <c r="P128" s="12">
        <f>IF(OR($D128="",$G128=0),"",ROUND($F128*INDEX('01人员工时'!L$7:L$126,INT((ROW()-7)/4)+1)/$G128,2))</f>
        <v/>
      </c>
      <c r="Q128" s="12">
        <f>IF(OR($D128="",$G128=0),"",ROUND($F128*INDEX('01人员工时'!M$7:M$126,INT((ROW()-7)/4)+1)/$G128,2))</f>
        <v/>
      </c>
      <c r="R128" s="12">
        <f>IF(OR($D128="",$G128=0),"",ROUND($F128*INDEX('01人员工时'!N$7:N$126,INT((ROW()-7)/4)+1)/$G128,2))</f>
        <v/>
      </c>
      <c r="S128" s="12">
        <f>IF($D128="","",SUM(K128:R128))</f>
        <v/>
      </c>
      <c r="T128" s="12">
        <f>IF($D128="","",$J128+$S128)</f>
        <v/>
      </c>
      <c r="U128" s="25">
        <f>IF($D128="","",IF($F128=0,"未维护标准",IF(ROUND($T128-$F128,2)=0,"√","差异")))</f>
        <v/>
      </c>
      <c r="V128" s="11" t="n"/>
      <c r="W128" s="9" t="n"/>
    </row>
    <row r="129" ht="18" customHeight="1">
      <c r="B129" s="21">
        <f>IF(INDEX('01人员工时'!$D$7:$D$126,INT((ROW()-7)/4)+1)&amp;""="","",INDEX('01人员工时'!$B$7:$B$126,INT((ROW()-7)/4)+1))</f>
        <v/>
      </c>
      <c r="C129" s="22">
        <f>IF($D129="","",IF(MOD(ROW()-7,4)=0,INDEX('01人员工时'!$C$7:$C$126,INT((ROW()-7)/4)+1),""))</f>
        <v/>
      </c>
      <c r="D129" s="22">
        <f>IF(INDEX('01人员工时'!$D$7:$D$126,INT((ROW()-7)/4)+1)&amp;""="","",INDEX('01人员工时'!$D$7:$D$126,INT((ROW()-7)/4)+1))</f>
        <v/>
      </c>
      <c r="E129" s="22">
        <f>IF($D129="","",INDEX('参数设置'!$K$6:$K$9,MOD(ROW()-7,4)+1))</f>
        <v/>
      </c>
      <c r="F129" s="23">
        <f>IF($D129="","",IF($V129&lt;&gt;"",$V129,IFERROR(INDEX('参数设置'!$D$17:$G$26,MATCH($D129,'参数设置'!$C$17:$C$26,0),MATCH($E129,'参数设置'!$D$16:$G$16,0)),0)))</f>
        <v/>
      </c>
      <c r="G129" s="24">
        <f>IF($D129="","",INDEX('01人员工时'!$E$7:$E$126,INT((ROW()-7)/4)+1))</f>
        <v/>
      </c>
      <c r="H129" s="24">
        <f>IF($D129="","",INDEX('01人员工时'!$O$7:$O$126,INT((ROW()-7)/4)+1))</f>
        <v/>
      </c>
      <c r="I129" s="20">
        <f>IF(OR($D129="",$G129=0),"",$H129/$G129)</f>
        <v/>
      </c>
      <c r="J129" s="12">
        <f>IF($D129="","",ROUND($F129,2)-$S129)</f>
        <v/>
      </c>
      <c r="K129" s="12">
        <f>IF(OR($D129="",$G129=0),"",ROUND($F129*INDEX('01人员工时'!G$7:G$126,INT((ROW()-7)/4)+1)/$G129,2))</f>
        <v/>
      </c>
      <c r="L129" s="12">
        <f>IF(OR($D129="",$G129=0),"",ROUND($F129*INDEX('01人员工时'!H$7:H$126,INT((ROW()-7)/4)+1)/$G129,2))</f>
        <v/>
      </c>
      <c r="M129" s="12">
        <f>IF(OR($D129="",$G129=0),"",ROUND($F129*INDEX('01人员工时'!I$7:I$126,INT((ROW()-7)/4)+1)/$G129,2))</f>
        <v/>
      </c>
      <c r="N129" s="12">
        <f>IF(OR($D129="",$G129=0),"",ROUND($F129*INDEX('01人员工时'!J$7:J$126,INT((ROW()-7)/4)+1)/$G129,2))</f>
        <v/>
      </c>
      <c r="O129" s="12">
        <f>IF(OR($D129="",$G129=0),"",ROUND($F129*INDEX('01人员工时'!K$7:K$126,INT((ROW()-7)/4)+1)/$G129,2))</f>
        <v/>
      </c>
      <c r="P129" s="12">
        <f>IF(OR($D129="",$G129=0),"",ROUND($F129*INDEX('01人员工时'!L$7:L$126,INT((ROW()-7)/4)+1)/$G129,2))</f>
        <v/>
      </c>
      <c r="Q129" s="12">
        <f>IF(OR($D129="",$G129=0),"",ROUND($F129*INDEX('01人员工时'!M$7:M$126,INT((ROW()-7)/4)+1)/$G129,2))</f>
        <v/>
      </c>
      <c r="R129" s="12">
        <f>IF(OR($D129="",$G129=0),"",ROUND($F129*INDEX('01人员工时'!N$7:N$126,INT((ROW()-7)/4)+1)/$G129,2))</f>
        <v/>
      </c>
      <c r="S129" s="12">
        <f>IF($D129="","",SUM(K129:R129))</f>
        <v/>
      </c>
      <c r="T129" s="12">
        <f>IF($D129="","",$J129+$S129)</f>
        <v/>
      </c>
      <c r="U129" s="25">
        <f>IF($D129="","",IF($F129=0,"未维护标准",IF(ROUND($T129-$F129,2)=0,"√","差异")))</f>
        <v/>
      </c>
      <c r="V129" s="11" t="n"/>
      <c r="W129" s="9" t="n"/>
    </row>
    <row r="130" ht="18" customHeight="1">
      <c r="B130" s="26">
        <f>IF(INDEX('01人员工时'!$D$7:$D$126,INT((ROW()-7)/4)+1)&amp;""="","",INDEX('01人员工时'!$B$7:$B$126,INT((ROW()-7)/4)+1))</f>
        <v/>
      </c>
      <c r="C130" s="27">
        <f>IF($D130="","",IF(MOD(ROW()-7,4)=0,INDEX('01人员工时'!$C$7:$C$126,INT((ROW()-7)/4)+1),""))</f>
        <v/>
      </c>
      <c r="D130" s="27">
        <f>IF(INDEX('01人员工时'!$D$7:$D$126,INT((ROW()-7)/4)+1)&amp;""="","",INDEX('01人员工时'!$D$7:$D$126,INT((ROW()-7)/4)+1))</f>
        <v/>
      </c>
      <c r="E130" s="27">
        <f>IF($D130="","",INDEX('参数设置'!$K$6:$K$9,MOD(ROW()-7,4)+1))</f>
        <v/>
      </c>
      <c r="F130" s="28">
        <f>IF($D130="","",IF($V130&lt;&gt;"",$V130,IFERROR(INDEX('参数设置'!$D$17:$G$26,MATCH($D130,'参数设置'!$C$17:$C$26,0),MATCH($E130,'参数设置'!$D$16:$G$16,0)),0)))</f>
        <v/>
      </c>
      <c r="G130" s="29">
        <f>IF($D130="","",INDEX('01人员工时'!$E$7:$E$126,INT((ROW()-7)/4)+1))</f>
        <v/>
      </c>
      <c r="H130" s="29">
        <f>IF($D130="","",INDEX('01人员工时'!$O$7:$O$126,INT((ROW()-7)/4)+1))</f>
        <v/>
      </c>
      <c r="I130" s="30">
        <f>IF(OR($D130="",$G130=0),"",$H130/$G130)</f>
        <v/>
      </c>
      <c r="J130" s="31">
        <f>IF($D130="","",ROUND($F130,2)-$S130)</f>
        <v/>
      </c>
      <c r="K130" s="31">
        <f>IF(OR($D130="",$G130=0),"",ROUND($F130*INDEX('01人员工时'!G$7:G$126,INT((ROW()-7)/4)+1)/$G130,2))</f>
        <v/>
      </c>
      <c r="L130" s="31">
        <f>IF(OR($D130="",$G130=0),"",ROUND($F130*INDEX('01人员工时'!H$7:H$126,INT((ROW()-7)/4)+1)/$G130,2))</f>
        <v/>
      </c>
      <c r="M130" s="31">
        <f>IF(OR($D130="",$G130=0),"",ROUND($F130*INDEX('01人员工时'!I$7:I$126,INT((ROW()-7)/4)+1)/$G130,2))</f>
        <v/>
      </c>
      <c r="N130" s="31">
        <f>IF(OR($D130="",$G130=0),"",ROUND($F130*INDEX('01人员工时'!J$7:J$126,INT((ROW()-7)/4)+1)/$G130,2))</f>
        <v/>
      </c>
      <c r="O130" s="31">
        <f>IF(OR($D130="",$G130=0),"",ROUND($F130*INDEX('01人员工时'!K$7:K$126,INT((ROW()-7)/4)+1)/$G130,2))</f>
        <v/>
      </c>
      <c r="P130" s="31">
        <f>IF(OR($D130="",$G130=0),"",ROUND($F130*INDEX('01人员工时'!L$7:L$126,INT((ROW()-7)/4)+1)/$G130,2))</f>
        <v/>
      </c>
      <c r="Q130" s="31">
        <f>IF(OR($D130="",$G130=0),"",ROUND($F130*INDEX('01人员工时'!M$7:M$126,INT((ROW()-7)/4)+1)/$G130,2))</f>
        <v/>
      </c>
      <c r="R130" s="31">
        <f>IF(OR($D130="",$G130=0),"",ROUND($F130*INDEX('01人员工时'!N$7:N$126,INT((ROW()-7)/4)+1)/$G130,2))</f>
        <v/>
      </c>
      <c r="S130" s="31">
        <f>IF($D130="","",SUM(K130:R130))</f>
        <v/>
      </c>
      <c r="T130" s="31">
        <f>IF($D130="","",$J130+$S130)</f>
        <v/>
      </c>
      <c r="U130" s="32">
        <f>IF($D130="","",IF($F130=0,"未维护标准",IF(ROUND($T130-$F130,2)=0,"√","差异")))</f>
        <v/>
      </c>
      <c r="V130" s="33" t="n"/>
      <c r="W130" s="34" t="n"/>
    </row>
    <row r="131" ht="18" customHeight="1">
      <c r="B131" s="21">
        <f>IF(INDEX('01人员工时'!$D$7:$D$126,INT((ROW()-7)/4)+1)&amp;""="","",INDEX('01人员工时'!$B$7:$B$126,INT((ROW()-7)/4)+1))</f>
        <v/>
      </c>
      <c r="C131" s="22">
        <f>IF($D131="","",IF(MOD(ROW()-7,4)=0,INDEX('01人员工时'!$C$7:$C$126,INT((ROW()-7)/4)+1),""))</f>
        <v/>
      </c>
      <c r="D131" s="22">
        <f>IF(INDEX('01人员工时'!$D$7:$D$126,INT((ROW()-7)/4)+1)&amp;""="","",INDEX('01人员工时'!$D$7:$D$126,INT((ROW()-7)/4)+1))</f>
        <v/>
      </c>
      <c r="E131" s="22">
        <f>IF($D131="","",INDEX('参数设置'!$K$6:$K$9,MOD(ROW()-7,4)+1))</f>
        <v/>
      </c>
      <c r="F131" s="23">
        <f>IF($D131="","",IF($V131&lt;&gt;"",$V131,IFERROR(INDEX('参数设置'!$D$17:$G$26,MATCH($D131,'参数设置'!$C$17:$C$26,0),MATCH($E131,'参数设置'!$D$16:$G$16,0)),0)))</f>
        <v/>
      </c>
      <c r="G131" s="24">
        <f>IF($D131="","",INDEX('01人员工时'!$E$7:$E$126,INT((ROW()-7)/4)+1))</f>
        <v/>
      </c>
      <c r="H131" s="24">
        <f>IF($D131="","",INDEX('01人员工时'!$O$7:$O$126,INT((ROW()-7)/4)+1))</f>
        <v/>
      </c>
      <c r="I131" s="20">
        <f>IF(OR($D131="",$G131=0),"",$H131/$G131)</f>
        <v/>
      </c>
      <c r="J131" s="12">
        <f>IF($D131="","",ROUND($F131,2)-$S131)</f>
        <v/>
      </c>
      <c r="K131" s="12">
        <f>IF(OR($D131="",$G131=0),"",ROUND($F131*INDEX('01人员工时'!G$7:G$126,INT((ROW()-7)/4)+1)/$G131,2))</f>
        <v/>
      </c>
      <c r="L131" s="12">
        <f>IF(OR($D131="",$G131=0),"",ROUND($F131*INDEX('01人员工时'!H$7:H$126,INT((ROW()-7)/4)+1)/$G131,2))</f>
        <v/>
      </c>
      <c r="M131" s="12">
        <f>IF(OR($D131="",$G131=0),"",ROUND($F131*INDEX('01人员工时'!I$7:I$126,INT((ROW()-7)/4)+1)/$G131,2))</f>
        <v/>
      </c>
      <c r="N131" s="12">
        <f>IF(OR($D131="",$G131=0),"",ROUND($F131*INDEX('01人员工时'!J$7:J$126,INT((ROW()-7)/4)+1)/$G131,2))</f>
        <v/>
      </c>
      <c r="O131" s="12">
        <f>IF(OR($D131="",$G131=0),"",ROUND($F131*INDEX('01人员工时'!K$7:K$126,INT((ROW()-7)/4)+1)/$G131,2))</f>
        <v/>
      </c>
      <c r="P131" s="12">
        <f>IF(OR($D131="",$G131=0),"",ROUND($F131*INDEX('01人员工时'!L$7:L$126,INT((ROW()-7)/4)+1)/$G131,2))</f>
        <v/>
      </c>
      <c r="Q131" s="12">
        <f>IF(OR($D131="",$G131=0),"",ROUND($F131*INDEX('01人员工时'!M$7:M$126,INT((ROW()-7)/4)+1)/$G131,2))</f>
        <v/>
      </c>
      <c r="R131" s="12">
        <f>IF(OR($D131="",$G131=0),"",ROUND($F131*INDEX('01人员工时'!N$7:N$126,INT((ROW()-7)/4)+1)/$G131,2))</f>
        <v/>
      </c>
      <c r="S131" s="12">
        <f>IF($D131="","",SUM(K131:R131))</f>
        <v/>
      </c>
      <c r="T131" s="12">
        <f>IF($D131="","",$J131+$S131)</f>
        <v/>
      </c>
      <c r="U131" s="25">
        <f>IF($D131="","",IF($F131=0,"未维护标准",IF(ROUND($T131-$F131,2)=0,"√","差异")))</f>
        <v/>
      </c>
      <c r="V131" s="11" t="n"/>
      <c r="W131" s="9" t="n"/>
    </row>
    <row r="132" ht="18" customHeight="1">
      <c r="B132" s="21">
        <f>IF(INDEX('01人员工时'!$D$7:$D$126,INT((ROW()-7)/4)+1)&amp;""="","",INDEX('01人员工时'!$B$7:$B$126,INT((ROW()-7)/4)+1))</f>
        <v/>
      </c>
      <c r="C132" s="22">
        <f>IF($D132="","",IF(MOD(ROW()-7,4)=0,INDEX('01人员工时'!$C$7:$C$126,INT((ROW()-7)/4)+1),""))</f>
        <v/>
      </c>
      <c r="D132" s="22">
        <f>IF(INDEX('01人员工时'!$D$7:$D$126,INT((ROW()-7)/4)+1)&amp;""="","",INDEX('01人员工时'!$D$7:$D$126,INT((ROW()-7)/4)+1))</f>
        <v/>
      </c>
      <c r="E132" s="22">
        <f>IF($D132="","",INDEX('参数设置'!$K$6:$K$9,MOD(ROW()-7,4)+1))</f>
        <v/>
      </c>
      <c r="F132" s="23">
        <f>IF($D132="","",IF($V132&lt;&gt;"",$V132,IFERROR(INDEX('参数设置'!$D$17:$G$26,MATCH($D132,'参数设置'!$C$17:$C$26,0),MATCH($E132,'参数设置'!$D$16:$G$16,0)),0)))</f>
        <v/>
      </c>
      <c r="G132" s="24">
        <f>IF($D132="","",INDEX('01人员工时'!$E$7:$E$126,INT((ROW()-7)/4)+1))</f>
        <v/>
      </c>
      <c r="H132" s="24">
        <f>IF($D132="","",INDEX('01人员工时'!$O$7:$O$126,INT((ROW()-7)/4)+1))</f>
        <v/>
      </c>
      <c r="I132" s="20">
        <f>IF(OR($D132="",$G132=0),"",$H132/$G132)</f>
        <v/>
      </c>
      <c r="J132" s="12">
        <f>IF($D132="","",ROUND($F132,2)-$S132)</f>
        <v/>
      </c>
      <c r="K132" s="12">
        <f>IF(OR($D132="",$G132=0),"",ROUND($F132*INDEX('01人员工时'!G$7:G$126,INT((ROW()-7)/4)+1)/$G132,2))</f>
        <v/>
      </c>
      <c r="L132" s="12">
        <f>IF(OR($D132="",$G132=0),"",ROUND($F132*INDEX('01人员工时'!H$7:H$126,INT((ROW()-7)/4)+1)/$G132,2))</f>
        <v/>
      </c>
      <c r="M132" s="12">
        <f>IF(OR($D132="",$G132=0),"",ROUND($F132*INDEX('01人员工时'!I$7:I$126,INT((ROW()-7)/4)+1)/$G132,2))</f>
        <v/>
      </c>
      <c r="N132" s="12">
        <f>IF(OR($D132="",$G132=0),"",ROUND($F132*INDEX('01人员工时'!J$7:J$126,INT((ROW()-7)/4)+1)/$G132,2))</f>
        <v/>
      </c>
      <c r="O132" s="12">
        <f>IF(OR($D132="",$G132=0),"",ROUND($F132*INDEX('01人员工时'!K$7:K$126,INT((ROW()-7)/4)+1)/$G132,2))</f>
        <v/>
      </c>
      <c r="P132" s="12">
        <f>IF(OR($D132="",$G132=0),"",ROUND($F132*INDEX('01人员工时'!L$7:L$126,INT((ROW()-7)/4)+1)/$G132,2))</f>
        <v/>
      </c>
      <c r="Q132" s="12">
        <f>IF(OR($D132="",$G132=0),"",ROUND($F132*INDEX('01人员工时'!M$7:M$126,INT((ROW()-7)/4)+1)/$G132,2))</f>
        <v/>
      </c>
      <c r="R132" s="12">
        <f>IF(OR($D132="",$G132=0),"",ROUND($F132*INDEX('01人员工时'!N$7:N$126,INT((ROW()-7)/4)+1)/$G132,2))</f>
        <v/>
      </c>
      <c r="S132" s="12">
        <f>IF($D132="","",SUM(K132:R132))</f>
        <v/>
      </c>
      <c r="T132" s="12">
        <f>IF($D132="","",$J132+$S132)</f>
        <v/>
      </c>
      <c r="U132" s="25">
        <f>IF($D132="","",IF($F132=0,"未维护标准",IF(ROUND($T132-$F132,2)=0,"√","差异")))</f>
        <v/>
      </c>
      <c r="V132" s="11" t="n"/>
      <c r="W132" s="9" t="n"/>
    </row>
    <row r="133" ht="18" customHeight="1">
      <c r="B133" s="21">
        <f>IF(INDEX('01人员工时'!$D$7:$D$126,INT((ROW()-7)/4)+1)&amp;""="","",INDEX('01人员工时'!$B$7:$B$126,INT((ROW()-7)/4)+1))</f>
        <v/>
      </c>
      <c r="C133" s="22">
        <f>IF($D133="","",IF(MOD(ROW()-7,4)=0,INDEX('01人员工时'!$C$7:$C$126,INT((ROW()-7)/4)+1),""))</f>
        <v/>
      </c>
      <c r="D133" s="22">
        <f>IF(INDEX('01人员工时'!$D$7:$D$126,INT((ROW()-7)/4)+1)&amp;""="","",INDEX('01人员工时'!$D$7:$D$126,INT((ROW()-7)/4)+1))</f>
        <v/>
      </c>
      <c r="E133" s="22">
        <f>IF($D133="","",INDEX('参数设置'!$K$6:$K$9,MOD(ROW()-7,4)+1))</f>
        <v/>
      </c>
      <c r="F133" s="23">
        <f>IF($D133="","",IF($V133&lt;&gt;"",$V133,IFERROR(INDEX('参数设置'!$D$17:$G$26,MATCH($D133,'参数设置'!$C$17:$C$26,0),MATCH($E133,'参数设置'!$D$16:$G$16,0)),0)))</f>
        <v/>
      </c>
      <c r="G133" s="24">
        <f>IF($D133="","",INDEX('01人员工时'!$E$7:$E$126,INT((ROW()-7)/4)+1))</f>
        <v/>
      </c>
      <c r="H133" s="24">
        <f>IF($D133="","",INDEX('01人员工时'!$O$7:$O$126,INT((ROW()-7)/4)+1))</f>
        <v/>
      </c>
      <c r="I133" s="20">
        <f>IF(OR($D133="",$G133=0),"",$H133/$G133)</f>
        <v/>
      </c>
      <c r="J133" s="12">
        <f>IF($D133="","",ROUND($F133,2)-$S133)</f>
        <v/>
      </c>
      <c r="K133" s="12">
        <f>IF(OR($D133="",$G133=0),"",ROUND($F133*INDEX('01人员工时'!G$7:G$126,INT((ROW()-7)/4)+1)/$G133,2))</f>
        <v/>
      </c>
      <c r="L133" s="12">
        <f>IF(OR($D133="",$G133=0),"",ROUND($F133*INDEX('01人员工时'!H$7:H$126,INT((ROW()-7)/4)+1)/$G133,2))</f>
        <v/>
      </c>
      <c r="M133" s="12">
        <f>IF(OR($D133="",$G133=0),"",ROUND($F133*INDEX('01人员工时'!I$7:I$126,INT((ROW()-7)/4)+1)/$G133,2))</f>
        <v/>
      </c>
      <c r="N133" s="12">
        <f>IF(OR($D133="",$G133=0),"",ROUND($F133*INDEX('01人员工时'!J$7:J$126,INT((ROW()-7)/4)+1)/$G133,2))</f>
        <v/>
      </c>
      <c r="O133" s="12">
        <f>IF(OR($D133="",$G133=0),"",ROUND($F133*INDEX('01人员工时'!K$7:K$126,INT((ROW()-7)/4)+1)/$G133,2))</f>
        <v/>
      </c>
      <c r="P133" s="12">
        <f>IF(OR($D133="",$G133=0),"",ROUND($F133*INDEX('01人员工时'!L$7:L$126,INT((ROW()-7)/4)+1)/$G133,2))</f>
        <v/>
      </c>
      <c r="Q133" s="12">
        <f>IF(OR($D133="",$G133=0),"",ROUND($F133*INDEX('01人员工时'!M$7:M$126,INT((ROW()-7)/4)+1)/$G133,2))</f>
        <v/>
      </c>
      <c r="R133" s="12">
        <f>IF(OR($D133="",$G133=0),"",ROUND($F133*INDEX('01人员工时'!N$7:N$126,INT((ROW()-7)/4)+1)/$G133,2))</f>
        <v/>
      </c>
      <c r="S133" s="12">
        <f>IF($D133="","",SUM(K133:R133))</f>
        <v/>
      </c>
      <c r="T133" s="12">
        <f>IF($D133="","",$J133+$S133)</f>
        <v/>
      </c>
      <c r="U133" s="25">
        <f>IF($D133="","",IF($F133=0,"未维护标准",IF(ROUND($T133-$F133,2)=0,"√","差异")))</f>
        <v/>
      </c>
      <c r="V133" s="11" t="n"/>
      <c r="W133" s="9" t="n"/>
    </row>
    <row r="134" ht="18" customHeight="1">
      <c r="B134" s="26">
        <f>IF(INDEX('01人员工时'!$D$7:$D$126,INT((ROW()-7)/4)+1)&amp;""="","",INDEX('01人员工时'!$B$7:$B$126,INT((ROW()-7)/4)+1))</f>
        <v/>
      </c>
      <c r="C134" s="27">
        <f>IF($D134="","",IF(MOD(ROW()-7,4)=0,INDEX('01人员工时'!$C$7:$C$126,INT((ROW()-7)/4)+1),""))</f>
        <v/>
      </c>
      <c r="D134" s="27">
        <f>IF(INDEX('01人员工时'!$D$7:$D$126,INT((ROW()-7)/4)+1)&amp;""="","",INDEX('01人员工时'!$D$7:$D$126,INT((ROW()-7)/4)+1))</f>
        <v/>
      </c>
      <c r="E134" s="27">
        <f>IF($D134="","",INDEX('参数设置'!$K$6:$K$9,MOD(ROW()-7,4)+1))</f>
        <v/>
      </c>
      <c r="F134" s="28">
        <f>IF($D134="","",IF($V134&lt;&gt;"",$V134,IFERROR(INDEX('参数设置'!$D$17:$G$26,MATCH($D134,'参数设置'!$C$17:$C$26,0),MATCH($E134,'参数设置'!$D$16:$G$16,0)),0)))</f>
        <v/>
      </c>
      <c r="G134" s="29">
        <f>IF($D134="","",INDEX('01人员工时'!$E$7:$E$126,INT((ROW()-7)/4)+1))</f>
        <v/>
      </c>
      <c r="H134" s="29">
        <f>IF($D134="","",INDEX('01人员工时'!$O$7:$O$126,INT((ROW()-7)/4)+1))</f>
        <v/>
      </c>
      <c r="I134" s="30">
        <f>IF(OR($D134="",$G134=0),"",$H134/$G134)</f>
        <v/>
      </c>
      <c r="J134" s="31">
        <f>IF($D134="","",ROUND($F134,2)-$S134)</f>
        <v/>
      </c>
      <c r="K134" s="31">
        <f>IF(OR($D134="",$G134=0),"",ROUND($F134*INDEX('01人员工时'!G$7:G$126,INT((ROW()-7)/4)+1)/$G134,2))</f>
        <v/>
      </c>
      <c r="L134" s="31">
        <f>IF(OR($D134="",$G134=0),"",ROUND($F134*INDEX('01人员工时'!H$7:H$126,INT((ROW()-7)/4)+1)/$G134,2))</f>
        <v/>
      </c>
      <c r="M134" s="31">
        <f>IF(OR($D134="",$G134=0),"",ROUND($F134*INDEX('01人员工时'!I$7:I$126,INT((ROW()-7)/4)+1)/$G134,2))</f>
        <v/>
      </c>
      <c r="N134" s="31">
        <f>IF(OR($D134="",$G134=0),"",ROUND($F134*INDEX('01人员工时'!J$7:J$126,INT((ROW()-7)/4)+1)/$G134,2))</f>
        <v/>
      </c>
      <c r="O134" s="31">
        <f>IF(OR($D134="",$G134=0),"",ROUND($F134*INDEX('01人员工时'!K$7:K$126,INT((ROW()-7)/4)+1)/$G134,2))</f>
        <v/>
      </c>
      <c r="P134" s="31">
        <f>IF(OR($D134="",$G134=0),"",ROUND($F134*INDEX('01人员工时'!L$7:L$126,INT((ROW()-7)/4)+1)/$G134,2))</f>
        <v/>
      </c>
      <c r="Q134" s="31">
        <f>IF(OR($D134="",$G134=0),"",ROUND($F134*INDEX('01人员工时'!M$7:M$126,INT((ROW()-7)/4)+1)/$G134,2))</f>
        <v/>
      </c>
      <c r="R134" s="31">
        <f>IF(OR($D134="",$G134=0),"",ROUND($F134*INDEX('01人员工时'!N$7:N$126,INT((ROW()-7)/4)+1)/$G134,2))</f>
        <v/>
      </c>
      <c r="S134" s="31">
        <f>IF($D134="","",SUM(K134:R134))</f>
        <v/>
      </c>
      <c r="T134" s="31">
        <f>IF($D134="","",$J134+$S134)</f>
        <v/>
      </c>
      <c r="U134" s="32">
        <f>IF($D134="","",IF($F134=0,"未维护标准",IF(ROUND($T134-$F134,2)=0,"√","差异")))</f>
        <v/>
      </c>
      <c r="V134" s="33" t="n"/>
      <c r="W134" s="34" t="n"/>
    </row>
    <row r="135" ht="18" customHeight="1">
      <c r="B135" s="21">
        <f>IF(INDEX('01人员工时'!$D$7:$D$126,INT((ROW()-7)/4)+1)&amp;""="","",INDEX('01人员工时'!$B$7:$B$126,INT((ROW()-7)/4)+1))</f>
        <v/>
      </c>
      <c r="C135" s="22">
        <f>IF($D135="","",IF(MOD(ROW()-7,4)=0,INDEX('01人员工时'!$C$7:$C$126,INT((ROW()-7)/4)+1),""))</f>
        <v/>
      </c>
      <c r="D135" s="22">
        <f>IF(INDEX('01人员工时'!$D$7:$D$126,INT((ROW()-7)/4)+1)&amp;""="","",INDEX('01人员工时'!$D$7:$D$126,INT((ROW()-7)/4)+1))</f>
        <v/>
      </c>
      <c r="E135" s="22">
        <f>IF($D135="","",INDEX('参数设置'!$K$6:$K$9,MOD(ROW()-7,4)+1))</f>
        <v/>
      </c>
      <c r="F135" s="23">
        <f>IF($D135="","",IF($V135&lt;&gt;"",$V135,IFERROR(INDEX('参数设置'!$D$17:$G$26,MATCH($D135,'参数设置'!$C$17:$C$26,0),MATCH($E135,'参数设置'!$D$16:$G$16,0)),0)))</f>
        <v/>
      </c>
      <c r="G135" s="24">
        <f>IF($D135="","",INDEX('01人员工时'!$E$7:$E$126,INT((ROW()-7)/4)+1))</f>
        <v/>
      </c>
      <c r="H135" s="24">
        <f>IF($D135="","",INDEX('01人员工时'!$O$7:$O$126,INT((ROW()-7)/4)+1))</f>
        <v/>
      </c>
      <c r="I135" s="20">
        <f>IF(OR($D135="",$G135=0),"",$H135/$G135)</f>
        <v/>
      </c>
      <c r="J135" s="12">
        <f>IF($D135="","",ROUND($F135,2)-$S135)</f>
        <v/>
      </c>
      <c r="K135" s="12">
        <f>IF(OR($D135="",$G135=0),"",ROUND($F135*INDEX('01人员工时'!G$7:G$126,INT((ROW()-7)/4)+1)/$G135,2))</f>
        <v/>
      </c>
      <c r="L135" s="12">
        <f>IF(OR($D135="",$G135=0),"",ROUND($F135*INDEX('01人员工时'!H$7:H$126,INT((ROW()-7)/4)+1)/$G135,2))</f>
        <v/>
      </c>
      <c r="M135" s="12">
        <f>IF(OR($D135="",$G135=0),"",ROUND($F135*INDEX('01人员工时'!I$7:I$126,INT((ROW()-7)/4)+1)/$G135,2))</f>
        <v/>
      </c>
      <c r="N135" s="12">
        <f>IF(OR($D135="",$G135=0),"",ROUND($F135*INDEX('01人员工时'!J$7:J$126,INT((ROW()-7)/4)+1)/$G135,2))</f>
        <v/>
      </c>
      <c r="O135" s="12">
        <f>IF(OR($D135="",$G135=0),"",ROUND($F135*INDEX('01人员工时'!K$7:K$126,INT((ROW()-7)/4)+1)/$G135,2))</f>
        <v/>
      </c>
      <c r="P135" s="12">
        <f>IF(OR($D135="",$G135=0),"",ROUND($F135*INDEX('01人员工时'!L$7:L$126,INT((ROW()-7)/4)+1)/$G135,2))</f>
        <v/>
      </c>
      <c r="Q135" s="12">
        <f>IF(OR($D135="",$G135=0),"",ROUND($F135*INDEX('01人员工时'!M$7:M$126,INT((ROW()-7)/4)+1)/$G135,2))</f>
        <v/>
      </c>
      <c r="R135" s="12">
        <f>IF(OR($D135="",$G135=0),"",ROUND($F135*INDEX('01人员工时'!N$7:N$126,INT((ROW()-7)/4)+1)/$G135,2))</f>
        <v/>
      </c>
      <c r="S135" s="12">
        <f>IF($D135="","",SUM(K135:R135))</f>
        <v/>
      </c>
      <c r="T135" s="12">
        <f>IF($D135="","",$J135+$S135)</f>
        <v/>
      </c>
      <c r="U135" s="25">
        <f>IF($D135="","",IF($F135=0,"未维护标准",IF(ROUND($T135-$F135,2)=0,"√","差异")))</f>
        <v/>
      </c>
      <c r="V135" s="11" t="n"/>
      <c r="W135" s="9" t="n"/>
    </row>
    <row r="136" ht="18" customHeight="1">
      <c r="B136" s="21">
        <f>IF(INDEX('01人员工时'!$D$7:$D$126,INT((ROW()-7)/4)+1)&amp;""="","",INDEX('01人员工时'!$B$7:$B$126,INT((ROW()-7)/4)+1))</f>
        <v/>
      </c>
      <c r="C136" s="22">
        <f>IF($D136="","",IF(MOD(ROW()-7,4)=0,INDEX('01人员工时'!$C$7:$C$126,INT((ROW()-7)/4)+1),""))</f>
        <v/>
      </c>
      <c r="D136" s="22">
        <f>IF(INDEX('01人员工时'!$D$7:$D$126,INT((ROW()-7)/4)+1)&amp;""="","",INDEX('01人员工时'!$D$7:$D$126,INT((ROW()-7)/4)+1))</f>
        <v/>
      </c>
      <c r="E136" s="22">
        <f>IF($D136="","",INDEX('参数设置'!$K$6:$K$9,MOD(ROW()-7,4)+1))</f>
        <v/>
      </c>
      <c r="F136" s="23">
        <f>IF($D136="","",IF($V136&lt;&gt;"",$V136,IFERROR(INDEX('参数设置'!$D$17:$G$26,MATCH($D136,'参数设置'!$C$17:$C$26,0),MATCH($E136,'参数设置'!$D$16:$G$16,0)),0)))</f>
        <v/>
      </c>
      <c r="G136" s="24">
        <f>IF($D136="","",INDEX('01人员工时'!$E$7:$E$126,INT((ROW()-7)/4)+1))</f>
        <v/>
      </c>
      <c r="H136" s="24">
        <f>IF($D136="","",INDEX('01人员工时'!$O$7:$O$126,INT((ROW()-7)/4)+1))</f>
        <v/>
      </c>
      <c r="I136" s="20">
        <f>IF(OR($D136="",$G136=0),"",$H136/$G136)</f>
        <v/>
      </c>
      <c r="J136" s="12">
        <f>IF($D136="","",ROUND($F136,2)-$S136)</f>
        <v/>
      </c>
      <c r="K136" s="12">
        <f>IF(OR($D136="",$G136=0),"",ROUND($F136*INDEX('01人员工时'!G$7:G$126,INT((ROW()-7)/4)+1)/$G136,2))</f>
        <v/>
      </c>
      <c r="L136" s="12">
        <f>IF(OR($D136="",$G136=0),"",ROUND($F136*INDEX('01人员工时'!H$7:H$126,INT((ROW()-7)/4)+1)/$G136,2))</f>
        <v/>
      </c>
      <c r="M136" s="12">
        <f>IF(OR($D136="",$G136=0),"",ROUND($F136*INDEX('01人员工时'!I$7:I$126,INT((ROW()-7)/4)+1)/$G136,2))</f>
        <v/>
      </c>
      <c r="N136" s="12">
        <f>IF(OR($D136="",$G136=0),"",ROUND($F136*INDEX('01人员工时'!J$7:J$126,INT((ROW()-7)/4)+1)/$G136,2))</f>
        <v/>
      </c>
      <c r="O136" s="12">
        <f>IF(OR($D136="",$G136=0),"",ROUND($F136*INDEX('01人员工时'!K$7:K$126,INT((ROW()-7)/4)+1)/$G136,2))</f>
        <v/>
      </c>
      <c r="P136" s="12">
        <f>IF(OR($D136="",$G136=0),"",ROUND($F136*INDEX('01人员工时'!L$7:L$126,INT((ROW()-7)/4)+1)/$G136,2))</f>
        <v/>
      </c>
      <c r="Q136" s="12">
        <f>IF(OR($D136="",$G136=0),"",ROUND($F136*INDEX('01人员工时'!M$7:M$126,INT((ROW()-7)/4)+1)/$G136,2))</f>
        <v/>
      </c>
      <c r="R136" s="12">
        <f>IF(OR($D136="",$G136=0),"",ROUND($F136*INDEX('01人员工时'!N$7:N$126,INT((ROW()-7)/4)+1)/$G136,2))</f>
        <v/>
      </c>
      <c r="S136" s="12">
        <f>IF($D136="","",SUM(K136:R136))</f>
        <v/>
      </c>
      <c r="T136" s="12">
        <f>IF($D136="","",$J136+$S136)</f>
        <v/>
      </c>
      <c r="U136" s="25">
        <f>IF($D136="","",IF($F136=0,"未维护标准",IF(ROUND($T136-$F136,2)=0,"√","差异")))</f>
        <v/>
      </c>
      <c r="V136" s="11" t="n"/>
      <c r="W136" s="9" t="n"/>
    </row>
    <row r="137" ht="18" customHeight="1">
      <c r="B137" s="21">
        <f>IF(INDEX('01人员工时'!$D$7:$D$126,INT((ROW()-7)/4)+1)&amp;""="","",INDEX('01人员工时'!$B$7:$B$126,INT((ROW()-7)/4)+1))</f>
        <v/>
      </c>
      <c r="C137" s="22">
        <f>IF($D137="","",IF(MOD(ROW()-7,4)=0,INDEX('01人员工时'!$C$7:$C$126,INT((ROW()-7)/4)+1),""))</f>
        <v/>
      </c>
      <c r="D137" s="22">
        <f>IF(INDEX('01人员工时'!$D$7:$D$126,INT((ROW()-7)/4)+1)&amp;""="","",INDEX('01人员工时'!$D$7:$D$126,INT((ROW()-7)/4)+1))</f>
        <v/>
      </c>
      <c r="E137" s="22">
        <f>IF($D137="","",INDEX('参数设置'!$K$6:$K$9,MOD(ROW()-7,4)+1))</f>
        <v/>
      </c>
      <c r="F137" s="23">
        <f>IF($D137="","",IF($V137&lt;&gt;"",$V137,IFERROR(INDEX('参数设置'!$D$17:$G$26,MATCH($D137,'参数设置'!$C$17:$C$26,0),MATCH($E137,'参数设置'!$D$16:$G$16,0)),0)))</f>
        <v/>
      </c>
      <c r="G137" s="24">
        <f>IF($D137="","",INDEX('01人员工时'!$E$7:$E$126,INT((ROW()-7)/4)+1))</f>
        <v/>
      </c>
      <c r="H137" s="24">
        <f>IF($D137="","",INDEX('01人员工时'!$O$7:$O$126,INT((ROW()-7)/4)+1))</f>
        <v/>
      </c>
      <c r="I137" s="20">
        <f>IF(OR($D137="",$G137=0),"",$H137/$G137)</f>
        <v/>
      </c>
      <c r="J137" s="12">
        <f>IF($D137="","",ROUND($F137,2)-$S137)</f>
        <v/>
      </c>
      <c r="K137" s="12">
        <f>IF(OR($D137="",$G137=0),"",ROUND($F137*INDEX('01人员工时'!G$7:G$126,INT((ROW()-7)/4)+1)/$G137,2))</f>
        <v/>
      </c>
      <c r="L137" s="12">
        <f>IF(OR($D137="",$G137=0),"",ROUND($F137*INDEX('01人员工时'!H$7:H$126,INT((ROW()-7)/4)+1)/$G137,2))</f>
        <v/>
      </c>
      <c r="M137" s="12">
        <f>IF(OR($D137="",$G137=0),"",ROUND($F137*INDEX('01人员工时'!I$7:I$126,INT((ROW()-7)/4)+1)/$G137,2))</f>
        <v/>
      </c>
      <c r="N137" s="12">
        <f>IF(OR($D137="",$G137=0),"",ROUND($F137*INDEX('01人员工时'!J$7:J$126,INT((ROW()-7)/4)+1)/$G137,2))</f>
        <v/>
      </c>
      <c r="O137" s="12">
        <f>IF(OR($D137="",$G137=0),"",ROUND($F137*INDEX('01人员工时'!K$7:K$126,INT((ROW()-7)/4)+1)/$G137,2))</f>
        <v/>
      </c>
      <c r="P137" s="12">
        <f>IF(OR($D137="",$G137=0),"",ROUND($F137*INDEX('01人员工时'!L$7:L$126,INT((ROW()-7)/4)+1)/$G137,2))</f>
        <v/>
      </c>
      <c r="Q137" s="12">
        <f>IF(OR($D137="",$G137=0),"",ROUND($F137*INDEX('01人员工时'!M$7:M$126,INT((ROW()-7)/4)+1)/$G137,2))</f>
        <v/>
      </c>
      <c r="R137" s="12">
        <f>IF(OR($D137="",$G137=0),"",ROUND($F137*INDEX('01人员工时'!N$7:N$126,INT((ROW()-7)/4)+1)/$G137,2))</f>
        <v/>
      </c>
      <c r="S137" s="12">
        <f>IF($D137="","",SUM(K137:R137))</f>
        <v/>
      </c>
      <c r="T137" s="12">
        <f>IF($D137="","",$J137+$S137)</f>
        <v/>
      </c>
      <c r="U137" s="25">
        <f>IF($D137="","",IF($F137=0,"未维护标准",IF(ROUND($T137-$F137,2)=0,"√","差异")))</f>
        <v/>
      </c>
      <c r="V137" s="11" t="n"/>
      <c r="W137" s="9" t="n"/>
    </row>
    <row r="138" ht="18" customHeight="1">
      <c r="B138" s="26">
        <f>IF(INDEX('01人员工时'!$D$7:$D$126,INT((ROW()-7)/4)+1)&amp;""="","",INDEX('01人员工时'!$B$7:$B$126,INT((ROW()-7)/4)+1))</f>
        <v/>
      </c>
      <c r="C138" s="27">
        <f>IF($D138="","",IF(MOD(ROW()-7,4)=0,INDEX('01人员工时'!$C$7:$C$126,INT((ROW()-7)/4)+1),""))</f>
        <v/>
      </c>
      <c r="D138" s="27">
        <f>IF(INDEX('01人员工时'!$D$7:$D$126,INT((ROW()-7)/4)+1)&amp;""="","",INDEX('01人员工时'!$D$7:$D$126,INT((ROW()-7)/4)+1))</f>
        <v/>
      </c>
      <c r="E138" s="27">
        <f>IF($D138="","",INDEX('参数设置'!$K$6:$K$9,MOD(ROW()-7,4)+1))</f>
        <v/>
      </c>
      <c r="F138" s="28">
        <f>IF($D138="","",IF($V138&lt;&gt;"",$V138,IFERROR(INDEX('参数设置'!$D$17:$G$26,MATCH($D138,'参数设置'!$C$17:$C$26,0),MATCH($E138,'参数设置'!$D$16:$G$16,0)),0)))</f>
        <v/>
      </c>
      <c r="G138" s="29">
        <f>IF($D138="","",INDEX('01人员工时'!$E$7:$E$126,INT((ROW()-7)/4)+1))</f>
        <v/>
      </c>
      <c r="H138" s="29">
        <f>IF($D138="","",INDEX('01人员工时'!$O$7:$O$126,INT((ROW()-7)/4)+1))</f>
        <v/>
      </c>
      <c r="I138" s="30">
        <f>IF(OR($D138="",$G138=0),"",$H138/$G138)</f>
        <v/>
      </c>
      <c r="J138" s="31">
        <f>IF($D138="","",ROUND($F138,2)-$S138)</f>
        <v/>
      </c>
      <c r="K138" s="31">
        <f>IF(OR($D138="",$G138=0),"",ROUND($F138*INDEX('01人员工时'!G$7:G$126,INT((ROW()-7)/4)+1)/$G138,2))</f>
        <v/>
      </c>
      <c r="L138" s="31">
        <f>IF(OR($D138="",$G138=0),"",ROUND($F138*INDEX('01人员工时'!H$7:H$126,INT((ROW()-7)/4)+1)/$G138,2))</f>
        <v/>
      </c>
      <c r="M138" s="31">
        <f>IF(OR($D138="",$G138=0),"",ROUND($F138*INDEX('01人员工时'!I$7:I$126,INT((ROW()-7)/4)+1)/$G138,2))</f>
        <v/>
      </c>
      <c r="N138" s="31">
        <f>IF(OR($D138="",$G138=0),"",ROUND($F138*INDEX('01人员工时'!J$7:J$126,INT((ROW()-7)/4)+1)/$G138,2))</f>
        <v/>
      </c>
      <c r="O138" s="31">
        <f>IF(OR($D138="",$G138=0),"",ROUND($F138*INDEX('01人员工时'!K$7:K$126,INT((ROW()-7)/4)+1)/$G138,2))</f>
        <v/>
      </c>
      <c r="P138" s="31">
        <f>IF(OR($D138="",$G138=0),"",ROUND($F138*INDEX('01人员工时'!L$7:L$126,INT((ROW()-7)/4)+1)/$G138,2))</f>
        <v/>
      </c>
      <c r="Q138" s="31">
        <f>IF(OR($D138="",$G138=0),"",ROUND($F138*INDEX('01人员工时'!M$7:M$126,INT((ROW()-7)/4)+1)/$G138,2))</f>
        <v/>
      </c>
      <c r="R138" s="31">
        <f>IF(OR($D138="",$G138=0),"",ROUND($F138*INDEX('01人员工时'!N$7:N$126,INT((ROW()-7)/4)+1)/$G138,2))</f>
        <v/>
      </c>
      <c r="S138" s="31">
        <f>IF($D138="","",SUM(K138:R138))</f>
        <v/>
      </c>
      <c r="T138" s="31">
        <f>IF($D138="","",$J138+$S138)</f>
        <v/>
      </c>
      <c r="U138" s="32">
        <f>IF($D138="","",IF($F138=0,"未维护标准",IF(ROUND($T138-$F138,2)=0,"√","差异")))</f>
        <v/>
      </c>
      <c r="V138" s="33" t="n"/>
      <c r="W138" s="34" t="n"/>
    </row>
    <row r="139" ht="18" customHeight="1">
      <c r="B139" s="21">
        <f>IF(INDEX('01人员工时'!$D$7:$D$126,INT((ROW()-7)/4)+1)&amp;""="","",INDEX('01人员工时'!$B$7:$B$126,INT((ROW()-7)/4)+1))</f>
        <v/>
      </c>
      <c r="C139" s="22">
        <f>IF($D139="","",IF(MOD(ROW()-7,4)=0,INDEX('01人员工时'!$C$7:$C$126,INT((ROW()-7)/4)+1),""))</f>
        <v/>
      </c>
      <c r="D139" s="22">
        <f>IF(INDEX('01人员工时'!$D$7:$D$126,INT((ROW()-7)/4)+1)&amp;""="","",INDEX('01人员工时'!$D$7:$D$126,INT((ROW()-7)/4)+1))</f>
        <v/>
      </c>
      <c r="E139" s="22">
        <f>IF($D139="","",INDEX('参数设置'!$K$6:$K$9,MOD(ROW()-7,4)+1))</f>
        <v/>
      </c>
      <c r="F139" s="23">
        <f>IF($D139="","",IF($V139&lt;&gt;"",$V139,IFERROR(INDEX('参数设置'!$D$17:$G$26,MATCH($D139,'参数设置'!$C$17:$C$26,0),MATCH($E139,'参数设置'!$D$16:$G$16,0)),0)))</f>
        <v/>
      </c>
      <c r="G139" s="24">
        <f>IF($D139="","",INDEX('01人员工时'!$E$7:$E$126,INT((ROW()-7)/4)+1))</f>
        <v/>
      </c>
      <c r="H139" s="24">
        <f>IF($D139="","",INDEX('01人员工时'!$O$7:$O$126,INT((ROW()-7)/4)+1))</f>
        <v/>
      </c>
      <c r="I139" s="20">
        <f>IF(OR($D139="",$G139=0),"",$H139/$G139)</f>
        <v/>
      </c>
      <c r="J139" s="12">
        <f>IF($D139="","",ROUND($F139,2)-$S139)</f>
        <v/>
      </c>
      <c r="K139" s="12">
        <f>IF(OR($D139="",$G139=0),"",ROUND($F139*INDEX('01人员工时'!G$7:G$126,INT((ROW()-7)/4)+1)/$G139,2))</f>
        <v/>
      </c>
      <c r="L139" s="12">
        <f>IF(OR($D139="",$G139=0),"",ROUND($F139*INDEX('01人员工时'!H$7:H$126,INT((ROW()-7)/4)+1)/$G139,2))</f>
        <v/>
      </c>
      <c r="M139" s="12">
        <f>IF(OR($D139="",$G139=0),"",ROUND($F139*INDEX('01人员工时'!I$7:I$126,INT((ROW()-7)/4)+1)/$G139,2))</f>
        <v/>
      </c>
      <c r="N139" s="12">
        <f>IF(OR($D139="",$G139=0),"",ROUND($F139*INDEX('01人员工时'!J$7:J$126,INT((ROW()-7)/4)+1)/$G139,2))</f>
        <v/>
      </c>
      <c r="O139" s="12">
        <f>IF(OR($D139="",$G139=0),"",ROUND($F139*INDEX('01人员工时'!K$7:K$126,INT((ROW()-7)/4)+1)/$G139,2))</f>
        <v/>
      </c>
      <c r="P139" s="12">
        <f>IF(OR($D139="",$G139=0),"",ROUND($F139*INDEX('01人员工时'!L$7:L$126,INT((ROW()-7)/4)+1)/$G139,2))</f>
        <v/>
      </c>
      <c r="Q139" s="12">
        <f>IF(OR($D139="",$G139=0),"",ROUND($F139*INDEX('01人员工时'!M$7:M$126,INT((ROW()-7)/4)+1)/$G139,2))</f>
        <v/>
      </c>
      <c r="R139" s="12">
        <f>IF(OR($D139="",$G139=0),"",ROUND($F139*INDEX('01人员工时'!N$7:N$126,INT((ROW()-7)/4)+1)/$G139,2))</f>
        <v/>
      </c>
      <c r="S139" s="12">
        <f>IF($D139="","",SUM(K139:R139))</f>
        <v/>
      </c>
      <c r="T139" s="12">
        <f>IF($D139="","",$J139+$S139)</f>
        <v/>
      </c>
      <c r="U139" s="25">
        <f>IF($D139="","",IF($F139=0,"未维护标准",IF(ROUND($T139-$F139,2)=0,"√","差异")))</f>
        <v/>
      </c>
      <c r="V139" s="11" t="n"/>
      <c r="W139" s="9" t="n"/>
    </row>
    <row r="140" ht="18" customHeight="1">
      <c r="B140" s="21">
        <f>IF(INDEX('01人员工时'!$D$7:$D$126,INT((ROW()-7)/4)+1)&amp;""="","",INDEX('01人员工时'!$B$7:$B$126,INT((ROW()-7)/4)+1))</f>
        <v/>
      </c>
      <c r="C140" s="22">
        <f>IF($D140="","",IF(MOD(ROW()-7,4)=0,INDEX('01人员工时'!$C$7:$C$126,INT((ROW()-7)/4)+1),""))</f>
        <v/>
      </c>
      <c r="D140" s="22">
        <f>IF(INDEX('01人员工时'!$D$7:$D$126,INT((ROW()-7)/4)+1)&amp;""="","",INDEX('01人员工时'!$D$7:$D$126,INT((ROW()-7)/4)+1))</f>
        <v/>
      </c>
      <c r="E140" s="22">
        <f>IF($D140="","",INDEX('参数设置'!$K$6:$K$9,MOD(ROW()-7,4)+1))</f>
        <v/>
      </c>
      <c r="F140" s="23">
        <f>IF($D140="","",IF($V140&lt;&gt;"",$V140,IFERROR(INDEX('参数设置'!$D$17:$G$26,MATCH($D140,'参数设置'!$C$17:$C$26,0),MATCH($E140,'参数设置'!$D$16:$G$16,0)),0)))</f>
        <v/>
      </c>
      <c r="G140" s="24">
        <f>IF($D140="","",INDEX('01人员工时'!$E$7:$E$126,INT((ROW()-7)/4)+1))</f>
        <v/>
      </c>
      <c r="H140" s="24">
        <f>IF($D140="","",INDEX('01人员工时'!$O$7:$O$126,INT((ROW()-7)/4)+1))</f>
        <v/>
      </c>
      <c r="I140" s="20">
        <f>IF(OR($D140="",$G140=0),"",$H140/$G140)</f>
        <v/>
      </c>
      <c r="J140" s="12">
        <f>IF($D140="","",ROUND($F140,2)-$S140)</f>
        <v/>
      </c>
      <c r="K140" s="12">
        <f>IF(OR($D140="",$G140=0),"",ROUND($F140*INDEX('01人员工时'!G$7:G$126,INT((ROW()-7)/4)+1)/$G140,2))</f>
        <v/>
      </c>
      <c r="L140" s="12">
        <f>IF(OR($D140="",$G140=0),"",ROUND($F140*INDEX('01人员工时'!H$7:H$126,INT((ROW()-7)/4)+1)/$G140,2))</f>
        <v/>
      </c>
      <c r="M140" s="12">
        <f>IF(OR($D140="",$G140=0),"",ROUND($F140*INDEX('01人员工时'!I$7:I$126,INT((ROW()-7)/4)+1)/$G140,2))</f>
        <v/>
      </c>
      <c r="N140" s="12">
        <f>IF(OR($D140="",$G140=0),"",ROUND($F140*INDEX('01人员工时'!J$7:J$126,INT((ROW()-7)/4)+1)/$G140,2))</f>
        <v/>
      </c>
      <c r="O140" s="12">
        <f>IF(OR($D140="",$G140=0),"",ROUND($F140*INDEX('01人员工时'!K$7:K$126,INT((ROW()-7)/4)+1)/$G140,2))</f>
        <v/>
      </c>
      <c r="P140" s="12">
        <f>IF(OR($D140="",$G140=0),"",ROUND($F140*INDEX('01人员工时'!L$7:L$126,INT((ROW()-7)/4)+1)/$G140,2))</f>
        <v/>
      </c>
      <c r="Q140" s="12">
        <f>IF(OR($D140="",$G140=0),"",ROUND($F140*INDEX('01人员工时'!M$7:M$126,INT((ROW()-7)/4)+1)/$G140,2))</f>
        <v/>
      </c>
      <c r="R140" s="12">
        <f>IF(OR($D140="",$G140=0),"",ROUND($F140*INDEX('01人员工时'!N$7:N$126,INT((ROW()-7)/4)+1)/$G140,2))</f>
        <v/>
      </c>
      <c r="S140" s="12">
        <f>IF($D140="","",SUM(K140:R140))</f>
        <v/>
      </c>
      <c r="T140" s="12">
        <f>IF($D140="","",$J140+$S140)</f>
        <v/>
      </c>
      <c r="U140" s="25">
        <f>IF($D140="","",IF($F140=0,"未维护标准",IF(ROUND($T140-$F140,2)=0,"√","差异")))</f>
        <v/>
      </c>
      <c r="V140" s="11" t="n"/>
      <c r="W140" s="9" t="n"/>
    </row>
    <row r="141" ht="18" customHeight="1">
      <c r="B141" s="21">
        <f>IF(INDEX('01人员工时'!$D$7:$D$126,INT((ROW()-7)/4)+1)&amp;""="","",INDEX('01人员工时'!$B$7:$B$126,INT((ROW()-7)/4)+1))</f>
        <v/>
      </c>
      <c r="C141" s="22">
        <f>IF($D141="","",IF(MOD(ROW()-7,4)=0,INDEX('01人员工时'!$C$7:$C$126,INT((ROW()-7)/4)+1),""))</f>
        <v/>
      </c>
      <c r="D141" s="22">
        <f>IF(INDEX('01人员工时'!$D$7:$D$126,INT((ROW()-7)/4)+1)&amp;""="","",INDEX('01人员工时'!$D$7:$D$126,INT((ROW()-7)/4)+1))</f>
        <v/>
      </c>
      <c r="E141" s="22">
        <f>IF($D141="","",INDEX('参数设置'!$K$6:$K$9,MOD(ROW()-7,4)+1))</f>
        <v/>
      </c>
      <c r="F141" s="23">
        <f>IF($D141="","",IF($V141&lt;&gt;"",$V141,IFERROR(INDEX('参数设置'!$D$17:$G$26,MATCH($D141,'参数设置'!$C$17:$C$26,0),MATCH($E141,'参数设置'!$D$16:$G$16,0)),0)))</f>
        <v/>
      </c>
      <c r="G141" s="24">
        <f>IF($D141="","",INDEX('01人员工时'!$E$7:$E$126,INT((ROW()-7)/4)+1))</f>
        <v/>
      </c>
      <c r="H141" s="24">
        <f>IF($D141="","",INDEX('01人员工时'!$O$7:$O$126,INT((ROW()-7)/4)+1))</f>
        <v/>
      </c>
      <c r="I141" s="20">
        <f>IF(OR($D141="",$G141=0),"",$H141/$G141)</f>
        <v/>
      </c>
      <c r="J141" s="12">
        <f>IF($D141="","",ROUND($F141,2)-$S141)</f>
        <v/>
      </c>
      <c r="K141" s="12">
        <f>IF(OR($D141="",$G141=0),"",ROUND($F141*INDEX('01人员工时'!G$7:G$126,INT((ROW()-7)/4)+1)/$G141,2))</f>
        <v/>
      </c>
      <c r="L141" s="12">
        <f>IF(OR($D141="",$G141=0),"",ROUND($F141*INDEX('01人员工时'!H$7:H$126,INT((ROW()-7)/4)+1)/$G141,2))</f>
        <v/>
      </c>
      <c r="M141" s="12">
        <f>IF(OR($D141="",$G141=0),"",ROUND($F141*INDEX('01人员工时'!I$7:I$126,INT((ROW()-7)/4)+1)/$G141,2))</f>
        <v/>
      </c>
      <c r="N141" s="12">
        <f>IF(OR($D141="",$G141=0),"",ROUND($F141*INDEX('01人员工时'!J$7:J$126,INT((ROW()-7)/4)+1)/$G141,2))</f>
        <v/>
      </c>
      <c r="O141" s="12">
        <f>IF(OR($D141="",$G141=0),"",ROUND($F141*INDEX('01人员工时'!K$7:K$126,INT((ROW()-7)/4)+1)/$G141,2))</f>
        <v/>
      </c>
      <c r="P141" s="12">
        <f>IF(OR($D141="",$G141=0),"",ROUND($F141*INDEX('01人员工时'!L$7:L$126,INT((ROW()-7)/4)+1)/$G141,2))</f>
        <v/>
      </c>
      <c r="Q141" s="12">
        <f>IF(OR($D141="",$G141=0),"",ROUND($F141*INDEX('01人员工时'!M$7:M$126,INT((ROW()-7)/4)+1)/$G141,2))</f>
        <v/>
      </c>
      <c r="R141" s="12">
        <f>IF(OR($D141="",$G141=0),"",ROUND($F141*INDEX('01人员工时'!N$7:N$126,INT((ROW()-7)/4)+1)/$G141,2))</f>
        <v/>
      </c>
      <c r="S141" s="12">
        <f>IF($D141="","",SUM(K141:R141))</f>
        <v/>
      </c>
      <c r="T141" s="12">
        <f>IF($D141="","",$J141+$S141)</f>
        <v/>
      </c>
      <c r="U141" s="25">
        <f>IF($D141="","",IF($F141=0,"未维护标准",IF(ROUND($T141-$F141,2)=0,"√","差异")))</f>
        <v/>
      </c>
      <c r="V141" s="11" t="n"/>
      <c r="W141" s="9" t="n"/>
    </row>
    <row r="142" ht="18" customHeight="1">
      <c r="B142" s="26">
        <f>IF(INDEX('01人员工时'!$D$7:$D$126,INT((ROW()-7)/4)+1)&amp;""="","",INDEX('01人员工时'!$B$7:$B$126,INT((ROW()-7)/4)+1))</f>
        <v/>
      </c>
      <c r="C142" s="27">
        <f>IF($D142="","",IF(MOD(ROW()-7,4)=0,INDEX('01人员工时'!$C$7:$C$126,INT((ROW()-7)/4)+1),""))</f>
        <v/>
      </c>
      <c r="D142" s="27">
        <f>IF(INDEX('01人员工时'!$D$7:$D$126,INT((ROW()-7)/4)+1)&amp;""="","",INDEX('01人员工时'!$D$7:$D$126,INT((ROW()-7)/4)+1))</f>
        <v/>
      </c>
      <c r="E142" s="27">
        <f>IF($D142="","",INDEX('参数设置'!$K$6:$K$9,MOD(ROW()-7,4)+1))</f>
        <v/>
      </c>
      <c r="F142" s="28">
        <f>IF($D142="","",IF($V142&lt;&gt;"",$V142,IFERROR(INDEX('参数设置'!$D$17:$G$26,MATCH($D142,'参数设置'!$C$17:$C$26,0),MATCH($E142,'参数设置'!$D$16:$G$16,0)),0)))</f>
        <v/>
      </c>
      <c r="G142" s="29">
        <f>IF($D142="","",INDEX('01人员工时'!$E$7:$E$126,INT((ROW()-7)/4)+1))</f>
        <v/>
      </c>
      <c r="H142" s="29">
        <f>IF($D142="","",INDEX('01人员工时'!$O$7:$O$126,INT((ROW()-7)/4)+1))</f>
        <v/>
      </c>
      <c r="I142" s="30">
        <f>IF(OR($D142="",$G142=0),"",$H142/$G142)</f>
        <v/>
      </c>
      <c r="J142" s="31">
        <f>IF($D142="","",ROUND($F142,2)-$S142)</f>
        <v/>
      </c>
      <c r="K142" s="31">
        <f>IF(OR($D142="",$G142=0),"",ROUND($F142*INDEX('01人员工时'!G$7:G$126,INT((ROW()-7)/4)+1)/$G142,2))</f>
        <v/>
      </c>
      <c r="L142" s="31">
        <f>IF(OR($D142="",$G142=0),"",ROUND($F142*INDEX('01人员工时'!H$7:H$126,INT((ROW()-7)/4)+1)/$G142,2))</f>
        <v/>
      </c>
      <c r="M142" s="31">
        <f>IF(OR($D142="",$G142=0),"",ROUND($F142*INDEX('01人员工时'!I$7:I$126,INT((ROW()-7)/4)+1)/$G142,2))</f>
        <v/>
      </c>
      <c r="N142" s="31">
        <f>IF(OR($D142="",$G142=0),"",ROUND($F142*INDEX('01人员工时'!J$7:J$126,INT((ROW()-7)/4)+1)/$G142,2))</f>
        <v/>
      </c>
      <c r="O142" s="31">
        <f>IF(OR($D142="",$G142=0),"",ROUND($F142*INDEX('01人员工时'!K$7:K$126,INT((ROW()-7)/4)+1)/$G142,2))</f>
        <v/>
      </c>
      <c r="P142" s="31">
        <f>IF(OR($D142="",$G142=0),"",ROUND($F142*INDEX('01人员工时'!L$7:L$126,INT((ROW()-7)/4)+1)/$G142,2))</f>
        <v/>
      </c>
      <c r="Q142" s="31">
        <f>IF(OR($D142="",$G142=0),"",ROUND($F142*INDEX('01人员工时'!M$7:M$126,INT((ROW()-7)/4)+1)/$G142,2))</f>
        <v/>
      </c>
      <c r="R142" s="31">
        <f>IF(OR($D142="",$G142=0),"",ROUND($F142*INDEX('01人员工时'!N$7:N$126,INT((ROW()-7)/4)+1)/$G142,2))</f>
        <v/>
      </c>
      <c r="S142" s="31">
        <f>IF($D142="","",SUM(K142:R142))</f>
        <v/>
      </c>
      <c r="T142" s="31">
        <f>IF($D142="","",$J142+$S142)</f>
        <v/>
      </c>
      <c r="U142" s="32">
        <f>IF($D142="","",IF($F142=0,"未维护标准",IF(ROUND($T142-$F142,2)=0,"√","差异")))</f>
        <v/>
      </c>
      <c r="V142" s="33" t="n"/>
      <c r="W142" s="34" t="n"/>
    </row>
    <row r="143" ht="18" customHeight="1">
      <c r="B143" s="21">
        <f>IF(INDEX('01人员工时'!$D$7:$D$126,INT((ROW()-7)/4)+1)&amp;""="","",INDEX('01人员工时'!$B$7:$B$126,INT((ROW()-7)/4)+1))</f>
        <v/>
      </c>
      <c r="C143" s="22">
        <f>IF($D143="","",IF(MOD(ROW()-7,4)=0,INDEX('01人员工时'!$C$7:$C$126,INT((ROW()-7)/4)+1),""))</f>
        <v/>
      </c>
      <c r="D143" s="22">
        <f>IF(INDEX('01人员工时'!$D$7:$D$126,INT((ROW()-7)/4)+1)&amp;""="","",INDEX('01人员工时'!$D$7:$D$126,INT((ROW()-7)/4)+1))</f>
        <v/>
      </c>
      <c r="E143" s="22">
        <f>IF($D143="","",INDEX('参数设置'!$K$6:$K$9,MOD(ROW()-7,4)+1))</f>
        <v/>
      </c>
      <c r="F143" s="23">
        <f>IF($D143="","",IF($V143&lt;&gt;"",$V143,IFERROR(INDEX('参数设置'!$D$17:$G$26,MATCH($D143,'参数设置'!$C$17:$C$26,0),MATCH($E143,'参数设置'!$D$16:$G$16,0)),0)))</f>
        <v/>
      </c>
      <c r="G143" s="24">
        <f>IF($D143="","",INDEX('01人员工时'!$E$7:$E$126,INT((ROW()-7)/4)+1))</f>
        <v/>
      </c>
      <c r="H143" s="24">
        <f>IF($D143="","",INDEX('01人员工时'!$O$7:$O$126,INT((ROW()-7)/4)+1))</f>
        <v/>
      </c>
      <c r="I143" s="20">
        <f>IF(OR($D143="",$G143=0),"",$H143/$G143)</f>
        <v/>
      </c>
      <c r="J143" s="12">
        <f>IF($D143="","",ROUND($F143,2)-$S143)</f>
        <v/>
      </c>
      <c r="K143" s="12">
        <f>IF(OR($D143="",$G143=0),"",ROUND($F143*INDEX('01人员工时'!G$7:G$126,INT((ROW()-7)/4)+1)/$G143,2))</f>
        <v/>
      </c>
      <c r="L143" s="12">
        <f>IF(OR($D143="",$G143=0),"",ROUND($F143*INDEX('01人员工时'!H$7:H$126,INT((ROW()-7)/4)+1)/$G143,2))</f>
        <v/>
      </c>
      <c r="M143" s="12">
        <f>IF(OR($D143="",$G143=0),"",ROUND($F143*INDEX('01人员工时'!I$7:I$126,INT((ROW()-7)/4)+1)/$G143,2))</f>
        <v/>
      </c>
      <c r="N143" s="12">
        <f>IF(OR($D143="",$G143=0),"",ROUND($F143*INDEX('01人员工时'!J$7:J$126,INT((ROW()-7)/4)+1)/$G143,2))</f>
        <v/>
      </c>
      <c r="O143" s="12">
        <f>IF(OR($D143="",$G143=0),"",ROUND($F143*INDEX('01人员工时'!K$7:K$126,INT((ROW()-7)/4)+1)/$G143,2))</f>
        <v/>
      </c>
      <c r="P143" s="12">
        <f>IF(OR($D143="",$G143=0),"",ROUND($F143*INDEX('01人员工时'!L$7:L$126,INT((ROW()-7)/4)+1)/$G143,2))</f>
        <v/>
      </c>
      <c r="Q143" s="12">
        <f>IF(OR($D143="",$G143=0),"",ROUND($F143*INDEX('01人员工时'!M$7:M$126,INT((ROW()-7)/4)+1)/$G143,2))</f>
        <v/>
      </c>
      <c r="R143" s="12">
        <f>IF(OR($D143="",$G143=0),"",ROUND($F143*INDEX('01人员工时'!N$7:N$126,INT((ROW()-7)/4)+1)/$G143,2))</f>
        <v/>
      </c>
      <c r="S143" s="12">
        <f>IF($D143="","",SUM(K143:R143))</f>
        <v/>
      </c>
      <c r="T143" s="12">
        <f>IF($D143="","",$J143+$S143)</f>
        <v/>
      </c>
      <c r="U143" s="25">
        <f>IF($D143="","",IF($F143=0,"未维护标准",IF(ROUND($T143-$F143,2)=0,"√","差异")))</f>
        <v/>
      </c>
      <c r="V143" s="11" t="n"/>
      <c r="W143" s="9" t="n"/>
    </row>
    <row r="144" ht="18" customHeight="1">
      <c r="B144" s="21">
        <f>IF(INDEX('01人员工时'!$D$7:$D$126,INT((ROW()-7)/4)+1)&amp;""="","",INDEX('01人员工时'!$B$7:$B$126,INT((ROW()-7)/4)+1))</f>
        <v/>
      </c>
      <c r="C144" s="22">
        <f>IF($D144="","",IF(MOD(ROW()-7,4)=0,INDEX('01人员工时'!$C$7:$C$126,INT((ROW()-7)/4)+1),""))</f>
        <v/>
      </c>
      <c r="D144" s="22">
        <f>IF(INDEX('01人员工时'!$D$7:$D$126,INT((ROW()-7)/4)+1)&amp;""="","",INDEX('01人员工时'!$D$7:$D$126,INT((ROW()-7)/4)+1))</f>
        <v/>
      </c>
      <c r="E144" s="22">
        <f>IF($D144="","",INDEX('参数设置'!$K$6:$K$9,MOD(ROW()-7,4)+1))</f>
        <v/>
      </c>
      <c r="F144" s="23">
        <f>IF($D144="","",IF($V144&lt;&gt;"",$V144,IFERROR(INDEX('参数设置'!$D$17:$G$26,MATCH($D144,'参数设置'!$C$17:$C$26,0),MATCH($E144,'参数设置'!$D$16:$G$16,0)),0)))</f>
        <v/>
      </c>
      <c r="G144" s="24">
        <f>IF($D144="","",INDEX('01人员工时'!$E$7:$E$126,INT((ROW()-7)/4)+1))</f>
        <v/>
      </c>
      <c r="H144" s="24">
        <f>IF($D144="","",INDEX('01人员工时'!$O$7:$O$126,INT((ROW()-7)/4)+1))</f>
        <v/>
      </c>
      <c r="I144" s="20">
        <f>IF(OR($D144="",$G144=0),"",$H144/$G144)</f>
        <v/>
      </c>
      <c r="J144" s="12">
        <f>IF($D144="","",ROUND($F144,2)-$S144)</f>
        <v/>
      </c>
      <c r="K144" s="12">
        <f>IF(OR($D144="",$G144=0),"",ROUND($F144*INDEX('01人员工时'!G$7:G$126,INT((ROW()-7)/4)+1)/$G144,2))</f>
        <v/>
      </c>
      <c r="L144" s="12">
        <f>IF(OR($D144="",$G144=0),"",ROUND($F144*INDEX('01人员工时'!H$7:H$126,INT((ROW()-7)/4)+1)/$G144,2))</f>
        <v/>
      </c>
      <c r="M144" s="12">
        <f>IF(OR($D144="",$G144=0),"",ROUND($F144*INDEX('01人员工时'!I$7:I$126,INT((ROW()-7)/4)+1)/$G144,2))</f>
        <v/>
      </c>
      <c r="N144" s="12">
        <f>IF(OR($D144="",$G144=0),"",ROUND($F144*INDEX('01人员工时'!J$7:J$126,INT((ROW()-7)/4)+1)/$G144,2))</f>
        <v/>
      </c>
      <c r="O144" s="12">
        <f>IF(OR($D144="",$G144=0),"",ROUND($F144*INDEX('01人员工时'!K$7:K$126,INT((ROW()-7)/4)+1)/$G144,2))</f>
        <v/>
      </c>
      <c r="P144" s="12">
        <f>IF(OR($D144="",$G144=0),"",ROUND($F144*INDEX('01人员工时'!L$7:L$126,INT((ROW()-7)/4)+1)/$G144,2))</f>
        <v/>
      </c>
      <c r="Q144" s="12">
        <f>IF(OR($D144="",$G144=0),"",ROUND($F144*INDEX('01人员工时'!M$7:M$126,INT((ROW()-7)/4)+1)/$G144,2))</f>
        <v/>
      </c>
      <c r="R144" s="12">
        <f>IF(OR($D144="",$G144=0),"",ROUND($F144*INDEX('01人员工时'!N$7:N$126,INT((ROW()-7)/4)+1)/$G144,2))</f>
        <v/>
      </c>
      <c r="S144" s="12">
        <f>IF($D144="","",SUM(K144:R144))</f>
        <v/>
      </c>
      <c r="T144" s="12">
        <f>IF($D144="","",$J144+$S144)</f>
        <v/>
      </c>
      <c r="U144" s="25">
        <f>IF($D144="","",IF($F144=0,"未维护标准",IF(ROUND($T144-$F144,2)=0,"√","差异")))</f>
        <v/>
      </c>
      <c r="V144" s="11" t="n"/>
      <c r="W144" s="9" t="n"/>
    </row>
    <row r="145" ht="18" customHeight="1">
      <c r="B145" s="21">
        <f>IF(INDEX('01人员工时'!$D$7:$D$126,INT((ROW()-7)/4)+1)&amp;""="","",INDEX('01人员工时'!$B$7:$B$126,INT((ROW()-7)/4)+1))</f>
        <v/>
      </c>
      <c r="C145" s="22">
        <f>IF($D145="","",IF(MOD(ROW()-7,4)=0,INDEX('01人员工时'!$C$7:$C$126,INT((ROW()-7)/4)+1),""))</f>
        <v/>
      </c>
      <c r="D145" s="22">
        <f>IF(INDEX('01人员工时'!$D$7:$D$126,INT((ROW()-7)/4)+1)&amp;""="","",INDEX('01人员工时'!$D$7:$D$126,INT((ROW()-7)/4)+1))</f>
        <v/>
      </c>
      <c r="E145" s="22">
        <f>IF($D145="","",INDEX('参数设置'!$K$6:$K$9,MOD(ROW()-7,4)+1))</f>
        <v/>
      </c>
      <c r="F145" s="23">
        <f>IF($D145="","",IF($V145&lt;&gt;"",$V145,IFERROR(INDEX('参数设置'!$D$17:$G$26,MATCH($D145,'参数设置'!$C$17:$C$26,0),MATCH($E145,'参数设置'!$D$16:$G$16,0)),0)))</f>
        <v/>
      </c>
      <c r="G145" s="24">
        <f>IF($D145="","",INDEX('01人员工时'!$E$7:$E$126,INT((ROW()-7)/4)+1))</f>
        <v/>
      </c>
      <c r="H145" s="24">
        <f>IF($D145="","",INDEX('01人员工时'!$O$7:$O$126,INT((ROW()-7)/4)+1))</f>
        <v/>
      </c>
      <c r="I145" s="20">
        <f>IF(OR($D145="",$G145=0),"",$H145/$G145)</f>
        <v/>
      </c>
      <c r="J145" s="12">
        <f>IF($D145="","",ROUND($F145,2)-$S145)</f>
        <v/>
      </c>
      <c r="K145" s="12">
        <f>IF(OR($D145="",$G145=0),"",ROUND($F145*INDEX('01人员工时'!G$7:G$126,INT((ROW()-7)/4)+1)/$G145,2))</f>
        <v/>
      </c>
      <c r="L145" s="12">
        <f>IF(OR($D145="",$G145=0),"",ROUND($F145*INDEX('01人员工时'!H$7:H$126,INT((ROW()-7)/4)+1)/$G145,2))</f>
        <v/>
      </c>
      <c r="M145" s="12">
        <f>IF(OR($D145="",$G145=0),"",ROUND($F145*INDEX('01人员工时'!I$7:I$126,INT((ROW()-7)/4)+1)/$G145,2))</f>
        <v/>
      </c>
      <c r="N145" s="12">
        <f>IF(OR($D145="",$G145=0),"",ROUND($F145*INDEX('01人员工时'!J$7:J$126,INT((ROW()-7)/4)+1)/$G145,2))</f>
        <v/>
      </c>
      <c r="O145" s="12">
        <f>IF(OR($D145="",$G145=0),"",ROUND($F145*INDEX('01人员工时'!K$7:K$126,INT((ROW()-7)/4)+1)/$G145,2))</f>
        <v/>
      </c>
      <c r="P145" s="12">
        <f>IF(OR($D145="",$G145=0),"",ROUND($F145*INDEX('01人员工时'!L$7:L$126,INT((ROW()-7)/4)+1)/$G145,2))</f>
        <v/>
      </c>
      <c r="Q145" s="12">
        <f>IF(OR($D145="",$G145=0),"",ROUND($F145*INDEX('01人员工时'!M$7:M$126,INT((ROW()-7)/4)+1)/$G145,2))</f>
        <v/>
      </c>
      <c r="R145" s="12">
        <f>IF(OR($D145="",$G145=0),"",ROUND($F145*INDEX('01人员工时'!N$7:N$126,INT((ROW()-7)/4)+1)/$G145,2))</f>
        <v/>
      </c>
      <c r="S145" s="12">
        <f>IF($D145="","",SUM(K145:R145))</f>
        <v/>
      </c>
      <c r="T145" s="12">
        <f>IF($D145="","",$J145+$S145)</f>
        <v/>
      </c>
      <c r="U145" s="25">
        <f>IF($D145="","",IF($F145=0,"未维护标准",IF(ROUND($T145-$F145,2)=0,"√","差异")))</f>
        <v/>
      </c>
      <c r="V145" s="11" t="n"/>
      <c r="W145" s="9" t="n"/>
    </row>
    <row r="146" ht="18" customHeight="1">
      <c r="B146" s="26">
        <f>IF(INDEX('01人员工时'!$D$7:$D$126,INT((ROW()-7)/4)+1)&amp;""="","",INDEX('01人员工时'!$B$7:$B$126,INT((ROW()-7)/4)+1))</f>
        <v/>
      </c>
      <c r="C146" s="27">
        <f>IF($D146="","",IF(MOD(ROW()-7,4)=0,INDEX('01人员工时'!$C$7:$C$126,INT((ROW()-7)/4)+1),""))</f>
        <v/>
      </c>
      <c r="D146" s="27">
        <f>IF(INDEX('01人员工时'!$D$7:$D$126,INT((ROW()-7)/4)+1)&amp;""="","",INDEX('01人员工时'!$D$7:$D$126,INT((ROW()-7)/4)+1))</f>
        <v/>
      </c>
      <c r="E146" s="27">
        <f>IF($D146="","",INDEX('参数设置'!$K$6:$K$9,MOD(ROW()-7,4)+1))</f>
        <v/>
      </c>
      <c r="F146" s="28">
        <f>IF($D146="","",IF($V146&lt;&gt;"",$V146,IFERROR(INDEX('参数设置'!$D$17:$G$26,MATCH($D146,'参数设置'!$C$17:$C$26,0),MATCH($E146,'参数设置'!$D$16:$G$16,0)),0)))</f>
        <v/>
      </c>
      <c r="G146" s="29">
        <f>IF($D146="","",INDEX('01人员工时'!$E$7:$E$126,INT((ROW()-7)/4)+1))</f>
        <v/>
      </c>
      <c r="H146" s="29">
        <f>IF($D146="","",INDEX('01人员工时'!$O$7:$O$126,INT((ROW()-7)/4)+1))</f>
        <v/>
      </c>
      <c r="I146" s="30">
        <f>IF(OR($D146="",$G146=0),"",$H146/$G146)</f>
        <v/>
      </c>
      <c r="J146" s="31">
        <f>IF($D146="","",ROUND($F146,2)-$S146)</f>
        <v/>
      </c>
      <c r="K146" s="31">
        <f>IF(OR($D146="",$G146=0),"",ROUND($F146*INDEX('01人员工时'!G$7:G$126,INT((ROW()-7)/4)+1)/$G146,2))</f>
        <v/>
      </c>
      <c r="L146" s="31">
        <f>IF(OR($D146="",$G146=0),"",ROUND($F146*INDEX('01人员工时'!H$7:H$126,INT((ROW()-7)/4)+1)/$G146,2))</f>
        <v/>
      </c>
      <c r="M146" s="31">
        <f>IF(OR($D146="",$G146=0),"",ROUND($F146*INDEX('01人员工时'!I$7:I$126,INT((ROW()-7)/4)+1)/$G146,2))</f>
        <v/>
      </c>
      <c r="N146" s="31">
        <f>IF(OR($D146="",$G146=0),"",ROUND($F146*INDEX('01人员工时'!J$7:J$126,INT((ROW()-7)/4)+1)/$G146,2))</f>
        <v/>
      </c>
      <c r="O146" s="31">
        <f>IF(OR($D146="",$G146=0),"",ROUND($F146*INDEX('01人员工时'!K$7:K$126,INT((ROW()-7)/4)+1)/$G146,2))</f>
        <v/>
      </c>
      <c r="P146" s="31">
        <f>IF(OR($D146="",$G146=0),"",ROUND($F146*INDEX('01人员工时'!L$7:L$126,INT((ROW()-7)/4)+1)/$G146,2))</f>
        <v/>
      </c>
      <c r="Q146" s="31">
        <f>IF(OR($D146="",$G146=0),"",ROUND($F146*INDEX('01人员工时'!M$7:M$126,INT((ROW()-7)/4)+1)/$G146,2))</f>
        <v/>
      </c>
      <c r="R146" s="31">
        <f>IF(OR($D146="",$G146=0),"",ROUND($F146*INDEX('01人员工时'!N$7:N$126,INT((ROW()-7)/4)+1)/$G146,2))</f>
        <v/>
      </c>
      <c r="S146" s="31">
        <f>IF($D146="","",SUM(K146:R146))</f>
        <v/>
      </c>
      <c r="T146" s="31">
        <f>IF($D146="","",$J146+$S146)</f>
        <v/>
      </c>
      <c r="U146" s="32">
        <f>IF($D146="","",IF($F146=0,"未维护标准",IF(ROUND($T146-$F146,2)=0,"√","差异")))</f>
        <v/>
      </c>
      <c r="V146" s="33" t="n"/>
      <c r="W146" s="34" t="n"/>
    </row>
    <row r="147" ht="18" customHeight="1">
      <c r="B147" s="21">
        <f>IF(INDEX('01人员工时'!$D$7:$D$126,INT((ROW()-7)/4)+1)&amp;""="","",INDEX('01人员工时'!$B$7:$B$126,INT((ROW()-7)/4)+1))</f>
        <v/>
      </c>
      <c r="C147" s="22">
        <f>IF($D147="","",IF(MOD(ROW()-7,4)=0,INDEX('01人员工时'!$C$7:$C$126,INT((ROW()-7)/4)+1),""))</f>
        <v/>
      </c>
      <c r="D147" s="22">
        <f>IF(INDEX('01人员工时'!$D$7:$D$126,INT((ROW()-7)/4)+1)&amp;""="","",INDEX('01人员工时'!$D$7:$D$126,INT((ROW()-7)/4)+1))</f>
        <v/>
      </c>
      <c r="E147" s="22">
        <f>IF($D147="","",INDEX('参数设置'!$K$6:$K$9,MOD(ROW()-7,4)+1))</f>
        <v/>
      </c>
      <c r="F147" s="23">
        <f>IF($D147="","",IF($V147&lt;&gt;"",$V147,IFERROR(INDEX('参数设置'!$D$17:$G$26,MATCH($D147,'参数设置'!$C$17:$C$26,0),MATCH($E147,'参数设置'!$D$16:$G$16,0)),0)))</f>
        <v/>
      </c>
      <c r="G147" s="24">
        <f>IF($D147="","",INDEX('01人员工时'!$E$7:$E$126,INT((ROW()-7)/4)+1))</f>
        <v/>
      </c>
      <c r="H147" s="24">
        <f>IF($D147="","",INDEX('01人员工时'!$O$7:$O$126,INT((ROW()-7)/4)+1))</f>
        <v/>
      </c>
      <c r="I147" s="20">
        <f>IF(OR($D147="",$G147=0),"",$H147/$G147)</f>
        <v/>
      </c>
      <c r="J147" s="12">
        <f>IF($D147="","",ROUND($F147,2)-$S147)</f>
        <v/>
      </c>
      <c r="K147" s="12">
        <f>IF(OR($D147="",$G147=0),"",ROUND($F147*INDEX('01人员工时'!G$7:G$126,INT((ROW()-7)/4)+1)/$G147,2))</f>
        <v/>
      </c>
      <c r="L147" s="12">
        <f>IF(OR($D147="",$G147=0),"",ROUND($F147*INDEX('01人员工时'!H$7:H$126,INT((ROW()-7)/4)+1)/$G147,2))</f>
        <v/>
      </c>
      <c r="M147" s="12">
        <f>IF(OR($D147="",$G147=0),"",ROUND($F147*INDEX('01人员工时'!I$7:I$126,INT((ROW()-7)/4)+1)/$G147,2))</f>
        <v/>
      </c>
      <c r="N147" s="12">
        <f>IF(OR($D147="",$G147=0),"",ROUND($F147*INDEX('01人员工时'!J$7:J$126,INT((ROW()-7)/4)+1)/$G147,2))</f>
        <v/>
      </c>
      <c r="O147" s="12">
        <f>IF(OR($D147="",$G147=0),"",ROUND($F147*INDEX('01人员工时'!K$7:K$126,INT((ROW()-7)/4)+1)/$G147,2))</f>
        <v/>
      </c>
      <c r="P147" s="12">
        <f>IF(OR($D147="",$G147=0),"",ROUND($F147*INDEX('01人员工时'!L$7:L$126,INT((ROW()-7)/4)+1)/$G147,2))</f>
        <v/>
      </c>
      <c r="Q147" s="12">
        <f>IF(OR($D147="",$G147=0),"",ROUND($F147*INDEX('01人员工时'!M$7:M$126,INT((ROW()-7)/4)+1)/$G147,2))</f>
        <v/>
      </c>
      <c r="R147" s="12">
        <f>IF(OR($D147="",$G147=0),"",ROUND($F147*INDEX('01人员工时'!N$7:N$126,INT((ROW()-7)/4)+1)/$G147,2))</f>
        <v/>
      </c>
      <c r="S147" s="12">
        <f>IF($D147="","",SUM(K147:R147))</f>
        <v/>
      </c>
      <c r="T147" s="12">
        <f>IF($D147="","",$J147+$S147)</f>
        <v/>
      </c>
      <c r="U147" s="25">
        <f>IF($D147="","",IF($F147=0,"未维护标准",IF(ROUND($T147-$F147,2)=0,"√","差异")))</f>
        <v/>
      </c>
      <c r="V147" s="11" t="n"/>
      <c r="W147" s="9" t="n"/>
    </row>
    <row r="148" ht="18" customHeight="1">
      <c r="B148" s="21">
        <f>IF(INDEX('01人员工时'!$D$7:$D$126,INT((ROW()-7)/4)+1)&amp;""="","",INDEX('01人员工时'!$B$7:$B$126,INT((ROW()-7)/4)+1))</f>
        <v/>
      </c>
      <c r="C148" s="22">
        <f>IF($D148="","",IF(MOD(ROW()-7,4)=0,INDEX('01人员工时'!$C$7:$C$126,INT((ROW()-7)/4)+1),""))</f>
        <v/>
      </c>
      <c r="D148" s="22">
        <f>IF(INDEX('01人员工时'!$D$7:$D$126,INT((ROW()-7)/4)+1)&amp;""="","",INDEX('01人员工时'!$D$7:$D$126,INT((ROW()-7)/4)+1))</f>
        <v/>
      </c>
      <c r="E148" s="22">
        <f>IF($D148="","",INDEX('参数设置'!$K$6:$K$9,MOD(ROW()-7,4)+1))</f>
        <v/>
      </c>
      <c r="F148" s="23">
        <f>IF($D148="","",IF($V148&lt;&gt;"",$V148,IFERROR(INDEX('参数设置'!$D$17:$G$26,MATCH($D148,'参数设置'!$C$17:$C$26,0),MATCH($E148,'参数设置'!$D$16:$G$16,0)),0)))</f>
        <v/>
      </c>
      <c r="G148" s="24">
        <f>IF($D148="","",INDEX('01人员工时'!$E$7:$E$126,INT((ROW()-7)/4)+1))</f>
        <v/>
      </c>
      <c r="H148" s="24">
        <f>IF($D148="","",INDEX('01人员工时'!$O$7:$O$126,INT((ROW()-7)/4)+1))</f>
        <v/>
      </c>
      <c r="I148" s="20">
        <f>IF(OR($D148="",$G148=0),"",$H148/$G148)</f>
        <v/>
      </c>
      <c r="J148" s="12">
        <f>IF($D148="","",ROUND($F148,2)-$S148)</f>
        <v/>
      </c>
      <c r="K148" s="12">
        <f>IF(OR($D148="",$G148=0),"",ROUND($F148*INDEX('01人员工时'!G$7:G$126,INT((ROW()-7)/4)+1)/$G148,2))</f>
        <v/>
      </c>
      <c r="L148" s="12">
        <f>IF(OR($D148="",$G148=0),"",ROUND($F148*INDEX('01人员工时'!H$7:H$126,INT((ROW()-7)/4)+1)/$G148,2))</f>
        <v/>
      </c>
      <c r="M148" s="12">
        <f>IF(OR($D148="",$G148=0),"",ROUND($F148*INDEX('01人员工时'!I$7:I$126,INT((ROW()-7)/4)+1)/$G148,2))</f>
        <v/>
      </c>
      <c r="N148" s="12">
        <f>IF(OR($D148="",$G148=0),"",ROUND($F148*INDEX('01人员工时'!J$7:J$126,INT((ROW()-7)/4)+1)/$G148,2))</f>
        <v/>
      </c>
      <c r="O148" s="12">
        <f>IF(OR($D148="",$G148=0),"",ROUND($F148*INDEX('01人员工时'!K$7:K$126,INT((ROW()-7)/4)+1)/$G148,2))</f>
        <v/>
      </c>
      <c r="P148" s="12">
        <f>IF(OR($D148="",$G148=0),"",ROUND($F148*INDEX('01人员工时'!L$7:L$126,INT((ROW()-7)/4)+1)/$G148,2))</f>
        <v/>
      </c>
      <c r="Q148" s="12">
        <f>IF(OR($D148="",$G148=0),"",ROUND($F148*INDEX('01人员工时'!M$7:M$126,INT((ROW()-7)/4)+1)/$G148,2))</f>
        <v/>
      </c>
      <c r="R148" s="12">
        <f>IF(OR($D148="",$G148=0),"",ROUND($F148*INDEX('01人员工时'!N$7:N$126,INT((ROW()-7)/4)+1)/$G148,2))</f>
        <v/>
      </c>
      <c r="S148" s="12">
        <f>IF($D148="","",SUM(K148:R148))</f>
        <v/>
      </c>
      <c r="T148" s="12">
        <f>IF($D148="","",$J148+$S148)</f>
        <v/>
      </c>
      <c r="U148" s="25">
        <f>IF($D148="","",IF($F148=0,"未维护标准",IF(ROUND($T148-$F148,2)=0,"√","差异")))</f>
        <v/>
      </c>
      <c r="V148" s="11" t="n"/>
      <c r="W148" s="9" t="n"/>
    </row>
    <row r="149" ht="18" customHeight="1">
      <c r="B149" s="21">
        <f>IF(INDEX('01人员工时'!$D$7:$D$126,INT((ROW()-7)/4)+1)&amp;""="","",INDEX('01人员工时'!$B$7:$B$126,INT((ROW()-7)/4)+1))</f>
        <v/>
      </c>
      <c r="C149" s="22">
        <f>IF($D149="","",IF(MOD(ROW()-7,4)=0,INDEX('01人员工时'!$C$7:$C$126,INT((ROW()-7)/4)+1),""))</f>
        <v/>
      </c>
      <c r="D149" s="22">
        <f>IF(INDEX('01人员工时'!$D$7:$D$126,INT((ROW()-7)/4)+1)&amp;""="","",INDEX('01人员工时'!$D$7:$D$126,INT((ROW()-7)/4)+1))</f>
        <v/>
      </c>
      <c r="E149" s="22">
        <f>IF($D149="","",INDEX('参数设置'!$K$6:$K$9,MOD(ROW()-7,4)+1))</f>
        <v/>
      </c>
      <c r="F149" s="23">
        <f>IF($D149="","",IF($V149&lt;&gt;"",$V149,IFERROR(INDEX('参数设置'!$D$17:$G$26,MATCH($D149,'参数设置'!$C$17:$C$26,0),MATCH($E149,'参数设置'!$D$16:$G$16,0)),0)))</f>
        <v/>
      </c>
      <c r="G149" s="24">
        <f>IF($D149="","",INDEX('01人员工时'!$E$7:$E$126,INT((ROW()-7)/4)+1))</f>
        <v/>
      </c>
      <c r="H149" s="24">
        <f>IF($D149="","",INDEX('01人员工时'!$O$7:$O$126,INT((ROW()-7)/4)+1))</f>
        <v/>
      </c>
      <c r="I149" s="20">
        <f>IF(OR($D149="",$G149=0),"",$H149/$G149)</f>
        <v/>
      </c>
      <c r="J149" s="12">
        <f>IF($D149="","",ROUND($F149,2)-$S149)</f>
        <v/>
      </c>
      <c r="K149" s="12">
        <f>IF(OR($D149="",$G149=0),"",ROUND($F149*INDEX('01人员工时'!G$7:G$126,INT((ROW()-7)/4)+1)/$G149,2))</f>
        <v/>
      </c>
      <c r="L149" s="12">
        <f>IF(OR($D149="",$G149=0),"",ROUND($F149*INDEX('01人员工时'!H$7:H$126,INT((ROW()-7)/4)+1)/$G149,2))</f>
        <v/>
      </c>
      <c r="M149" s="12">
        <f>IF(OR($D149="",$G149=0),"",ROUND($F149*INDEX('01人员工时'!I$7:I$126,INT((ROW()-7)/4)+1)/$G149,2))</f>
        <v/>
      </c>
      <c r="N149" s="12">
        <f>IF(OR($D149="",$G149=0),"",ROUND($F149*INDEX('01人员工时'!J$7:J$126,INT((ROW()-7)/4)+1)/$G149,2))</f>
        <v/>
      </c>
      <c r="O149" s="12">
        <f>IF(OR($D149="",$G149=0),"",ROUND($F149*INDEX('01人员工时'!K$7:K$126,INT((ROW()-7)/4)+1)/$G149,2))</f>
        <v/>
      </c>
      <c r="P149" s="12">
        <f>IF(OR($D149="",$G149=0),"",ROUND($F149*INDEX('01人员工时'!L$7:L$126,INT((ROW()-7)/4)+1)/$G149,2))</f>
        <v/>
      </c>
      <c r="Q149" s="12">
        <f>IF(OR($D149="",$G149=0),"",ROUND($F149*INDEX('01人员工时'!M$7:M$126,INT((ROW()-7)/4)+1)/$G149,2))</f>
        <v/>
      </c>
      <c r="R149" s="12">
        <f>IF(OR($D149="",$G149=0),"",ROUND($F149*INDEX('01人员工时'!N$7:N$126,INT((ROW()-7)/4)+1)/$G149,2))</f>
        <v/>
      </c>
      <c r="S149" s="12">
        <f>IF($D149="","",SUM(K149:R149))</f>
        <v/>
      </c>
      <c r="T149" s="12">
        <f>IF($D149="","",$J149+$S149)</f>
        <v/>
      </c>
      <c r="U149" s="25">
        <f>IF($D149="","",IF($F149=0,"未维护标准",IF(ROUND($T149-$F149,2)=0,"√","差异")))</f>
        <v/>
      </c>
      <c r="V149" s="11" t="n"/>
      <c r="W149" s="9" t="n"/>
    </row>
    <row r="150" ht="18" customHeight="1">
      <c r="B150" s="26">
        <f>IF(INDEX('01人员工时'!$D$7:$D$126,INT((ROW()-7)/4)+1)&amp;""="","",INDEX('01人员工时'!$B$7:$B$126,INT((ROW()-7)/4)+1))</f>
        <v/>
      </c>
      <c r="C150" s="27">
        <f>IF($D150="","",IF(MOD(ROW()-7,4)=0,INDEX('01人员工时'!$C$7:$C$126,INT((ROW()-7)/4)+1),""))</f>
        <v/>
      </c>
      <c r="D150" s="27">
        <f>IF(INDEX('01人员工时'!$D$7:$D$126,INT((ROW()-7)/4)+1)&amp;""="","",INDEX('01人员工时'!$D$7:$D$126,INT((ROW()-7)/4)+1))</f>
        <v/>
      </c>
      <c r="E150" s="27">
        <f>IF($D150="","",INDEX('参数设置'!$K$6:$K$9,MOD(ROW()-7,4)+1))</f>
        <v/>
      </c>
      <c r="F150" s="28">
        <f>IF($D150="","",IF($V150&lt;&gt;"",$V150,IFERROR(INDEX('参数设置'!$D$17:$G$26,MATCH($D150,'参数设置'!$C$17:$C$26,0),MATCH($E150,'参数设置'!$D$16:$G$16,0)),0)))</f>
        <v/>
      </c>
      <c r="G150" s="29">
        <f>IF($D150="","",INDEX('01人员工时'!$E$7:$E$126,INT((ROW()-7)/4)+1))</f>
        <v/>
      </c>
      <c r="H150" s="29">
        <f>IF($D150="","",INDEX('01人员工时'!$O$7:$O$126,INT((ROW()-7)/4)+1))</f>
        <v/>
      </c>
      <c r="I150" s="30">
        <f>IF(OR($D150="",$G150=0),"",$H150/$G150)</f>
        <v/>
      </c>
      <c r="J150" s="31">
        <f>IF($D150="","",ROUND($F150,2)-$S150)</f>
        <v/>
      </c>
      <c r="K150" s="31">
        <f>IF(OR($D150="",$G150=0),"",ROUND($F150*INDEX('01人员工时'!G$7:G$126,INT((ROW()-7)/4)+1)/$G150,2))</f>
        <v/>
      </c>
      <c r="L150" s="31">
        <f>IF(OR($D150="",$G150=0),"",ROUND($F150*INDEX('01人员工时'!H$7:H$126,INT((ROW()-7)/4)+1)/$G150,2))</f>
        <v/>
      </c>
      <c r="M150" s="31">
        <f>IF(OR($D150="",$G150=0),"",ROUND($F150*INDEX('01人员工时'!I$7:I$126,INT((ROW()-7)/4)+1)/$G150,2))</f>
        <v/>
      </c>
      <c r="N150" s="31">
        <f>IF(OR($D150="",$G150=0),"",ROUND($F150*INDEX('01人员工时'!J$7:J$126,INT((ROW()-7)/4)+1)/$G150,2))</f>
        <v/>
      </c>
      <c r="O150" s="31">
        <f>IF(OR($D150="",$G150=0),"",ROUND($F150*INDEX('01人员工时'!K$7:K$126,INT((ROW()-7)/4)+1)/$G150,2))</f>
        <v/>
      </c>
      <c r="P150" s="31">
        <f>IF(OR($D150="",$G150=0),"",ROUND($F150*INDEX('01人员工时'!L$7:L$126,INT((ROW()-7)/4)+1)/$G150,2))</f>
        <v/>
      </c>
      <c r="Q150" s="31">
        <f>IF(OR($D150="",$G150=0),"",ROUND($F150*INDEX('01人员工时'!M$7:M$126,INT((ROW()-7)/4)+1)/$G150,2))</f>
        <v/>
      </c>
      <c r="R150" s="31">
        <f>IF(OR($D150="",$G150=0),"",ROUND($F150*INDEX('01人员工时'!N$7:N$126,INT((ROW()-7)/4)+1)/$G150,2))</f>
        <v/>
      </c>
      <c r="S150" s="31">
        <f>IF($D150="","",SUM(K150:R150))</f>
        <v/>
      </c>
      <c r="T150" s="31">
        <f>IF($D150="","",$J150+$S150)</f>
        <v/>
      </c>
      <c r="U150" s="32">
        <f>IF($D150="","",IF($F150=0,"未维护标准",IF(ROUND($T150-$F150,2)=0,"√","差异")))</f>
        <v/>
      </c>
      <c r="V150" s="33" t="n"/>
      <c r="W150" s="34" t="n"/>
    </row>
    <row r="151" ht="18" customHeight="1">
      <c r="B151" s="21">
        <f>IF(INDEX('01人员工时'!$D$7:$D$126,INT((ROW()-7)/4)+1)&amp;""="","",INDEX('01人员工时'!$B$7:$B$126,INT((ROW()-7)/4)+1))</f>
        <v/>
      </c>
      <c r="C151" s="22">
        <f>IF($D151="","",IF(MOD(ROW()-7,4)=0,INDEX('01人员工时'!$C$7:$C$126,INT((ROW()-7)/4)+1),""))</f>
        <v/>
      </c>
      <c r="D151" s="22">
        <f>IF(INDEX('01人员工时'!$D$7:$D$126,INT((ROW()-7)/4)+1)&amp;""="","",INDEX('01人员工时'!$D$7:$D$126,INT((ROW()-7)/4)+1))</f>
        <v/>
      </c>
      <c r="E151" s="22">
        <f>IF($D151="","",INDEX('参数设置'!$K$6:$K$9,MOD(ROW()-7,4)+1))</f>
        <v/>
      </c>
      <c r="F151" s="23">
        <f>IF($D151="","",IF($V151&lt;&gt;"",$V151,IFERROR(INDEX('参数设置'!$D$17:$G$26,MATCH($D151,'参数设置'!$C$17:$C$26,0),MATCH($E151,'参数设置'!$D$16:$G$16,0)),0)))</f>
        <v/>
      </c>
      <c r="G151" s="24">
        <f>IF($D151="","",INDEX('01人员工时'!$E$7:$E$126,INT((ROW()-7)/4)+1))</f>
        <v/>
      </c>
      <c r="H151" s="24">
        <f>IF($D151="","",INDEX('01人员工时'!$O$7:$O$126,INT((ROW()-7)/4)+1))</f>
        <v/>
      </c>
      <c r="I151" s="20">
        <f>IF(OR($D151="",$G151=0),"",$H151/$G151)</f>
        <v/>
      </c>
      <c r="J151" s="12">
        <f>IF($D151="","",ROUND($F151,2)-$S151)</f>
        <v/>
      </c>
      <c r="K151" s="12">
        <f>IF(OR($D151="",$G151=0),"",ROUND($F151*INDEX('01人员工时'!G$7:G$126,INT((ROW()-7)/4)+1)/$G151,2))</f>
        <v/>
      </c>
      <c r="L151" s="12">
        <f>IF(OR($D151="",$G151=0),"",ROUND($F151*INDEX('01人员工时'!H$7:H$126,INT((ROW()-7)/4)+1)/$G151,2))</f>
        <v/>
      </c>
      <c r="M151" s="12">
        <f>IF(OR($D151="",$G151=0),"",ROUND($F151*INDEX('01人员工时'!I$7:I$126,INT((ROW()-7)/4)+1)/$G151,2))</f>
        <v/>
      </c>
      <c r="N151" s="12">
        <f>IF(OR($D151="",$G151=0),"",ROUND($F151*INDEX('01人员工时'!J$7:J$126,INT((ROW()-7)/4)+1)/$G151,2))</f>
        <v/>
      </c>
      <c r="O151" s="12">
        <f>IF(OR($D151="",$G151=0),"",ROUND($F151*INDEX('01人员工时'!K$7:K$126,INT((ROW()-7)/4)+1)/$G151,2))</f>
        <v/>
      </c>
      <c r="P151" s="12">
        <f>IF(OR($D151="",$G151=0),"",ROUND($F151*INDEX('01人员工时'!L$7:L$126,INT((ROW()-7)/4)+1)/$G151,2))</f>
        <v/>
      </c>
      <c r="Q151" s="12">
        <f>IF(OR($D151="",$G151=0),"",ROUND($F151*INDEX('01人员工时'!M$7:M$126,INT((ROW()-7)/4)+1)/$G151,2))</f>
        <v/>
      </c>
      <c r="R151" s="12">
        <f>IF(OR($D151="",$G151=0),"",ROUND($F151*INDEX('01人员工时'!N$7:N$126,INT((ROW()-7)/4)+1)/$G151,2))</f>
        <v/>
      </c>
      <c r="S151" s="12">
        <f>IF($D151="","",SUM(K151:R151))</f>
        <v/>
      </c>
      <c r="T151" s="12">
        <f>IF($D151="","",$J151+$S151)</f>
        <v/>
      </c>
      <c r="U151" s="25">
        <f>IF($D151="","",IF($F151=0,"未维护标准",IF(ROUND($T151-$F151,2)=0,"√","差异")))</f>
        <v/>
      </c>
      <c r="V151" s="11" t="n"/>
      <c r="W151" s="9" t="n"/>
    </row>
    <row r="152" ht="18" customHeight="1">
      <c r="B152" s="21">
        <f>IF(INDEX('01人员工时'!$D$7:$D$126,INT((ROW()-7)/4)+1)&amp;""="","",INDEX('01人员工时'!$B$7:$B$126,INT((ROW()-7)/4)+1))</f>
        <v/>
      </c>
      <c r="C152" s="22">
        <f>IF($D152="","",IF(MOD(ROW()-7,4)=0,INDEX('01人员工时'!$C$7:$C$126,INT((ROW()-7)/4)+1),""))</f>
        <v/>
      </c>
      <c r="D152" s="22">
        <f>IF(INDEX('01人员工时'!$D$7:$D$126,INT((ROW()-7)/4)+1)&amp;""="","",INDEX('01人员工时'!$D$7:$D$126,INT((ROW()-7)/4)+1))</f>
        <v/>
      </c>
      <c r="E152" s="22">
        <f>IF($D152="","",INDEX('参数设置'!$K$6:$K$9,MOD(ROW()-7,4)+1))</f>
        <v/>
      </c>
      <c r="F152" s="23">
        <f>IF($D152="","",IF($V152&lt;&gt;"",$V152,IFERROR(INDEX('参数设置'!$D$17:$G$26,MATCH($D152,'参数设置'!$C$17:$C$26,0),MATCH($E152,'参数设置'!$D$16:$G$16,0)),0)))</f>
        <v/>
      </c>
      <c r="G152" s="24">
        <f>IF($D152="","",INDEX('01人员工时'!$E$7:$E$126,INT((ROW()-7)/4)+1))</f>
        <v/>
      </c>
      <c r="H152" s="24">
        <f>IF($D152="","",INDEX('01人员工时'!$O$7:$O$126,INT((ROW()-7)/4)+1))</f>
        <v/>
      </c>
      <c r="I152" s="20">
        <f>IF(OR($D152="",$G152=0),"",$H152/$G152)</f>
        <v/>
      </c>
      <c r="J152" s="12">
        <f>IF($D152="","",ROUND($F152,2)-$S152)</f>
        <v/>
      </c>
      <c r="K152" s="12">
        <f>IF(OR($D152="",$G152=0),"",ROUND($F152*INDEX('01人员工时'!G$7:G$126,INT((ROW()-7)/4)+1)/$G152,2))</f>
        <v/>
      </c>
      <c r="L152" s="12">
        <f>IF(OR($D152="",$G152=0),"",ROUND($F152*INDEX('01人员工时'!H$7:H$126,INT((ROW()-7)/4)+1)/$G152,2))</f>
        <v/>
      </c>
      <c r="M152" s="12">
        <f>IF(OR($D152="",$G152=0),"",ROUND($F152*INDEX('01人员工时'!I$7:I$126,INT((ROW()-7)/4)+1)/$G152,2))</f>
        <v/>
      </c>
      <c r="N152" s="12">
        <f>IF(OR($D152="",$G152=0),"",ROUND($F152*INDEX('01人员工时'!J$7:J$126,INT((ROW()-7)/4)+1)/$G152,2))</f>
        <v/>
      </c>
      <c r="O152" s="12">
        <f>IF(OR($D152="",$G152=0),"",ROUND($F152*INDEX('01人员工时'!K$7:K$126,INT((ROW()-7)/4)+1)/$G152,2))</f>
        <v/>
      </c>
      <c r="P152" s="12">
        <f>IF(OR($D152="",$G152=0),"",ROUND($F152*INDEX('01人员工时'!L$7:L$126,INT((ROW()-7)/4)+1)/$G152,2))</f>
        <v/>
      </c>
      <c r="Q152" s="12">
        <f>IF(OR($D152="",$G152=0),"",ROUND($F152*INDEX('01人员工时'!M$7:M$126,INT((ROW()-7)/4)+1)/$G152,2))</f>
        <v/>
      </c>
      <c r="R152" s="12">
        <f>IF(OR($D152="",$G152=0),"",ROUND($F152*INDEX('01人员工时'!N$7:N$126,INT((ROW()-7)/4)+1)/$G152,2))</f>
        <v/>
      </c>
      <c r="S152" s="12">
        <f>IF($D152="","",SUM(K152:R152))</f>
        <v/>
      </c>
      <c r="T152" s="12">
        <f>IF($D152="","",$J152+$S152)</f>
        <v/>
      </c>
      <c r="U152" s="25">
        <f>IF($D152="","",IF($F152=0,"未维护标准",IF(ROUND($T152-$F152,2)=0,"√","差异")))</f>
        <v/>
      </c>
      <c r="V152" s="11" t="n"/>
      <c r="W152" s="9" t="n"/>
    </row>
    <row r="153" ht="18" customHeight="1">
      <c r="B153" s="21">
        <f>IF(INDEX('01人员工时'!$D$7:$D$126,INT((ROW()-7)/4)+1)&amp;""="","",INDEX('01人员工时'!$B$7:$B$126,INT((ROW()-7)/4)+1))</f>
        <v/>
      </c>
      <c r="C153" s="22">
        <f>IF($D153="","",IF(MOD(ROW()-7,4)=0,INDEX('01人员工时'!$C$7:$C$126,INT((ROW()-7)/4)+1),""))</f>
        <v/>
      </c>
      <c r="D153" s="22">
        <f>IF(INDEX('01人员工时'!$D$7:$D$126,INT((ROW()-7)/4)+1)&amp;""="","",INDEX('01人员工时'!$D$7:$D$126,INT((ROW()-7)/4)+1))</f>
        <v/>
      </c>
      <c r="E153" s="22">
        <f>IF($D153="","",INDEX('参数设置'!$K$6:$K$9,MOD(ROW()-7,4)+1))</f>
        <v/>
      </c>
      <c r="F153" s="23">
        <f>IF($D153="","",IF($V153&lt;&gt;"",$V153,IFERROR(INDEX('参数设置'!$D$17:$G$26,MATCH($D153,'参数设置'!$C$17:$C$26,0),MATCH($E153,'参数设置'!$D$16:$G$16,0)),0)))</f>
        <v/>
      </c>
      <c r="G153" s="24">
        <f>IF($D153="","",INDEX('01人员工时'!$E$7:$E$126,INT((ROW()-7)/4)+1))</f>
        <v/>
      </c>
      <c r="H153" s="24">
        <f>IF($D153="","",INDEX('01人员工时'!$O$7:$O$126,INT((ROW()-7)/4)+1))</f>
        <v/>
      </c>
      <c r="I153" s="20">
        <f>IF(OR($D153="",$G153=0),"",$H153/$G153)</f>
        <v/>
      </c>
      <c r="J153" s="12">
        <f>IF($D153="","",ROUND($F153,2)-$S153)</f>
        <v/>
      </c>
      <c r="K153" s="12">
        <f>IF(OR($D153="",$G153=0),"",ROUND($F153*INDEX('01人员工时'!G$7:G$126,INT((ROW()-7)/4)+1)/$G153,2))</f>
        <v/>
      </c>
      <c r="L153" s="12">
        <f>IF(OR($D153="",$G153=0),"",ROUND($F153*INDEX('01人员工时'!H$7:H$126,INT((ROW()-7)/4)+1)/$G153,2))</f>
        <v/>
      </c>
      <c r="M153" s="12">
        <f>IF(OR($D153="",$G153=0),"",ROUND($F153*INDEX('01人员工时'!I$7:I$126,INT((ROW()-7)/4)+1)/$G153,2))</f>
        <v/>
      </c>
      <c r="N153" s="12">
        <f>IF(OR($D153="",$G153=0),"",ROUND($F153*INDEX('01人员工时'!J$7:J$126,INT((ROW()-7)/4)+1)/$G153,2))</f>
        <v/>
      </c>
      <c r="O153" s="12">
        <f>IF(OR($D153="",$G153=0),"",ROUND($F153*INDEX('01人员工时'!K$7:K$126,INT((ROW()-7)/4)+1)/$G153,2))</f>
        <v/>
      </c>
      <c r="P153" s="12">
        <f>IF(OR($D153="",$G153=0),"",ROUND($F153*INDEX('01人员工时'!L$7:L$126,INT((ROW()-7)/4)+1)/$G153,2))</f>
        <v/>
      </c>
      <c r="Q153" s="12">
        <f>IF(OR($D153="",$G153=0),"",ROUND($F153*INDEX('01人员工时'!M$7:M$126,INT((ROW()-7)/4)+1)/$G153,2))</f>
        <v/>
      </c>
      <c r="R153" s="12">
        <f>IF(OR($D153="",$G153=0),"",ROUND($F153*INDEX('01人员工时'!N$7:N$126,INT((ROW()-7)/4)+1)/$G153,2))</f>
        <v/>
      </c>
      <c r="S153" s="12">
        <f>IF($D153="","",SUM(K153:R153))</f>
        <v/>
      </c>
      <c r="T153" s="12">
        <f>IF($D153="","",$J153+$S153)</f>
        <v/>
      </c>
      <c r="U153" s="25">
        <f>IF($D153="","",IF($F153=0,"未维护标准",IF(ROUND($T153-$F153,2)=0,"√","差异")))</f>
        <v/>
      </c>
      <c r="V153" s="11" t="n"/>
      <c r="W153" s="9" t="n"/>
    </row>
    <row r="154" ht="18" customHeight="1">
      <c r="B154" s="26">
        <f>IF(INDEX('01人员工时'!$D$7:$D$126,INT((ROW()-7)/4)+1)&amp;""="","",INDEX('01人员工时'!$B$7:$B$126,INT((ROW()-7)/4)+1))</f>
        <v/>
      </c>
      <c r="C154" s="27">
        <f>IF($D154="","",IF(MOD(ROW()-7,4)=0,INDEX('01人员工时'!$C$7:$C$126,INT((ROW()-7)/4)+1),""))</f>
        <v/>
      </c>
      <c r="D154" s="27">
        <f>IF(INDEX('01人员工时'!$D$7:$D$126,INT((ROW()-7)/4)+1)&amp;""="","",INDEX('01人员工时'!$D$7:$D$126,INT((ROW()-7)/4)+1))</f>
        <v/>
      </c>
      <c r="E154" s="27">
        <f>IF($D154="","",INDEX('参数设置'!$K$6:$K$9,MOD(ROW()-7,4)+1))</f>
        <v/>
      </c>
      <c r="F154" s="28">
        <f>IF($D154="","",IF($V154&lt;&gt;"",$V154,IFERROR(INDEX('参数设置'!$D$17:$G$26,MATCH($D154,'参数设置'!$C$17:$C$26,0),MATCH($E154,'参数设置'!$D$16:$G$16,0)),0)))</f>
        <v/>
      </c>
      <c r="G154" s="29">
        <f>IF($D154="","",INDEX('01人员工时'!$E$7:$E$126,INT((ROW()-7)/4)+1))</f>
        <v/>
      </c>
      <c r="H154" s="29">
        <f>IF($D154="","",INDEX('01人员工时'!$O$7:$O$126,INT((ROW()-7)/4)+1))</f>
        <v/>
      </c>
      <c r="I154" s="30">
        <f>IF(OR($D154="",$G154=0),"",$H154/$G154)</f>
        <v/>
      </c>
      <c r="J154" s="31">
        <f>IF($D154="","",ROUND($F154,2)-$S154)</f>
        <v/>
      </c>
      <c r="K154" s="31">
        <f>IF(OR($D154="",$G154=0),"",ROUND($F154*INDEX('01人员工时'!G$7:G$126,INT((ROW()-7)/4)+1)/$G154,2))</f>
        <v/>
      </c>
      <c r="L154" s="31">
        <f>IF(OR($D154="",$G154=0),"",ROUND($F154*INDEX('01人员工时'!H$7:H$126,INT((ROW()-7)/4)+1)/$G154,2))</f>
        <v/>
      </c>
      <c r="M154" s="31">
        <f>IF(OR($D154="",$G154=0),"",ROUND($F154*INDEX('01人员工时'!I$7:I$126,INT((ROW()-7)/4)+1)/$G154,2))</f>
        <v/>
      </c>
      <c r="N154" s="31">
        <f>IF(OR($D154="",$G154=0),"",ROUND($F154*INDEX('01人员工时'!J$7:J$126,INT((ROW()-7)/4)+1)/$G154,2))</f>
        <v/>
      </c>
      <c r="O154" s="31">
        <f>IF(OR($D154="",$G154=0),"",ROUND($F154*INDEX('01人员工时'!K$7:K$126,INT((ROW()-7)/4)+1)/$G154,2))</f>
        <v/>
      </c>
      <c r="P154" s="31">
        <f>IF(OR($D154="",$G154=0),"",ROUND($F154*INDEX('01人员工时'!L$7:L$126,INT((ROW()-7)/4)+1)/$G154,2))</f>
        <v/>
      </c>
      <c r="Q154" s="31">
        <f>IF(OR($D154="",$G154=0),"",ROUND($F154*INDEX('01人员工时'!M$7:M$126,INT((ROW()-7)/4)+1)/$G154,2))</f>
        <v/>
      </c>
      <c r="R154" s="31">
        <f>IF(OR($D154="",$G154=0),"",ROUND($F154*INDEX('01人员工时'!N$7:N$126,INT((ROW()-7)/4)+1)/$G154,2))</f>
        <v/>
      </c>
      <c r="S154" s="31">
        <f>IF($D154="","",SUM(K154:R154))</f>
        <v/>
      </c>
      <c r="T154" s="31">
        <f>IF($D154="","",$J154+$S154)</f>
        <v/>
      </c>
      <c r="U154" s="32">
        <f>IF($D154="","",IF($F154=0,"未维护标准",IF(ROUND($T154-$F154,2)=0,"√","差异")))</f>
        <v/>
      </c>
      <c r="V154" s="33" t="n"/>
      <c r="W154" s="34" t="n"/>
    </row>
    <row r="155" ht="18" customHeight="1">
      <c r="B155" s="21">
        <f>IF(INDEX('01人员工时'!$D$7:$D$126,INT((ROW()-7)/4)+1)&amp;""="","",INDEX('01人员工时'!$B$7:$B$126,INT((ROW()-7)/4)+1))</f>
        <v/>
      </c>
      <c r="C155" s="22">
        <f>IF($D155="","",IF(MOD(ROW()-7,4)=0,INDEX('01人员工时'!$C$7:$C$126,INT((ROW()-7)/4)+1),""))</f>
        <v/>
      </c>
      <c r="D155" s="22">
        <f>IF(INDEX('01人员工时'!$D$7:$D$126,INT((ROW()-7)/4)+1)&amp;""="","",INDEX('01人员工时'!$D$7:$D$126,INT((ROW()-7)/4)+1))</f>
        <v/>
      </c>
      <c r="E155" s="22">
        <f>IF($D155="","",INDEX('参数设置'!$K$6:$K$9,MOD(ROW()-7,4)+1))</f>
        <v/>
      </c>
      <c r="F155" s="23">
        <f>IF($D155="","",IF($V155&lt;&gt;"",$V155,IFERROR(INDEX('参数设置'!$D$17:$G$26,MATCH($D155,'参数设置'!$C$17:$C$26,0),MATCH($E155,'参数设置'!$D$16:$G$16,0)),0)))</f>
        <v/>
      </c>
      <c r="G155" s="24">
        <f>IF($D155="","",INDEX('01人员工时'!$E$7:$E$126,INT((ROW()-7)/4)+1))</f>
        <v/>
      </c>
      <c r="H155" s="24">
        <f>IF($D155="","",INDEX('01人员工时'!$O$7:$O$126,INT((ROW()-7)/4)+1))</f>
        <v/>
      </c>
      <c r="I155" s="20">
        <f>IF(OR($D155="",$G155=0),"",$H155/$G155)</f>
        <v/>
      </c>
      <c r="J155" s="12">
        <f>IF($D155="","",ROUND($F155,2)-$S155)</f>
        <v/>
      </c>
      <c r="K155" s="12">
        <f>IF(OR($D155="",$G155=0),"",ROUND($F155*INDEX('01人员工时'!G$7:G$126,INT((ROW()-7)/4)+1)/$G155,2))</f>
        <v/>
      </c>
      <c r="L155" s="12">
        <f>IF(OR($D155="",$G155=0),"",ROUND($F155*INDEX('01人员工时'!H$7:H$126,INT((ROW()-7)/4)+1)/$G155,2))</f>
        <v/>
      </c>
      <c r="M155" s="12">
        <f>IF(OR($D155="",$G155=0),"",ROUND($F155*INDEX('01人员工时'!I$7:I$126,INT((ROW()-7)/4)+1)/$G155,2))</f>
        <v/>
      </c>
      <c r="N155" s="12">
        <f>IF(OR($D155="",$G155=0),"",ROUND($F155*INDEX('01人员工时'!J$7:J$126,INT((ROW()-7)/4)+1)/$G155,2))</f>
        <v/>
      </c>
      <c r="O155" s="12">
        <f>IF(OR($D155="",$G155=0),"",ROUND($F155*INDEX('01人员工时'!K$7:K$126,INT((ROW()-7)/4)+1)/$G155,2))</f>
        <v/>
      </c>
      <c r="P155" s="12">
        <f>IF(OR($D155="",$G155=0),"",ROUND($F155*INDEX('01人员工时'!L$7:L$126,INT((ROW()-7)/4)+1)/$G155,2))</f>
        <v/>
      </c>
      <c r="Q155" s="12">
        <f>IF(OR($D155="",$G155=0),"",ROUND($F155*INDEX('01人员工时'!M$7:M$126,INT((ROW()-7)/4)+1)/$G155,2))</f>
        <v/>
      </c>
      <c r="R155" s="12">
        <f>IF(OR($D155="",$G155=0),"",ROUND($F155*INDEX('01人员工时'!N$7:N$126,INT((ROW()-7)/4)+1)/$G155,2))</f>
        <v/>
      </c>
      <c r="S155" s="12">
        <f>IF($D155="","",SUM(K155:R155))</f>
        <v/>
      </c>
      <c r="T155" s="12">
        <f>IF($D155="","",$J155+$S155)</f>
        <v/>
      </c>
      <c r="U155" s="25">
        <f>IF($D155="","",IF($F155=0,"未维护标准",IF(ROUND($T155-$F155,2)=0,"√","差异")))</f>
        <v/>
      </c>
      <c r="V155" s="11" t="n"/>
      <c r="W155" s="9" t="n"/>
    </row>
    <row r="156" ht="18" customHeight="1">
      <c r="B156" s="21">
        <f>IF(INDEX('01人员工时'!$D$7:$D$126,INT((ROW()-7)/4)+1)&amp;""="","",INDEX('01人员工时'!$B$7:$B$126,INT((ROW()-7)/4)+1))</f>
        <v/>
      </c>
      <c r="C156" s="22">
        <f>IF($D156="","",IF(MOD(ROW()-7,4)=0,INDEX('01人员工时'!$C$7:$C$126,INT((ROW()-7)/4)+1),""))</f>
        <v/>
      </c>
      <c r="D156" s="22">
        <f>IF(INDEX('01人员工时'!$D$7:$D$126,INT((ROW()-7)/4)+1)&amp;""="","",INDEX('01人员工时'!$D$7:$D$126,INT((ROW()-7)/4)+1))</f>
        <v/>
      </c>
      <c r="E156" s="22">
        <f>IF($D156="","",INDEX('参数设置'!$K$6:$K$9,MOD(ROW()-7,4)+1))</f>
        <v/>
      </c>
      <c r="F156" s="23">
        <f>IF($D156="","",IF($V156&lt;&gt;"",$V156,IFERROR(INDEX('参数设置'!$D$17:$G$26,MATCH($D156,'参数设置'!$C$17:$C$26,0),MATCH($E156,'参数设置'!$D$16:$G$16,0)),0)))</f>
        <v/>
      </c>
      <c r="G156" s="24">
        <f>IF($D156="","",INDEX('01人员工时'!$E$7:$E$126,INT((ROW()-7)/4)+1))</f>
        <v/>
      </c>
      <c r="H156" s="24">
        <f>IF($D156="","",INDEX('01人员工时'!$O$7:$O$126,INT((ROW()-7)/4)+1))</f>
        <v/>
      </c>
      <c r="I156" s="20">
        <f>IF(OR($D156="",$G156=0),"",$H156/$G156)</f>
        <v/>
      </c>
      <c r="J156" s="12">
        <f>IF($D156="","",ROUND($F156,2)-$S156)</f>
        <v/>
      </c>
      <c r="K156" s="12">
        <f>IF(OR($D156="",$G156=0),"",ROUND($F156*INDEX('01人员工时'!G$7:G$126,INT((ROW()-7)/4)+1)/$G156,2))</f>
        <v/>
      </c>
      <c r="L156" s="12">
        <f>IF(OR($D156="",$G156=0),"",ROUND($F156*INDEX('01人员工时'!H$7:H$126,INT((ROW()-7)/4)+1)/$G156,2))</f>
        <v/>
      </c>
      <c r="M156" s="12">
        <f>IF(OR($D156="",$G156=0),"",ROUND($F156*INDEX('01人员工时'!I$7:I$126,INT((ROW()-7)/4)+1)/$G156,2))</f>
        <v/>
      </c>
      <c r="N156" s="12">
        <f>IF(OR($D156="",$G156=0),"",ROUND($F156*INDEX('01人员工时'!J$7:J$126,INT((ROW()-7)/4)+1)/$G156,2))</f>
        <v/>
      </c>
      <c r="O156" s="12">
        <f>IF(OR($D156="",$G156=0),"",ROUND($F156*INDEX('01人员工时'!K$7:K$126,INT((ROW()-7)/4)+1)/$G156,2))</f>
        <v/>
      </c>
      <c r="P156" s="12">
        <f>IF(OR($D156="",$G156=0),"",ROUND($F156*INDEX('01人员工时'!L$7:L$126,INT((ROW()-7)/4)+1)/$G156,2))</f>
        <v/>
      </c>
      <c r="Q156" s="12">
        <f>IF(OR($D156="",$G156=0),"",ROUND($F156*INDEX('01人员工时'!M$7:M$126,INT((ROW()-7)/4)+1)/$G156,2))</f>
        <v/>
      </c>
      <c r="R156" s="12">
        <f>IF(OR($D156="",$G156=0),"",ROUND($F156*INDEX('01人员工时'!N$7:N$126,INT((ROW()-7)/4)+1)/$G156,2))</f>
        <v/>
      </c>
      <c r="S156" s="12">
        <f>IF($D156="","",SUM(K156:R156))</f>
        <v/>
      </c>
      <c r="T156" s="12">
        <f>IF($D156="","",$J156+$S156)</f>
        <v/>
      </c>
      <c r="U156" s="25">
        <f>IF($D156="","",IF($F156=0,"未维护标准",IF(ROUND($T156-$F156,2)=0,"√","差异")))</f>
        <v/>
      </c>
      <c r="V156" s="11" t="n"/>
      <c r="W156" s="9" t="n"/>
    </row>
    <row r="157" ht="18" customHeight="1">
      <c r="B157" s="21">
        <f>IF(INDEX('01人员工时'!$D$7:$D$126,INT((ROW()-7)/4)+1)&amp;""="","",INDEX('01人员工时'!$B$7:$B$126,INT((ROW()-7)/4)+1))</f>
        <v/>
      </c>
      <c r="C157" s="22">
        <f>IF($D157="","",IF(MOD(ROW()-7,4)=0,INDEX('01人员工时'!$C$7:$C$126,INT((ROW()-7)/4)+1),""))</f>
        <v/>
      </c>
      <c r="D157" s="22">
        <f>IF(INDEX('01人员工时'!$D$7:$D$126,INT((ROW()-7)/4)+1)&amp;""="","",INDEX('01人员工时'!$D$7:$D$126,INT((ROW()-7)/4)+1))</f>
        <v/>
      </c>
      <c r="E157" s="22">
        <f>IF($D157="","",INDEX('参数设置'!$K$6:$K$9,MOD(ROW()-7,4)+1))</f>
        <v/>
      </c>
      <c r="F157" s="23">
        <f>IF($D157="","",IF($V157&lt;&gt;"",$V157,IFERROR(INDEX('参数设置'!$D$17:$G$26,MATCH($D157,'参数设置'!$C$17:$C$26,0),MATCH($E157,'参数设置'!$D$16:$G$16,0)),0)))</f>
        <v/>
      </c>
      <c r="G157" s="24">
        <f>IF($D157="","",INDEX('01人员工时'!$E$7:$E$126,INT((ROW()-7)/4)+1))</f>
        <v/>
      </c>
      <c r="H157" s="24">
        <f>IF($D157="","",INDEX('01人员工时'!$O$7:$O$126,INT((ROW()-7)/4)+1))</f>
        <v/>
      </c>
      <c r="I157" s="20">
        <f>IF(OR($D157="",$G157=0),"",$H157/$G157)</f>
        <v/>
      </c>
      <c r="J157" s="12">
        <f>IF($D157="","",ROUND($F157,2)-$S157)</f>
        <v/>
      </c>
      <c r="K157" s="12">
        <f>IF(OR($D157="",$G157=0),"",ROUND($F157*INDEX('01人员工时'!G$7:G$126,INT((ROW()-7)/4)+1)/$G157,2))</f>
        <v/>
      </c>
      <c r="L157" s="12">
        <f>IF(OR($D157="",$G157=0),"",ROUND($F157*INDEX('01人员工时'!H$7:H$126,INT((ROW()-7)/4)+1)/$G157,2))</f>
        <v/>
      </c>
      <c r="M157" s="12">
        <f>IF(OR($D157="",$G157=0),"",ROUND($F157*INDEX('01人员工时'!I$7:I$126,INT((ROW()-7)/4)+1)/$G157,2))</f>
        <v/>
      </c>
      <c r="N157" s="12">
        <f>IF(OR($D157="",$G157=0),"",ROUND($F157*INDEX('01人员工时'!J$7:J$126,INT((ROW()-7)/4)+1)/$G157,2))</f>
        <v/>
      </c>
      <c r="O157" s="12">
        <f>IF(OR($D157="",$G157=0),"",ROUND($F157*INDEX('01人员工时'!K$7:K$126,INT((ROW()-7)/4)+1)/$G157,2))</f>
        <v/>
      </c>
      <c r="P157" s="12">
        <f>IF(OR($D157="",$G157=0),"",ROUND($F157*INDEX('01人员工时'!L$7:L$126,INT((ROW()-7)/4)+1)/$G157,2))</f>
        <v/>
      </c>
      <c r="Q157" s="12">
        <f>IF(OR($D157="",$G157=0),"",ROUND($F157*INDEX('01人员工时'!M$7:M$126,INT((ROW()-7)/4)+1)/$G157,2))</f>
        <v/>
      </c>
      <c r="R157" s="12">
        <f>IF(OR($D157="",$G157=0),"",ROUND($F157*INDEX('01人员工时'!N$7:N$126,INT((ROW()-7)/4)+1)/$G157,2))</f>
        <v/>
      </c>
      <c r="S157" s="12">
        <f>IF($D157="","",SUM(K157:R157))</f>
        <v/>
      </c>
      <c r="T157" s="12">
        <f>IF($D157="","",$J157+$S157)</f>
        <v/>
      </c>
      <c r="U157" s="25">
        <f>IF($D157="","",IF($F157=0,"未维护标准",IF(ROUND($T157-$F157,2)=0,"√","差异")))</f>
        <v/>
      </c>
      <c r="V157" s="11" t="n"/>
      <c r="W157" s="9" t="n"/>
    </row>
    <row r="158" ht="18" customHeight="1">
      <c r="B158" s="26">
        <f>IF(INDEX('01人员工时'!$D$7:$D$126,INT((ROW()-7)/4)+1)&amp;""="","",INDEX('01人员工时'!$B$7:$B$126,INT((ROW()-7)/4)+1))</f>
        <v/>
      </c>
      <c r="C158" s="27">
        <f>IF($D158="","",IF(MOD(ROW()-7,4)=0,INDEX('01人员工时'!$C$7:$C$126,INT((ROW()-7)/4)+1),""))</f>
        <v/>
      </c>
      <c r="D158" s="27">
        <f>IF(INDEX('01人员工时'!$D$7:$D$126,INT((ROW()-7)/4)+1)&amp;""="","",INDEX('01人员工时'!$D$7:$D$126,INT((ROW()-7)/4)+1))</f>
        <v/>
      </c>
      <c r="E158" s="27">
        <f>IF($D158="","",INDEX('参数设置'!$K$6:$K$9,MOD(ROW()-7,4)+1))</f>
        <v/>
      </c>
      <c r="F158" s="28">
        <f>IF($D158="","",IF($V158&lt;&gt;"",$V158,IFERROR(INDEX('参数设置'!$D$17:$G$26,MATCH($D158,'参数设置'!$C$17:$C$26,0),MATCH($E158,'参数设置'!$D$16:$G$16,0)),0)))</f>
        <v/>
      </c>
      <c r="G158" s="29">
        <f>IF($D158="","",INDEX('01人员工时'!$E$7:$E$126,INT((ROW()-7)/4)+1))</f>
        <v/>
      </c>
      <c r="H158" s="29">
        <f>IF($D158="","",INDEX('01人员工时'!$O$7:$O$126,INT((ROW()-7)/4)+1))</f>
        <v/>
      </c>
      <c r="I158" s="30">
        <f>IF(OR($D158="",$G158=0),"",$H158/$G158)</f>
        <v/>
      </c>
      <c r="J158" s="31">
        <f>IF($D158="","",ROUND($F158,2)-$S158)</f>
        <v/>
      </c>
      <c r="K158" s="31">
        <f>IF(OR($D158="",$G158=0),"",ROUND($F158*INDEX('01人员工时'!G$7:G$126,INT((ROW()-7)/4)+1)/$G158,2))</f>
        <v/>
      </c>
      <c r="L158" s="31">
        <f>IF(OR($D158="",$G158=0),"",ROUND($F158*INDEX('01人员工时'!H$7:H$126,INT((ROW()-7)/4)+1)/$G158,2))</f>
        <v/>
      </c>
      <c r="M158" s="31">
        <f>IF(OR($D158="",$G158=0),"",ROUND($F158*INDEX('01人员工时'!I$7:I$126,INT((ROW()-7)/4)+1)/$G158,2))</f>
        <v/>
      </c>
      <c r="N158" s="31">
        <f>IF(OR($D158="",$G158=0),"",ROUND($F158*INDEX('01人员工时'!J$7:J$126,INT((ROW()-7)/4)+1)/$G158,2))</f>
        <v/>
      </c>
      <c r="O158" s="31">
        <f>IF(OR($D158="",$G158=0),"",ROUND($F158*INDEX('01人员工时'!K$7:K$126,INT((ROW()-7)/4)+1)/$G158,2))</f>
        <v/>
      </c>
      <c r="P158" s="31">
        <f>IF(OR($D158="",$G158=0),"",ROUND($F158*INDEX('01人员工时'!L$7:L$126,INT((ROW()-7)/4)+1)/$G158,2))</f>
        <v/>
      </c>
      <c r="Q158" s="31">
        <f>IF(OR($D158="",$G158=0),"",ROUND($F158*INDEX('01人员工时'!M$7:M$126,INT((ROW()-7)/4)+1)/$G158,2))</f>
        <v/>
      </c>
      <c r="R158" s="31">
        <f>IF(OR($D158="",$G158=0),"",ROUND($F158*INDEX('01人员工时'!N$7:N$126,INT((ROW()-7)/4)+1)/$G158,2))</f>
        <v/>
      </c>
      <c r="S158" s="31">
        <f>IF($D158="","",SUM(K158:R158))</f>
        <v/>
      </c>
      <c r="T158" s="31">
        <f>IF($D158="","",$J158+$S158)</f>
        <v/>
      </c>
      <c r="U158" s="32">
        <f>IF($D158="","",IF($F158=0,"未维护标准",IF(ROUND($T158-$F158,2)=0,"√","差异")))</f>
        <v/>
      </c>
      <c r="V158" s="33" t="n"/>
      <c r="W158" s="34" t="n"/>
    </row>
    <row r="159" ht="18" customHeight="1">
      <c r="B159" s="21">
        <f>IF(INDEX('01人员工时'!$D$7:$D$126,INT((ROW()-7)/4)+1)&amp;""="","",INDEX('01人员工时'!$B$7:$B$126,INT((ROW()-7)/4)+1))</f>
        <v/>
      </c>
      <c r="C159" s="22">
        <f>IF($D159="","",IF(MOD(ROW()-7,4)=0,INDEX('01人员工时'!$C$7:$C$126,INT((ROW()-7)/4)+1),""))</f>
        <v/>
      </c>
      <c r="D159" s="22">
        <f>IF(INDEX('01人员工时'!$D$7:$D$126,INT((ROW()-7)/4)+1)&amp;""="","",INDEX('01人员工时'!$D$7:$D$126,INT((ROW()-7)/4)+1))</f>
        <v/>
      </c>
      <c r="E159" s="22">
        <f>IF($D159="","",INDEX('参数设置'!$K$6:$K$9,MOD(ROW()-7,4)+1))</f>
        <v/>
      </c>
      <c r="F159" s="23">
        <f>IF($D159="","",IF($V159&lt;&gt;"",$V159,IFERROR(INDEX('参数设置'!$D$17:$G$26,MATCH($D159,'参数设置'!$C$17:$C$26,0),MATCH($E159,'参数设置'!$D$16:$G$16,0)),0)))</f>
        <v/>
      </c>
      <c r="G159" s="24">
        <f>IF($D159="","",INDEX('01人员工时'!$E$7:$E$126,INT((ROW()-7)/4)+1))</f>
        <v/>
      </c>
      <c r="H159" s="24">
        <f>IF($D159="","",INDEX('01人员工时'!$O$7:$O$126,INT((ROW()-7)/4)+1))</f>
        <v/>
      </c>
      <c r="I159" s="20">
        <f>IF(OR($D159="",$G159=0),"",$H159/$G159)</f>
        <v/>
      </c>
      <c r="J159" s="12">
        <f>IF($D159="","",ROUND($F159,2)-$S159)</f>
        <v/>
      </c>
      <c r="K159" s="12">
        <f>IF(OR($D159="",$G159=0),"",ROUND($F159*INDEX('01人员工时'!G$7:G$126,INT((ROW()-7)/4)+1)/$G159,2))</f>
        <v/>
      </c>
      <c r="L159" s="12">
        <f>IF(OR($D159="",$G159=0),"",ROUND($F159*INDEX('01人员工时'!H$7:H$126,INT((ROW()-7)/4)+1)/$G159,2))</f>
        <v/>
      </c>
      <c r="M159" s="12">
        <f>IF(OR($D159="",$G159=0),"",ROUND($F159*INDEX('01人员工时'!I$7:I$126,INT((ROW()-7)/4)+1)/$G159,2))</f>
        <v/>
      </c>
      <c r="N159" s="12">
        <f>IF(OR($D159="",$G159=0),"",ROUND($F159*INDEX('01人员工时'!J$7:J$126,INT((ROW()-7)/4)+1)/$G159,2))</f>
        <v/>
      </c>
      <c r="O159" s="12">
        <f>IF(OR($D159="",$G159=0),"",ROUND($F159*INDEX('01人员工时'!K$7:K$126,INT((ROW()-7)/4)+1)/$G159,2))</f>
        <v/>
      </c>
      <c r="P159" s="12">
        <f>IF(OR($D159="",$G159=0),"",ROUND($F159*INDEX('01人员工时'!L$7:L$126,INT((ROW()-7)/4)+1)/$G159,2))</f>
        <v/>
      </c>
      <c r="Q159" s="12">
        <f>IF(OR($D159="",$G159=0),"",ROUND($F159*INDEX('01人员工时'!M$7:M$126,INT((ROW()-7)/4)+1)/$G159,2))</f>
        <v/>
      </c>
      <c r="R159" s="12">
        <f>IF(OR($D159="",$G159=0),"",ROUND($F159*INDEX('01人员工时'!N$7:N$126,INT((ROW()-7)/4)+1)/$G159,2))</f>
        <v/>
      </c>
      <c r="S159" s="12">
        <f>IF($D159="","",SUM(K159:R159))</f>
        <v/>
      </c>
      <c r="T159" s="12">
        <f>IF($D159="","",$J159+$S159)</f>
        <v/>
      </c>
      <c r="U159" s="25">
        <f>IF($D159="","",IF($F159=0,"未维护标准",IF(ROUND($T159-$F159,2)=0,"√","差异")))</f>
        <v/>
      </c>
      <c r="V159" s="11" t="n"/>
      <c r="W159" s="9" t="n"/>
    </row>
    <row r="160" ht="18" customHeight="1">
      <c r="B160" s="21">
        <f>IF(INDEX('01人员工时'!$D$7:$D$126,INT((ROW()-7)/4)+1)&amp;""="","",INDEX('01人员工时'!$B$7:$B$126,INT((ROW()-7)/4)+1))</f>
        <v/>
      </c>
      <c r="C160" s="22">
        <f>IF($D160="","",IF(MOD(ROW()-7,4)=0,INDEX('01人员工时'!$C$7:$C$126,INT((ROW()-7)/4)+1),""))</f>
        <v/>
      </c>
      <c r="D160" s="22">
        <f>IF(INDEX('01人员工时'!$D$7:$D$126,INT((ROW()-7)/4)+1)&amp;""="","",INDEX('01人员工时'!$D$7:$D$126,INT((ROW()-7)/4)+1))</f>
        <v/>
      </c>
      <c r="E160" s="22">
        <f>IF($D160="","",INDEX('参数设置'!$K$6:$K$9,MOD(ROW()-7,4)+1))</f>
        <v/>
      </c>
      <c r="F160" s="23">
        <f>IF($D160="","",IF($V160&lt;&gt;"",$V160,IFERROR(INDEX('参数设置'!$D$17:$G$26,MATCH($D160,'参数设置'!$C$17:$C$26,0),MATCH($E160,'参数设置'!$D$16:$G$16,0)),0)))</f>
        <v/>
      </c>
      <c r="G160" s="24">
        <f>IF($D160="","",INDEX('01人员工时'!$E$7:$E$126,INT((ROW()-7)/4)+1))</f>
        <v/>
      </c>
      <c r="H160" s="24">
        <f>IF($D160="","",INDEX('01人员工时'!$O$7:$O$126,INT((ROW()-7)/4)+1))</f>
        <v/>
      </c>
      <c r="I160" s="20">
        <f>IF(OR($D160="",$G160=0),"",$H160/$G160)</f>
        <v/>
      </c>
      <c r="J160" s="12">
        <f>IF($D160="","",ROUND($F160,2)-$S160)</f>
        <v/>
      </c>
      <c r="K160" s="12">
        <f>IF(OR($D160="",$G160=0),"",ROUND($F160*INDEX('01人员工时'!G$7:G$126,INT((ROW()-7)/4)+1)/$G160,2))</f>
        <v/>
      </c>
      <c r="L160" s="12">
        <f>IF(OR($D160="",$G160=0),"",ROUND($F160*INDEX('01人员工时'!H$7:H$126,INT((ROW()-7)/4)+1)/$G160,2))</f>
        <v/>
      </c>
      <c r="M160" s="12">
        <f>IF(OR($D160="",$G160=0),"",ROUND($F160*INDEX('01人员工时'!I$7:I$126,INT((ROW()-7)/4)+1)/$G160,2))</f>
        <v/>
      </c>
      <c r="N160" s="12">
        <f>IF(OR($D160="",$G160=0),"",ROUND($F160*INDEX('01人员工时'!J$7:J$126,INT((ROW()-7)/4)+1)/$G160,2))</f>
        <v/>
      </c>
      <c r="O160" s="12">
        <f>IF(OR($D160="",$G160=0),"",ROUND($F160*INDEX('01人员工时'!K$7:K$126,INT((ROW()-7)/4)+1)/$G160,2))</f>
        <v/>
      </c>
      <c r="P160" s="12">
        <f>IF(OR($D160="",$G160=0),"",ROUND($F160*INDEX('01人员工时'!L$7:L$126,INT((ROW()-7)/4)+1)/$G160,2))</f>
        <v/>
      </c>
      <c r="Q160" s="12">
        <f>IF(OR($D160="",$G160=0),"",ROUND($F160*INDEX('01人员工时'!M$7:M$126,INT((ROW()-7)/4)+1)/$G160,2))</f>
        <v/>
      </c>
      <c r="R160" s="12">
        <f>IF(OR($D160="",$G160=0),"",ROUND($F160*INDEX('01人员工时'!N$7:N$126,INT((ROW()-7)/4)+1)/$G160,2))</f>
        <v/>
      </c>
      <c r="S160" s="12">
        <f>IF($D160="","",SUM(K160:R160))</f>
        <v/>
      </c>
      <c r="T160" s="12">
        <f>IF($D160="","",$J160+$S160)</f>
        <v/>
      </c>
      <c r="U160" s="25">
        <f>IF($D160="","",IF($F160=0,"未维护标准",IF(ROUND($T160-$F160,2)=0,"√","差异")))</f>
        <v/>
      </c>
      <c r="V160" s="11" t="n"/>
      <c r="W160" s="9" t="n"/>
    </row>
    <row r="161" ht="18" customHeight="1">
      <c r="B161" s="21">
        <f>IF(INDEX('01人员工时'!$D$7:$D$126,INT((ROW()-7)/4)+1)&amp;""="","",INDEX('01人员工时'!$B$7:$B$126,INT((ROW()-7)/4)+1))</f>
        <v/>
      </c>
      <c r="C161" s="22">
        <f>IF($D161="","",IF(MOD(ROW()-7,4)=0,INDEX('01人员工时'!$C$7:$C$126,INT((ROW()-7)/4)+1),""))</f>
        <v/>
      </c>
      <c r="D161" s="22">
        <f>IF(INDEX('01人员工时'!$D$7:$D$126,INT((ROW()-7)/4)+1)&amp;""="","",INDEX('01人员工时'!$D$7:$D$126,INT((ROW()-7)/4)+1))</f>
        <v/>
      </c>
      <c r="E161" s="22">
        <f>IF($D161="","",INDEX('参数设置'!$K$6:$K$9,MOD(ROW()-7,4)+1))</f>
        <v/>
      </c>
      <c r="F161" s="23">
        <f>IF($D161="","",IF($V161&lt;&gt;"",$V161,IFERROR(INDEX('参数设置'!$D$17:$G$26,MATCH($D161,'参数设置'!$C$17:$C$26,0),MATCH($E161,'参数设置'!$D$16:$G$16,0)),0)))</f>
        <v/>
      </c>
      <c r="G161" s="24">
        <f>IF($D161="","",INDEX('01人员工时'!$E$7:$E$126,INT((ROW()-7)/4)+1))</f>
        <v/>
      </c>
      <c r="H161" s="24">
        <f>IF($D161="","",INDEX('01人员工时'!$O$7:$O$126,INT((ROW()-7)/4)+1))</f>
        <v/>
      </c>
      <c r="I161" s="20">
        <f>IF(OR($D161="",$G161=0),"",$H161/$G161)</f>
        <v/>
      </c>
      <c r="J161" s="12">
        <f>IF($D161="","",ROUND($F161,2)-$S161)</f>
        <v/>
      </c>
      <c r="K161" s="12">
        <f>IF(OR($D161="",$G161=0),"",ROUND($F161*INDEX('01人员工时'!G$7:G$126,INT((ROW()-7)/4)+1)/$G161,2))</f>
        <v/>
      </c>
      <c r="L161" s="12">
        <f>IF(OR($D161="",$G161=0),"",ROUND($F161*INDEX('01人员工时'!H$7:H$126,INT((ROW()-7)/4)+1)/$G161,2))</f>
        <v/>
      </c>
      <c r="M161" s="12">
        <f>IF(OR($D161="",$G161=0),"",ROUND($F161*INDEX('01人员工时'!I$7:I$126,INT((ROW()-7)/4)+1)/$G161,2))</f>
        <v/>
      </c>
      <c r="N161" s="12">
        <f>IF(OR($D161="",$G161=0),"",ROUND($F161*INDEX('01人员工时'!J$7:J$126,INT((ROW()-7)/4)+1)/$G161,2))</f>
        <v/>
      </c>
      <c r="O161" s="12">
        <f>IF(OR($D161="",$G161=0),"",ROUND($F161*INDEX('01人员工时'!K$7:K$126,INT((ROW()-7)/4)+1)/$G161,2))</f>
        <v/>
      </c>
      <c r="P161" s="12">
        <f>IF(OR($D161="",$G161=0),"",ROUND($F161*INDEX('01人员工时'!L$7:L$126,INT((ROW()-7)/4)+1)/$G161,2))</f>
        <v/>
      </c>
      <c r="Q161" s="12">
        <f>IF(OR($D161="",$G161=0),"",ROUND($F161*INDEX('01人员工时'!M$7:M$126,INT((ROW()-7)/4)+1)/$G161,2))</f>
        <v/>
      </c>
      <c r="R161" s="12">
        <f>IF(OR($D161="",$G161=0),"",ROUND($F161*INDEX('01人员工时'!N$7:N$126,INT((ROW()-7)/4)+1)/$G161,2))</f>
        <v/>
      </c>
      <c r="S161" s="12">
        <f>IF($D161="","",SUM(K161:R161))</f>
        <v/>
      </c>
      <c r="T161" s="12">
        <f>IF($D161="","",$J161+$S161)</f>
        <v/>
      </c>
      <c r="U161" s="25">
        <f>IF($D161="","",IF($F161=0,"未维护标准",IF(ROUND($T161-$F161,2)=0,"√","差异")))</f>
        <v/>
      </c>
      <c r="V161" s="11" t="n"/>
      <c r="W161" s="9" t="n"/>
    </row>
    <row r="162" ht="18" customHeight="1">
      <c r="B162" s="26">
        <f>IF(INDEX('01人员工时'!$D$7:$D$126,INT((ROW()-7)/4)+1)&amp;""="","",INDEX('01人员工时'!$B$7:$B$126,INT((ROW()-7)/4)+1))</f>
        <v/>
      </c>
      <c r="C162" s="27">
        <f>IF($D162="","",IF(MOD(ROW()-7,4)=0,INDEX('01人员工时'!$C$7:$C$126,INT((ROW()-7)/4)+1),""))</f>
        <v/>
      </c>
      <c r="D162" s="27">
        <f>IF(INDEX('01人员工时'!$D$7:$D$126,INT((ROW()-7)/4)+1)&amp;""="","",INDEX('01人员工时'!$D$7:$D$126,INT((ROW()-7)/4)+1))</f>
        <v/>
      </c>
      <c r="E162" s="27">
        <f>IF($D162="","",INDEX('参数设置'!$K$6:$K$9,MOD(ROW()-7,4)+1))</f>
        <v/>
      </c>
      <c r="F162" s="28">
        <f>IF($D162="","",IF($V162&lt;&gt;"",$V162,IFERROR(INDEX('参数设置'!$D$17:$G$26,MATCH($D162,'参数设置'!$C$17:$C$26,0),MATCH($E162,'参数设置'!$D$16:$G$16,0)),0)))</f>
        <v/>
      </c>
      <c r="G162" s="29">
        <f>IF($D162="","",INDEX('01人员工时'!$E$7:$E$126,INT((ROW()-7)/4)+1))</f>
        <v/>
      </c>
      <c r="H162" s="29">
        <f>IF($D162="","",INDEX('01人员工时'!$O$7:$O$126,INT((ROW()-7)/4)+1))</f>
        <v/>
      </c>
      <c r="I162" s="30">
        <f>IF(OR($D162="",$G162=0),"",$H162/$G162)</f>
        <v/>
      </c>
      <c r="J162" s="31">
        <f>IF($D162="","",ROUND($F162,2)-$S162)</f>
        <v/>
      </c>
      <c r="K162" s="31">
        <f>IF(OR($D162="",$G162=0),"",ROUND($F162*INDEX('01人员工时'!G$7:G$126,INT((ROW()-7)/4)+1)/$G162,2))</f>
        <v/>
      </c>
      <c r="L162" s="31">
        <f>IF(OR($D162="",$G162=0),"",ROUND($F162*INDEX('01人员工时'!H$7:H$126,INT((ROW()-7)/4)+1)/$G162,2))</f>
        <v/>
      </c>
      <c r="M162" s="31">
        <f>IF(OR($D162="",$G162=0),"",ROUND($F162*INDEX('01人员工时'!I$7:I$126,INT((ROW()-7)/4)+1)/$G162,2))</f>
        <v/>
      </c>
      <c r="N162" s="31">
        <f>IF(OR($D162="",$G162=0),"",ROUND($F162*INDEX('01人员工时'!J$7:J$126,INT((ROW()-7)/4)+1)/$G162,2))</f>
        <v/>
      </c>
      <c r="O162" s="31">
        <f>IF(OR($D162="",$G162=0),"",ROUND($F162*INDEX('01人员工时'!K$7:K$126,INT((ROW()-7)/4)+1)/$G162,2))</f>
        <v/>
      </c>
      <c r="P162" s="31">
        <f>IF(OR($D162="",$G162=0),"",ROUND($F162*INDEX('01人员工时'!L$7:L$126,INT((ROW()-7)/4)+1)/$G162,2))</f>
        <v/>
      </c>
      <c r="Q162" s="31">
        <f>IF(OR($D162="",$G162=0),"",ROUND($F162*INDEX('01人员工时'!M$7:M$126,INT((ROW()-7)/4)+1)/$G162,2))</f>
        <v/>
      </c>
      <c r="R162" s="31">
        <f>IF(OR($D162="",$G162=0),"",ROUND($F162*INDEX('01人员工时'!N$7:N$126,INT((ROW()-7)/4)+1)/$G162,2))</f>
        <v/>
      </c>
      <c r="S162" s="31">
        <f>IF($D162="","",SUM(K162:R162))</f>
        <v/>
      </c>
      <c r="T162" s="31">
        <f>IF($D162="","",$J162+$S162)</f>
        <v/>
      </c>
      <c r="U162" s="32">
        <f>IF($D162="","",IF($F162=0,"未维护标准",IF(ROUND($T162-$F162,2)=0,"√","差异")))</f>
        <v/>
      </c>
      <c r="V162" s="33" t="n"/>
      <c r="W162" s="34" t="n"/>
    </row>
    <row r="163" ht="18" customHeight="1">
      <c r="B163" s="21">
        <f>IF(INDEX('01人员工时'!$D$7:$D$126,INT((ROW()-7)/4)+1)&amp;""="","",INDEX('01人员工时'!$B$7:$B$126,INT((ROW()-7)/4)+1))</f>
        <v/>
      </c>
      <c r="C163" s="22">
        <f>IF($D163="","",IF(MOD(ROW()-7,4)=0,INDEX('01人员工时'!$C$7:$C$126,INT((ROW()-7)/4)+1),""))</f>
        <v/>
      </c>
      <c r="D163" s="22">
        <f>IF(INDEX('01人员工时'!$D$7:$D$126,INT((ROW()-7)/4)+1)&amp;""="","",INDEX('01人员工时'!$D$7:$D$126,INT((ROW()-7)/4)+1))</f>
        <v/>
      </c>
      <c r="E163" s="22">
        <f>IF($D163="","",INDEX('参数设置'!$K$6:$K$9,MOD(ROW()-7,4)+1))</f>
        <v/>
      </c>
      <c r="F163" s="23">
        <f>IF($D163="","",IF($V163&lt;&gt;"",$V163,IFERROR(INDEX('参数设置'!$D$17:$G$26,MATCH($D163,'参数设置'!$C$17:$C$26,0),MATCH($E163,'参数设置'!$D$16:$G$16,0)),0)))</f>
        <v/>
      </c>
      <c r="G163" s="24">
        <f>IF($D163="","",INDEX('01人员工时'!$E$7:$E$126,INT((ROW()-7)/4)+1))</f>
        <v/>
      </c>
      <c r="H163" s="24">
        <f>IF($D163="","",INDEX('01人员工时'!$O$7:$O$126,INT((ROW()-7)/4)+1))</f>
        <v/>
      </c>
      <c r="I163" s="20">
        <f>IF(OR($D163="",$G163=0),"",$H163/$G163)</f>
        <v/>
      </c>
      <c r="J163" s="12">
        <f>IF($D163="","",ROUND($F163,2)-$S163)</f>
        <v/>
      </c>
      <c r="K163" s="12">
        <f>IF(OR($D163="",$G163=0),"",ROUND($F163*INDEX('01人员工时'!G$7:G$126,INT((ROW()-7)/4)+1)/$G163,2))</f>
        <v/>
      </c>
      <c r="L163" s="12">
        <f>IF(OR($D163="",$G163=0),"",ROUND($F163*INDEX('01人员工时'!H$7:H$126,INT((ROW()-7)/4)+1)/$G163,2))</f>
        <v/>
      </c>
      <c r="M163" s="12">
        <f>IF(OR($D163="",$G163=0),"",ROUND($F163*INDEX('01人员工时'!I$7:I$126,INT((ROW()-7)/4)+1)/$G163,2))</f>
        <v/>
      </c>
      <c r="N163" s="12">
        <f>IF(OR($D163="",$G163=0),"",ROUND($F163*INDEX('01人员工时'!J$7:J$126,INT((ROW()-7)/4)+1)/$G163,2))</f>
        <v/>
      </c>
      <c r="O163" s="12">
        <f>IF(OR($D163="",$G163=0),"",ROUND($F163*INDEX('01人员工时'!K$7:K$126,INT((ROW()-7)/4)+1)/$G163,2))</f>
        <v/>
      </c>
      <c r="P163" s="12">
        <f>IF(OR($D163="",$G163=0),"",ROUND($F163*INDEX('01人员工时'!L$7:L$126,INT((ROW()-7)/4)+1)/$G163,2))</f>
        <v/>
      </c>
      <c r="Q163" s="12">
        <f>IF(OR($D163="",$G163=0),"",ROUND($F163*INDEX('01人员工时'!M$7:M$126,INT((ROW()-7)/4)+1)/$G163,2))</f>
        <v/>
      </c>
      <c r="R163" s="12">
        <f>IF(OR($D163="",$G163=0),"",ROUND($F163*INDEX('01人员工时'!N$7:N$126,INT((ROW()-7)/4)+1)/$G163,2))</f>
        <v/>
      </c>
      <c r="S163" s="12">
        <f>IF($D163="","",SUM(K163:R163))</f>
        <v/>
      </c>
      <c r="T163" s="12">
        <f>IF($D163="","",$J163+$S163)</f>
        <v/>
      </c>
      <c r="U163" s="25">
        <f>IF($D163="","",IF($F163=0,"未维护标准",IF(ROUND($T163-$F163,2)=0,"√","差异")))</f>
        <v/>
      </c>
      <c r="V163" s="11" t="n"/>
      <c r="W163" s="9" t="n"/>
    </row>
    <row r="164" ht="18" customHeight="1">
      <c r="B164" s="21">
        <f>IF(INDEX('01人员工时'!$D$7:$D$126,INT((ROW()-7)/4)+1)&amp;""="","",INDEX('01人员工时'!$B$7:$B$126,INT((ROW()-7)/4)+1))</f>
        <v/>
      </c>
      <c r="C164" s="22">
        <f>IF($D164="","",IF(MOD(ROW()-7,4)=0,INDEX('01人员工时'!$C$7:$C$126,INT((ROW()-7)/4)+1),""))</f>
        <v/>
      </c>
      <c r="D164" s="22">
        <f>IF(INDEX('01人员工时'!$D$7:$D$126,INT((ROW()-7)/4)+1)&amp;""="","",INDEX('01人员工时'!$D$7:$D$126,INT((ROW()-7)/4)+1))</f>
        <v/>
      </c>
      <c r="E164" s="22">
        <f>IF($D164="","",INDEX('参数设置'!$K$6:$K$9,MOD(ROW()-7,4)+1))</f>
        <v/>
      </c>
      <c r="F164" s="23">
        <f>IF($D164="","",IF($V164&lt;&gt;"",$V164,IFERROR(INDEX('参数设置'!$D$17:$G$26,MATCH($D164,'参数设置'!$C$17:$C$26,0),MATCH($E164,'参数设置'!$D$16:$G$16,0)),0)))</f>
        <v/>
      </c>
      <c r="G164" s="24">
        <f>IF($D164="","",INDEX('01人员工时'!$E$7:$E$126,INT((ROW()-7)/4)+1))</f>
        <v/>
      </c>
      <c r="H164" s="24">
        <f>IF($D164="","",INDEX('01人员工时'!$O$7:$O$126,INT((ROW()-7)/4)+1))</f>
        <v/>
      </c>
      <c r="I164" s="20">
        <f>IF(OR($D164="",$G164=0),"",$H164/$G164)</f>
        <v/>
      </c>
      <c r="J164" s="12">
        <f>IF($D164="","",ROUND($F164,2)-$S164)</f>
        <v/>
      </c>
      <c r="K164" s="12">
        <f>IF(OR($D164="",$G164=0),"",ROUND($F164*INDEX('01人员工时'!G$7:G$126,INT((ROW()-7)/4)+1)/$G164,2))</f>
        <v/>
      </c>
      <c r="L164" s="12">
        <f>IF(OR($D164="",$G164=0),"",ROUND($F164*INDEX('01人员工时'!H$7:H$126,INT((ROW()-7)/4)+1)/$G164,2))</f>
        <v/>
      </c>
      <c r="M164" s="12">
        <f>IF(OR($D164="",$G164=0),"",ROUND($F164*INDEX('01人员工时'!I$7:I$126,INT((ROW()-7)/4)+1)/$G164,2))</f>
        <v/>
      </c>
      <c r="N164" s="12">
        <f>IF(OR($D164="",$G164=0),"",ROUND($F164*INDEX('01人员工时'!J$7:J$126,INT((ROW()-7)/4)+1)/$G164,2))</f>
        <v/>
      </c>
      <c r="O164" s="12">
        <f>IF(OR($D164="",$G164=0),"",ROUND($F164*INDEX('01人员工时'!K$7:K$126,INT((ROW()-7)/4)+1)/$G164,2))</f>
        <v/>
      </c>
      <c r="P164" s="12">
        <f>IF(OR($D164="",$G164=0),"",ROUND($F164*INDEX('01人员工时'!L$7:L$126,INT((ROW()-7)/4)+1)/$G164,2))</f>
        <v/>
      </c>
      <c r="Q164" s="12">
        <f>IF(OR($D164="",$G164=0),"",ROUND($F164*INDEX('01人员工时'!M$7:M$126,INT((ROW()-7)/4)+1)/$G164,2))</f>
        <v/>
      </c>
      <c r="R164" s="12">
        <f>IF(OR($D164="",$G164=0),"",ROUND($F164*INDEX('01人员工时'!N$7:N$126,INT((ROW()-7)/4)+1)/$G164,2))</f>
        <v/>
      </c>
      <c r="S164" s="12">
        <f>IF($D164="","",SUM(K164:R164))</f>
        <v/>
      </c>
      <c r="T164" s="12">
        <f>IF($D164="","",$J164+$S164)</f>
        <v/>
      </c>
      <c r="U164" s="25">
        <f>IF($D164="","",IF($F164=0,"未维护标准",IF(ROUND($T164-$F164,2)=0,"√","差异")))</f>
        <v/>
      </c>
      <c r="V164" s="11" t="n"/>
      <c r="W164" s="9" t="n"/>
    </row>
    <row r="165" ht="18" customHeight="1">
      <c r="B165" s="21">
        <f>IF(INDEX('01人员工时'!$D$7:$D$126,INT((ROW()-7)/4)+1)&amp;""="","",INDEX('01人员工时'!$B$7:$B$126,INT((ROW()-7)/4)+1))</f>
        <v/>
      </c>
      <c r="C165" s="22">
        <f>IF($D165="","",IF(MOD(ROW()-7,4)=0,INDEX('01人员工时'!$C$7:$C$126,INT((ROW()-7)/4)+1),""))</f>
        <v/>
      </c>
      <c r="D165" s="22">
        <f>IF(INDEX('01人员工时'!$D$7:$D$126,INT((ROW()-7)/4)+1)&amp;""="","",INDEX('01人员工时'!$D$7:$D$126,INT((ROW()-7)/4)+1))</f>
        <v/>
      </c>
      <c r="E165" s="22">
        <f>IF($D165="","",INDEX('参数设置'!$K$6:$K$9,MOD(ROW()-7,4)+1))</f>
        <v/>
      </c>
      <c r="F165" s="23">
        <f>IF($D165="","",IF($V165&lt;&gt;"",$V165,IFERROR(INDEX('参数设置'!$D$17:$G$26,MATCH($D165,'参数设置'!$C$17:$C$26,0),MATCH($E165,'参数设置'!$D$16:$G$16,0)),0)))</f>
        <v/>
      </c>
      <c r="G165" s="24">
        <f>IF($D165="","",INDEX('01人员工时'!$E$7:$E$126,INT((ROW()-7)/4)+1))</f>
        <v/>
      </c>
      <c r="H165" s="24">
        <f>IF($D165="","",INDEX('01人员工时'!$O$7:$O$126,INT((ROW()-7)/4)+1))</f>
        <v/>
      </c>
      <c r="I165" s="20">
        <f>IF(OR($D165="",$G165=0),"",$H165/$G165)</f>
        <v/>
      </c>
      <c r="J165" s="12">
        <f>IF($D165="","",ROUND($F165,2)-$S165)</f>
        <v/>
      </c>
      <c r="K165" s="12">
        <f>IF(OR($D165="",$G165=0),"",ROUND($F165*INDEX('01人员工时'!G$7:G$126,INT((ROW()-7)/4)+1)/$G165,2))</f>
        <v/>
      </c>
      <c r="L165" s="12">
        <f>IF(OR($D165="",$G165=0),"",ROUND($F165*INDEX('01人员工时'!H$7:H$126,INT((ROW()-7)/4)+1)/$G165,2))</f>
        <v/>
      </c>
      <c r="M165" s="12">
        <f>IF(OR($D165="",$G165=0),"",ROUND($F165*INDEX('01人员工时'!I$7:I$126,INT((ROW()-7)/4)+1)/$G165,2))</f>
        <v/>
      </c>
      <c r="N165" s="12">
        <f>IF(OR($D165="",$G165=0),"",ROUND($F165*INDEX('01人员工时'!J$7:J$126,INT((ROW()-7)/4)+1)/$G165,2))</f>
        <v/>
      </c>
      <c r="O165" s="12">
        <f>IF(OR($D165="",$G165=0),"",ROUND($F165*INDEX('01人员工时'!K$7:K$126,INT((ROW()-7)/4)+1)/$G165,2))</f>
        <v/>
      </c>
      <c r="P165" s="12">
        <f>IF(OR($D165="",$G165=0),"",ROUND($F165*INDEX('01人员工时'!L$7:L$126,INT((ROW()-7)/4)+1)/$G165,2))</f>
        <v/>
      </c>
      <c r="Q165" s="12">
        <f>IF(OR($D165="",$G165=0),"",ROUND($F165*INDEX('01人员工时'!M$7:M$126,INT((ROW()-7)/4)+1)/$G165,2))</f>
        <v/>
      </c>
      <c r="R165" s="12">
        <f>IF(OR($D165="",$G165=0),"",ROUND($F165*INDEX('01人员工时'!N$7:N$126,INT((ROW()-7)/4)+1)/$G165,2))</f>
        <v/>
      </c>
      <c r="S165" s="12">
        <f>IF($D165="","",SUM(K165:R165))</f>
        <v/>
      </c>
      <c r="T165" s="12">
        <f>IF($D165="","",$J165+$S165)</f>
        <v/>
      </c>
      <c r="U165" s="25">
        <f>IF($D165="","",IF($F165=0,"未维护标准",IF(ROUND($T165-$F165,2)=0,"√","差异")))</f>
        <v/>
      </c>
      <c r="V165" s="11" t="n"/>
      <c r="W165" s="9" t="n"/>
    </row>
    <row r="166" ht="18" customHeight="1">
      <c r="B166" s="26">
        <f>IF(INDEX('01人员工时'!$D$7:$D$126,INT((ROW()-7)/4)+1)&amp;""="","",INDEX('01人员工时'!$B$7:$B$126,INT((ROW()-7)/4)+1))</f>
        <v/>
      </c>
      <c r="C166" s="27">
        <f>IF($D166="","",IF(MOD(ROW()-7,4)=0,INDEX('01人员工时'!$C$7:$C$126,INT((ROW()-7)/4)+1),""))</f>
        <v/>
      </c>
      <c r="D166" s="27">
        <f>IF(INDEX('01人员工时'!$D$7:$D$126,INT((ROW()-7)/4)+1)&amp;""="","",INDEX('01人员工时'!$D$7:$D$126,INT((ROW()-7)/4)+1))</f>
        <v/>
      </c>
      <c r="E166" s="27">
        <f>IF($D166="","",INDEX('参数设置'!$K$6:$K$9,MOD(ROW()-7,4)+1))</f>
        <v/>
      </c>
      <c r="F166" s="28">
        <f>IF($D166="","",IF($V166&lt;&gt;"",$V166,IFERROR(INDEX('参数设置'!$D$17:$G$26,MATCH($D166,'参数设置'!$C$17:$C$26,0),MATCH($E166,'参数设置'!$D$16:$G$16,0)),0)))</f>
        <v/>
      </c>
      <c r="G166" s="29">
        <f>IF($D166="","",INDEX('01人员工时'!$E$7:$E$126,INT((ROW()-7)/4)+1))</f>
        <v/>
      </c>
      <c r="H166" s="29">
        <f>IF($D166="","",INDEX('01人员工时'!$O$7:$O$126,INT((ROW()-7)/4)+1))</f>
        <v/>
      </c>
      <c r="I166" s="30">
        <f>IF(OR($D166="",$G166=0),"",$H166/$G166)</f>
        <v/>
      </c>
      <c r="J166" s="31">
        <f>IF($D166="","",ROUND($F166,2)-$S166)</f>
        <v/>
      </c>
      <c r="K166" s="31">
        <f>IF(OR($D166="",$G166=0),"",ROUND($F166*INDEX('01人员工时'!G$7:G$126,INT((ROW()-7)/4)+1)/$G166,2))</f>
        <v/>
      </c>
      <c r="L166" s="31">
        <f>IF(OR($D166="",$G166=0),"",ROUND($F166*INDEX('01人员工时'!H$7:H$126,INT((ROW()-7)/4)+1)/$G166,2))</f>
        <v/>
      </c>
      <c r="M166" s="31">
        <f>IF(OR($D166="",$G166=0),"",ROUND($F166*INDEX('01人员工时'!I$7:I$126,INT((ROW()-7)/4)+1)/$G166,2))</f>
        <v/>
      </c>
      <c r="N166" s="31">
        <f>IF(OR($D166="",$G166=0),"",ROUND($F166*INDEX('01人员工时'!J$7:J$126,INT((ROW()-7)/4)+1)/$G166,2))</f>
        <v/>
      </c>
      <c r="O166" s="31">
        <f>IF(OR($D166="",$G166=0),"",ROUND($F166*INDEX('01人员工时'!K$7:K$126,INT((ROW()-7)/4)+1)/$G166,2))</f>
        <v/>
      </c>
      <c r="P166" s="31">
        <f>IF(OR($D166="",$G166=0),"",ROUND($F166*INDEX('01人员工时'!L$7:L$126,INT((ROW()-7)/4)+1)/$G166,2))</f>
        <v/>
      </c>
      <c r="Q166" s="31">
        <f>IF(OR($D166="",$G166=0),"",ROUND($F166*INDEX('01人员工时'!M$7:M$126,INT((ROW()-7)/4)+1)/$G166,2))</f>
        <v/>
      </c>
      <c r="R166" s="31">
        <f>IF(OR($D166="",$G166=0),"",ROUND($F166*INDEX('01人员工时'!N$7:N$126,INT((ROW()-7)/4)+1)/$G166,2))</f>
        <v/>
      </c>
      <c r="S166" s="31">
        <f>IF($D166="","",SUM(K166:R166))</f>
        <v/>
      </c>
      <c r="T166" s="31">
        <f>IF($D166="","",$J166+$S166)</f>
        <v/>
      </c>
      <c r="U166" s="32">
        <f>IF($D166="","",IF($F166=0,"未维护标准",IF(ROUND($T166-$F166,2)=0,"√","差异")))</f>
        <v/>
      </c>
      <c r="V166" s="33" t="n"/>
      <c r="W166" s="34" t="n"/>
    </row>
    <row r="167" ht="18" customHeight="1">
      <c r="B167" s="21">
        <f>IF(INDEX('01人员工时'!$D$7:$D$126,INT((ROW()-7)/4)+1)&amp;""="","",INDEX('01人员工时'!$B$7:$B$126,INT((ROW()-7)/4)+1))</f>
        <v/>
      </c>
      <c r="C167" s="22">
        <f>IF($D167="","",IF(MOD(ROW()-7,4)=0,INDEX('01人员工时'!$C$7:$C$126,INT((ROW()-7)/4)+1),""))</f>
        <v/>
      </c>
      <c r="D167" s="22">
        <f>IF(INDEX('01人员工时'!$D$7:$D$126,INT((ROW()-7)/4)+1)&amp;""="","",INDEX('01人员工时'!$D$7:$D$126,INT((ROW()-7)/4)+1))</f>
        <v/>
      </c>
      <c r="E167" s="22">
        <f>IF($D167="","",INDEX('参数设置'!$K$6:$K$9,MOD(ROW()-7,4)+1))</f>
        <v/>
      </c>
      <c r="F167" s="23">
        <f>IF($D167="","",IF($V167&lt;&gt;"",$V167,IFERROR(INDEX('参数设置'!$D$17:$G$26,MATCH($D167,'参数设置'!$C$17:$C$26,0),MATCH($E167,'参数设置'!$D$16:$G$16,0)),0)))</f>
        <v/>
      </c>
      <c r="G167" s="24">
        <f>IF($D167="","",INDEX('01人员工时'!$E$7:$E$126,INT((ROW()-7)/4)+1))</f>
        <v/>
      </c>
      <c r="H167" s="24">
        <f>IF($D167="","",INDEX('01人员工时'!$O$7:$O$126,INT((ROW()-7)/4)+1))</f>
        <v/>
      </c>
      <c r="I167" s="20">
        <f>IF(OR($D167="",$G167=0),"",$H167/$G167)</f>
        <v/>
      </c>
      <c r="J167" s="12">
        <f>IF($D167="","",ROUND($F167,2)-$S167)</f>
        <v/>
      </c>
      <c r="K167" s="12">
        <f>IF(OR($D167="",$G167=0),"",ROUND($F167*INDEX('01人员工时'!G$7:G$126,INT((ROW()-7)/4)+1)/$G167,2))</f>
        <v/>
      </c>
      <c r="L167" s="12">
        <f>IF(OR($D167="",$G167=0),"",ROUND($F167*INDEX('01人员工时'!H$7:H$126,INT((ROW()-7)/4)+1)/$G167,2))</f>
        <v/>
      </c>
      <c r="M167" s="12">
        <f>IF(OR($D167="",$G167=0),"",ROUND($F167*INDEX('01人员工时'!I$7:I$126,INT((ROW()-7)/4)+1)/$G167,2))</f>
        <v/>
      </c>
      <c r="N167" s="12">
        <f>IF(OR($D167="",$G167=0),"",ROUND($F167*INDEX('01人员工时'!J$7:J$126,INT((ROW()-7)/4)+1)/$G167,2))</f>
        <v/>
      </c>
      <c r="O167" s="12">
        <f>IF(OR($D167="",$G167=0),"",ROUND($F167*INDEX('01人员工时'!K$7:K$126,INT((ROW()-7)/4)+1)/$G167,2))</f>
        <v/>
      </c>
      <c r="P167" s="12">
        <f>IF(OR($D167="",$G167=0),"",ROUND($F167*INDEX('01人员工时'!L$7:L$126,INT((ROW()-7)/4)+1)/$G167,2))</f>
        <v/>
      </c>
      <c r="Q167" s="12">
        <f>IF(OR($D167="",$G167=0),"",ROUND($F167*INDEX('01人员工时'!M$7:M$126,INT((ROW()-7)/4)+1)/$G167,2))</f>
        <v/>
      </c>
      <c r="R167" s="12">
        <f>IF(OR($D167="",$G167=0),"",ROUND($F167*INDEX('01人员工时'!N$7:N$126,INT((ROW()-7)/4)+1)/$G167,2))</f>
        <v/>
      </c>
      <c r="S167" s="12">
        <f>IF($D167="","",SUM(K167:R167))</f>
        <v/>
      </c>
      <c r="T167" s="12">
        <f>IF($D167="","",$J167+$S167)</f>
        <v/>
      </c>
      <c r="U167" s="25">
        <f>IF($D167="","",IF($F167=0,"未维护标准",IF(ROUND($T167-$F167,2)=0,"√","差异")))</f>
        <v/>
      </c>
      <c r="V167" s="11" t="n"/>
      <c r="W167" s="9" t="n"/>
    </row>
    <row r="168" ht="18" customHeight="1">
      <c r="B168" s="21">
        <f>IF(INDEX('01人员工时'!$D$7:$D$126,INT((ROW()-7)/4)+1)&amp;""="","",INDEX('01人员工时'!$B$7:$B$126,INT((ROW()-7)/4)+1))</f>
        <v/>
      </c>
      <c r="C168" s="22">
        <f>IF($D168="","",IF(MOD(ROW()-7,4)=0,INDEX('01人员工时'!$C$7:$C$126,INT((ROW()-7)/4)+1),""))</f>
        <v/>
      </c>
      <c r="D168" s="22">
        <f>IF(INDEX('01人员工时'!$D$7:$D$126,INT((ROW()-7)/4)+1)&amp;""="","",INDEX('01人员工时'!$D$7:$D$126,INT((ROW()-7)/4)+1))</f>
        <v/>
      </c>
      <c r="E168" s="22">
        <f>IF($D168="","",INDEX('参数设置'!$K$6:$K$9,MOD(ROW()-7,4)+1))</f>
        <v/>
      </c>
      <c r="F168" s="23">
        <f>IF($D168="","",IF($V168&lt;&gt;"",$V168,IFERROR(INDEX('参数设置'!$D$17:$G$26,MATCH($D168,'参数设置'!$C$17:$C$26,0),MATCH($E168,'参数设置'!$D$16:$G$16,0)),0)))</f>
        <v/>
      </c>
      <c r="G168" s="24">
        <f>IF($D168="","",INDEX('01人员工时'!$E$7:$E$126,INT((ROW()-7)/4)+1))</f>
        <v/>
      </c>
      <c r="H168" s="24">
        <f>IF($D168="","",INDEX('01人员工时'!$O$7:$O$126,INT((ROW()-7)/4)+1))</f>
        <v/>
      </c>
      <c r="I168" s="20">
        <f>IF(OR($D168="",$G168=0),"",$H168/$G168)</f>
        <v/>
      </c>
      <c r="J168" s="12">
        <f>IF($D168="","",ROUND($F168,2)-$S168)</f>
        <v/>
      </c>
      <c r="K168" s="12">
        <f>IF(OR($D168="",$G168=0),"",ROUND($F168*INDEX('01人员工时'!G$7:G$126,INT((ROW()-7)/4)+1)/$G168,2))</f>
        <v/>
      </c>
      <c r="L168" s="12">
        <f>IF(OR($D168="",$G168=0),"",ROUND($F168*INDEX('01人员工时'!H$7:H$126,INT((ROW()-7)/4)+1)/$G168,2))</f>
        <v/>
      </c>
      <c r="M168" s="12">
        <f>IF(OR($D168="",$G168=0),"",ROUND($F168*INDEX('01人员工时'!I$7:I$126,INT((ROW()-7)/4)+1)/$G168,2))</f>
        <v/>
      </c>
      <c r="N168" s="12">
        <f>IF(OR($D168="",$G168=0),"",ROUND($F168*INDEX('01人员工时'!J$7:J$126,INT((ROW()-7)/4)+1)/$G168,2))</f>
        <v/>
      </c>
      <c r="O168" s="12">
        <f>IF(OR($D168="",$G168=0),"",ROUND($F168*INDEX('01人员工时'!K$7:K$126,INT((ROW()-7)/4)+1)/$G168,2))</f>
        <v/>
      </c>
      <c r="P168" s="12">
        <f>IF(OR($D168="",$G168=0),"",ROUND($F168*INDEX('01人员工时'!L$7:L$126,INT((ROW()-7)/4)+1)/$G168,2))</f>
        <v/>
      </c>
      <c r="Q168" s="12">
        <f>IF(OR($D168="",$G168=0),"",ROUND($F168*INDEX('01人员工时'!M$7:M$126,INT((ROW()-7)/4)+1)/$G168,2))</f>
        <v/>
      </c>
      <c r="R168" s="12">
        <f>IF(OR($D168="",$G168=0),"",ROUND($F168*INDEX('01人员工时'!N$7:N$126,INT((ROW()-7)/4)+1)/$G168,2))</f>
        <v/>
      </c>
      <c r="S168" s="12">
        <f>IF($D168="","",SUM(K168:R168))</f>
        <v/>
      </c>
      <c r="T168" s="12">
        <f>IF($D168="","",$J168+$S168)</f>
        <v/>
      </c>
      <c r="U168" s="25">
        <f>IF($D168="","",IF($F168=0,"未维护标准",IF(ROUND($T168-$F168,2)=0,"√","差异")))</f>
        <v/>
      </c>
      <c r="V168" s="11" t="n"/>
      <c r="W168" s="9" t="n"/>
    </row>
    <row r="169" ht="18" customHeight="1">
      <c r="B169" s="21">
        <f>IF(INDEX('01人员工时'!$D$7:$D$126,INT((ROW()-7)/4)+1)&amp;""="","",INDEX('01人员工时'!$B$7:$B$126,INT((ROW()-7)/4)+1))</f>
        <v/>
      </c>
      <c r="C169" s="22">
        <f>IF($D169="","",IF(MOD(ROW()-7,4)=0,INDEX('01人员工时'!$C$7:$C$126,INT((ROW()-7)/4)+1),""))</f>
        <v/>
      </c>
      <c r="D169" s="22">
        <f>IF(INDEX('01人员工时'!$D$7:$D$126,INT((ROW()-7)/4)+1)&amp;""="","",INDEX('01人员工时'!$D$7:$D$126,INT((ROW()-7)/4)+1))</f>
        <v/>
      </c>
      <c r="E169" s="22">
        <f>IF($D169="","",INDEX('参数设置'!$K$6:$K$9,MOD(ROW()-7,4)+1))</f>
        <v/>
      </c>
      <c r="F169" s="23">
        <f>IF($D169="","",IF($V169&lt;&gt;"",$V169,IFERROR(INDEX('参数设置'!$D$17:$G$26,MATCH($D169,'参数设置'!$C$17:$C$26,0),MATCH($E169,'参数设置'!$D$16:$G$16,0)),0)))</f>
        <v/>
      </c>
      <c r="G169" s="24">
        <f>IF($D169="","",INDEX('01人员工时'!$E$7:$E$126,INT((ROW()-7)/4)+1))</f>
        <v/>
      </c>
      <c r="H169" s="24">
        <f>IF($D169="","",INDEX('01人员工时'!$O$7:$O$126,INT((ROW()-7)/4)+1))</f>
        <v/>
      </c>
      <c r="I169" s="20">
        <f>IF(OR($D169="",$G169=0),"",$H169/$G169)</f>
        <v/>
      </c>
      <c r="J169" s="12">
        <f>IF($D169="","",ROUND($F169,2)-$S169)</f>
        <v/>
      </c>
      <c r="K169" s="12">
        <f>IF(OR($D169="",$G169=0),"",ROUND($F169*INDEX('01人员工时'!G$7:G$126,INT((ROW()-7)/4)+1)/$G169,2))</f>
        <v/>
      </c>
      <c r="L169" s="12">
        <f>IF(OR($D169="",$G169=0),"",ROUND($F169*INDEX('01人员工时'!H$7:H$126,INT((ROW()-7)/4)+1)/$G169,2))</f>
        <v/>
      </c>
      <c r="M169" s="12">
        <f>IF(OR($D169="",$G169=0),"",ROUND($F169*INDEX('01人员工时'!I$7:I$126,INT((ROW()-7)/4)+1)/$G169,2))</f>
        <v/>
      </c>
      <c r="N169" s="12">
        <f>IF(OR($D169="",$G169=0),"",ROUND($F169*INDEX('01人员工时'!J$7:J$126,INT((ROW()-7)/4)+1)/$G169,2))</f>
        <v/>
      </c>
      <c r="O169" s="12">
        <f>IF(OR($D169="",$G169=0),"",ROUND($F169*INDEX('01人员工时'!K$7:K$126,INT((ROW()-7)/4)+1)/$G169,2))</f>
        <v/>
      </c>
      <c r="P169" s="12">
        <f>IF(OR($D169="",$G169=0),"",ROUND($F169*INDEX('01人员工时'!L$7:L$126,INT((ROW()-7)/4)+1)/$G169,2))</f>
        <v/>
      </c>
      <c r="Q169" s="12">
        <f>IF(OR($D169="",$G169=0),"",ROUND($F169*INDEX('01人员工时'!M$7:M$126,INT((ROW()-7)/4)+1)/$G169,2))</f>
        <v/>
      </c>
      <c r="R169" s="12">
        <f>IF(OR($D169="",$G169=0),"",ROUND($F169*INDEX('01人员工时'!N$7:N$126,INT((ROW()-7)/4)+1)/$G169,2))</f>
        <v/>
      </c>
      <c r="S169" s="12">
        <f>IF($D169="","",SUM(K169:R169))</f>
        <v/>
      </c>
      <c r="T169" s="12">
        <f>IF($D169="","",$J169+$S169)</f>
        <v/>
      </c>
      <c r="U169" s="25">
        <f>IF($D169="","",IF($F169=0,"未维护标准",IF(ROUND($T169-$F169,2)=0,"√","差异")))</f>
        <v/>
      </c>
      <c r="V169" s="11" t="n"/>
      <c r="W169" s="9" t="n"/>
    </row>
    <row r="170" ht="18" customHeight="1">
      <c r="B170" s="26">
        <f>IF(INDEX('01人员工时'!$D$7:$D$126,INT((ROW()-7)/4)+1)&amp;""="","",INDEX('01人员工时'!$B$7:$B$126,INT((ROW()-7)/4)+1))</f>
        <v/>
      </c>
      <c r="C170" s="27">
        <f>IF($D170="","",IF(MOD(ROW()-7,4)=0,INDEX('01人员工时'!$C$7:$C$126,INT((ROW()-7)/4)+1),""))</f>
        <v/>
      </c>
      <c r="D170" s="27">
        <f>IF(INDEX('01人员工时'!$D$7:$D$126,INT((ROW()-7)/4)+1)&amp;""="","",INDEX('01人员工时'!$D$7:$D$126,INT((ROW()-7)/4)+1))</f>
        <v/>
      </c>
      <c r="E170" s="27">
        <f>IF($D170="","",INDEX('参数设置'!$K$6:$K$9,MOD(ROW()-7,4)+1))</f>
        <v/>
      </c>
      <c r="F170" s="28">
        <f>IF($D170="","",IF($V170&lt;&gt;"",$V170,IFERROR(INDEX('参数设置'!$D$17:$G$26,MATCH($D170,'参数设置'!$C$17:$C$26,0),MATCH($E170,'参数设置'!$D$16:$G$16,0)),0)))</f>
        <v/>
      </c>
      <c r="G170" s="29">
        <f>IF($D170="","",INDEX('01人员工时'!$E$7:$E$126,INT((ROW()-7)/4)+1))</f>
        <v/>
      </c>
      <c r="H170" s="29">
        <f>IF($D170="","",INDEX('01人员工时'!$O$7:$O$126,INT((ROW()-7)/4)+1))</f>
        <v/>
      </c>
      <c r="I170" s="30">
        <f>IF(OR($D170="",$G170=0),"",$H170/$G170)</f>
        <v/>
      </c>
      <c r="J170" s="31">
        <f>IF($D170="","",ROUND($F170,2)-$S170)</f>
        <v/>
      </c>
      <c r="K170" s="31">
        <f>IF(OR($D170="",$G170=0),"",ROUND($F170*INDEX('01人员工时'!G$7:G$126,INT((ROW()-7)/4)+1)/$G170,2))</f>
        <v/>
      </c>
      <c r="L170" s="31">
        <f>IF(OR($D170="",$G170=0),"",ROUND($F170*INDEX('01人员工时'!H$7:H$126,INT((ROW()-7)/4)+1)/$G170,2))</f>
        <v/>
      </c>
      <c r="M170" s="31">
        <f>IF(OR($D170="",$G170=0),"",ROUND($F170*INDEX('01人员工时'!I$7:I$126,INT((ROW()-7)/4)+1)/$G170,2))</f>
        <v/>
      </c>
      <c r="N170" s="31">
        <f>IF(OR($D170="",$G170=0),"",ROUND($F170*INDEX('01人员工时'!J$7:J$126,INT((ROW()-7)/4)+1)/$G170,2))</f>
        <v/>
      </c>
      <c r="O170" s="31">
        <f>IF(OR($D170="",$G170=0),"",ROUND($F170*INDEX('01人员工时'!K$7:K$126,INT((ROW()-7)/4)+1)/$G170,2))</f>
        <v/>
      </c>
      <c r="P170" s="31">
        <f>IF(OR($D170="",$G170=0),"",ROUND($F170*INDEX('01人员工时'!L$7:L$126,INT((ROW()-7)/4)+1)/$G170,2))</f>
        <v/>
      </c>
      <c r="Q170" s="31">
        <f>IF(OR($D170="",$G170=0),"",ROUND($F170*INDEX('01人员工时'!M$7:M$126,INT((ROW()-7)/4)+1)/$G170,2))</f>
        <v/>
      </c>
      <c r="R170" s="31">
        <f>IF(OR($D170="",$G170=0),"",ROUND($F170*INDEX('01人员工时'!N$7:N$126,INT((ROW()-7)/4)+1)/$G170,2))</f>
        <v/>
      </c>
      <c r="S170" s="31">
        <f>IF($D170="","",SUM(K170:R170))</f>
        <v/>
      </c>
      <c r="T170" s="31">
        <f>IF($D170="","",$J170+$S170)</f>
        <v/>
      </c>
      <c r="U170" s="32">
        <f>IF($D170="","",IF($F170=0,"未维护标准",IF(ROUND($T170-$F170,2)=0,"√","差异")))</f>
        <v/>
      </c>
      <c r="V170" s="33" t="n"/>
      <c r="W170" s="34" t="n"/>
    </row>
    <row r="171" ht="18" customHeight="1">
      <c r="B171" s="21">
        <f>IF(INDEX('01人员工时'!$D$7:$D$126,INT((ROW()-7)/4)+1)&amp;""="","",INDEX('01人员工时'!$B$7:$B$126,INT((ROW()-7)/4)+1))</f>
        <v/>
      </c>
      <c r="C171" s="22">
        <f>IF($D171="","",IF(MOD(ROW()-7,4)=0,INDEX('01人员工时'!$C$7:$C$126,INT((ROW()-7)/4)+1),""))</f>
        <v/>
      </c>
      <c r="D171" s="22">
        <f>IF(INDEX('01人员工时'!$D$7:$D$126,INT((ROW()-7)/4)+1)&amp;""="","",INDEX('01人员工时'!$D$7:$D$126,INT((ROW()-7)/4)+1))</f>
        <v/>
      </c>
      <c r="E171" s="22">
        <f>IF($D171="","",INDEX('参数设置'!$K$6:$K$9,MOD(ROW()-7,4)+1))</f>
        <v/>
      </c>
      <c r="F171" s="23">
        <f>IF($D171="","",IF($V171&lt;&gt;"",$V171,IFERROR(INDEX('参数设置'!$D$17:$G$26,MATCH($D171,'参数设置'!$C$17:$C$26,0),MATCH($E171,'参数设置'!$D$16:$G$16,0)),0)))</f>
        <v/>
      </c>
      <c r="G171" s="24">
        <f>IF($D171="","",INDEX('01人员工时'!$E$7:$E$126,INT((ROW()-7)/4)+1))</f>
        <v/>
      </c>
      <c r="H171" s="24">
        <f>IF($D171="","",INDEX('01人员工时'!$O$7:$O$126,INT((ROW()-7)/4)+1))</f>
        <v/>
      </c>
      <c r="I171" s="20">
        <f>IF(OR($D171="",$G171=0),"",$H171/$G171)</f>
        <v/>
      </c>
      <c r="J171" s="12">
        <f>IF($D171="","",ROUND($F171,2)-$S171)</f>
        <v/>
      </c>
      <c r="K171" s="12">
        <f>IF(OR($D171="",$G171=0),"",ROUND($F171*INDEX('01人员工时'!G$7:G$126,INT((ROW()-7)/4)+1)/$G171,2))</f>
        <v/>
      </c>
      <c r="L171" s="12">
        <f>IF(OR($D171="",$G171=0),"",ROUND($F171*INDEX('01人员工时'!H$7:H$126,INT((ROW()-7)/4)+1)/$G171,2))</f>
        <v/>
      </c>
      <c r="M171" s="12">
        <f>IF(OR($D171="",$G171=0),"",ROUND($F171*INDEX('01人员工时'!I$7:I$126,INT((ROW()-7)/4)+1)/$G171,2))</f>
        <v/>
      </c>
      <c r="N171" s="12">
        <f>IF(OR($D171="",$G171=0),"",ROUND($F171*INDEX('01人员工时'!J$7:J$126,INT((ROW()-7)/4)+1)/$G171,2))</f>
        <v/>
      </c>
      <c r="O171" s="12">
        <f>IF(OR($D171="",$G171=0),"",ROUND($F171*INDEX('01人员工时'!K$7:K$126,INT((ROW()-7)/4)+1)/$G171,2))</f>
        <v/>
      </c>
      <c r="P171" s="12">
        <f>IF(OR($D171="",$G171=0),"",ROUND($F171*INDEX('01人员工时'!L$7:L$126,INT((ROW()-7)/4)+1)/$G171,2))</f>
        <v/>
      </c>
      <c r="Q171" s="12">
        <f>IF(OR($D171="",$G171=0),"",ROUND($F171*INDEX('01人员工时'!M$7:M$126,INT((ROW()-7)/4)+1)/$G171,2))</f>
        <v/>
      </c>
      <c r="R171" s="12">
        <f>IF(OR($D171="",$G171=0),"",ROUND($F171*INDEX('01人员工时'!N$7:N$126,INT((ROW()-7)/4)+1)/$G171,2))</f>
        <v/>
      </c>
      <c r="S171" s="12">
        <f>IF($D171="","",SUM(K171:R171))</f>
        <v/>
      </c>
      <c r="T171" s="12">
        <f>IF($D171="","",$J171+$S171)</f>
        <v/>
      </c>
      <c r="U171" s="25">
        <f>IF($D171="","",IF($F171=0,"未维护标准",IF(ROUND($T171-$F171,2)=0,"√","差异")))</f>
        <v/>
      </c>
      <c r="V171" s="11" t="n"/>
      <c r="W171" s="9" t="n"/>
    </row>
    <row r="172" ht="18" customHeight="1">
      <c r="B172" s="21">
        <f>IF(INDEX('01人员工时'!$D$7:$D$126,INT((ROW()-7)/4)+1)&amp;""="","",INDEX('01人员工时'!$B$7:$B$126,INT((ROW()-7)/4)+1))</f>
        <v/>
      </c>
      <c r="C172" s="22">
        <f>IF($D172="","",IF(MOD(ROW()-7,4)=0,INDEX('01人员工时'!$C$7:$C$126,INT((ROW()-7)/4)+1),""))</f>
        <v/>
      </c>
      <c r="D172" s="22">
        <f>IF(INDEX('01人员工时'!$D$7:$D$126,INT((ROW()-7)/4)+1)&amp;""="","",INDEX('01人员工时'!$D$7:$D$126,INT((ROW()-7)/4)+1))</f>
        <v/>
      </c>
      <c r="E172" s="22">
        <f>IF($D172="","",INDEX('参数设置'!$K$6:$K$9,MOD(ROW()-7,4)+1))</f>
        <v/>
      </c>
      <c r="F172" s="23">
        <f>IF($D172="","",IF($V172&lt;&gt;"",$V172,IFERROR(INDEX('参数设置'!$D$17:$G$26,MATCH($D172,'参数设置'!$C$17:$C$26,0),MATCH($E172,'参数设置'!$D$16:$G$16,0)),0)))</f>
        <v/>
      </c>
      <c r="G172" s="24">
        <f>IF($D172="","",INDEX('01人员工时'!$E$7:$E$126,INT((ROW()-7)/4)+1))</f>
        <v/>
      </c>
      <c r="H172" s="24">
        <f>IF($D172="","",INDEX('01人员工时'!$O$7:$O$126,INT((ROW()-7)/4)+1))</f>
        <v/>
      </c>
      <c r="I172" s="20">
        <f>IF(OR($D172="",$G172=0),"",$H172/$G172)</f>
        <v/>
      </c>
      <c r="J172" s="12">
        <f>IF($D172="","",ROUND($F172,2)-$S172)</f>
        <v/>
      </c>
      <c r="K172" s="12">
        <f>IF(OR($D172="",$G172=0),"",ROUND($F172*INDEX('01人员工时'!G$7:G$126,INT((ROW()-7)/4)+1)/$G172,2))</f>
        <v/>
      </c>
      <c r="L172" s="12">
        <f>IF(OR($D172="",$G172=0),"",ROUND($F172*INDEX('01人员工时'!H$7:H$126,INT((ROW()-7)/4)+1)/$G172,2))</f>
        <v/>
      </c>
      <c r="M172" s="12">
        <f>IF(OR($D172="",$G172=0),"",ROUND($F172*INDEX('01人员工时'!I$7:I$126,INT((ROW()-7)/4)+1)/$G172,2))</f>
        <v/>
      </c>
      <c r="N172" s="12">
        <f>IF(OR($D172="",$G172=0),"",ROUND($F172*INDEX('01人员工时'!J$7:J$126,INT((ROW()-7)/4)+1)/$G172,2))</f>
        <v/>
      </c>
      <c r="O172" s="12">
        <f>IF(OR($D172="",$G172=0),"",ROUND($F172*INDEX('01人员工时'!K$7:K$126,INT((ROW()-7)/4)+1)/$G172,2))</f>
        <v/>
      </c>
      <c r="P172" s="12">
        <f>IF(OR($D172="",$G172=0),"",ROUND($F172*INDEX('01人员工时'!L$7:L$126,INT((ROW()-7)/4)+1)/$G172,2))</f>
        <v/>
      </c>
      <c r="Q172" s="12">
        <f>IF(OR($D172="",$G172=0),"",ROUND($F172*INDEX('01人员工时'!M$7:M$126,INT((ROW()-7)/4)+1)/$G172,2))</f>
        <v/>
      </c>
      <c r="R172" s="12">
        <f>IF(OR($D172="",$G172=0),"",ROUND($F172*INDEX('01人员工时'!N$7:N$126,INT((ROW()-7)/4)+1)/$G172,2))</f>
        <v/>
      </c>
      <c r="S172" s="12">
        <f>IF($D172="","",SUM(K172:R172))</f>
        <v/>
      </c>
      <c r="T172" s="12">
        <f>IF($D172="","",$J172+$S172)</f>
        <v/>
      </c>
      <c r="U172" s="25">
        <f>IF($D172="","",IF($F172=0,"未维护标准",IF(ROUND($T172-$F172,2)=0,"√","差异")))</f>
        <v/>
      </c>
      <c r="V172" s="11" t="n"/>
      <c r="W172" s="9" t="n"/>
    </row>
    <row r="173" ht="18" customHeight="1">
      <c r="B173" s="21">
        <f>IF(INDEX('01人员工时'!$D$7:$D$126,INT((ROW()-7)/4)+1)&amp;""="","",INDEX('01人员工时'!$B$7:$B$126,INT((ROW()-7)/4)+1))</f>
        <v/>
      </c>
      <c r="C173" s="22">
        <f>IF($D173="","",IF(MOD(ROW()-7,4)=0,INDEX('01人员工时'!$C$7:$C$126,INT((ROW()-7)/4)+1),""))</f>
        <v/>
      </c>
      <c r="D173" s="22">
        <f>IF(INDEX('01人员工时'!$D$7:$D$126,INT((ROW()-7)/4)+1)&amp;""="","",INDEX('01人员工时'!$D$7:$D$126,INT((ROW()-7)/4)+1))</f>
        <v/>
      </c>
      <c r="E173" s="22">
        <f>IF($D173="","",INDEX('参数设置'!$K$6:$K$9,MOD(ROW()-7,4)+1))</f>
        <v/>
      </c>
      <c r="F173" s="23">
        <f>IF($D173="","",IF($V173&lt;&gt;"",$V173,IFERROR(INDEX('参数设置'!$D$17:$G$26,MATCH($D173,'参数设置'!$C$17:$C$26,0),MATCH($E173,'参数设置'!$D$16:$G$16,0)),0)))</f>
        <v/>
      </c>
      <c r="G173" s="24">
        <f>IF($D173="","",INDEX('01人员工时'!$E$7:$E$126,INT((ROW()-7)/4)+1))</f>
        <v/>
      </c>
      <c r="H173" s="24">
        <f>IF($D173="","",INDEX('01人员工时'!$O$7:$O$126,INT((ROW()-7)/4)+1))</f>
        <v/>
      </c>
      <c r="I173" s="20">
        <f>IF(OR($D173="",$G173=0),"",$H173/$G173)</f>
        <v/>
      </c>
      <c r="J173" s="12">
        <f>IF($D173="","",ROUND($F173,2)-$S173)</f>
        <v/>
      </c>
      <c r="K173" s="12">
        <f>IF(OR($D173="",$G173=0),"",ROUND($F173*INDEX('01人员工时'!G$7:G$126,INT((ROW()-7)/4)+1)/$G173,2))</f>
        <v/>
      </c>
      <c r="L173" s="12">
        <f>IF(OR($D173="",$G173=0),"",ROUND($F173*INDEX('01人员工时'!H$7:H$126,INT((ROW()-7)/4)+1)/$G173,2))</f>
        <v/>
      </c>
      <c r="M173" s="12">
        <f>IF(OR($D173="",$G173=0),"",ROUND($F173*INDEX('01人员工时'!I$7:I$126,INT((ROW()-7)/4)+1)/$G173,2))</f>
        <v/>
      </c>
      <c r="N173" s="12">
        <f>IF(OR($D173="",$G173=0),"",ROUND($F173*INDEX('01人员工时'!J$7:J$126,INT((ROW()-7)/4)+1)/$G173,2))</f>
        <v/>
      </c>
      <c r="O173" s="12">
        <f>IF(OR($D173="",$G173=0),"",ROUND($F173*INDEX('01人员工时'!K$7:K$126,INT((ROW()-7)/4)+1)/$G173,2))</f>
        <v/>
      </c>
      <c r="P173" s="12">
        <f>IF(OR($D173="",$G173=0),"",ROUND($F173*INDEX('01人员工时'!L$7:L$126,INT((ROW()-7)/4)+1)/$G173,2))</f>
        <v/>
      </c>
      <c r="Q173" s="12">
        <f>IF(OR($D173="",$G173=0),"",ROUND($F173*INDEX('01人员工时'!M$7:M$126,INT((ROW()-7)/4)+1)/$G173,2))</f>
        <v/>
      </c>
      <c r="R173" s="12">
        <f>IF(OR($D173="",$G173=0),"",ROUND($F173*INDEX('01人员工时'!N$7:N$126,INT((ROW()-7)/4)+1)/$G173,2))</f>
        <v/>
      </c>
      <c r="S173" s="12">
        <f>IF($D173="","",SUM(K173:R173))</f>
        <v/>
      </c>
      <c r="T173" s="12">
        <f>IF($D173="","",$J173+$S173)</f>
        <v/>
      </c>
      <c r="U173" s="25">
        <f>IF($D173="","",IF($F173=0,"未维护标准",IF(ROUND($T173-$F173,2)=0,"√","差异")))</f>
        <v/>
      </c>
      <c r="V173" s="11" t="n"/>
      <c r="W173" s="9" t="n"/>
    </row>
    <row r="174" ht="18" customHeight="1">
      <c r="B174" s="26">
        <f>IF(INDEX('01人员工时'!$D$7:$D$126,INT((ROW()-7)/4)+1)&amp;""="","",INDEX('01人员工时'!$B$7:$B$126,INT((ROW()-7)/4)+1))</f>
        <v/>
      </c>
      <c r="C174" s="27">
        <f>IF($D174="","",IF(MOD(ROW()-7,4)=0,INDEX('01人员工时'!$C$7:$C$126,INT((ROW()-7)/4)+1),""))</f>
        <v/>
      </c>
      <c r="D174" s="27">
        <f>IF(INDEX('01人员工时'!$D$7:$D$126,INT((ROW()-7)/4)+1)&amp;""="","",INDEX('01人员工时'!$D$7:$D$126,INT((ROW()-7)/4)+1))</f>
        <v/>
      </c>
      <c r="E174" s="27">
        <f>IF($D174="","",INDEX('参数设置'!$K$6:$K$9,MOD(ROW()-7,4)+1))</f>
        <v/>
      </c>
      <c r="F174" s="28">
        <f>IF($D174="","",IF($V174&lt;&gt;"",$V174,IFERROR(INDEX('参数设置'!$D$17:$G$26,MATCH($D174,'参数设置'!$C$17:$C$26,0),MATCH($E174,'参数设置'!$D$16:$G$16,0)),0)))</f>
        <v/>
      </c>
      <c r="G174" s="29">
        <f>IF($D174="","",INDEX('01人员工时'!$E$7:$E$126,INT((ROW()-7)/4)+1))</f>
        <v/>
      </c>
      <c r="H174" s="29">
        <f>IF($D174="","",INDEX('01人员工时'!$O$7:$O$126,INT((ROW()-7)/4)+1))</f>
        <v/>
      </c>
      <c r="I174" s="30">
        <f>IF(OR($D174="",$G174=0),"",$H174/$G174)</f>
        <v/>
      </c>
      <c r="J174" s="31">
        <f>IF($D174="","",ROUND($F174,2)-$S174)</f>
        <v/>
      </c>
      <c r="K174" s="31">
        <f>IF(OR($D174="",$G174=0),"",ROUND($F174*INDEX('01人员工时'!G$7:G$126,INT((ROW()-7)/4)+1)/$G174,2))</f>
        <v/>
      </c>
      <c r="L174" s="31">
        <f>IF(OR($D174="",$G174=0),"",ROUND($F174*INDEX('01人员工时'!H$7:H$126,INT((ROW()-7)/4)+1)/$G174,2))</f>
        <v/>
      </c>
      <c r="M174" s="31">
        <f>IF(OR($D174="",$G174=0),"",ROUND($F174*INDEX('01人员工时'!I$7:I$126,INT((ROW()-7)/4)+1)/$G174,2))</f>
        <v/>
      </c>
      <c r="N174" s="31">
        <f>IF(OR($D174="",$G174=0),"",ROUND($F174*INDEX('01人员工时'!J$7:J$126,INT((ROW()-7)/4)+1)/$G174,2))</f>
        <v/>
      </c>
      <c r="O174" s="31">
        <f>IF(OR($D174="",$G174=0),"",ROUND($F174*INDEX('01人员工时'!K$7:K$126,INT((ROW()-7)/4)+1)/$G174,2))</f>
        <v/>
      </c>
      <c r="P174" s="31">
        <f>IF(OR($D174="",$G174=0),"",ROUND($F174*INDEX('01人员工时'!L$7:L$126,INT((ROW()-7)/4)+1)/$G174,2))</f>
        <v/>
      </c>
      <c r="Q174" s="31">
        <f>IF(OR($D174="",$G174=0),"",ROUND($F174*INDEX('01人员工时'!M$7:M$126,INT((ROW()-7)/4)+1)/$G174,2))</f>
        <v/>
      </c>
      <c r="R174" s="31">
        <f>IF(OR($D174="",$G174=0),"",ROUND($F174*INDEX('01人员工时'!N$7:N$126,INT((ROW()-7)/4)+1)/$G174,2))</f>
        <v/>
      </c>
      <c r="S174" s="31">
        <f>IF($D174="","",SUM(K174:R174))</f>
        <v/>
      </c>
      <c r="T174" s="31">
        <f>IF($D174="","",$J174+$S174)</f>
        <v/>
      </c>
      <c r="U174" s="32">
        <f>IF($D174="","",IF($F174=0,"未维护标准",IF(ROUND($T174-$F174,2)=0,"√","差异")))</f>
        <v/>
      </c>
      <c r="V174" s="33" t="n"/>
      <c r="W174" s="34" t="n"/>
    </row>
    <row r="175" ht="18" customHeight="1">
      <c r="B175" s="21">
        <f>IF(INDEX('01人员工时'!$D$7:$D$126,INT((ROW()-7)/4)+1)&amp;""="","",INDEX('01人员工时'!$B$7:$B$126,INT((ROW()-7)/4)+1))</f>
        <v/>
      </c>
      <c r="C175" s="22">
        <f>IF($D175="","",IF(MOD(ROW()-7,4)=0,INDEX('01人员工时'!$C$7:$C$126,INT((ROW()-7)/4)+1),""))</f>
        <v/>
      </c>
      <c r="D175" s="22">
        <f>IF(INDEX('01人员工时'!$D$7:$D$126,INT((ROW()-7)/4)+1)&amp;""="","",INDEX('01人员工时'!$D$7:$D$126,INT((ROW()-7)/4)+1))</f>
        <v/>
      </c>
      <c r="E175" s="22">
        <f>IF($D175="","",INDEX('参数设置'!$K$6:$K$9,MOD(ROW()-7,4)+1))</f>
        <v/>
      </c>
      <c r="F175" s="23">
        <f>IF($D175="","",IF($V175&lt;&gt;"",$V175,IFERROR(INDEX('参数设置'!$D$17:$G$26,MATCH($D175,'参数设置'!$C$17:$C$26,0),MATCH($E175,'参数设置'!$D$16:$G$16,0)),0)))</f>
        <v/>
      </c>
      <c r="G175" s="24">
        <f>IF($D175="","",INDEX('01人员工时'!$E$7:$E$126,INT((ROW()-7)/4)+1))</f>
        <v/>
      </c>
      <c r="H175" s="24">
        <f>IF($D175="","",INDEX('01人员工时'!$O$7:$O$126,INT((ROW()-7)/4)+1))</f>
        <v/>
      </c>
      <c r="I175" s="20">
        <f>IF(OR($D175="",$G175=0),"",$H175/$G175)</f>
        <v/>
      </c>
      <c r="J175" s="12">
        <f>IF($D175="","",ROUND($F175,2)-$S175)</f>
        <v/>
      </c>
      <c r="K175" s="12">
        <f>IF(OR($D175="",$G175=0),"",ROUND($F175*INDEX('01人员工时'!G$7:G$126,INT((ROW()-7)/4)+1)/$G175,2))</f>
        <v/>
      </c>
      <c r="L175" s="12">
        <f>IF(OR($D175="",$G175=0),"",ROUND($F175*INDEX('01人员工时'!H$7:H$126,INT((ROW()-7)/4)+1)/$G175,2))</f>
        <v/>
      </c>
      <c r="M175" s="12">
        <f>IF(OR($D175="",$G175=0),"",ROUND($F175*INDEX('01人员工时'!I$7:I$126,INT((ROW()-7)/4)+1)/$G175,2))</f>
        <v/>
      </c>
      <c r="N175" s="12">
        <f>IF(OR($D175="",$G175=0),"",ROUND($F175*INDEX('01人员工时'!J$7:J$126,INT((ROW()-7)/4)+1)/$G175,2))</f>
        <v/>
      </c>
      <c r="O175" s="12">
        <f>IF(OR($D175="",$G175=0),"",ROUND($F175*INDEX('01人员工时'!K$7:K$126,INT((ROW()-7)/4)+1)/$G175,2))</f>
        <v/>
      </c>
      <c r="P175" s="12">
        <f>IF(OR($D175="",$G175=0),"",ROUND($F175*INDEX('01人员工时'!L$7:L$126,INT((ROW()-7)/4)+1)/$G175,2))</f>
        <v/>
      </c>
      <c r="Q175" s="12">
        <f>IF(OR($D175="",$G175=0),"",ROUND($F175*INDEX('01人员工时'!M$7:M$126,INT((ROW()-7)/4)+1)/$G175,2))</f>
        <v/>
      </c>
      <c r="R175" s="12">
        <f>IF(OR($D175="",$G175=0),"",ROUND($F175*INDEX('01人员工时'!N$7:N$126,INT((ROW()-7)/4)+1)/$G175,2))</f>
        <v/>
      </c>
      <c r="S175" s="12">
        <f>IF($D175="","",SUM(K175:R175))</f>
        <v/>
      </c>
      <c r="T175" s="12">
        <f>IF($D175="","",$J175+$S175)</f>
        <v/>
      </c>
      <c r="U175" s="25">
        <f>IF($D175="","",IF($F175=0,"未维护标准",IF(ROUND($T175-$F175,2)=0,"√","差异")))</f>
        <v/>
      </c>
      <c r="V175" s="11" t="n"/>
      <c r="W175" s="9" t="n"/>
    </row>
    <row r="176" ht="18" customHeight="1">
      <c r="B176" s="21">
        <f>IF(INDEX('01人员工时'!$D$7:$D$126,INT((ROW()-7)/4)+1)&amp;""="","",INDEX('01人员工时'!$B$7:$B$126,INT((ROW()-7)/4)+1))</f>
        <v/>
      </c>
      <c r="C176" s="22">
        <f>IF($D176="","",IF(MOD(ROW()-7,4)=0,INDEX('01人员工时'!$C$7:$C$126,INT((ROW()-7)/4)+1),""))</f>
        <v/>
      </c>
      <c r="D176" s="22">
        <f>IF(INDEX('01人员工时'!$D$7:$D$126,INT((ROW()-7)/4)+1)&amp;""="","",INDEX('01人员工时'!$D$7:$D$126,INT((ROW()-7)/4)+1))</f>
        <v/>
      </c>
      <c r="E176" s="22">
        <f>IF($D176="","",INDEX('参数设置'!$K$6:$K$9,MOD(ROW()-7,4)+1))</f>
        <v/>
      </c>
      <c r="F176" s="23">
        <f>IF($D176="","",IF($V176&lt;&gt;"",$V176,IFERROR(INDEX('参数设置'!$D$17:$G$26,MATCH($D176,'参数设置'!$C$17:$C$26,0),MATCH($E176,'参数设置'!$D$16:$G$16,0)),0)))</f>
        <v/>
      </c>
      <c r="G176" s="24">
        <f>IF($D176="","",INDEX('01人员工时'!$E$7:$E$126,INT((ROW()-7)/4)+1))</f>
        <v/>
      </c>
      <c r="H176" s="24">
        <f>IF($D176="","",INDEX('01人员工时'!$O$7:$O$126,INT((ROW()-7)/4)+1))</f>
        <v/>
      </c>
      <c r="I176" s="20">
        <f>IF(OR($D176="",$G176=0),"",$H176/$G176)</f>
        <v/>
      </c>
      <c r="J176" s="12">
        <f>IF($D176="","",ROUND($F176,2)-$S176)</f>
        <v/>
      </c>
      <c r="K176" s="12">
        <f>IF(OR($D176="",$G176=0),"",ROUND($F176*INDEX('01人员工时'!G$7:G$126,INT((ROW()-7)/4)+1)/$G176,2))</f>
        <v/>
      </c>
      <c r="L176" s="12">
        <f>IF(OR($D176="",$G176=0),"",ROUND($F176*INDEX('01人员工时'!H$7:H$126,INT((ROW()-7)/4)+1)/$G176,2))</f>
        <v/>
      </c>
      <c r="M176" s="12">
        <f>IF(OR($D176="",$G176=0),"",ROUND($F176*INDEX('01人员工时'!I$7:I$126,INT((ROW()-7)/4)+1)/$G176,2))</f>
        <v/>
      </c>
      <c r="N176" s="12">
        <f>IF(OR($D176="",$G176=0),"",ROUND($F176*INDEX('01人员工时'!J$7:J$126,INT((ROW()-7)/4)+1)/$G176,2))</f>
        <v/>
      </c>
      <c r="O176" s="12">
        <f>IF(OR($D176="",$G176=0),"",ROUND($F176*INDEX('01人员工时'!K$7:K$126,INT((ROW()-7)/4)+1)/$G176,2))</f>
        <v/>
      </c>
      <c r="P176" s="12">
        <f>IF(OR($D176="",$G176=0),"",ROUND($F176*INDEX('01人员工时'!L$7:L$126,INT((ROW()-7)/4)+1)/$G176,2))</f>
        <v/>
      </c>
      <c r="Q176" s="12">
        <f>IF(OR($D176="",$G176=0),"",ROUND($F176*INDEX('01人员工时'!M$7:M$126,INT((ROW()-7)/4)+1)/$G176,2))</f>
        <v/>
      </c>
      <c r="R176" s="12">
        <f>IF(OR($D176="",$G176=0),"",ROUND($F176*INDEX('01人员工时'!N$7:N$126,INT((ROW()-7)/4)+1)/$G176,2))</f>
        <v/>
      </c>
      <c r="S176" s="12">
        <f>IF($D176="","",SUM(K176:R176))</f>
        <v/>
      </c>
      <c r="T176" s="12">
        <f>IF($D176="","",$J176+$S176)</f>
        <v/>
      </c>
      <c r="U176" s="25">
        <f>IF($D176="","",IF($F176=0,"未维护标准",IF(ROUND($T176-$F176,2)=0,"√","差异")))</f>
        <v/>
      </c>
      <c r="V176" s="11" t="n"/>
      <c r="W176" s="9" t="n"/>
    </row>
    <row r="177" ht="18" customHeight="1">
      <c r="B177" s="21">
        <f>IF(INDEX('01人员工时'!$D$7:$D$126,INT((ROW()-7)/4)+1)&amp;""="","",INDEX('01人员工时'!$B$7:$B$126,INT((ROW()-7)/4)+1))</f>
        <v/>
      </c>
      <c r="C177" s="22">
        <f>IF($D177="","",IF(MOD(ROW()-7,4)=0,INDEX('01人员工时'!$C$7:$C$126,INT((ROW()-7)/4)+1),""))</f>
        <v/>
      </c>
      <c r="D177" s="22">
        <f>IF(INDEX('01人员工时'!$D$7:$D$126,INT((ROW()-7)/4)+1)&amp;""="","",INDEX('01人员工时'!$D$7:$D$126,INT((ROW()-7)/4)+1))</f>
        <v/>
      </c>
      <c r="E177" s="22">
        <f>IF($D177="","",INDEX('参数设置'!$K$6:$K$9,MOD(ROW()-7,4)+1))</f>
        <v/>
      </c>
      <c r="F177" s="23">
        <f>IF($D177="","",IF($V177&lt;&gt;"",$V177,IFERROR(INDEX('参数设置'!$D$17:$G$26,MATCH($D177,'参数设置'!$C$17:$C$26,0),MATCH($E177,'参数设置'!$D$16:$G$16,0)),0)))</f>
        <v/>
      </c>
      <c r="G177" s="24">
        <f>IF($D177="","",INDEX('01人员工时'!$E$7:$E$126,INT((ROW()-7)/4)+1))</f>
        <v/>
      </c>
      <c r="H177" s="24">
        <f>IF($D177="","",INDEX('01人员工时'!$O$7:$O$126,INT((ROW()-7)/4)+1))</f>
        <v/>
      </c>
      <c r="I177" s="20">
        <f>IF(OR($D177="",$G177=0),"",$H177/$G177)</f>
        <v/>
      </c>
      <c r="J177" s="12">
        <f>IF($D177="","",ROUND($F177,2)-$S177)</f>
        <v/>
      </c>
      <c r="K177" s="12">
        <f>IF(OR($D177="",$G177=0),"",ROUND($F177*INDEX('01人员工时'!G$7:G$126,INT((ROW()-7)/4)+1)/$G177,2))</f>
        <v/>
      </c>
      <c r="L177" s="12">
        <f>IF(OR($D177="",$G177=0),"",ROUND($F177*INDEX('01人员工时'!H$7:H$126,INT((ROW()-7)/4)+1)/$G177,2))</f>
        <v/>
      </c>
      <c r="M177" s="12">
        <f>IF(OR($D177="",$G177=0),"",ROUND($F177*INDEX('01人员工时'!I$7:I$126,INT((ROW()-7)/4)+1)/$G177,2))</f>
        <v/>
      </c>
      <c r="N177" s="12">
        <f>IF(OR($D177="",$G177=0),"",ROUND($F177*INDEX('01人员工时'!J$7:J$126,INT((ROW()-7)/4)+1)/$G177,2))</f>
        <v/>
      </c>
      <c r="O177" s="12">
        <f>IF(OR($D177="",$G177=0),"",ROUND($F177*INDEX('01人员工时'!K$7:K$126,INT((ROW()-7)/4)+1)/$G177,2))</f>
        <v/>
      </c>
      <c r="P177" s="12">
        <f>IF(OR($D177="",$G177=0),"",ROUND($F177*INDEX('01人员工时'!L$7:L$126,INT((ROW()-7)/4)+1)/$G177,2))</f>
        <v/>
      </c>
      <c r="Q177" s="12">
        <f>IF(OR($D177="",$G177=0),"",ROUND($F177*INDEX('01人员工时'!M$7:M$126,INT((ROW()-7)/4)+1)/$G177,2))</f>
        <v/>
      </c>
      <c r="R177" s="12">
        <f>IF(OR($D177="",$G177=0),"",ROUND($F177*INDEX('01人员工时'!N$7:N$126,INT((ROW()-7)/4)+1)/$G177,2))</f>
        <v/>
      </c>
      <c r="S177" s="12">
        <f>IF($D177="","",SUM(K177:R177))</f>
        <v/>
      </c>
      <c r="T177" s="12">
        <f>IF($D177="","",$J177+$S177)</f>
        <v/>
      </c>
      <c r="U177" s="25">
        <f>IF($D177="","",IF($F177=0,"未维护标准",IF(ROUND($T177-$F177,2)=0,"√","差异")))</f>
        <v/>
      </c>
      <c r="V177" s="11" t="n"/>
      <c r="W177" s="9" t="n"/>
    </row>
    <row r="178" ht="18" customHeight="1">
      <c r="B178" s="26">
        <f>IF(INDEX('01人员工时'!$D$7:$D$126,INT((ROW()-7)/4)+1)&amp;""="","",INDEX('01人员工时'!$B$7:$B$126,INT((ROW()-7)/4)+1))</f>
        <v/>
      </c>
      <c r="C178" s="27">
        <f>IF($D178="","",IF(MOD(ROW()-7,4)=0,INDEX('01人员工时'!$C$7:$C$126,INT((ROW()-7)/4)+1),""))</f>
        <v/>
      </c>
      <c r="D178" s="27">
        <f>IF(INDEX('01人员工时'!$D$7:$D$126,INT((ROW()-7)/4)+1)&amp;""="","",INDEX('01人员工时'!$D$7:$D$126,INT((ROW()-7)/4)+1))</f>
        <v/>
      </c>
      <c r="E178" s="27">
        <f>IF($D178="","",INDEX('参数设置'!$K$6:$K$9,MOD(ROW()-7,4)+1))</f>
        <v/>
      </c>
      <c r="F178" s="28">
        <f>IF($D178="","",IF($V178&lt;&gt;"",$V178,IFERROR(INDEX('参数设置'!$D$17:$G$26,MATCH($D178,'参数设置'!$C$17:$C$26,0),MATCH($E178,'参数设置'!$D$16:$G$16,0)),0)))</f>
        <v/>
      </c>
      <c r="G178" s="29">
        <f>IF($D178="","",INDEX('01人员工时'!$E$7:$E$126,INT((ROW()-7)/4)+1))</f>
        <v/>
      </c>
      <c r="H178" s="29">
        <f>IF($D178="","",INDEX('01人员工时'!$O$7:$O$126,INT((ROW()-7)/4)+1))</f>
        <v/>
      </c>
      <c r="I178" s="30">
        <f>IF(OR($D178="",$G178=0),"",$H178/$G178)</f>
        <v/>
      </c>
      <c r="J178" s="31">
        <f>IF($D178="","",ROUND($F178,2)-$S178)</f>
        <v/>
      </c>
      <c r="K178" s="31">
        <f>IF(OR($D178="",$G178=0),"",ROUND($F178*INDEX('01人员工时'!G$7:G$126,INT((ROW()-7)/4)+1)/$G178,2))</f>
        <v/>
      </c>
      <c r="L178" s="31">
        <f>IF(OR($D178="",$G178=0),"",ROUND($F178*INDEX('01人员工时'!H$7:H$126,INT((ROW()-7)/4)+1)/$G178,2))</f>
        <v/>
      </c>
      <c r="M178" s="31">
        <f>IF(OR($D178="",$G178=0),"",ROUND($F178*INDEX('01人员工时'!I$7:I$126,INT((ROW()-7)/4)+1)/$G178,2))</f>
        <v/>
      </c>
      <c r="N178" s="31">
        <f>IF(OR($D178="",$G178=0),"",ROUND($F178*INDEX('01人员工时'!J$7:J$126,INT((ROW()-7)/4)+1)/$G178,2))</f>
        <v/>
      </c>
      <c r="O178" s="31">
        <f>IF(OR($D178="",$G178=0),"",ROUND($F178*INDEX('01人员工时'!K$7:K$126,INT((ROW()-7)/4)+1)/$G178,2))</f>
        <v/>
      </c>
      <c r="P178" s="31">
        <f>IF(OR($D178="",$G178=0),"",ROUND($F178*INDEX('01人员工时'!L$7:L$126,INT((ROW()-7)/4)+1)/$G178,2))</f>
        <v/>
      </c>
      <c r="Q178" s="31">
        <f>IF(OR($D178="",$G178=0),"",ROUND($F178*INDEX('01人员工时'!M$7:M$126,INT((ROW()-7)/4)+1)/$G178,2))</f>
        <v/>
      </c>
      <c r="R178" s="31">
        <f>IF(OR($D178="",$G178=0),"",ROUND($F178*INDEX('01人员工时'!N$7:N$126,INT((ROW()-7)/4)+1)/$G178,2))</f>
        <v/>
      </c>
      <c r="S178" s="31">
        <f>IF($D178="","",SUM(K178:R178))</f>
        <v/>
      </c>
      <c r="T178" s="31">
        <f>IF($D178="","",$J178+$S178)</f>
        <v/>
      </c>
      <c r="U178" s="32">
        <f>IF($D178="","",IF($F178=0,"未维护标准",IF(ROUND($T178-$F178,2)=0,"√","差异")))</f>
        <v/>
      </c>
      <c r="V178" s="33" t="n"/>
      <c r="W178" s="34" t="n"/>
    </row>
    <row r="179" ht="18" customHeight="1">
      <c r="B179" s="21">
        <f>IF(INDEX('01人员工时'!$D$7:$D$126,INT((ROW()-7)/4)+1)&amp;""="","",INDEX('01人员工时'!$B$7:$B$126,INT((ROW()-7)/4)+1))</f>
        <v/>
      </c>
      <c r="C179" s="22">
        <f>IF($D179="","",IF(MOD(ROW()-7,4)=0,INDEX('01人员工时'!$C$7:$C$126,INT((ROW()-7)/4)+1),""))</f>
        <v/>
      </c>
      <c r="D179" s="22">
        <f>IF(INDEX('01人员工时'!$D$7:$D$126,INT((ROW()-7)/4)+1)&amp;""="","",INDEX('01人员工时'!$D$7:$D$126,INT((ROW()-7)/4)+1))</f>
        <v/>
      </c>
      <c r="E179" s="22">
        <f>IF($D179="","",INDEX('参数设置'!$K$6:$K$9,MOD(ROW()-7,4)+1))</f>
        <v/>
      </c>
      <c r="F179" s="23">
        <f>IF($D179="","",IF($V179&lt;&gt;"",$V179,IFERROR(INDEX('参数设置'!$D$17:$G$26,MATCH($D179,'参数设置'!$C$17:$C$26,0),MATCH($E179,'参数设置'!$D$16:$G$16,0)),0)))</f>
        <v/>
      </c>
      <c r="G179" s="24">
        <f>IF($D179="","",INDEX('01人员工时'!$E$7:$E$126,INT((ROW()-7)/4)+1))</f>
        <v/>
      </c>
      <c r="H179" s="24">
        <f>IF($D179="","",INDEX('01人员工时'!$O$7:$O$126,INT((ROW()-7)/4)+1))</f>
        <v/>
      </c>
      <c r="I179" s="20">
        <f>IF(OR($D179="",$G179=0),"",$H179/$G179)</f>
        <v/>
      </c>
      <c r="J179" s="12">
        <f>IF($D179="","",ROUND($F179,2)-$S179)</f>
        <v/>
      </c>
      <c r="K179" s="12">
        <f>IF(OR($D179="",$G179=0),"",ROUND($F179*INDEX('01人员工时'!G$7:G$126,INT((ROW()-7)/4)+1)/$G179,2))</f>
        <v/>
      </c>
      <c r="L179" s="12">
        <f>IF(OR($D179="",$G179=0),"",ROUND($F179*INDEX('01人员工时'!H$7:H$126,INT((ROW()-7)/4)+1)/$G179,2))</f>
        <v/>
      </c>
      <c r="M179" s="12">
        <f>IF(OR($D179="",$G179=0),"",ROUND($F179*INDEX('01人员工时'!I$7:I$126,INT((ROW()-7)/4)+1)/$G179,2))</f>
        <v/>
      </c>
      <c r="N179" s="12">
        <f>IF(OR($D179="",$G179=0),"",ROUND($F179*INDEX('01人员工时'!J$7:J$126,INT((ROW()-7)/4)+1)/$G179,2))</f>
        <v/>
      </c>
      <c r="O179" s="12">
        <f>IF(OR($D179="",$G179=0),"",ROUND($F179*INDEX('01人员工时'!K$7:K$126,INT((ROW()-7)/4)+1)/$G179,2))</f>
        <v/>
      </c>
      <c r="P179" s="12">
        <f>IF(OR($D179="",$G179=0),"",ROUND($F179*INDEX('01人员工时'!L$7:L$126,INT((ROW()-7)/4)+1)/$G179,2))</f>
        <v/>
      </c>
      <c r="Q179" s="12">
        <f>IF(OR($D179="",$G179=0),"",ROUND($F179*INDEX('01人员工时'!M$7:M$126,INT((ROW()-7)/4)+1)/$G179,2))</f>
        <v/>
      </c>
      <c r="R179" s="12">
        <f>IF(OR($D179="",$G179=0),"",ROUND($F179*INDEX('01人员工时'!N$7:N$126,INT((ROW()-7)/4)+1)/$G179,2))</f>
        <v/>
      </c>
      <c r="S179" s="12">
        <f>IF($D179="","",SUM(K179:R179))</f>
        <v/>
      </c>
      <c r="T179" s="12">
        <f>IF($D179="","",$J179+$S179)</f>
        <v/>
      </c>
      <c r="U179" s="25">
        <f>IF($D179="","",IF($F179=0,"未维护标准",IF(ROUND($T179-$F179,2)=0,"√","差异")))</f>
        <v/>
      </c>
      <c r="V179" s="11" t="n"/>
      <c r="W179" s="9" t="n"/>
    </row>
    <row r="180" ht="18" customHeight="1">
      <c r="B180" s="21">
        <f>IF(INDEX('01人员工时'!$D$7:$D$126,INT((ROW()-7)/4)+1)&amp;""="","",INDEX('01人员工时'!$B$7:$B$126,INT((ROW()-7)/4)+1))</f>
        <v/>
      </c>
      <c r="C180" s="22">
        <f>IF($D180="","",IF(MOD(ROW()-7,4)=0,INDEX('01人员工时'!$C$7:$C$126,INT((ROW()-7)/4)+1),""))</f>
        <v/>
      </c>
      <c r="D180" s="22">
        <f>IF(INDEX('01人员工时'!$D$7:$D$126,INT((ROW()-7)/4)+1)&amp;""="","",INDEX('01人员工时'!$D$7:$D$126,INT((ROW()-7)/4)+1))</f>
        <v/>
      </c>
      <c r="E180" s="22">
        <f>IF($D180="","",INDEX('参数设置'!$K$6:$K$9,MOD(ROW()-7,4)+1))</f>
        <v/>
      </c>
      <c r="F180" s="23">
        <f>IF($D180="","",IF($V180&lt;&gt;"",$V180,IFERROR(INDEX('参数设置'!$D$17:$G$26,MATCH($D180,'参数设置'!$C$17:$C$26,0),MATCH($E180,'参数设置'!$D$16:$G$16,0)),0)))</f>
        <v/>
      </c>
      <c r="G180" s="24">
        <f>IF($D180="","",INDEX('01人员工时'!$E$7:$E$126,INT((ROW()-7)/4)+1))</f>
        <v/>
      </c>
      <c r="H180" s="24">
        <f>IF($D180="","",INDEX('01人员工时'!$O$7:$O$126,INT((ROW()-7)/4)+1))</f>
        <v/>
      </c>
      <c r="I180" s="20">
        <f>IF(OR($D180="",$G180=0),"",$H180/$G180)</f>
        <v/>
      </c>
      <c r="J180" s="12">
        <f>IF($D180="","",ROUND($F180,2)-$S180)</f>
        <v/>
      </c>
      <c r="K180" s="12">
        <f>IF(OR($D180="",$G180=0),"",ROUND($F180*INDEX('01人员工时'!G$7:G$126,INT((ROW()-7)/4)+1)/$G180,2))</f>
        <v/>
      </c>
      <c r="L180" s="12">
        <f>IF(OR($D180="",$G180=0),"",ROUND($F180*INDEX('01人员工时'!H$7:H$126,INT((ROW()-7)/4)+1)/$G180,2))</f>
        <v/>
      </c>
      <c r="M180" s="12">
        <f>IF(OR($D180="",$G180=0),"",ROUND($F180*INDEX('01人员工时'!I$7:I$126,INT((ROW()-7)/4)+1)/$G180,2))</f>
        <v/>
      </c>
      <c r="N180" s="12">
        <f>IF(OR($D180="",$G180=0),"",ROUND($F180*INDEX('01人员工时'!J$7:J$126,INT((ROW()-7)/4)+1)/$G180,2))</f>
        <v/>
      </c>
      <c r="O180" s="12">
        <f>IF(OR($D180="",$G180=0),"",ROUND($F180*INDEX('01人员工时'!K$7:K$126,INT((ROW()-7)/4)+1)/$G180,2))</f>
        <v/>
      </c>
      <c r="P180" s="12">
        <f>IF(OR($D180="",$G180=0),"",ROUND($F180*INDEX('01人员工时'!L$7:L$126,INT((ROW()-7)/4)+1)/$G180,2))</f>
        <v/>
      </c>
      <c r="Q180" s="12">
        <f>IF(OR($D180="",$G180=0),"",ROUND($F180*INDEX('01人员工时'!M$7:M$126,INT((ROW()-7)/4)+1)/$G180,2))</f>
        <v/>
      </c>
      <c r="R180" s="12">
        <f>IF(OR($D180="",$G180=0),"",ROUND($F180*INDEX('01人员工时'!N$7:N$126,INT((ROW()-7)/4)+1)/$G180,2))</f>
        <v/>
      </c>
      <c r="S180" s="12">
        <f>IF($D180="","",SUM(K180:R180))</f>
        <v/>
      </c>
      <c r="T180" s="12">
        <f>IF($D180="","",$J180+$S180)</f>
        <v/>
      </c>
      <c r="U180" s="25">
        <f>IF($D180="","",IF($F180=0,"未维护标准",IF(ROUND($T180-$F180,2)=0,"√","差异")))</f>
        <v/>
      </c>
      <c r="V180" s="11" t="n"/>
      <c r="W180" s="9" t="n"/>
    </row>
    <row r="181" ht="18" customHeight="1">
      <c r="B181" s="21">
        <f>IF(INDEX('01人员工时'!$D$7:$D$126,INT((ROW()-7)/4)+1)&amp;""="","",INDEX('01人员工时'!$B$7:$B$126,INT((ROW()-7)/4)+1))</f>
        <v/>
      </c>
      <c r="C181" s="22">
        <f>IF($D181="","",IF(MOD(ROW()-7,4)=0,INDEX('01人员工时'!$C$7:$C$126,INT((ROW()-7)/4)+1),""))</f>
        <v/>
      </c>
      <c r="D181" s="22">
        <f>IF(INDEX('01人员工时'!$D$7:$D$126,INT((ROW()-7)/4)+1)&amp;""="","",INDEX('01人员工时'!$D$7:$D$126,INT((ROW()-7)/4)+1))</f>
        <v/>
      </c>
      <c r="E181" s="22">
        <f>IF($D181="","",INDEX('参数设置'!$K$6:$K$9,MOD(ROW()-7,4)+1))</f>
        <v/>
      </c>
      <c r="F181" s="23">
        <f>IF($D181="","",IF($V181&lt;&gt;"",$V181,IFERROR(INDEX('参数设置'!$D$17:$G$26,MATCH($D181,'参数设置'!$C$17:$C$26,0),MATCH($E181,'参数设置'!$D$16:$G$16,0)),0)))</f>
        <v/>
      </c>
      <c r="G181" s="24">
        <f>IF($D181="","",INDEX('01人员工时'!$E$7:$E$126,INT((ROW()-7)/4)+1))</f>
        <v/>
      </c>
      <c r="H181" s="24">
        <f>IF($D181="","",INDEX('01人员工时'!$O$7:$O$126,INT((ROW()-7)/4)+1))</f>
        <v/>
      </c>
      <c r="I181" s="20">
        <f>IF(OR($D181="",$G181=0),"",$H181/$G181)</f>
        <v/>
      </c>
      <c r="J181" s="12">
        <f>IF($D181="","",ROUND($F181,2)-$S181)</f>
        <v/>
      </c>
      <c r="K181" s="12">
        <f>IF(OR($D181="",$G181=0),"",ROUND($F181*INDEX('01人员工时'!G$7:G$126,INT((ROW()-7)/4)+1)/$G181,2))</f>
        <v/>
      </c>
      <c r="L181" s="12">
        <f>IF(OR($D181="",$G181=0),"",ROUND($F181*INDEX('01人员工时'!H$7:H$126,INT((ROW()-7)/4)+1)/$G181,2))</f>
        <v/>
      </c>
      <c r="M181" s="12">
        <f>IF(OR($D181="",$G181=0),"",ROUND($F181*INDEX('01人员工时'!I$7:I$126,INT((ROW()-7)/4)+1)/$G181,2))</f>
        <v/>
      </c>
      <c r="N181" s="12">
        <f>IF(OR($D181="",$G181=0),"",ROUND($F181*INDEX('01人员工时'!J$7:J$126,INT((ROW()-7)/4)+1)/$G181,2))</f>
        <v/>
      </c>
      <c r="O181" s="12">
        <f>IF(OR($D181="",$G181=0),"",ROUND($F181*INDEX('01人员工时'!K$7:K$126,INT((ROW()-7)/4)+1)/$G181,2))</f>
        <v/>
      </c>
      <c r="P181" s="12">
        <f>IF(OR($D181="",$G181=0),"",ROUND($F181*INDEX('01人员工时'!L$7:L$126,INT((ROW()-7)/4)+1)/$G181,2))</f>
        <v/>
      </c>
      <c r="Q181" s="12">
        <f>IF(OR($D181="",$G181=0),"",ROUND($F181*INDEX('01人员工时'!M$7:M$126,INT((ROW()-7)/4)+1)/$G181,2))</f>
        <v/>
      </c>
      <c r="R181" s="12">
        <f>IF(OR($D181="",$G181=0),"",ROUND($F181*INDEX('01人员工时'!N$7:N$126,INT((ROW()-7)/4)+1)/$G181,2))</f>
        <v/>
      </c>
      <c r="S181" s="12">
        <f>IF($D181="","",SUM(K181:R181))</f>
        <v/>
      </c>
      <c r="T181" s="12">
        <f>IF($D181="","",$J181+$S181)</f>
        <v/>
      </c>
      <c r="U181" s="25">
        <f>IF($D181="","",IF($F181=0,"未维护标准",IF(ROUND($T181-$F181,2)=0,"√","差异")))</f>
        <v/>
      </c>
      <c r="V181" s="11" t="n"/>
      <c r="W181" s="9" t="n"/>
    </row>
    <row r="182" ht="18" customHeight="1">
      <c r="B182" s="26">
        <f>IF(INDEX('01人员工时'!$D$7:$D$126,INT((ROW()-7)/4)+1)&amp;""="","",INDEX('01人员工时'!$B$7:$B$126,INT((ROW()-7)/4)+1))</f>
        <v/>
      </c>
      <c r="C182" s="27">
        <f>IF($D182="","",IF(MOD(ROW()-7,4)=0,INDEX('01人员工时'!$C$7:$C$126,INT((ROW()-7)/4)+1),""))</f>
        <v/>
      </c>
      <c r="D182" s="27">
        <f>IF(INDEX('01人员工时'!$D$7:$D$126,INT((ROW()-7)/4)+1)&amp;""="","",INDEX('01人员工时'!$D$7:$D$126,INT((ROW()-7)/4)+1))</f>
        <v/>
      </c>
      <c r="E182" s="27">
        <f>IF($D182="","",INDEX('参数设置'!$K$6:$K$9,MOD(ROW()-7,4)+1))</f>
        <v/>
      </c>
      <c r="F182" s="28">
        <f>IF($D182="","",IF($V182&lt;&gt;"",$V182,IFERROR(INDEX('参数设置'!$D$17:$G$26,MATCH($D182,'参数设置'!$C$17:$C$26,0),MATCH($E182,'参数设置'!$D$16:$G$16,0)),0)))</f>
        <v/>
      </c>
      <c r="G182" s="29">
        <f>IF($D182="","",INDEX('01人员工时'!$E$7:$E$126,INT((ROW()-7)/4)+1))</f>
        <v/>
      </c>
      <c r="H182" s="29">
        <f>IF($D182="","",INDEX('01人员工时'!$O$7:$O$126,INT((ROW()-7)/4)+1))</f>
        <v/>
      </c>
      <c r="I182" s="30">
        <f>IF(OR($D182="",$G182=0),"",$H182/$G182)</f>
        <v/>
      </c>
      <c r="J182" s="31">
        <f>IF($D182="","",ROUND($F182,2)-$S182)</f>
        <v/>
      </c>
      <c r="K182" s="31">
        <f>IF(OR($D182="",$G182=0),"",ROUND($F182*INDEX('01人员工时'!G$7:G$126,INT((ROW()-7)/4)+1)/$G182,2))</f>
        <v/>
      </c>
      <c r="L182" s="31">
        <f>IF(OR($D182="",$G182=0),"",ROUND($F182*INDEX('01人员工时'!H$7:H$126,INT((ROW()-7)/4)+1)/$G182,2))</f>
        <v/>
      </c>
      <c r="M182" s="31">
        <f>IF(OR($D182="",$G182=0),"",ROUND($F182*INDEX('01人员工时'!I$7:I$126,INT((ROW()-7)/4)+1)/$G182,2))</f>
        <v/>
      </c>
      <c r="N182" s="31">
        <f>IF(OR($D182="",$G182=0),"",ROUND($F182*INDEX('01人员工时'!J$7:J$126,INT((ROW()-7)/4)+1)/$G182,2))</f>
        <v/>
      </c>
      <c r="O182" s="31">
        <f>IF(OR($D182="",$G182=0),"",ROUND($F182*INDEX('01人员工时'!K$7:K$126,INT((ROW()-7)/4)+1)/$G182,2))</f>
        <v/>
      </c>
      <c r="P182" s="31">
        <f>IF(OR($D182="",$G182=0),"",ROUND($F182*INDEX('01人员工时'!L$7:L$126,INT((ROW()-7)/4)+1)/$G182,2))</f>
        <v/>
      </c>
      <c r="Q182" s="31">
        <f>IF(OR($D182="",$G182=0),"",ROUND($F182*INDEX('01人员工时'!M$7:M$126,INT((ROW()-7)/4)+1)/$G182,2))</f>
        <v/>
      </c>
      <c r="R182" s="31">
        <f>IF(OR($D182="",$G182=0),"",ROUND($F182*INDEX('01人员工时'!N$7:N$126,INT((ROW()-7)/4)+1)/$G182,2))</f>
        <v/>
      </c>
      <c r="S182" s="31">
        <f>IF($D182="","",SUM(K182:R182))</f>
        <v/>
      </c>
      <c r="T182" s="31">
        <f>IF($D182="","",$J182+$S182)</f>
        <v/>
      </c>
      <c r="U182" s="32">
        <f>IF($D182="","",IF($F182=0,"未维护标准",IF(ROUND($T182-$F182,2)=0,"√","差异")))</f>
        <v/>
      </c>
      <c r="V182" s="33" t="n"/>
      <c r="W182" s="34" t="n"/>
    </row>
    <row r="183" ht="18" customHeight="1">
      <c r="B183" s="21">
        <f>IF(INDEX('01人员工时'!$D$7:$D$126,INT((ROW()-7)/4)+1)&amp;""="","",INDEX('01人员工时'!$B$7:$B$126,INT((ROW()-7)/4)+1))</f>
        <v/>
      </c>
      <c r="C183" s="22">
        <f>IF($D183="","",IF(MOD(ROW()-7,4)=0,INDEX('01人员工时'!$C$7:$C$126,INT((ROW()-7)/4)+1),""))</f>
        <v/>
      </c>
      <c r="D183" s="22">
        <f>IF(INDEX('01人员工时'!$D$7:$D$126,INT((ROW()-7)/4)+1)&amp;""="","",INDEX('01人员工时'!$D$7:$D$126,INT((ROW()-7)/4)+1))</f>
        <v/>
      </c>
      <c r="E183" s="22">
        <f>IF($D183="","",INDEX('参数设置'!$K$6:$K$9,MOD(ROW()-7,4)+1))</f>
        <v/>
      </c>
      <c r="F183" s="23">
        <f>IF($D183="","",IF($V183&lt;&gt;"",$V183,IFERROR(INDEX('参数设置'!$D$17:$G$26,MATCH($D183,'参数设置'!$C$17:$C$26,0),MATCH($E183,'参数设置'!$D$16:$G$16,0)),0)))</f>
        <v/>
      </c>
      <c r="G183" s="24">
        <f>IF($D183="","",INDEX('01人员工时'!$E$7:$E$126,INT((ROW()-7)/4)+1))</f>
        <v/>
      </c>
      <c r="H183" s="24">
        <f>IF($D183="","",INDEX('01人员工时'!$O$7:$O$126,INT((ROW()-7)/4)+1))</f>
        <v/>
      </c>
      <c r="I183" s="20">
        <f>IF(OR($D183="",$G183=0),"",$H183/$G183)</f>
        <v/>
      </c>
      <c r="J183" s="12">
        <f>IF($D183="","",ROUND($F183,2)-$S183)</f>
        <v/>
      </c>
      <c r="K183" s="12">
        <f>IF(OR($D183="",$G183=0),"",ROUND($F183*INDEX('01人员工时'!G$7:G$126,INT((ROW()-7)/4)+1)/$G183,2))</f>
        <v/>
      </c>
      <c r="L183" s="12">
        <f>IF(OR($D183="",$G183=0),"",ROUND($F183*INDEX('01人员工时'!H$7:H$126,INT((ROW()-7)/4)+1)/$G183,2))</f>
        <v/>
      </c>
      <c r="M183" s="12">
        <f>IF(OR($D183="",$G183=0),"",ROUND($F183*INDEX('01人员工时'!I$7:I$126,INT((ROW()-7)/4)+1)/$G183,2))</f>
        <v/>
      </c>
      <c r="N183" s="12">
        <f>IF(OR($D183="",$G183=0),"",ROUND($F183*INDEX('01人员工时'!J$7:J$126,INT((ROW()-7)/4)+1)/$G183,2))</f>
        <v/>
      </c>
      <c r="O183" s="12">
        <f>IF(OR($D183="",$G183=0),"",ROUND($F183*INDEX('01人员工时'!K$7:K$126,INT((ROW()-7)/4)+1)/$G183,2))</f>
        <v/>
      </c>
      <c r="P183" s="12">
        <f>IF(OR($D183="",$G183=0),"",ROUND($F183*INDEX('01人员工时'!L$7:L$126,INT((ROW()-7)/4)+1)/$G183,2))</f>
        <v/>
      </c>
      <c r="Q183" s="12">
        <f>IF(OR($D183="",$G183=0),"",ROUND($F183*INDEX('01人员工时'!M$7:M$126,INT((ROW()-7)/4)+1)/$G183,2))</f>
        <v/>
      </c>
      <c r="R183" s="12">
        <f>IF(OR($D183="",$G183=0),"",ROUND($F183*INDEX('01人员工时'!N$7:N$126,INT((ROW()-7)/4)+1)/$G183,2))</f>
        <v/>
      </c>
      <c r="S183" s="12">
        <f>IF($D183="","",SUM(K183:R183))</f>
        <v/>
      </c>
      <c r="T183" s="12">
        <f>IF($D183="","",$J183+$S183)</f>
        <v/>
      </c>
      <c r="U183" s="25">
        <f>IF($D183="","",IF($F183=0,"未维护标准",IF(ROUND($T183-$F183,2)=0,"√","差异")))</f>
        <v/>
      </c>
      <c r="V183" s="11" t="n"/>
      <c r="W183" s="9" t="n"/>
    </row>
    <row r="184" ht="18" customHeight="1">
      <c r="B184" s="21">
        <f>IF(INDEX('01人员工时'!$D$7:$D$126,INT((ROW()-7)/4)+1)&amp;""="","",INDEX('01人员工时'!$B$7:$B$126,INT((ROW()-7)/4)+1))</f>
        <v/>
      </c>
      <c r="C184" s="22">
        <f>IF($D184="","",IF(MOD(ROW()-7,4)=0,INDEX('01人员工时'!$C$7:$C$126,INT((ROW()-7)/4)+1),""))</f>
        <v/>
      </c>
      <c r="D184" s="22">
        <f>IF(INDEX('01人员工时'!$D$7:$D$126,INT((ROW()-7)/4)+1)&amp;""="","",INDEX('01人员工时'!$D$7:$D$126,INT((ROW()-7)/4)+1))</f>
        <v/>
      </c>
      <c r="E184" s="22">
        <f>IF($D184="","",INDEX('参数设置'!$K$6:$K$9,MOD(ROW()-7,4)+1))</f>
        <v/>
      </c>
      <c r="F184" s="23">
        <f>IF($D184="","",IF($V184&lt;&gt;"",$V184,IFERROR(INDEX('参数设置'!$D$17:$G$26,MATCH($D184,'参数设置'!$C$17:$C$26,0),MATCH($E184,'参数设置'!$D$16:$G$16,0)),0)))</f>
        <v/>
      </c>
      <c r="G184" s="24">
        <f>IF($D184="","",INDEX('01人员工时'!$E$7:$E$126,INT((ROW()-7)/4)+1))</f>
        <v/>
      </c>
      <c r="H184" s="24">
        <f>IF($D184="","",INDEX('01人员工时'!$O$7:$O$126,INT((ROW()-7)/4)+1))</f>
        <v/>
      </c>
      <c r="I184" s="20">
        <f>IF(OR($D184="",$G184=0),"",$H184/$G184)</f>
        <v/>
      </c>
      <c r="J184" s="12">
        <f>IF($D184="","",ROUND($F184,2)-$S184)</f>
        <v/>
      </c>
      <c r="K184" s="12">
        <f>IF(OR($D184="",$G184=0),"",ROUND($F184*INDEX('01人员工时'!G$7:G$126,INT((ROW()-7)/4)+1)/$G184,2))</f>
        <v/>
      </c>
      <c r="L184" s="12">
        <f>IF(OR($D184="",$G184=0),"",ROUND($F184*INDEX('01人员工时'!H$7:H$126,INT((ROW()-7)/4)+1)/$G184,2))</f>
        <v/>
      </c>
      <c r="M184" s="12">
        <f>IF(OR($D184="",$G184=0),"",ROUND($F184*INDEX('01人员工时'!I$7:I$126,INT((ROW()-7)/4)+1)/$G184,2))</f>
        <v/>
      </c>
      <c r="N184" s="12">
        <f>IF(OR($D184="",$G184=0),"",ROUND($F184*INDEX('01人员工时'!J$7:J$126,INT((ROW()-7)/4)+1)/$G184,2))</f>
        <v/>
      </c>
      <c r="O184" s="12">
        <f>IF(OR($D184="",$G184=0),"",ROUND($F184*INDEX('01人员工时'!K$7:K$126,INT((ROW()-7)/4)+1)/$G184,2))</f>
        <v/>
      </c>
      <c r="P184" s="12">
        <f>IF(OR($D184="",$G184=0),"",ROUND($F184*INDEX('01人员工时'!L$7:L$126,INT((ROW()-7)/4)+1)/$G184,2))</f>
        <v/>
      </c>
      <c r="Q184" s="12">
        <f>IF(OR($D184="",$G184=0),"",ROUND($F184*INDEX('01人员工时'!M$7:M$126,INT((ROW()-7)/4)+1)/$G184,2))</f>
        <v/>
      </c>
      <c r="R184" s="12">
        <f>IF(OR($D184="",$G184=0),"",ROUND($F184*INDEX('01人员工时'!N$7:N$126,INT((ROW()-7)/4)+1)/$G184,2))</f>
        <v/>
      </c>
      <c r="S184" s="12">
        <f>IF($D184="","",SUM(K184:R184))</f>
        <v/>
      </c>
      <c r="T184" s="12">
        <f>IF($D184="","",$J184+$S184)</f>
        <v/>
      </c>
      <c r="U184" s="25">
        <f>IF($D184="","",IF($F184=0,"未维护标准",IF(ROUND($T184-$F184,2)=0,"√","差异")))</f>
        <v/>
      </c>
      <c r="V184" s="11" t="n"/>
      <c r="W184" s="9" t="n"/>
    </row>
    <row r="185" ht="18" customHeight="1">
      <c r="B185" s="21">
        <f>IF(INDEX('01人员工时'!$D$7:$D$126,INT((ROW()-7)/4)+1)&amp;""="","",INDEX('01人员工时'!$B$7:$B$126,INT((ROW()-7)/4)+1))</f>
        <v/>
      </c>
      <c r="C185" s="22">
        <f>IF($D185="","",IF(MOD(ROW()-7,4)=0,INDEX('01人员工时'!$C$7:$C$126,INT((ROW()-7)/4)+1),""))</f>
        <v/>
      </c>
      <c r="D185" s="22">
        <f>IF(INDEX('01人员工时'!$D$7:$D$126,INT((ROW()-7)/4)+1)&amp;""="","",INDEX('01人员工时'!$D$7:$D$126,INT((ROW()-7)/4)+1))</f>
        <v/>
      </c>
      <c r="E185" s="22">
        <f>IF($D185="","",INDEX('参数设置'!$K$6:$K$9,MOD(ROW()-7,4)+1))</f>
        <v/>
      </c>
      <c r="F185" s="23">
        <f>IF($D185="","",IF($V185&lt;&gt;"",$V185,IFERROR(INDEX('参数设置'!$D$17:$G$26,MATCH($D185,'参数设置'!$C$17:$C$26,0),MATCH($E185,'参数设置'!$D$16:$G$16,0)),0)))</f>
        <v/>
      </c>
      <c r="G185" s="24">
        <f>IF($D185="","",INDEX('01人员工时'!$E$7:$E$126,INT((ROW()-7)/4)+1))</f>
        <v/>
      </c>
      <c r="H185" s="24">
        <f>IF($D185="","",INDEX('01人员工时'!$O$7:$O$126,INT((ROW()-7)/4)+1))</f>
        <v/>
      </c>
      <c r="I185" s="20">
        <f>IF(OR($D185="",$G185=0),"",$H185/$G185)</f>
        <v/>
      </c>
      <c r="J185" s="12">
        <f>IF($D185="","",ROUND($F185,2)-$S185)</f>
        <v/>
      </c>
      <c r="K185" s="12">
        <f>IF(OR($D185="",$G185=0),"",ROUND($F185*INDEX('01人员工时'!G$7:G$126,INT((ROW()-7)/4)+1)/$G185,2))</f>
        <v/>
      </c>
      <c r="L185" s="12">
        <f>IF(OR($D185="",$G185=0),"",ROUND($F185*INDEX('01人员工时'!H$7:H$126,INT((ROW()-7)/4)+1)/$G185,2))</f>
        <v/>
      </c>
      <c r="M185" s="12">
        <f>IF(OR($D185="",$G185=0),"",ROUND($F185*INDEX('01人员工时'!I$7:I$126,INT((ROW()-7)/4)+1)/$G185,2))</f>
        <v/>
      </c>
      <c r="N185" s="12">
        <f>IF(OR($D185="",$G185=0),"",ROUND($F185*INDEX('01人员工时'!J$7:J$126,INT((ROW()-7)/4)+1)/$G185,2))</f>
        <v/>
      </c>
      <c r="O185" s="12">
        <f>IF(OR($D185="",$G185=0),"",ROUND($F185*INDEX('01人员工时'!K$7:K$126,INT((ROW()-7)/4)+1)/$G185,2))</f>
        <v/>
      </c>
      <c r="P185" s="12">
        <f>IF(OR($D185="",$G185=0),"",ROUND($F185*INDEX('01人员工时'!L$7:L$126,INT((ROW()-7)/4)+1)/$G185,2))</f>
        <v/>
      </c>
      <c r="Q185" s="12">
        <f>IF(OR($D185="",$G185=0),"",ROUND($F185*INDEX('01人员工时'!M$7:M$126,INT((ROW()-7)/4)+1)/$G185,2))</f>
        <v/>
      </c>
      <c r="R185" s="12">
        <f>IF(OR($D185="",$G185=0),"",ROUND($F185*INDEX('01人员工时'!N$7:N$126,INT((ROW()-7)/4)+1)/$G185,2))</f>
        <v/>
      </c>
      <c r="S185" s="12">
        <f>IF($D185="","",SUM(K185:R185))</f>
        <v/>
      </c>
      <c r="T185" s="12">
        <f>IF($D185="","",$J185+$S185)</f>
        <v/>
      </c>
      <c r="U185" s="25">
        <f>IF($D185="","",IF($F185=0,"未维护标准",IF(ROUND($T185-$F185,2)=0,"√","差异")))</f>
        <v/>
      </c>
      <c r="V185" s="11" t="n"/>
      <c r="W185" s="9" t="n"/>
    </row>
    <row r="186" ht="18" customHeight="1">
      <c r="B186" s="26">
        <f>IF(INDEX('01人员工时'!$D$7:$D$126,INT((ROW()-7)/4)+1)&amp;""="","",INDEX('01人员工时'!$B$7:$B$126,INT((ROW()-7)/4)+1))</f>
        <v/>
      </c>
      <c r="C186" s="27">
        <f>IF($D186="","",IF(MOD(ROW()-7,4)=0,INDEX('01人员工时'!$C$7:$C$126,INT((ROW()-7)/4)+1),""))</f>
        <v/>
      </c>
      <c r="D186" s="27">
        <f>IF(INDEX('01人员工时'!$D$7:$D$126,INT((ROW()-7)/4)+1)&amp;""="","",INDEX('01人员工时'!$D$7:$D$126,INT((ROW()-7)/4)+1))</f>
        <v/>
      </c>
      <c r="E186" s="27">
        <f>IF($D186="","",INDEX('参数设置'!$K$6:$K$9,MOD(ROW()-7,4)+1))</f>
        <v/>
      </c>
      <c r="F186" s="28">
        <f>IF($D186="","",IF($V186&lt;&gt;"",$V186,IFERROR(INDEX('参数设置'!$D$17:$G$26,MATCH($D186,'参数设置'!$C$17:$C$26,0),MATCH($E186,'参数设置'!$D$16:$G$16,0)),0)))</f>
        <v/>
      </c>
      <c r="G186" s="29">
        <f>IF($D186="","",INDEX('01人员工时'!$E$7:$E$126,INT((ROW()-7)/4)+1))</f>
        <v/>
      </c>
      <c r="H186" s="29">
        <f>IF($D186="","",INDEX('01人员工时'!$O$7:$O$126,INT((ROW()-7)/4)+1))</f>
        <v/>
      </c>
      <c r="I186" s="30">
        <f>IF(OR($D186="",$G186=0),"",$H186/$G186)</f>
        <v/>
      </c>
      <c r="J186" s="31">
        <f>IF($D186="","",ROUND($F186,2)-$S186)</f>
        <v/>
      </c>
      <c r="K186" s="31">
        <f>IF(OR($D186="",$G186=0),"",ROUND($F186*INDEX('01人员工时'!G$7:G$126,INT((ROW()-7)/4)+1)/$G186,2))</f>
        <v/>
      </c>
      <c r="L186" s="31">
        <f>IF(OR($D186="",$G186=0),"",ROUND($F186*INDEX('01人员工时'!H$7:H$126,INT((ROW()-7)/4)+1)/$G186,2))</f>
        <v/>
      </c>
      <c r="M186" s="31">
        <f>IF(OR($D186="",$G186=0),"",ROUND($F186*INDEX('01人员工时'!I$7:I$126,INT((ROW()-7)/4)+1)/$G186,2))</f>
        <v/>
      </c>
      <c r="N186" s="31">
        <f>IF(OR($D186="",$G186=0),"",ROUND($F186*INDEX('01人员工时'!J$7:J$126,INT((ROW()-7)/4)+1)/$G186,2))</f>
        <v/>
      </c>
      <c r="O186" s="31">
        <f>IF(OR($D186="",$G186=0),"",ROUND($F186*INDEX('01人员工时'!K$7:K$126,INT((ROW()-7)/4)+1)/$G186,2))</f>
        <v/>
      </c>
      <c r="P186" s="31">
        <f>IF(OR($D186="",$G186=0),"",ROUND($F186*INDEX('01人员工时'!L$7:L$126,INT((ROW()-7)/4)+1)/$G186,2))</f>
        <v/>
      </c>
      <c r="Q186" s="31">
        <f>IF(OR($D186="",$G186=0),"",ROUND($F186*INDEX('01人员工时'!M$7:M$126,INT((ROW()-7)/4)+1)/$G186,2))</f>
        <v/>
      </c>
      <c r="R186" s="31">
        <f>IF(OR($D186="",$G186=0),"",ROUND($F186*INDEX('01人员工时'!N$7:N$126,INT((ROW()-7)/4)+1)/$G186,2))</f>
        <v/>
      </c>
      <c r="S186" s="31">
        <f>IF($D186="","",SUM(K186:R186))</f>
        <v/>
      </c>
      <c r="T186" s="31">
        <f>IF($D186="","",$J186+$S186)</f>
        <v/>
      </c>
      <c r="U186" s="32">
        <f>IF($D186="","",IF($F186=0,"未维护标准",IF(ROUND($T186-$F186,2)=0,"√","差异")))</f>
        <v/>
      </c>
      <c r="V186" s="33" t="n"/>
      <c r="W186" s="34" t="n"/>
    </row>
    <row r="187" ht="18" customHeight="1">
      <c r="B187" s="21">
        <f>IF(INDEX('01人员工时'!$D$7:$D$126,INT((ROW()-7)/4)+1)&amp;""="","",INDEX('01人员工时'!$B$7:$B$126,INT((ROW()-7)/4)+1))</f>
        <v/>
      </c>
      <c r="C187" s="22">
        <f>IF($D187="","",IF(MOD(ROW()-7,4)=0,INDEX('01人员工时'!$C$7:$C$126,INT((ROW()-7)/4)+1),""))</f>
        <v/>
      </c>
      <c r="D187" s="22">
        <f>IF(INDEX('01人员工时'!$D$7:$D$126,INT((ROW()-7)/4)+1)&amp;""="","",INDEX('01人员工时'!$D$7:$D$126,INT((ROW()-7)/4)+1))</f>
        <v/>
      </c>
      <c r="E187" s="22">
        <f>IF($D187="","",INDEX('参数设置'!$K$6:$K$9,MOD(ROW()-7,4)+1))</f>
        <v/>
      </c>
      <c r="F187" s="23">
        <f>IF($D187="","",IF($V187&lt;&gt;"",$V187,IFERROR(INDEX('参数设置'!$D$17:$G$26,MATCH($D187,'参数设置'!$C$17:$C$26,0),MATCH($E187,'参数设置'!$D$16:$G$16,0)),0)))</f>
        <v/>
      </c>
      <c r="G187" s="24">
        <f>IF($D187="","",INDEX('01人员工时'!$E$7:$E$126,INT((ROW()-7)/4)+1))</f>
        <v/>
      </c>
      <c r="H187" s="24">
        <f>IF($D187="","",INDEX('01人员工时'!$O$7:$O$126,INT((ROW()-7)/4)+1))</f>
        <v/>
      </c>
      <c r="I187" s="20">
        <f>IF(OR($D187="",$G187=0),"",$H187/$G187)</f>
        <v/>
      </c>
      <c r="J187" s="12">
        <f>IF($D187="","",ROUND($F187,2)-$S187)</f>
        <v/>
      </c>
      <c r="K187" s="12">
        <f>IF(OR($D187="",$G187=0),"",ROUND($F187*INDEX('01人员工时'!G$7:G$126,INT((ROW()-7)/4)+1)/$G187,2))</f>
        <v/>
      </c>
      <c r="L187" s="12">
        <f>IF(OR($D187="",$G187=0),"",ROUND($F187*INDEX('01人员工时'!H$7:H$126,INT((ROW()-7)/4)+1)/$G187,2))</f>
        <v/>
      </c>
      <c r="M187" s="12">
        <f>IF(OR($D187="",$G187=0),"",ROUND($F187*INDEX('01人员工时'!I$7:I$126,INT((ROW()-7)/4)+1)/$G187,2))</f>
        <v/>
      </c>
      <c r="N187" s="12">
        <f>IF(OR($D187="",$G187=0),"",ROUND($F187*INDEX('01人员工时'!J$7:J$126,INT((ROW()-7)/4)+1)/$G187,2))</f>
        <v/>
      </c>
      <c r="O187" s="12">
        <f>IF(OR($D187="",$G187=0),"",ROUND($F187*INDEX('01人员工时'!K$7:K$126,INT((ROW()-7)/4)+1)/$G187,2))</f>
        <v/>
      </c>
      <c r="P187" s="12">
        <f>IF(OR($D187="",$G187=0),"",ROUND($F187*INDEX('01人员工时'!L$7:L$126,INT((ROW()-7)/4)+1)/$G187,2))</f>
        <v/>
      </c>
      <c r="Q187" s="12">
        <f>IF(OR($D187="",$G187=0),"",ROUND($F187*INDEX('01人员工时'!M$7:M$126,INT((ROW()-7)/4)+1)/$G187,2))</f>
        <v/>
      </c>
      <c r="R187" s="12">
        <f>IF(OR($D187="",$G187=0),"",ROUND($F187*INDEX('01人员工时'!N$7:N$126,INT((ROW()-7)/4)+1)/$G187,2))</f>
        <v/>
      </c>
      <c r="S187" s="12">
        <f>IF($D187="","",SUM(K187:R187))</f>
        <v/>
      </c>
      <c r="T187" s="12">
        <f>IF($D187="","",$J187+$S187)</f>
        <v/>
      </c>
      <c r="U187" s="25">
        <f>IF($D187="","",IF($F187=0,"未维护标准",IF(ROUND($T187-$F187,2)=0,"√","差异")))</f>
        <v/>
      </c>
      <c r="V187" s="11" t="n"/>
      <c r="W187" s="9" t="n"/>
    </row>
    <row r="188" ht="18" customHeight="1">
      <c r="B188" s="21">
        <f>IF(INDEX('01人员工时'!$D$7:$D$126,INT((ROW()-7)/4)+1)&amp;""="","",INDEX('01人员工时'!$B$7:$B$126,INT((ROW()-7)/4)+1))</f>
        <v/>
      </c>
      <c r="C188" s="22">
        <f>IF($D188="","",IF(MOD(ROW()-7,4)=0,INDEX('01人员工时'!$C$7:$C$126,INT((ROW()-7)/4)+1),""))</f>
        <v/>
      </c>
      <c r="D188" s="22">
        <f>IF(INDEX('01人员工时'!$D$7:$D$126,INT((ROW()-7)/4)+1)&amp;""="","",INDEX('01人员工时'!$D$7:$D$126,INT((ROW()-7)/4)+1))</f>
        <v/>
      </c>
      <c r="E188" s="22">
        <f>IF($D188="","",INDEX('参数设置'!$K$6:$K$9,MOD(ROW()-7,4)+1))</f>
        <v/>
      </c>
      <c r="F188" s="23">
        <f>IF($D188="","",IF($V188&lt;&gt;"",$V188,IFERROR(INDEX('参数设置'!$D$17:$G$26,MATCH($D188,'参数设置'!$C$17:$C$26,0),MATCH($E188,'参数设置'!$D$16:$G$16,0)),0)))</f>
        <v/>
      </c>
      <c r="G188" s="24">
        <f>IF($D188="","",INDEX('01人员工时'!$E$7:$E$126,INT((ROW()-7)/4)+1))</f>
        <v/>
      </c>
      <c r="H188" s="24">
        <f>IF($D188="","",INDEX('01人员工时'!$O$7:$O$126,INT((ROW()-7)/4)+1))</f>
        <v/>
      </c>
      <c r="I188" s="20">
        <f>IF(OR($D188="",$G188=0),"",$H188/$G188)</f>
        <v/>
      </c>
      <c r="J188" s="12">
        <f>IF($D188="","",ROUND($F188,2)-$S188)</f>
        <v/>
      </c>
      <c r="K188" s="12">
        <f>IF(OR($D188="",$G188=0),"",ROUND($F188*INDEX('01人员工时'!G$7:G$126,INT((ROW()-7)/4)+1)/$G188,2))</f>
        <v/>
      </c>
      <c r="L188" s="12">
        <f>IF(OR($D188="",$G188=0),"",ROUND($F188*INDEX('01人员工时'!H$7:H$126,INT((ROW()-7)/4)+1)/$G188,2))</f>
        <v/>
      </c>
      <c r="M188" s="12">
        <f>IF(OR($D188="",$G188=0),"",ROUND($F188*INDEX('01人员工时'!I$7:I$126,INT((ROW()-7)/4)+1)/$G188,2))</f>
        <v/>
      </c>
      <c r="N188" s="12">
        <f>IF(OR($D188="",$G188=0),"",ROUND($F188*INDEX('01人员工时'!J$7:J$126,INT((ROW()-7)/4)+1)/$G188,2))</f>
        <v/>
      </c>
      <c r="O188" s="12">
        <f>IF(OR($D188="",$G188=0),"",ROUND($F188*INDEX('01人员工时'!K$7:K$126,INT((ROW()-7)/4)+1)/$G188,2))</f>
        <v/>
      </c>
      <c r="P188" s="12">
        <f>IF(OR($D188="",$G188=0),"",ROUND($F188*INDEX('01人员工时'!L$7:L$126,INT((ROW()-7)/4)+1)/$G188,2))</f>
        <v/>
      </c>
      <c r="Q188" s="12">
        <f>IF(OR($D188="",$G188=0),"",ROUND($F188*INDEX('01人员工时'!M$7:M$126,INT((ROW()-7)/4)+1)/$G188,2))</f>
        <v/>
      </c>
      <c r="R188" s="12">
        <f>IF(OR($D188="",$G188=0),"",ROUND($F188*INDEX('01人员工时'!N$7:N$126,INT((ROW()-7)/4)+1)/$G188,2))</f>
        <v/>
      </c>
      <c r="S188" s="12">
        <f>IF($D188="","",SUM(K188:R188))</f>
        <v/>
      </c>
      <c r="T188" s="12">
        <f>IF($D188="","",$J188+$S188)</f>
        <v/>
      </c>
      <c r="U188" s="25">
        <f>IF($D188="","",IF($F188=0,"未维护标准",IF(ROUND($T188-$F188,2)=0,"√","差异")))</f>
        <v/>
      </c>
      <c r="V188" s="11" t="n"/>
      <c r="W188" s="9" t="n"/>
    </row>
    <row r="189" ht="18" customHeight="1">
      <c r="B189" s="21">
        <f>IF(INDEX('01人员工时'!$D$7:$D$126,INT((ROW()-7)/4)+1)&amp;""="","",INDEX('01人员工时'!$B$7:$B$126,INT((ROW()-7)/4)+1))</f>
        <v/>
      </c>
      <c r="C189" s="22">
        <f>IF($D189="","",IF(MOD(ROW()-7,4)=0,INDEX('01人员工时'!$C$7:$C$126,INT((ROW()-7)/4)+1),""))</f>
        <v/>
      </c>
      <c r="D189" s="22">
        <f>IF(INDEX('01人员工时'!$D$7:$D$126,INT((ROW()-7)/4)+1)&amp;""="","",INDEX('01人员工时'!$D$7:$D$126,INT((ROW()-7)/4)+1))</f>
        <v/>
      </c>
      <c r="E189" s="22">
        <f>IF($D189="","",INDEX('参数设置'!$K$6:$K$9,MOD(ROW()-7,4)+1))</f>
        <v/>
      </c>
      <c r="F189" s="23">
        <f>IF($D189="","",IF($V189&lt;&gt;"",$V189,IFERROR(INDEX('参数设置'!$D$17:$G$26,MATCH($D189,'参数设置'!$C$17:$C$26,0),MATCH($E189,'参数设置'!$D$16:$G$16,0)),0)))</f>
        <v/>
      </c>
      <c r="G189" s="24">
        <f>IF($D189="","",INDEX('01人员工时'!$E$7:$E$126,INT((ROW()-7)/4)+1))</f>
        <v/>
      </c>
      <c r="H189" s="24">
        <f>IF($D189="","",INDEX('01人员工时'!$O$7:$O$126,INT((ROW()-7)/4)+1))</f>
        <v/>
      </c>
      <c r="I189" s="20">
        <f>IF(OR($D189="",$G189=0),"",$H189/$G189)</f>
        <v/>
      </c>
      <c r="J189" s="12">
        <f>IF($D189="","",ROUND($F189,2)-$S189)</f>
        <v/>
      </c>
      <c r="K189" s="12">
        <f>IF(OR($D189="",$G189=0),"",ROUND($F189*INDEX('01人员工时'!G$7:G$126,INT((ROW()-7)/4)+1)/$G189,2))</f>
        <v/>
      </c>
      <c r="L189" s="12">
        <f>IF(OR($D189="",$G189=0),"",ROUND($F189*INDEX('01人员工时'!H$7:H$126,INT((ROW()-7)/4)+1)/$G189,2))</f>
        <v/>
      </c>
      <c r="M189" s="12">
        <f>IF(OR($D189="",$G189=0),"",ROUND($F189*INDEX('01人员工时'!I$7:I$126,INT((ROW()-7)/4)+1)/$G189,2))</f>
        <v/>
      </c>
      <c r="N189" s="12">
        <f>IF(OR($D189="",$G189=0),"",ROUND($F189*INDEX('01人员工时'!J$7:J$126,INT((ROW()-7)/4)+1)/$G189,2))</f>
        <v/>
      </c>
      <c r="O189" s="12">
        <f>IF(OR($D189="",$G189=0),"",ROUND($F189*INDEX('01人员工时'!K$7:K$126,INT((ROW()-7)/4)+1)/$G189,2))</f>
        <v/>
      </c>
      <c r="P189" s="12">
        <f>IF(OR($D189="",$G189=0),"",ROUND($F189*INDEX('01人员工时'!L$7:L$126,INT((ROW()-7)/4)+1)/$G189,2))</f>
        <v/>
      </c>
      <c r="Q189" s="12">
        <f>IF(OR($D189="",$G189=0),"",ROUND($F189*INDEX('01人员工时'!M$7:M$126,INT((ROW()-7)/4)+1)/$G189,2))</f>
        <v/>
      </c>
      <c r="R189" s="12">
        <f>IF(OR($D189="",$G189=0),"",ROUND($F189*INDEX('01人员工时'!N$7:N$126,INT((ROW()-7)/4)+1)/$G189,2))</f>
        <v/>
      </c>
      <c r="S189" s="12">
        <f>IF($D189="","",SUM(K189:R189))</f>
        <v/>
      </c>
      <c r="T189" s="12">
        <f>IF($D189="","",$J189+$S189)</f>
        <v/>
      </c>
      <c r="U189" s="25">
        <f>IF($D189="","",IF($F189=0,"未维护标准",IF(ROUND($T189-$F189,2)=0,"√","差异")))</f>
        <v/>
      </c>
      <c r="V189" s="11" t="n"/>
      <c r="W189" s="9" t="n"/>
    </row>
    <row r="190" ht="18" customHeight="1">
      <c r="B190" s="26">
        <f>IF(INDEX('01人员工时'!$D$7:$D$126,INT((ROW()-7)/4)+1)&amp;""="","",INDEX('01人员工时'!$B$7:$B$126,INT((ROW()-7)/4)+1))</f>
        <v/>
      </c>
      <c r="C190" s="27">
        <f>IF($D190="","",IF(MOD(ROW()-7,4)=0,INDEX('01人员工时'!$C$7:$C$126,INT((ROW()-7)/4)+1),""))</f>
        <v/>
      </c>
      <c r="D190" s="27">
        <f>IF(INDEX('01人员工时'!$D$7:$D$126,INT((ROW()-7)/4)+1)&amp;""="","",INDEX('01人员工时'!$D$7:$D$126,INT((ROW()-7)/4)+1))</f>
        <v/>
      </c>
      <c r="E190" s="27">
        <f>IF($D190="","",INDEX('参数设置'!$K$6:$K$9,MOD(ROW()-7,4)+1))</f>
        <v/>
      </c>
      <c r="F190" s="28">
        <f>IF($D190="","",IF($V190&lt;&gt;"",$V190,IFERROR(INDEX('参数设置'!$D$17:$G$26,MATCH($D190,'参数设置'!$C$17:$C$26,0),MATCH($E190,'参数设置'!$D$16:$G$16,0)),0)))</f>
        <v/>
      </c>
      <c r="G190" s="29">
        <f>IF($D190="","",INDEX('01人员工时'!$E$7:$E$126,INT((ROW()-7)/4)+1))</f>
        <v/>
      </c>
      <c r="H190" s="29">
        <f>IF($D190="","",INDEX('01人员工时'!$O$7:$O$126,INT((ROW()-7)/4)+1))</f>
        <v/>
      </c>
      <c r="I190" s="30">
        <f>IF(OR($D190="",$G190=0),"",$H190/$G190)</f>
        <v/>
      </c>
      <c r="J190" s="31">
        <f>IF($D190="","",ROUND($F190,2)-$S190)</f>
        <v/>
      </c>
      <c r="K190" s="31">
        <f>IF(OR($D190="",$G190=0),"",ROUND($F190*INDEX('01人员工时'!G$7:G$126,INT((ROW()-7)/4)+1)/$G190,2))</f>
        <v/>
      </c>
      <c r="L190" s="31">
        <f>IF(OR($D190="",$G190=0),"",ROUND($F190*INDEX('01人员工时'!H$7:H$126,INT((ROW()-7)/4)+1)/$G190,2))</f>
        <v/>
      </c>
      <c r="M190" s="31">
        <f>IF(OR($D190="",$G190=0),"",ROUND($F190*INDEX('01人员工时'!I$7:I$126,INT((ROW()-7)/4)+1)/$G190,2))</f>
        <v/>
      </c>
      <c r="N190" s="31">
        <f>IF(OR($D190="",$G190=0),"",ROUND($F190*INDEX('01人员工时'!J$7:J$126,INT((ROW()-7)/4)+1)/$G190,2))</f>
        <v/>
      </c>
      <c r="O190" s="31">
        <f>IF(OR($D190="",$G190=0),"",ROUND($F190*INDEX('01人员工时'!K$7:K$126,INT((ROW()-7)/4)+1)/$G190,2))</f>
        <v/>
      </c>
      <c r="P190" s="31">
        <f>IF(OR($D190="",$G190=0),"",ROUND($F190*INDEX('01人员工时'!L$7:L$126,INT((ROW()-7)/4)+1)/$G190,2))</f>
        <v/>
      </c>
      <c r="Q190" s="31">
        <f>IF(OR($D190="",$G190=0),"",ROUND($F190*INDEX('01人员工时'!M$7:M$126,INT((ROW()-7)/4)+1)/$G190,2))</f>
        <v/>
      </c>
      <c r="R190" s="31">
        <f>IF(OR($D190="",$G190=0),"",ROUND($F190*INDEX('01人员工时'!N$7:N$126,INT((ROW()-7)/4)+1)/$G190,2))</f>
        <v/>
      </c>
      <c r="S190" s="31">
        <f>IF($D190="","",SUM(K190:R190))</f>
        <v/>
      </c>
      <c r="T190" s="31">
        <f>IF($D190="","",$J190+$S190)</f>
        <v/>
      </c>
      <c r="U190" s="32">
        <f>IF($D190="","",IF($F190=0,"未维护标准",IF(ROUND($T190-$F190,2)=0,"√","差异")))</f>
        <v/>
      </c>
      <c r="V190" s="33" t="n"/>
      <c r="W190" s="34" t="n"/>
    </row>
    <row r="191" ht="18" customHeight="1">
      <c r="B191" s="21">
        <f>IF(INDEX('01人员工时'!$D$7:$D$126,INT((ROW()-7)/4)+1)&amp;""="","",INDEX('01人员工时'!$B$7:$B$126,INT((ROW()-7)/4)+1))</f>
        <v/>
      </c>
      <c r="C191" s="22">
        <f>IF($D191="","",IF(MOD(ROW()-7,4)=0,INDEX('01人员工时'!$C$7:$C$126,INT((ROW()-7)/4)+1),""))</f>
        <v/>
      </c>
      <c r="D191" s="22">
        <f>IF(INDEX('01人员工时'!$D$7:$D$126,INT((ROW()-7)/4)+1)&amp;""="","",INDEX('01人员工时'!$D$7:$D$126,INT((ROW()-7)/4)+1))</f>
        <v/>
      </c>
      <c r="E191" s="22">
        <f>IF($D191="","",INDEX('参数设置'!$K$6:$K$9,MOD(ROW()-7,4)+1))</f>
        <v/>
      </c>
      <c r="F191" s="23">
        <f>IF($D191="","",IF($V191&lt;&gt;"",$V191,IFERROR(INDEX('参数设置'!$D$17:$G$26,MATCH($D191,'参数设置'!$C$17:$C$26,0),MATCH($E191,'参数设置'!$D$16:$G$16,0)),0)))</f>
        <v/>
      </c>
      <c r="G191" s="24">
        <f>IF($D191="","",INDEX('01人员工时'!$E$7:$E$126,INT((ROW()-7)/4)+1))</f>
        <v/>
      </c>
      <c r="H191" s="24">
        <f>IF($D191="","",INDEX('01人员工时'!$O$7:$O$126,INT((ROW()-7)/4)+1))</f>
        <v/>
      </c>
      <c r="I191" s="20">
        <f>IF(OR($D191="",$G191=0),"",$H191/$G191)</f>
        <v/>
      </c>
      <c r="J191" s="12">
        <f>IF($D191="","",ROUND($F191,2)-$S191)</f>
        <v/>
      </c>
      <c r="K191" s="12">
        <f>IF(OR($D191="",$G191=0),"",ROUND($F191*INDEX('01人员工时'!G$7:G$126,INT((ROW()-7)/4)+1)/$G191,2))</f>
        <v/>
      </c>
      <c r="L191" s="12">
        <f>IF(OR($D191="",$G191=0),"",ROUND($F191*INDEX('01人员工时'!H$7:H$126,INT((ROW()-7)/4)+1)/$G191,2))</f>
        <v/>
      </c>
      <c r="M191" s="12">
        <f>IF(OR($D191="",$G191=0),"",ROUND($F191*INDEX('01人员工时'!I$7:I$126,INT((ROW()-7)/4)+1)/$G191,2))</f>
        <v/>
      </c>
      <c r="N191" s="12">
        <f>IF(OR($D191="",$G191=0),"",ROUND($F191*INDEX('01人员工时'!J$7:J$126,INT((ROW()-7)/4)+1)/$G191,2))</f>
        <v/>
      </c>
      <c r="O191" s="12">
        <f>IF(OR($D191="",$G191=0),"",ROUND($F191*INDEX('01人员工时'!K$7:K$126,INT((ROW()-7)/4)+1)/$G191,2))</f>
        <v/>
      </c>
      <c r="P191" s="12">
        <f>IF(OR($D191="",$G191=0),"",ROUND($F191*INDEX('01人员工时'!L$7:L$126,INT((ROW()-7)/4)+1)/$G191,2))</f>
        <v/>
      </c>
      <c r="Q191" s="12">
        <f>IF(OR($D191="",$G191=0),"",ROUND($F191*INDEX('01人员工时'!M$7:M$126,INT((ROW()-7)/4)+1)/$G191,2))</f>
        <v/>
      </c>
      <c r="R191" s="12">
        <f>IF(OR($D191="",$G191=0),"",ROUND($F191*INDEX('01人员工时'!N$7:N$126,INT((ROW()-7)/4)+1)/$G191,2))</f>
        <v/>
      </c>
      <c r="S191" s="12">
        <f>IF($D191="","",SUM(K191:R191))</f>
        <v/>
      </c>
      <c r="T191" s="12">
        <f>IF($D191="","",$J191+$S191)</f>
        <v/>
      </c>
      <c r="U191" s="25">
        <f>IF($D191="","",IF($F191=0,"未维护标准",IF(ROUND($T191-$F191,2)=0,"√","差异")))</f>
        <v/>
      </c>
      <c r="V191" s="11" t="n"/>
      <c r="W191" s="9" t="n"/>
    </row>
    <row r="192" ht="18" customHeight="1">
      <c r="B192" s="21">
        <f>IF(INDEX('01人员工时'!$D$7:$D$126,INT((ROW()-7)/4)+1)&amp;""="","",INDEX('01人员工时'!$B$7:$B$126,INT((ROW()-7)/4)+1))</f>
        <v/>
      </c>
      <c r="C192" s="22">
        <f>IF($D192="","",IF(MOD(ROW()-7,4)=0,INDEX('01人员工时'!$C$7:$C$126,INT((ROW()-7)/4)+1),""))</f>
        <v/>
      </c>
      <c r="D192" s="22">
        <f>IF(INDEX('01人员工时'!$D$7:$D$126,INT((ROW()-7)/4)+1)&amp;""="","",INDEX('01人员工时'!$D$7:$D$126,INT((ROW()-7)/4)+1))</f>
        <v/>
      </c>
      <c r="E192" s="22">
        <f>IF($D192="","",INDEX('参数设置'!$K$6:$K$9,MOD(ROW()-7,4)+1))</f>
        <v/>
      </c>
      <c r="F192" s="23">
        <f>IF($D192="","",IF($V192&lt;&gt;"",$V192,IFERROR(INDEX('参数设置'!$D$17:$G$26,MATCH($D192,'参数设置'!$C$17:$C$26,0),MATCH($E192,'参数设置'!$D$16:$G$16,0)),0)))</f>
        <v/>
      </c>
      <c r="G192" s="24">
        <f>IF($D192="","",INDEX('01人员工时'!$E$7:$E$126,INT((ROW()-7)/4)+1))</f>
        <v/>
      </c>
      <c r="H192" s="24">
        <f>IF($D192="","",INDEX('01人员工时'!$O$7:$O$126,INT((ROW()-7)/4)+1))</f>
        <v/>
      </c>
      <c r="I192" s="20">
        <f>IF(OR($D192="",$G192=0),"",$H192/$G192)</f>
        <v/>
      </c>
      <c r="J192" s="12">
        <f>IF($D192="","",ROUND($F192,2)-$S192)</f>
        <v/>
      </c>
      <c r="K192" s="12">
        <f>IF(OR($D192="",$G192=0),"",ROUND($F192*INDEX('01人员工时'!G$7:G$126,INT((ROW()-7)/4)+1)/$G192,2))</f>
        <v/>
      </c>
      <c r="L192" s="12">
        <f>IF(OR($D192="",$G192=0),"",ROUND($F192*INDEX('01人员工时'!H$7:H$126,INT((ROW()-7)/4)+1)/$G192,2))</f>
        <v/>
      </c>
      <c r="M192" s="12">
        <f>IF(OR($D192="",$G192=0),"",ROUND($F192*INDEX('01人员工时'!I$7:I$126,INT((ROW()-7)/4)+1)/$G192,2))</f>
        <v/>
      </c>
      <c r="N192" s="12">
        <f>IF(OR($D192="",$G192=0),"",ROUND($F192*INDEX('01人员工时'!J$7:J$126,INT((ROW()-7)/4)+1)/$G192,2))</f>
        <v/>
      </c>
      <c r="O192" s="12">
        <f>IF(OR($D192="",$G192=0),"",ROUND($F192*INDEX('01人员工时'!K$7:K$126,INT((ROW()-7)/4)+1)/$G192,2))</f>
        <v/>
      </c>
      <c r="P192" s="12">
        <f>IF(OR($D192="",$G192=0),"",ROUND($F192*INDEX('01人员工时'!L$7:L$126,INT((ROW()-7)/4)+1)/$G192,2))</f>
        <v/>
      </c>
      <c r="Q192" s="12">
        <f>IF(OR($D192="",$G192=0),"",ROUND($F192*INDEX('01人员工时'!M$7:M$126,INT((ROW()-7)/4)+1)/$G192,2))</f>
        <v/>
      </c>
      <c r="R192" s="12">
        <f>IF(OR($D192="",$G192=0),"",ROUND($F192*INDEX('01人员工时'!N$7:N$126,INT((ROW()-7)/4)+1)/$G192,2))</f>
        <v/>
      </c>
      <c r="S192" s="12">
        <f>IF($D192="","",SUM(K192:R192))</f>
        <v/>
      </c>
      <c r="T192" s="12">
        <f>IF($D192="","",$J192+$S192)</f>
        <v/>
      </c>
      <c r="U192" s="25">
        <f>IF($D192="","",IF($F192=0,"未维护标准",IF(ROUND($T192-$F192,2)=0,"√","差异")))</f>
        <v/>
      </c>
      <c r="V192" s="11" t="n"/>
      <c r="W192" s="9" t="n"/>
    </row>
    <row r="193" ht="18" customHeight="1">
      <c r="B193" s="21">
        <f>IF(INDEX('01人员工时'!$D$7:$D$126,INT((ROW()-7)/4)+1)&amp;""="","",INDEX('01人员工时'!$B$7:$B$126,INT((ROW()-7)/4)+1))</f>
        <v/>
      </c>
      <c r="C193" s="22">
        <f>IF($D193="","",IF(MOD(ROW()-7,4)=0,INDEX('01人员工时'!$C$7:$C$126,INT((ROW()-7)/4)+1),""))</f>
        <v/>
      </c>
      <c r="D193" s="22">
        <f>IF(INDEX('01人员工时'!$D$7:$D$126,INT((ROW()-7)/4)+1)&amp;""="","",INDEX('01人员工时'!$D$7:$D$126,INT((ROW()-7)/4)+1))</f>
        <v/>
      </c>
      <c r="E193" s="22">
        <f>IF($D193="","",INDEX('参数设置'!$K$6:$K$9,MOD(ROW()-7,4)+1))</f>
        <v/>
      </c>
      <c r="F193" s="23">
        <f>IF($D193="","",IF($V193&lt;&gt;"",$V193,IFERROR(INDEX('参数设置'!$D$17:$G$26,MATCH($D193,'参数设置'!$C$17:$C$26,0),MATCH($E193,'参数设置'!$D$16:$G$16,0)),0)))</f>
        <v/>
      </c>
      <c r="G193" s="24">
        <f>IF($D193="","",INDEX('01人员工时'!$E$7:$E$126,INT((ROW()-7)/4)+1))</f>
        <v/>
      </c>
      <c r="H193" s="24">
        <f>IF($D193="","",INDEX('01人员工时'!$O$7:$O$126,INT((ROW()-7)/4)+1))</f>
        <v/>
      </c>
      <c r="I193" s="20">
        <f>IF(OR($D193="",$G193=0),"",$H193/$G193)</f>
        <v/>
      </c>
      <c r="J193" s="12">
        <f>IF($D193="","",ROUND($F193,2)-$S193)</f>
        <v/>
      </c>
      <c r="K193" s="12">
        <f>IF(OR($D193="",$G193=0),"",ROUND($F193*INDEX('01人员工时'!G$7:G$126,INT((ROW()-7)/4)+1)/$G193,2))</f>
        <v/>
      </c>
      <c r="L193" s="12">
        <f>IF(OR($D193="",$G193=0),"",ROUND($F193*INDEX('01人员工时'!H$7:H$126,INT((ROW()-7)/4)+1)/$G193,2))</f>
        <v/>
      </c>
      <c r="M193" s="12">
        <f>IF(OR($D193="",$G193=0),"",ROUND($F193*INDEX('01人员工时'!I$7:I$126,INT((ROW()-7)/4)+1)/$G193,2))</f>
        <v/>
      </c>
      <c r="N193" s="12">
        <f>IF(OR($D193="",$G193=0),"",ROUND($F193*INDEX('01人员工时'!J$7:J$126,INT((ROW()-7)/4)+1)/$G193,2))</f>
        <v/>
      </c>
      <c r="O193" s="12">
        <f>IF(OR($D193="",$G193=0),"",ROUND($F193*INDEX('01人员工时'!K$7:K$126,INT((ROW()-7)/4)+1)/$G193,2))</f>
        <v/>
      </c>
      <c r="P193" s="12">
        <f>IF(OR($D193="",$G193=0),"",ROUND($F193*INDEX('01人员工时'!L$7:L$126,INT((ROW()-7)/4)+1)/$G193,2))</f>
        <v/>
      </c>
      <c r="Q193" s="12">
        <f>IF(OR($D193="",$G193=0),"",ROUND($F193*INDEX('01人员工时'!M$7:M$126,INT((ROW()-7)/4)+1)/$G193,2))</f>
        <v/>
      </c>
      <c r="R193" s="12">
        <f>IF(OR($D193="",$G193=0),"",ROUND($F193*INDEX('01人员工时'!N$7:N$126,INT((ROW()-7)/4)+1)/$G193,2))</f>
        <v/>
      </c>
      <c r="S193" s="12">
        <f>IF($D193="","",SUM(K193:R193))</f>
        <v/>
      </c>
      <c r="T193" s="12">
        <f>IF($D193="","",$J193+$S193)</f>
        <v/>
      </c>
      <c r="U193" s="25">
        <f>IF($D193="","",IF($F193=0,"未维护标准",IF(ROUND($T193-$F193,2)=0,"√","差异")))</f>
        <v/>
      </c>
      <c r="V193" s="11" t="n"/>
      <c r="W193" s="9" t="n"/>
    </row>
    <row r="194" ht="18" customHeight="1">
      <c r="B194" s="26">
        <f>IF(INDEX('01人员工时'!$D$7:$D$126,INT((ROW()-7)/4)+1)&amp;""="","",INDEX('01人员工时'!$B$7:$B$126,INT((ROW()-7)/4)+1))</f>
        <v/>
      </c>
      <c r="C194" s="27">
        <f>IF($D194="","",IF(MOD(ROW()-7,4)=0,INDEX('01人员工时'!$C$7:$C$126,INT((ROW()-7)/4)+1),""))</f>
        <v/>
      </c>
      <c r="D194" s="27">
        <f>IF(INDEX('01人员工时'!$D$7:$D$126,INT((ROW()-7)/4)+1)&amp;""="","",INDEX('01人员工时'!$D$7:$D$126,INT((ROW()-7)/4)+1))</f>
        <v/>
      </c>
      <c r="E194" s="27">
        <f>IF($D194="","",INDEX('参数设置'!$K$6:$K$9,MOD(ROW()-7,4)+1))</f>
        <v/>
      </c>
      <c r="F194" s="28">
        <f>IF($D194="","",IF($V194&lt;&gt;"",$V194,IFERROR(INDEX('参数设置'!$D$17:$G$26,MATCH($D194,'参数设置'!$C$17:$C$26,0),MATCH($E194,'参数设置'!$D$16:$G$16,0)),0)))</f>
        <v/>
      </c>
      <c r="G194" s="29">
        <f>IF($D194="","",INDEX('01人员工时'!$E$7:$E$126,INT((ROW()-7)/4)+1))</f>
        <v/>
      </c>
      <c r="H194" s="29">
        <f>IF($D194="","",INDEX('01人员工时'!$O$7:$O$126,INT((ROW()-7)/4)+1))</f>
        <v/>
      </c>
      <c r="I194" s="30">
        <f>IF(OR($D194="",$G194=0),"",$H194/$G194)</f>
        <v/>
      </c>
      <c r="J194" s="31">
        <f>IF($D194="","",ROUND($F194,2)-$S194)</f>
        <v/>
      </c>
      <c r="K194" s="31">
        <f>IF(OR($D194="",$G194=0),"",ROUND($F194*INDEX('01人员工时'!G$7:G$126,INT((ROW()-7)/4)+1)/$G194,2))</f>
        <v/>
      </c>
      <c r="L194" s="31">
        <f>IF(OR($D194="",$G194=0),"",ROUND($F194*INDEX('01人员工时'!H$7:H$126,INT((ROW()-7)/4)+1)/$G194,2))</f>
        <v/>
      </c>
      <c r="M194" s="31">
        <f>IF(OR($D194="",$G194=0),"",ROUND($F194*INDEX('01人员工时'!I$7:I$126,INT((ROW()-7)/4)+1)/$G194,2))</f>
        <v/>
      </c>
      <c r="N194" s="31">
        <f>IF(OR($D194="",$G194=0),"",ROUND($F194*INDEX('01人员工时'!J$7:J$126,INT((ROW()-7)/4)+1)/$G194,2))</f>
        <v/>
      </c>
      <c r="O194" s="31">
        <f>IF(OR($D194="",$G194=0),"",ROUND($F194*INDEX('01人员工时'!K$7:K$126,INT((ROW()-7)/4)+1)/$G194,2))</f>
        <v/>
      </c>
      <c r="P194" s="31">
        <f>IF(OR($D194="",$G194=0),"",ROUND($F194*INDEX('01人员工时'!L$7:L$126,INT((ROW()-7)/4)+1)/$G194,2))</f>
        <v/>
      </c>
      <c r="Q194" s="31">
        <f>IF(OR($D194="",$G194=0),"",ROUND($F194*INDEX('01人员工时'!M$7:M$126,INT((ROW()-7)/4)+1)/$G194,2))</f>
        <v/>
      </c>
      <c r="R194" s="31">
        <f>IF(OR($D194="",$G194=0),"",ROUND($F194*INDEX('01人员工时'!N$7:N$126,INT((ROW()-7)/4)+1)/$G194,2))</f>
        <v/>
      </c>
      <c r="S194" s="31">
        <f>IF($D194="","",SUM(K194:R194))</f>
        <v/>
      </c>
      <c r="T194" s="31">
        <f>IF($D194="","",$J194+$S194)</f>
        <v/>
      </c>
      <c r="U194" s="32">
        <f>IF($D194="","",IF($F194=0,"未维护标准",IF(ROUND($T194-$F194,2)=0,"√","差异")))</f>
        <v/>
      </c>
      <c r="V194" s="33" t="n"/>
      <c r="W194" s="34" t="n"/>
    </row>
    <row r="195" ht="18" customHeight="1">
      <c r="B195" s="21">
        <f>IF(INDEX('01人员工时'!$D$7:$D$126,INT((ROW()-7)/4)+1)&amp;""="","",INDEX('01人员工时'!$B$7:$B$126,INT((ROW()-7)/4)+1))</f>
        <v/>
      </c>
      <c r="C195" s="22">
        <f>IF($D195="","",IF(MOD(ROW()-7,4)=0,INDEX('01人员工时'!$C$7:$C$126,INT((ROW()-7)/4)+1),""))</f>
        <v/>
      </c>
      <c r="D195" s="22">
        <f>IF(INDEX('01人员工时'!$D$7:$D$126,INT((ROW()-7)/4)+1)&amp;""="","",INDEX('01人员工时'!$D$7:$D$126,INT((ROW()-7)/4)+1))</f>
        <v/>
      </c>
      <c r="E195" s="22">
        <f>IF($D195="","",INDEX('参数设置'!$K$6:$K$9,MOD(ROW()-7,4)+1))</f>
        <v/>
      </c>
      <c r="F195" s="23">
        <f>IF($D195="","",IF($V195&lt;&gt;"",$V195,IFERROR(INDEX('参数设置'!$D$17:$G$26,MATCH($D195,'参数设置'!$C$17:$C$26,0),MATCH($E195,'参数设置'!$D$16:$G$16,0)),0)))</f>
        <v/>
      </c>
      <c r="G195" s="24">
        <f>IF($D195="","",INDEX('01人员工时'!$E$7:$E$126,INT((ROW()-7)/4)+1))</f>
        <v/>
      </c>
      <c r="H195" s="24">
        <f>IF($D195="","",INDEX('01人员工时'!$O$7:$O$126,INT((ROW()-7)/4)+1))</f>
        <v/>
      </c>
      <c r="I195" s="20">
        <f>IF(OR($D195="",$G195=0),"",$H195/$G195)</f>
        <v/>
      </c>
      <c r="J195" s="12">
        <f>IF($D195="","",ROUND($F195,2)-$S195)</f>
        <v/>
      </c>
      <c r="K195" s="12">
        <f>IF(OR($D195="",$G195=0),"",ROUND($F195*INDEX('01人员工时'!G$7:G$126,INT((ROW()-7)/4)+1)/$G195,2))</f>
        <v/>
      </c>
      <c r="L195" s="12">
        <f>IF(OR($D195="",$G195=0),"",ROUND($F195*INDEX('01人员工时'!H$7:H$126,INT((ROW()-7)/4)+1)/$G195,2))</f>
        <v/>
      </c>
      <c r="M195" s="12">
        <f>IF(OR($D195="",$G195=0),"",ROUND($F195*INDEX('01人员工时'!I$7:I$126,INT((ROW()-7)/4)+1)/$G195,2))</f>
        <v/>
      </c>
      <c r="N195" s="12">
        <f>IF(OR($D195="",$G195=0),"",ROUND($F195*INDEX('01人员工时'!J$7:J$126,INT((ROW()-7)/4)+1)/$G195,2))</f>
        <v/>
      </c>
      <c r="O195" s="12">
        <f>IF(OR($D195="",$G195=0),"",ROUND($F195*INDEX('01人员工时'!K$7:K$126,INT((ROW()-7)/4)+1)/$G195,2))</f>
        <v/>
      </c>
      <c r="P195" s="12">
        <f>IF(OR($D195="",$G195=0),"",ROUND($F195*INDEX('01人员工时'!L$7:L$126,INT((ROW()-7)/4)+1)/$G195,2))</f>
        <v/>
      </c>
      <c r="Q195" s="12">
        <f>IF(OR($D195="",$G195=0),"",ROUND($F195*INDEX('01人员工时'!M$7:M$126,INT((ROW()-7)/4)+1)/$G195,2))</f>
        <v/>
      </c>
      <c r="R195" s="12">
        <f>IF(OR($D195="",$G195=0),"",ROUND($F195*INDEX('01人员工时'!N$7:N$126,INT((ROW()-7)/4)+1)/$G195,2))</f>
        <v/>
      </c>
      <c r="S195" s="12">
        <f>IF($D195="","",SUM(K195:R195))</f>
        <v/>
      </c>
      <c r="T195" s="12">
        <f>IF($D195="","",$J195+$S195)</f>
        <v/>
      </c>
      <c r="U195" s="25">
        <f>IF($D195="","",IF($F195=0,"未维护标准",IF(ROUND($T195-$F195,2)=0,"√","差异")))</f>
        <v/>
      </c>
      <c r="V195" s="11" t="n"/>
      <c r="W195" s="9" t="n"/>
    </row>
    <row r="196" ht="18" customHeight="1">
      <c r="B196" s="21">
        <f>IF(INDEX('01人员工时'!$D$7:$D$126,INT((ROW()-7)/4)+1)&amp;""="","",INDEX('01人员工时'!$B$7:$B$126,INT((ROW()-7)/4)+1))</f>
        <v/>
      </c>
      <c r="C196" s="22">
        <f>IF($D196="","",IF(MOD(ROW()-7,4)=0,INDEX('01人员工时'!$C$7:$C$126,INT((ROW()-7)/4)+1),""))</f>
        <v/>
      </c>
      <c r="D196" s="22">
        <f>IF(INDEX('01人员工时'!$D$7:$D$126,INT((ROW()-7)/4)+1)&amp;""="","",INDEX('01人员工时'!$D$7:$D$126,INT((ROW()-7)/4)+1))</f>
        <v/>
      </c>
      <c r="E196" s="22">
        <f>IF($D196="","",INDEX('参数设置'!$K$6:$K$9,MOD(ROW()-7,4)+1))</f>
        <v/>
      </c>
      <c r="F196" s="23">
        <f>IF($D196="","",IF($V196&lt;&gt;"",$V196,IFERROR(INDEX('参数设置'!$D$17:$G$26,MATCH($D196,'参数设置'!$C$17:$C$26,0),MATCH($E196,'参数设置'!$D$16:$G$16,0)),0)))</f>
        <v/>
      </c>
      <c r="G196" s="24">
        <f>IF($D196="","",INDEX('01人员工时'!$E$7:$E$126,INT((ROW()-7)/4)+1))</f>
        <v/>
      </c>
      <c r="H196" s="24">
        <f>IF($D196="","",INDEX('01人员工时'!$O$7:$O$126,INT((ROW()-7)/4)+1))</f>
        <v/>
      </c>
      <c r="I196" s="20">
        <f>IF(OR($D196="",$G196=0),"",$H196/$G196)</f>
        <v/>
      </c>
      <c r="J196" s="12">
        <f>IF($D196="","",ROUND($F196,2)-$S196)</f>
        <v/>
      </c>
      <c r="K196" s="12">
        <f>IF(OR($D196="",$G196=0),"",ROUND($F196*INDEX('01人员工时'!G$7:G$126,INT((ROW()-7)/4)+1)/$G196,2))</f>
        <v/>
      </c>
      <c r="L196" s="12">
        <f>IF(OR($D196="",$G196=0),"",ROUND($F196*INDEX('01人员工时'!H$7:H$126,INT((ROW()-7)/4)+1)/$G196,2))</f>
        <v/>
      </c>
      <c r="M196" s="12">
        <f>IF(OR($D196="",$G196=0),"",ROUND($F196*INDEX('01人员工时'!I$7:I$126,INT((ROW()-7)/4)+1)/$G196,2))</f>
        <v/>
      </c>
      <c r="N196" s="12">
        <f>IF(OR($D196="",$G196=0),"",ROUND($F196*INDEX('01人员工时'!J$7:J$126,INT((ROW()-7)/4)+1)/$G196,2))</f>
        <v/>
      </c>
      <c r="O196" s="12">
        <f>IF(OR($D196="",$G196=0),"",ROUND($F196*INDEX('01人员工时'!K$7:K$126,INT((ROW()-7)/4)+1)/$G196,2))</f>
        <v/>
      </c>
      <c r="P196" s="12">
        <f>IF(OR($D196="",$G196=0),"",ROUND($F196*INDEX('01人员工时'!L$7:L$126,INT((ROW()-7)/4)+1)/$G196,2))</f>
        <v/>
      </c>
      <c r="Q196" s="12">
        <f>IF(OR($D196="",$G196=0),"",ROUND($F196*INDEX('01人员工时'!M$7:M$126,INT((ROW()-7)/4)+1)/$G196,2))</f>
        <v/>
      </c>
      <c r="R196" s="12">
        <f>IF(OR($D196="",$G196=0),"",ROUND($F196*INDEX('01人员工时'!N$7:N$126,INT((ROW()-7)/4)+1)/$G196,2))</f>
        <v/>
      </c>
      <c r="S196" s="12">
        <f>IF($D196="","",SUM(K196:R196))</f>
        <v/>
      </c>
      <c r="T196" s="12">
        <f>IF($D196="","",$J196+$S196)</f>
        <v/>
      </c>
      <c r="U196" s="25">
        <f>IF($D196="","",IF($F196=0,"未维护标准",IF(ROUND($T196-$F196,2)=0,"√","差异")))</f>
        <v/>
      </c>
      <c r="V196" s="11" t="n"/>
      <c r="W196" s="9" t="n"/>
    </row>
    <row r="197" ht="18" customHeight="1">
      <c r="B197" s="21">
        <f>IF(INDEX('01人员工时'!$D$7:$D$126,INT((ROW()-7)/4)+1)&amp;""="","",INDEX('01人员工时'!$B$7:$B$126,INT((ROW()-7)/4)+1))</f>
        <v/>
      </c>
      <c r="C197" s="22">
        <f>IF($D197="","",IF(MOD(ROW()-7,4)=0,INDEX('01人员工时'!$C$7:$C$126,INT((ROW()-7)/4)+1),""))</f>
        <v/>
      </c>
      <c r="D197" s="22">
        <f>IF(INDEX('01人员工时'!$D$7:$D$126,INT((ROW()-7)/4)+1)&amp;""="","",INDEX('01人员工时'!$D$7:$D$126,INT((ROW()-7)/4)+1))</f>
        <v/>
      </c>
      <c r="E197" s="22">
        <f>IF($D197="","",INDEX('参数设置'!$K$6:$K$9,MOD(ROW()-7,4)+1))</f>
        <v/>
      </c>
      <c r="F197" s="23">
        <f>IF($D197="","",IF($V197&lt;&gt;"",$V197,IFERROR(INDEX('参数设置'!$D$17:$G$26,MATCH($D197,'参数设置'!$C$17:$C$26,0),MATCH($E197,'参数设置'!$D$16:$G$16,0)),0)))</f>
        <v/>
      </c>
      <c r="G197" s="24">
        <f>IF($D197="","",INDEX('01人员工时'!$E$7:$E$126,INT((ROW()-7)/4)+1))</f>
        <v/>
      </c>
      <c r="H197" s="24">
        <f>IF($D197="","",INDEX('01人员工时'!$O$7:$O$126,INT((ROW()-7)/4)+1))</f>
        <v/>
      </c>
      <c r="I197" s="20">
        <f>IF(OR($D197="",$G197=0),"",$H197/$G197)</f>
        <v/>
      </c>
      <c r="J197" s="12">
        <f>IF($D197="","",ROUND($F197,2)-$S197)</f>
        <v/>
      </c>
      <c r="K197" s="12">
        <f>IF(OR($D197="",$G197=0),"",ROUND($F197*INDEX('01人员工时'!G$7:G$126,INT((ROW()-7)/4)+1)/$G197,2))</f>
        <v/>
      </c>
      <c r="L197" s="12">
        <f>IF(OR($D197="",$G197=0),"",ROUND($F197*INDEX('01人员工时'!H$7:H$126,INT((ROW()-7)/4)+1)/$G197,2))</f>
        <v/>
      </c>
      <c r="M197" s="12">
        <f>IF(OR($D197="",$G197=0),"",ROUND($F197*INDEX('01人员工时'!I$7:I$126,INT((ROW()-7)/4)+1)/$G197,2))</f>
        <v/>
      </c>
      <c r="N197" s="12">
        <f>IF(OR($D197="",$G197=0),"",ROUND($F197*INDEX('01人员工时'!J$7:J$126,INT((ROW()-7)/4)+1)/$G197,2))</f>
        <v/>
      </c>
      <c r="O197" s="12">
        <f>IF(OR($D197="",$G197=0),"",ROUND($F197*INDEX('01人员工时'!K$7:K$126,INT((ROW()-7)/4)+1)/$G197,2))</f>
        <v/>
      </c>
      <c r="P197" s="12">
        <f>IF(OR($D197="",$G197=0),"",ROUND($F197*INDEX('01人员工时'!L$7:L$126,INT((ROW()-7)/4)+1)/$G197,2))</f>
        <v/>
      </c>
      <c r="Q197" s="12">
        <f>IF(OR($D197="",$G197=0),"",ROUND($F197*INDEX('01人员工时'!M$7:M$126,INT((ROW()-7)/4)+1)/$G197,2))</f>
        <v/>
      </c>
      <c r="R197" s="12">
        <f>IF(OR($D197="",$G197=0),"",ROUND($F197*INDEX('01人员工时'!N$7:N$126,INT((ROW()-7)/4)+1)/$G197,2))</f>
        <v/>
      </c>
      <c r="S197" s="12">
        <f>IF($D197="","",SUM(K197:R197))</f>
        <v/>
      </c>
      <c r="T197" s="12">
        <f>IF($D197="","",$J197+$S197)</f>
        <v/>
      </c>
      <c r="U197" s="25">
        <f>IF($D197="","",IF($F197=0,"未维护标准",IF(ROUND($T197-$F197,2)=0,"√","差异")))</f>
        <v/>
      </c>
      <c r="V197" s="11" t="n"/>
      <c r="W197" s="9" t="n"/>
    </row>
    <row r="198" ht="18" customHeight="1">
      <c r="B198" s="26">
        <f>IF(INDEX('01人员工时'!$D$7:$D$126,INT((ROW()-7)/4)+1)&amp;""="","",INDEX('01人员工时'!$B$7:$B$126,INT((ROW()-7)/4)+1))</f>
        <v/>
      </c>
      <c r="C198" s="27">
        <f>IF($D198="","",IF(MOD(ROW()-7,4)=0,INDEX('01人员工时'!$C$7:$C$126,INT((ROW()-7)/4)+1),""))</f>
        <v/>
      </c>
      <c r="D198" s="27">
        <f>IF(INDEX('01人员工时'!$D$7:$D$126,INT((ROW()-7)/4)+1)&amp;""="","",INDEX('01人员工时'!$D$7:$D$126,INT((ROW()-7)/4)+1))</f>
        <v/>
      </c>
      <c r="E198" s="27">
        <f>IF($D198="","",INDEX('参数设置'!$K$6:$K$9,MOD(ROW()-7,4)+1))</f>
        <v/>
      </c>
      <c r="F198" s="28">
        <f>IF($D198="","",IF($V198&lt;&gt;"",$V198,IFERROR(INDEX('参数设置'!$D$17:$G$26,MATCH($D198,'参数设置'!$C$17:$C$26,0),MATCH($E198,'参数设置'!$D$16:$G$16,0)),0)))</f>
        <v/>
      </c>
      <c r="G198" s="29">
        <f>IF($D198="","",INDEX('01人员工时'!$E$7:$E$126,INT((ROW()-7)/4)+1))</f>
        <v/>
      </c>
      <c r="H198" s="29">
        <f>IF($D198="","",INDEX('01人员工时'!$O$7:$O$126,INT((ROW()-7)/4)+1))</f>
        <v/>
      </c>
      <c r="I198" s="30">
        <f>IF(OR($D198="",$G198=0),"",$H198/$G198)</f>
        <v/>
      </c>
      <c r="J198" s="31">
        <f>IF($D198="","",ROUND($F198,2)-$S198)</f>
        <v/>
      </c>
      <c r="K198" s="31">
        <f>IF(OR($D198="",$G198=0),"",ROUND($F198*INDEX('01人员工时'!G$7:G$126,INT((ROW()-7)/4)+1)/$G198,2))</f>
        <v/>
      </c>
      <c r="L198" s="31">
        <f>IF(OR($D198="",$G198=0),"",ROUND($F198*INDEX('01人员工时'!H$7:H$126,INT((ROW()-7)/4)+1)/$G198,2))</f>
        <v/>
      </c>
      <c r="M198" s="31">
        <f>IF(OR($D198="",$G198=0),"",ROUND($F198*INDEX('01人员工时'!I$7:I$126,INT((ROW()-7)/4)+1)/$G198,2))</f>
        <v/>
      </c>
      <c r="N198" s="31">
        <f>IF(OR($D198="",$G198=0),"",ROUND($F198*INDEX('01人员工时'!J$7:J$126,INT((ROW()-7)/4)+1)/$G198,2))</f>
        <v/>
      </c>
      <c r="O198" s="31">
        <f>IF(OR($D198="",$G198=0),"",ROUND($F198*INDEX('01人员工时'!K$7:K$126,INT((ROW()-7)/4)+1)/$G198,2))</f>
        <v/>
      </c>
      <c r="P198" s="31">
        <f>IF(OR($D198="",$G198=0),"",ROUND($F198*INDEX('01人员工时'!L$7:L$126,INT((ROW()-7)/4)+1)/$G198,2))</f>
        <v/>
      </c>
      <c r="Q198" s="31">
        <f>IF(OR($D198="",$G198=0),"",ROUND($F198*INDEX('01人员工时'!M$7:M$126,INT((ROW()-7)/4)+1)/$G198,2))</f>
        <v/>
      </c>
      <c r="R198" s="31">
        <f>IF(OR($D198="",$G198=0),"",ROUND($F198*INDEX('01人员工时'!N$7:N$126,INT((ROW()-7)/4)+1)/$G198,2))</f>
        <v/>
      </c>
      <c r="S198" s="31">
        <f>IF($D198="","",SUM(K198:R198))</f>
        <v/>
      </c>
      <c r="T198" s="31">
        <f>IF($D198="","",$J198+$S198)</f>
        <v/>
      </c>
      <c r="U198" s="32">
        <f>IF($D198="","",IF($F198=0,"未维护标准",IF(ROUND($T198-$F198,2)=0,"√","差异")))</f>
        <v/>
      </c>
      <c r="V198" s="33" t="n"/>
      <c r="W198" s="34" t="n"/>
    </row>
    <row r="199" ht="18" customHeight="1">
      <c r="B199" s="21">
        <f>IF(INDEX('01人员工时'!$D$7:$D$126,INT((ROW()-7)/4)+1)&amp;""="","",INDEX('01人员工时'!$B$7:$B$126,INT((ROW()-7)/4)+1))</f>
        <v/>
      </c>
      <c r="C199" s="22">
        <f>IF($D199="","",IF(MOD(ROW()-7,4)=0,INDEX('01人员工时'!$C$7:$C$126,INT((ROW()-7)/4)+1),""))</f>
        <v/>
      </c>
      <c r="D199" s="22">
        <f>IF(INDEX('01人员工时'!$D$7:$D$126,INT((ROW()-7)/4)+1)&amp;""="","",INDEX('01人员工时'!$D$7:$D$126,INT((ROW()-7)/4)+1))</f>
        <v/>
      </c>
      <c r="E199" s="22">
        <f>IF($D199="","",INDEX('参数设置'!$K$6:$K$9,MOD(ROW()-7,4)+1))</f>
        <v/>
      </c>
      <c r="F199" s="23">
        <f>IF($D199="","",IF($V199&lt;&gt;"",$V199,IFERROR(INDEX('参数设置'!$D$17:$G$26,MATCH($D199,'参数设置'!$C$17:$C$26,0),MATCH($E199,'参数设置'!$D$16:$G$16,0)),0)))</f>
        <v/>
      </c>
      <c r="G199" s="24">
        <f>IF($D199="","",INDEX('01人员工时'!$E$7:$E$126,INT((ROW()-7)/4)+1))</f>
        <v/>
      </c>
      <c r="H199" s="24">
        <f>IF($D199="","",INDEX('01人员工时'!$O$7:$O$126,INT((ROW()-7)/4)+1))</f>
        <v/>
      </c>
      <c r="I199" s="20">
        <f>IF(OR($D199="",$G199=0),"",$H199/$G199)</f>
        <v/>
      </c>
      <c r="J199" s="12">
        <f>IF($D199="","",ROUND($F199,2)-$S199)</f>
        <v/>
      </c>
      <c r="K199" s="12">
        <f>IF(OR($D199="",$G199=0),"",ROUND($F199*INDEX('01人员工时'!G$7:G$126,INT((ROW()-7)/4)+1)/$G199,2))</f>
        <v/>
      </c>
      <c r="L199" s="12">
        <f>IF(OR($D199="",$G199=0),"",ROUND($F199*INDEX('01人员工时'!H$7:H$126,INT((ROW()-7)/4)+1)/$G199,2))</f>
        <v/>
      </c>
      <c r="M199" s="12">
        <f>IF(OR($D199="",$G199=0),"",ROUND($F199*INDEX('01人员工时'!I$7:I$126,INT((ROW()-7)/4)+1)/$G199,2))</f>
        <v/>
      </c>
      <c r="N199" s="12">
        <f>IF(OR($D199="",$G199=0),"",ROUND($F199*INDEX('01人员工时'!J$7:J$126,INT((ROW()-7)/4)+1)/$G199,2))</f>
        <v/>
      </c>
      <c r="O199" s="12">
        <f>IF(OR($D199="",$G199=0),"",ROUND($F199*INDEX('01人员工时'!K$7:K$126,INT((ROW()-7)/4)+1)/$G199,2))</f>
        <v/>
      </c>
      <c r="P199" s="12">
        <f>IF(OR($D199="",$G199=0),"",ROUND($F199*INDEX('01人员工时'!L$7:L$126,INT((ROW()-7)/4)+1)/$G199,2))</f>
        <v/>
      </c>
      <c r="Q199" s="12">
        <f>IF(OR($D199="",$G199=0),"",ROUND($F199*INDEX('01人员工时'!M$7:M$126,INT((ROW()-7)/4)+1)/$G199,2))</f>
        <v/>
      </c>
      <c r="R199" s="12">
        <f>IF(OR($D199="",$G199=0),"",ROUND($F199*INDEX('01人员工时'!N$7:N$126,INT((ROW()-7)/4)+1)/$G199,2))</f>
        <v/>
      </c>
      <c r="S199" s="12">
        <f>IF($D199="","",SUM(K199:R199))</f>
        <v/>
      </c>
      <c r="T199" s="12">
        <f>IF($D199="","",$J199+$S199)</f>
        <v/>
      </c>
      <c r="U199" s="25">
        <f>IF($D199="","",IF($F199=0,"未维护标准",IF(ROUND($T199-$F199,2)=0,"√","差异")))</f>
        <v/>
      </c>
      <c r="V199" s="11" t="n"/>
      <c r="W199" s="9" t="n"/>
    </row>
    <row r="200" ht="18" customHeight="1">
      <c r="B200" s="21">
        <f>IF(INDEX('01人员工时'!$D$7:$D$126,INT((ROW()-7)/4)+1)&amp;""="","",INDEX('01人员工时'!$B$7:$B$126,INT((ROW()-7)/4)+1))</f>
        <v/>
      </c>
      <c r="C200" s="22">
        <f>IF($D200="","",IF(MOD(ROW()-7,4)=0,INDEX('01人员工时'!$C$7:$C$126,INT((ROW()-7)/4)+1),""))</f>
        <v/>
      </c>
      <c r="D200" s="22">
        <f>IF(INDEX('01人员工时'!$D$7:$D$126,INT((ROW()-7)/4)+1)&amp;""="","",INDEX('01人员工时'!$D$7:$D$126,INT((ROW()-7)/4)+1))</f>
        <v/>
      </c>
      <c r="E200" s="22">
        <f>IF($D200="","",INDEX('参数设置'!$K$6:$K$9,MOD(ROW()-7,4)+1))</f>
        <v/>
      </c>
      <c r="F200" s="23">
        <f>IF($D200="","",IF($V200&lt;&gt;"",$V200,IFERROR(INDEX('参数设置'!$D$17:$G$26,MATCH($D200,'参数设置'!$C$17:$C$26,0),MATCH($E200,'参数设置'!$D$16:$G$16,0)),0)))</f>
        <v/>
      </c>
      <c r="G200" s="24">
        <f>IF($D200="","",INDEX('01人员工时'!$E$7:$E$126,INT((ROW()-7)/4)+1))</f>
        <v/>
      </c>
      <c r="H200" s="24">
        <f>IF($D200="","",INDEX('01人员工时'!$O$7:$O$126,INT((ROW()-7)/4)+1))</f>
        <v/>
      </c>
      <c r="I200" s="20">
        <f>IF(OR($D200="",$G200=0),"",$H200/$G200)</f>
        <v/>
      </c>
      <c r="J200" s="12">
        <f>IF($D200="","",ROUND($F200,2)-$S200)</f>
        <v/>
      </c>
      <c r="K200" s="12">
        <f>IF(OR($D200="",$G200=0),"",ROUND($F200*INDEX('01人员工时'!G$7:G$126,INT((ROW()-7)/4)+1)/$G200,2))</f>
        <v/>
      </c>
      <c r="L200" s="12">
        <f>IF(OR($D200="",$G200=0),"",ROUND($F200*INDEX('01人员工时'!H$7:H$126,INT((ROW()-7)/4)+1)/$G200,2))</f>
        <v/>
      </c>
      <c r="M200" s="12">
        <f>IF(OR($D200="",$G200=0),"",ROUND($F200*INDEX('01人员工时'!I$7:I$126,INT((ROW()-7)/4)+1)/$G200,2))</f>
        <v/>
      </c>
      <c r="N200" s="12">
        <f>IF(OR($D200="",$G200=0),"",ROUND($F200*INDEX('01人员工时'!J$7:J$126,INT((ROW()-7)/4)+1)/$G200,2))</f>
        <v/>
      </c>
      <c r="O200" s="12">
        <f>IF(OR($D200="",$G200=0),"",ROUND($F200*INDEX('01人员工时'!K$7:K$126,INT((ROW()-7)/4)+1)/$G200,2))</f>
        <v/>
      </c>
      <c r="P200" s="12">
        <f>IF(OR($D200="",$G200=0),"",ROUND($F200*INDEX('01人员工时'!L$7:L$126,INT((ROW()-7)/4)+1)/$G200,2))</f>
        <v/>
      </c>
      <c r="Q200" s="12">
        <f>IF(OR($D200="",$G200=0),"",ROUND($F200*INDEX('01人员工时'!M$7:M$126,INT((ROW()-7)/4)+1)/$G200,2))</f>
        <v/>
      </c>
      <c r="R200" s="12">
        <f>IF(OR($D200="",$G200=0),"",ROUND($F200*INDEX('01人员工时'!N$7:N$126,INT((ROW()-7)/4)+1)/$G200,2))</f>
        <v/>
      </c>
      <c r="S200" s="12">
        <f>IF($D200="","",SUM(K200:R200))</f>
        <v/>
      </c>
      <c r="T200" s="12">
        <f>IF($D200="","",$J200+$S200)</f>
        <v/>
      </c>
      <c r="U200" s="25">
        <f>IF($D200="","",IF($F200=0,"未维护标准",IF(ROUND($T200-$F200,2)=0,"√","差异")))</f>
        <v/>
      </c>
      <c r="V200" s="11" t="n"/>
      <c r="W200" s="9" t="n"/>
    </row>
    <row r="201" ht="18" customHeight="1">
      <c r="B201" s="21">
        <f>IF(INDEX('01人员工时'!$D$7:$D$126,INT((ROW()-7)/4)+1)&amp;""="","",INDEX('01人员工时'!$B$7:$B$126,INT((ROW()-7)/4)+1))</f>
        <v/>
      </c>
      <c r="C201" s="22">
        <f>IF($D201="","",IF(MOD(ROW()-7,4)=0,INDEX('01人员工时'!$C$7:$C$126,INT((ROW()-7)/4)+1),""))</f>
        <v/>
      </c>
      <c r="D201" s="22">
        <f>IF(INDEX('01人员工时'!$D$7:$D$126,INT((ROW()-7)/4)+1)&amp;""="","",INDEX('01人员工时'!$D$7:$D$126,INT((ROW()-7)/4)+1))</f>
        <v/>
      </c>
      <c r="E201" s="22">
        <f>IF($D201="","",INDEX('参数设置'!$K$6:$K$9,MOD(ROW()-7,4)+1))</f>
        <v/>
      </c>
      <c r="F201" s="23">
        <f>IF($D201="","",IF($V201&lt;&gt;"",$V201,IFERROR(INDEX('参数设置'!$D$17:$G$26,MATCH($D201,'参数设置'!$C$17:$C$26,0),MATCH($E201,'参数设置'!$D$16:$G$16,0)),0)))</f>
        <v/>
      </c>
      <c r="G201" s="24">
        <f>IF($D201="","",INDEX('01人员工时'!$E$7:$E$126,INT((ROW()-7)/4)+1))</f>
        <v/>
      </c>
      <c r="H201" s="24">
        <f>IF($D201="","",INDEX('01人员工时'!$O$7:$O$126,INT((ROW()-7)/4)+1))</f>
        <v/>
      </c>
      <c r="I201" s="20">
        <f>IF(OR($D201="",$G201=0),"",$H201/$G201)</f>
        <v/>
      </c>
      <c r="J201" s="12">
        <f>IF($D201="","",ROUND($F201,2)-$S201)</f>
        <v/>
      </c>
      <c r="K201" s="12">
        <f>IF(OR($D201="",$G201=0),"",ROUND($F201*INDEX('01人员工时'!G$7:G$126,INT((ROW()-7)/4)+1)/$G201,2))</f>
        <v/>
      </c>
      <c r="L201" s="12">
        <f>IF(OR($D201="",$G201=0),"",ROUND($F201*INDEX('01人员工时'!H$7:H$126,INT((ROW()-7)/4)+1)/$G201,2))</f>
        <v/>
      </c>
      <c r="M201" s="12">
        <f>IF(OR($D201="",$G201=0),"",ROUND($F201*INDEX('01人员工时'!I$7:I$126,INT((ROW()-7)/4)+1)/$G201,2))</f>
        <v/>
      </c>
      <c r="N201" s="12">
        <f>IF(OR($D201="",$G201=0),"",ROUND($F201*INDEX('01人员工时'!J$7:J$126,INT((ROW()-7)/4)+1)/$G201,2))</f>
        <v/>
      </c>
      <c r="O201" s="12">
        <f>IF(OR($D201="",$G201=0),"",ROUND($F201*INDEX('01人员工时'!K$7:K$126,INT((ROW()-7)/4)+1)/$G201,2))</f>
        <v/>
      </c>
      <c r="P201" s="12">
        <f>IF(OR($D201="",$G201=0),"",ROUND($F201*INDEX('01人员工时'!L$7:L$126,INT((ROW()-7)/4)+1)/$G201,2))</f>
        <v/>
      </c>
      <c r="Q201" s="12">
        <f>IF(OR($D201="",$G201=0),"",ROUND($F201*INDEX('01人员工时'!M$7:M$126,INT((ROW()-7)/4)+1)/$G201,2))</f>
        <v/>
      </c>
      <c r="R201" s="12">
        <f>IF(OR($D201="",$G201=0),"",ROUND($F201*INDEX('01人员工时'!N$7:N$126,INT((ROW()-7)/4)+1)/$G201,2))</f>
        <v/>
      </c>
      <c r="S201" s="12">
        <f>IF($D201="","",SUM(K201:R201))</f>
        <v/>
      </c>
      <c r="T201" s="12">
        <f>IF($D201="","",$J201+$S201)</f>
        <v/>
      </c>
      <c r="U201" s="25">
        <f>IF($D201="","",IF($F201=0,"未维护标准",IF(ROUND($T201-$F201,2)=0,"√","差异")))</f>
        <v/>
      </c>
      <c r="V201" s="11" t="n"/>
      <c r="W201" s="9" t="n"/>
    </row>
    <row r="202" ht="18" customHeight="1">
      <c r="B202" s="26">
        <f>IF(INDEX('01人员工时'!$D$7:$D$126,INT((ROW()-7)/4)+1)&amp;""="","",INDEX('01人员工时'!$B$7:$B$126,INT((ROW()-7)/4)+1))</f>
        <v/>
      </c>
      <c r="C202" s="27">
        <f>IF($D202="","",IF(MOD(ROW()-7,4)=0,INDEX('01人员工时'!$C$7:$C$126,INT((ROW()-7)/4)+1),""))</f>
        <v/>
      </c>
      <c r="D202" s="27">
        <f>IF(INDEX('01人员工时'!$D$7:$D$126,INT((ROW()-7)/4)+1)&amp;""="","",INDEX('01人员工时'!$D$7:$D$126,INT((ROW()-7)/4)+1))</f>
        <v/>
      </c>
      <c r="E202" s="27">
        <f>IF($D202="","",INDEX('参数设置'!$K$6:$K$9,MOD(ROW()-7,4)+1))</f>
        <v/>
      </c>
      <c r="F202" s="28">
        <f>IF($D202="","",IF($V202&lt;&gt;"",$V202,IFERROR(INDEX('参数设置'!$D$17:$G$26,MATCH($D202,'参数设置'!$C$17:$C$26,0),MATCH($E202,'参数设置'!$D$16:$G$16,0)),0)))</f>
        <v/>
      </c>
      <c r="G202" s="29">
        <f>IF($D202="","",INDEX('01人员工时'!$E$7:$E$126,INT((ROW()-7)/4)+1))</f>
        <v/>
      </c>
      <c r="H202" s="29">
        <f>IF($D202="","",INDEX('01人员工时'!$O$7:$O$126,INT((ROW()-7)/4)+1))</f>
        <v/>
      </c>
      <c r="I202" s="30">
        <f>IF(OR($D202="",$G202=0),"",$H202/$G202)</f>
        <v/>
      </c>
      <c r="J202" s="31">
        <f>IF($D202="","",ROUND($F202,2)-$S202)</f>
        <v/>
      </c>
      <c r="K202" s="31">
        <f>IF(OR($D202="",$G202=0),"",ROUND($F202*INDEX('01人员工时'!G$7:G$126,INT((ROW()-7)/4)+1)/$G202,2))</f>
        <v/>
      </c>
      <c r="L202" s="31">
        <f>IF(OR($D202="",$G202=0),"",ROUND($F202*INDEX('01人员工时'!H$7:H$126,INT((ROW()-7)/4)+1)/$G202,2))</f>
        <v/>
      </c>
      <c r="M202" s="31">
        <f>IF(OR($D202="",$G202=0),"",ROUND($F202*INDEX('01人员工时'!I$7:I$126,INT((ROW()-7)/4)+1)/$G202,2))</f>
        <v/>
      </c>
      <c r="N202" s="31">
        <f>IF(OR($D202="",$G202=0),"",ROUND($F202*INDEX('01人员工时'!J$7:J$126,INT((ROW()-7)/4)+1)/$G202,2))</f>
        <v/>
      </c>
      <c r="O202" s="31">
        <f>IF(OR($D202="",$G202=0),"",ROUND($F202*INDEX('01人员工时'!K$7:K$126,INT((ROW()-7)/4)+1)/$G202,2))</f>
        <v/>
      </c>
      <c r="P202" s="31">
        <f>IF(OR($D202="",$G202=0),"",ROUND($F202*INDEX('01人员工时'!L$7:L$126,INT((ROW()-7)/4)+1)/$G202,2))</f>
        <v/>
      </c>
      <c r="Q202" s="31">
        <f>IF(OR($D202="",$G202=0),"",ROUND($F202*INDEX('01人员工时'!M$7:M$126,INT((ROW()-7)/4)+1)/$G202,2))</f>
        <v/>
      </c>
      <c r="R202" s="31">
        <f>IF(OR($D202="",$G202=0),"",ROUND($F202*INDEX('01人员工时'!N$7:N$126,INT((ROW()-7)/4)+1)/$G202,2))</f>
        <v/>
      </c>
      <c r="S202" s="31">
        <f>IF($D202="","",SUM(K202:R202))</f>
        <v/>
      </c>
      <c r="T202" s="31">
        <f>IF($D202="","",$J202+$S202)</f>
        <v/>
      </c>
      <c r="U202" s="32">
        <f>IF($D202="","",IF($F202=0,"未维护标准",IF(ROUND($T202-$F202,2)=0,"√","差异")))</f>
        <v/>
      </c>
      <c r="V202" s="33" t="n"/>
      <c r="W202" s="34" t="n"/>
    </row>
    <row r="203" ht="18" customHeight="1">
      <c r="B203" s="21">
        <f>IF(INDEX('01人员工时'!$D$7:$D$126,INT((ROW()-7)/4)+1)&amp;""="","",INDEX('01人员工时'!$B$7:$B$126,INT((ROW()-7)/4)+1))</f>
        <v/>
      </c>
      <c r="C203" s="22">
        <f>IF($D203="","",IF(MOD(ROW()-7,4)=0,INDEX('01人员工时'!$C$7:$C$126,INT((ROW()-7)/4)+1),""))</f>
        <v/>
      </c>
      <c r="D203" s="22">
        <f>IF(INDEX('01人员工时'!$D$7:$D$126,INT((ROW()-7)/4)+1)&amp;""="","",INDEX('01人员工时'!$D$7:$D$126,INT((ROW()-7)/4)+1))</f>
        <v/>
      </c>
      <c r="E203" s="22">
        <f>IF($D203="","",INDEX('参数设置'!$K$6:$K$9,MOD(ROW()-7,4)+1))</f>
        <v/>
      </c>
      <c r="F203" s="23">
        <f>IF($D203="","",IF($V203&lt;&gt;"",$V203,IFERROR(INDEX('参数设置'!$D$17:$G$26,MATCH($D203,'参数设置'!$C$17:$C$26,0),MATCH($E203,'参数设置'!$D$16:$G$16,0)),0)))</f>
        <v/>
      </c>
      <c r="G203" s="24">
        <f>IF($D203="","",INDEX('01人员工时'!$E$7:$E$126,INT((ROW()-7)/4)+1))</f>
        <v/>
      </c>
      <c r="H203" s="24">
        <f>IF($D203="","",INDEX('01人员工时'!$O$7:$O$126,INT((ROW()-7)/4)+1))</f>
        <v/>
      </c>
      <c r="I203" s="20">
        <f>IF(OR($D203="",$G203=0),"",$H203/$G203)</f>
        <v/>
      </c>
      <c r="J203" s="12">
        <f>IF($D203="","",ROUND($F203,2)-$S203)</f>
        <v/>
      </c>
      <c r="K203" s="12">
        <f>IF(OR($D203="",$G203=0),"",ROUND($F203*INDEX('01人员工时'!G$7:G$126,INT((ROW()-7)/4)+1)/$G203,2))</f>
        <v/>
      </c>
      <c r="L203" s="12">
        <f>IF(OR($D203="",$G203=0),"",ROUND($F203*INDEX('01人员工时'!H$7:H$126,INT((ROW()-7)/4)+1)/$G203,2))</f>
        <v/>
      </c>
      <c r="M203" s="12">
        <f>IF(OR($D203="",$G203=0),"",ROUND($F203*INDEX('01人员工时'!I$7:I$126,INT((ROW()-7)/4)+1)/$G203,2))</f>
        <v/>
      </c>
      <c r="N203" s="12">
        <f>IF(OR($D203="",$G203=0),"",ROUND($F203*INDEX('01人员工时'!J$7:J$126,INT((ROW()-7)/4)+1)/$G203,2))</f>
        <v/>
      </c>
      <c r="O203" s="12">
        <f>IF(OR($D203="",$G203=0),"",ROUND($F203*INDEX('01人员工时'!K$7:K$126,INT((ROW()-7)/4)+1)/$G203,2))</f>
        <v/>
      </c>
      <c r="P203" s="12">
        <f>IF(OR($D203="",$G203=0),"",ROUND($F203*INDEX('01人员工时'!L$7:L$126,INT((ROW()-7)/4)+1)/$G203,2))</f>
        <v/>
      </c>
      <c r="Q203" s="12">
        <f>IF(OR($D203="",$G203=0),"",ROUND($F203*INDEX('01人员工时'!M$7:M$126,INT((ROW()-7)/4)+1)/$G203,2))</f>
        <v/>
      </c>
      <c r="R203" s="12">
        <f>IF(OR($D203="",$G203=0),"",ROUND($F203*INDEX('01人员工时'!N$7:N$126,INT((ROW()-7)/4)+1)/$G203,2))</f>
        <v/>
      </c>
      <c r="S203" s="12">
        <f>IF($D203="","",SUM(K203:R203))</f>
        <v/>
      </c>
      <c r="T203" s="12">
        <f>IF($D203="","",$J203+$S203)</f>
        <v/>
      </c>
      <c r="U203" s="25">
        <f>IF($D203="","",IF($F203=0,"未维护标准",IF(ROUND($T203-$F203,2)=0,"√","差异")))</f>
        <v/>
      </c>
      <c r="V203" s="11" t="n"/>
      <c r="W203" s="9" t="n"/>
    </row>
    <row r="204" ht="18" customHeight="1">
      <c r="B204" s="21">
        <f>IF(INDEX('01人员工时'!$D$7:$D$126,INT((ROW()-7)/4)+1)&amp;""="","",INDEX('01人员工时'!$B$7:$B$126,INT((ROW()-7)/4)+1))</f>
        <v/>
      </c>
      <c r="C204" s="22">
        <f>IF($D204="","",IF(MOD(ROW()-7,4)=0,INDEX('01人员工时'!$C$7:$C$126,INT((ROW()-7)/4)+1),""))</f>
        <v/>
      </c>
      <c r="D204" s="22">
        <f>IF(INDEX('01人员工时'!$D$7:$D$126,INT((ROW()-7)/4)+1)&amp;""="","",INDEX('01人员工时'!$D$7:$D$126,INT((ROW()-7)/4)+1))</f>
        <v/>
      </c>
      <c r="E204" s="22">
        <f>IF($D204="","",INDEX('参数设置'!$K$6:$K$9,MOD(ROW()-7,4)+1))</f>
        <v/>
      </c>
      <c r="F204" s="23">
        <f>IF($D204="","",IF($V204&lt;&gt;"",$V204,IFERROR(INDEX('参数设置'!$D$17:$G$26,MATCH($D204,'参数设置'!$C$17:$C$26,0),MATCH($E204,'参数设置'!$D$16:$G$16,0)),0)))</f>
        <v/>
      </c>
      <c r="G204" s="24">
        <f>IF($D204="","",INDEX('01人员工时'!$E$7:$E$126,INT((ROW()-7)/4)+1))</f>
        <v/>
      </c>
      <c r="H204" s="24">
        <f>IF($D204="","",INDEX('01人员工时'!$O$7:$O$126,INT((ROW()-7)/4)+1))</f>
        <v/>
      </c>
      <c r="I204" s="20">
        <f>IF(OR($D204="",$G204=0),"",$H204/$G204)</f>
        <v/>
      </c>
      <c r="J204" s="12">
        <f>IF($D204="","",ROUND($F204,2)-$S204)</f>
        <v/>
      </c>
      <c r="K204" s="12">
        <f>IF(OR($D204="",$G204=0),"",ROUND($F204*INDEX('01人员工时'!G$7:G$126,INT((ROW()-7)/4)+1)/$G204,2))</f>
        <v/>
      </c>
      <c r="L204" s="12">
        <f>IF(OR($D204="",$G204=0),"",ROUND($F204*INDEX('01人员工时'!H$7:H$126,INT((ROW()-7)/4)+1)/$G204,2))</f>
        <v/>
      </c>
      <c r="M204" s="12">
        <f>IF(OR($D204="",$G204=0),"",ROUND($F204*INDEX('01人员工时'!I$7:I$126,INT((ROW()-7)/4)+1)/$G204,2))</f>
        <v/>
      </c>
      <c r="N204" s="12">
        <f>IF(OR($D204="",$G204=0),"",ROUND($F204*INDEX('01人员工时'!J$7:J$126,INT((ROW()-7)/4)+1)/$G204,2))</f>
        <v/>
      </c>
      <c r="O204" s="12">
        <f>IF(OR($D204="",$G204=0),"",ROUND($F204*INDEX('01人员工时'!K$7:K$126,INT((ROW()-7)/4)+1)/$G204,2))</f>
        <v/>
      </c>
      <c r="P204" s="12">
        <f>IF(OR($D204="",$G204=0),"",ROUND($F204*INDEX('01人员工时'!L$7:L$126,INT((ROW()-7)/4)+1)/$G204,2))</f>
        <v/>
      </c>
      <c r="Q204" s="12">
        <f>IF(OR($D204="",$G204=0),"",ROUND($F204*INDEX('01人员工时'!M$7:M$126,INT((ROW()-7)/4)+1)/$G204,2))</f>
        <v/>
      </c>
      <c r="R204" s="12">
        <f>IF(OR($D204="",$G204=0),"",ROUND($F204*INDEX('01人员工时'!N$7:N$126,INT((ROW()-7)/4)+1)/$G204,2))</f>
        <v/>
      </c>
      <c r="S204" s="12">
        <f>IF($D204="","",SUM(K204:R204))</f>
        <v/>
      </c>
      <c r="T204" s="12">
        <f>IF($D204="","",$J204+$S204)</f>
        <v/>
      </c>
      <c r="U204" s="25">
        <f>IF($D204="","",IF($F204=0,"未维护标准",IF(ROUND($T204-$F204,2)=0,"√","差异")))</f>
        <v/>
      </c>
      <c r="V204" s="11" t="n"/>
      <c r="W204" s="9" t="n"/>
    </row>
    <row r="205" ht="18" customHeight="1">
      <c r="B205" s="21">
        <f>IF(INDEX('01人员工时'!$D$7:$D$126,INT((ROW()-7)/4)+1)&amp;""="","",INDEX('01人员工时'!$B$7:$B$126,INT((ROW()-7)/4)+1))</f>
        <v/>
      </c>
      <c r="C205" s="22">
        <f>IF($D205="","",IF(MOD(ROW()-7,4)=0,INDEX('01人员工时'!$C$7:$C$126,INT((ROW()-7)/4)+1),""))</f>
        <v/>
      </c>
      <c r="D205" s="22">
        <f>IF(INDEX('01人员工时'!$D$7:$D$126,INT((ROW()-7)/4)+1)&amp;""="","",INDEX('01人员工时'!$D$7:$D$126,INT((ROW()-7)/4)+1))</f>
        <v/>
      </c>
      <c r="E205" s="22">
        <f>IF($D205="","",INDEX('参数设置'!$K$6:$K$9,MOD(ROW()-7,4)+1))</f>
        <v/>
      </c>
      <c r="F205" s="23">
        <f>IF($D205="","",IF($V205&lt;&gt;"",$V205,IFERROR(INDEX('参数设置'!$D$17:$G$26,MATCH($D205,'参数设置'!$C$17:$C$26,0),MATCH($E205,'参数设置'!$D$16:$G$16,0)),0)))</f>
        <v/>
      </c>
      <c r="G205" s="24">
        <f>IF($D205="","",INDEX('01人员工时'!$E$7:$E$126,INT((ROW()-7)/4)+1))</f>
        <v/>
      </c>
      <c r="H205" s="24">
        <f>IF($D205="","",INDEX('01人员工时'!$O$7:$O$126,INT((ROW()-7)/4)+1))</f>
        <v/>
      </c>
      <c r="I205" s="20">
        <f>IF(OR($D205="",$G205=0),"",$H205/$G205)</f>
        <v/>
      </c>
      <c r="J205" s="12">
        <f>IF($D205="","",ROUND($F205,2)-$S205)</f>
        <v/>
      </c>
      <c r="K205" s="12">
        <f>IF(OR($D205="",$G205=0),"",ROUND($F205*INDEX('01人员工时'!G$7:G$126,INT((ROW()-7)/4)+1)/$G205,2))</f>
        <v/>
      </c>
      <c r="L205" s="12">
        <f>IF(OR($D205="",$G205=0),"",ROUND($F205*INDEX('01人员工时'!H$7:H$126,INT((ROW()-7)/4)+1)/$G205,2))</f>
        <v/>
      </c>
      <c r="M205" s="12">
        <f>IF(OR($D205="",$G205=0),"",ROUND($F205*INDEX('01人员工时'!I$7:I$126,INT((ROW()-7)/4)+1)/$G205,2))</f>
        <v/>
      </c>
      <c r="N205" s="12">
        <f>IF(OR($D205="",$G205=0),"",ROUND($F205*INDEX('01人员工时'!J$7:J$126,INT((ROW()-7)/4)+1)/$G205,2))</f>
        <v/>
      </c>
      <c r="O205" s="12">
        <f>IF(OR($D205="",$G205=0),"",ROUND($F205*INDEX('01人员工时'!K$7:K$126,INT((ROW()-7)/4)+1)/$G205,2))</f>
        <v/>
      </c>
      <c r="P205" s="12">
        <f>IF(OR($D205="",$G205=0),"",ROUND($F205*INDEX('01人员工时'!L$7:L$126,INT((ROW()-7)/4)+1)/$G205,2))</f>
        <v/>
      </c>
      <c r="Q205" s="12">
        <f>IF(OR($D205="",$G205=0),"",ROUND($F205*INDEX('01人员工时'!M$7:M$126,INT((ROW()-7)/4)+1)/$G205,2))</f>
        <v/>
      </c>
      <c r="R205" s="12">
        <f>IF(OR($D205="",$G205=0),"",ROUND($F205*INDEX('01人员工时'!N$7:N$126,INT((ROW()-7)/4)+1)/$G205,2))</f>
        <v/>
      </c>
      <c r="S205" s="12">
        <f>IF($D205="","",SUM(K205:R205))</f>
        <v/>
      </c>
      <c r="T205" s="12">
        <f>IF($D205="","",$J205+$S205)</f>
        <v/>
      </c>
      <c r="U205" s="25">
        <f>IF($D205="","",IF($F205=0,"未维护标准",IF(ROUND($T205-$F205,2)=0,"√","差异")))</f>
        <v/>
      </c>
      <c r="V205" s="11" t="n"/>
      <c r="W205" s="9" t="n"/>
    </row>
    <row r="206" ht="18" customHeight="1">
      <c r="B206" s="26">
        <f>IF(INDEX('01人员工时'!$D$7:$D$126,INT((ROW()-7)/4)+1)&amp;""="","",INDEX('01人员工时'!$B$7:$B$126,INT((ROW()-7)/4)+1))</f>
        <v/>
      </c>
      <c r="C206" s="27">
        <f>IF($D206="","",IF(MOD(ROW()-7,4)=0,INDEX('01人员工时'!$C$7:$C$126,INT((ROW()-7)/4)+1),""))</f>
        <v/>
      </c>
      <c r="D206" s="27">
        <f>IF(INDEX('01人员工时'!$D$7:$D$126,INT((ROW()-7)/4)+1)&amp;""="","",INDEX('01人员工时'!$D$7:$D$126,INT((ROW()-7)/4)+1))</f>
        <v/>
      </c>
      <c r="E206" s="27">
        <f>IF($D206="","",INDEX('参数设置'!$K$6:$K$9,MOD(ROW()-7,4)+1))</f>
        <v/>
      </c>
      <c r="F206" s="28">
        <f>IF($D206="","",IF($V206&lt;&gt;"",$V206,IFERROR(INDEX('参数设置'!$D$17:$G$26,MATCH($D206,'参数设置'!$C$17:$C$26,0),MATCH($E206,'参数设置'!$D$16:$G$16,0)),0)))</f>
        <v/>
      </c>
      <c r="G206" s="29">
        <f>IF($D206="","",INDEX('01人员工时'!$E$7:$E$126,INT((ROW()-7)/4)+1))</f>
        <v/>
      </c>
      <c r="H206" s="29">
        <f>IF($D206="","",INDEX('01人员工时'!$O$7:$O$126,INT((ROW()-7)/4)+1))</f>
        <v/>
      </c>
      <c r="I206" s="30">
        <f>IF(OR($D206="",$G206=0),"",$H206/$G206)</f>
        <v/>
      </c>
      <c r="J206" s="31">
        <f>IF($D206="","",ROUND($F206,2)-$S206)</f>
        <v/>
      </c>
      <c r="K206" s="31">
        <f>IF(OR($D206="",$G206=0),"",ROUND($F206*INDEX('01人员工时'!G$7:G$126,INT((ROW()-7)/4)+1)/$G206,2))</f>
        <v/>
      </c>
      <c r="L206" s="31">
        <f>IF(OR($D206="",$G206=0),"",ROUND($F206*INDEX('01人员工时'!H$7:H$126,INT((ROW()-7)/4)+1)/$G206,2))</f>
        <v/>
      </c>
      <c r="M206" s="31">
        <f>IF(OR($D206="",$G206=0),"",ROUND($F206*INDEX('01人员工时'!I$7:I$126,INT((ROW()-7)/4)+1)/$G206,2))</f>
        <v/>
      </c>
      <c r="N206" s="31">
        <f>IF(OR($D206="",$G206=0),"",ROUND($F206*INDEX('01人员工时'!J$7:J$126,INT((ROW()-7)/4)+1)/$G206,2))</f>
        <v/>
      </c>
      <c r="O206" s="31">
        <f>IF(OR($D206="",$G206=0),"",ROUND($F206*INDEX('01人员工时'!K$7:K$126,INT((ROW()-7)/4)+1)/$G206,2))</f>
        <v/>
      </c>
      <c r="P206" s="31">
        <f>IF(OR($D206="",$G206=0),"",ROUND($F206*INDEX('01人员工时'!L$7:L$126,INT((ROW()-7)/4)+1)/$G206,2))</f>
        <v/>
      </c>
      <c r="Q206" s="31">
        <f>IF(OR($D206="",$G206=0),"",ROUND($F206*INDEX('01人员工时'!M$7:M$126,INT((ROW()-7)/4)+1)/$G206,2))</f>
        <v/>
      </c>
      <c r="R206" s="31">
        <f>IF(OR($D206="",$G206=0),"",ROUND($F206*INDEX('01人员工时'!N$7:N$126,INT((ROW()-7)/4)+1)/$G206,2))</f>
        <v/>
      </c>
      <c r="S206" s="31">
        <f>IF($D206="","",SUM(K206:R206))</f>
        <v/>
      </c>
      <c r="T206" s="31">
        <f>IF($D206="","",$J206+$S206)</f>
        <v/>
      </c>
      <c r="U206" s="32">
        <f>IF($D206="","",IF($F206=0,"未维护标准",IF(ROUND($T206-$F206,2)=0,"√","差异")))</f>
        <v/>
      </c>
      <c r="V206" s="33" t="n"/>
      <c r="W206" s="34" t="n"/>
    </row>
    <row r="207" ht="18" customHeight="1">
      <c r="B207" s="21">
        <f>IF(INDEX('01人员工时'!$D$7:$D$126,INT((ROW()-7)/4)+1)&amp;""="","",INDEX('01人员工时'!$B$7:$B$126,INT((ROW()-7)/4)+1))</f>
        <v/>
      </c>
      <c r="C207" s="22">
        <f>IF($D207="","",IF(MOD(ROW()-7,4)=0,INDEX('01人员工时'!$C$7:$C$126,INT((ROW()-7)/4)+1),""))</f>
        <v/>
      </c>
      <c r="D207" s="22">
        <f>IF(INDEX('01人员工时'!$D$7:$D$126,INT((ROW()-7)/4)+1)&amp;""="","",INDEX('01人员工时'!$D$7:$D$126,INT((ROW()-7)/4)+1))</f>
        <v/>
      </c>
      <c r="E207" s="22">
        <f>IF($D207="","",INDEX('参数设置'!$K$6:$K$9,MOD(ROW()-7,4)+1))</f>
        <v/>
      </c>
      <c r="F207" s="23">
        <f>IF($D207="","",IF($V207&lt;&gt;"",$V207,IFERROR(INDEX('参数设置'!$D$17:$G$26,MATCH($D207,'参数设置'!$C$17:$C$26,0),MATCH($E207,'参数设置'!$D$16:$G$16,0)),0)))</f>
        <v/>
      </c>
      <c r="G207" s="24">
        <f>IF($D207="","",INDEX('01人员工时'!$E$7:$E$126,INT((ROW()-7)/4)+1))</f>
        <v/>
      </c>
      <c r="H207" s="24">
        <f>IF($D207="","",INDEX('01人员工时'!$O$7:$O$126,INT((ROW()-7)/4)+1))</f>
        <v/>
      </c>
      <c r="I207" s="20">
        <f>IF(OR($D207="",$G207=0),"",$H207/$G207)</f>
        <v/>
      </c>
      <c r="J207" s="12">
        <f>IF($D207="","",ROUND($F207,2)-$S207)</f>
        <v/>
      </c>
      <c r="K207" s="12">
        <f>IF(OR($D207="",$G207=0),"",ROUND($F207*INDEX('01人员工时'!G$7:G$126,INT((ROW()-7)/4)+1)/$G207,2))</f>
        <v/>
      </c>
      <c r="L207" s="12">
        <f>IF(OR($D207="",$G207=0),"",ROUND($F207*INDEX('01人员工时'!H$7:H$126,INT((ROW()-7)/4)+1)/$G207,2))</f>
        <v/>
      </c>
      <c r="M207" s="12">
        <f>IF(OR($D207="",$G207=0),"",ROUND($F207*INDEX('01人员工时'!I$7:I$126,INT((ROW()-7)/4)+1)/$G207,2))</f>
        <v/>
      </c>
      <c r="N207" s="12">
        <f>IF(OR($D207="",$G207=0),"",ROUND($F207*INDEX('01人员工时'!J$7:J$126,INT((ROW()-7)/4)+1)/$G207,2))</f>
        <v/>
      </c>
      <c r="O207" s="12">
        <f>IF(OR($D207="",$G207=0),"",ROUND($F207*INDEX('01人员工时'!K$7:K$126,INT((ROW()-7)/4)+1)/$G207,2))</f>
        <v/>
      </c>
      <c r="P207" s="12">
        <f>IF(OR($D207="",$G207=0),"",ROUND($F207*INDEX('01人员工时'!L$7:L$126,INT((ROW()-7)/4)+1)/$G207,2))</f>
        <v/>
      </c>
      <c r="Q207" s="12">
        <f>IF(OR($D207="",$G207=0),"",ROUND($F207*INDEX('01人员工时'!M$7:M$126,INT((ROW()-7)/4)+1)/$G207,2))</f>
        <v/>
      </c>
      <c r="R207" s="12">
        <f>IF(OR($D207="",$G207=0),"",ROUND($F207*INDEX('01人员工时'!N$7:N$126,INT((ROW()-7)/4)+1)/$G207,2))</f>
        <v/>
      </c>
      <c r="S207" s="12">
        <f>IF($D207="","",SUM(K207:R207))</f>
        <v/>
      </c>
      <c r="T207" s="12">
        <f>IF($D207="","",$J207+$S207)</f>
        <v/>
      </c>
      <c r="U207" s="25">
        <f>IF($D207="","",IF($F207=0,"未维护标准",IF(ROUND($T207-$F207,2)=0,"√","差异")))</f>
        <v/>
      </c>
      <c r="V207" s="11" t="n"/>
      <c r="W207" s="9" t="n"/>
    </row>
    <row r="208" ht="18" customHeight="1">
      <c r="B208" s="21">
        <f>IF(INDEX('01人员工时'!$D$7:$D$126,INT((ROW()-7)/4)+1)&amp;""="","",INDEX('01人员工时'!$B$7:$B$126,INT((ROW()-7)/4)+1))</f>
        <v/>
      </c>
      <c r="C208" s="22">
        <f>IF($D208="","",IF(MOD(ROW()-7,4)=0,INDEX('01人员工时'!$C$7:$C$126,INT((ROW()-7)/4)+1),""))</f>
        <v/>
      </c>
      <c r="D208" s="22">
        <f>IF(INDEX('01人员工时'!$D$7:$D$126,INT((ROW()-7)/4)+1)&amp;""="","",INDEX('01人员工时'!$D$7:$D$126,INT((ROW()-7)/4)+1))</f>
        <v/>
      </c>
      <c r="E208" s="22">
        <f>IF($D208="","",INDEX('参数设置'!$K$6:$K$9,MOD(ROW()-7,4)+1))</f>
        <v/>
      </c>
      <c r="F208" s="23">
        <f>IF($D208="","",IF($V208&lt;&gt;"",$V208,IFERROR(INDEX('参数设置'!$D$17:$G$26,MATCH($D208,'参数设置'!$C$17:$C$26,0),MATCH($E208,'参数设置'!$D$16:$G$16,0)),0)))</f>
        <v/>
      </c>
      <c r="G208" s="24">
        <f>IF($D208="","",INDEX('01人员工时'!$E$7:$E$126,INT((ROW()-7)/4)+1))</f>
        <v/>
      </c>
      <c r="H208" s="24">
        <f>IF($D208="","",INDEX('01人员工时'!$O$7:$O$126,INT((ROW()-7)/4)+1))</f>
        <v/>
      </c>
      <c r="I208" s="20">
        <f>IF(OR($D208="",$G208=0),"",$H208/$G208)</f>
        <v/>
      </c>
      <c r="J208" s="12">
        <f>IF($D208="","",ROUND($F208,2)-$S208)</f>
        <v/>
      </c>
      <c r="K208" s="12">
        <f>IF(OR($D208="",$G208=0),"",ROUND($F208*INDEX('01人员工时'!G$7:G$126,INT((ROW()-7)/4)+1)/$G208,2))</f>
        <v/>
      </c>
      <c r="L208" s="12">
        <f>IF(OR($D208="",$G208=0),"",ROUND($F208*INDEX('01人员工时'!H$7:H$126,INT((ROW()-7)/4)+1)/$G208,2))</f>
        <v/>
      </c>
      <c r="M208" s="12">
        <f>IF(OR($D208="",$G208=0),"",ROUND($F208*INDEX('01人员工时'!I$7:I$126,INT((ROW()-7)/4)+1)/$G208,2))</f>
        <v/>
      </c>
      <c r="N208" s="12">
        <f>IF(OR($D208="",$G208=0),"",ROUND($F208*INDEX('01人员工时'!J$7:J$126,INT((ROW()-7)/4)+1)/$G208,2))</f>
        <v/>
      </c>
      <c r="O208" s="12">
        <f>IF(OR($D208="",$G208=0),"",ROUND($F208*INDEX('01人员工时'!K$7:K$126,INT((ROW()-7)/4)+1)/$G208,2))</f>
        <v/>
      </c>
      <c r="P208" s="12">
        <f>IF(OR($D208="",$G208=0),"",ROUND($F208*INDEX('01人员工时'!L$7:L$126,INT((ROW()-7)/4)+1)/$G208,2))</f>
        <v/>
      </c>
      <c r="Q208" s="12">
        <f>IF(OR($D208="",$G208=0),"",ROUND($F208*INDEX('01人员工时'!M$7:M$126,INT((ROW()-7)/4)+1)/$G208,2))</f>
        <v/>
      </c>
      <c r="R208" s="12">
        <f>IF(OR($D208="",$G208=0),"",ROUND($F208*INDEX('01人员工时'!N$7:N$126,INT((ROW()-7)/4)+1)/$G208,2))</f>
        <v/>
      </c>
      <c r="S208" s="12">
        <f>IF($D208="","",SUM(K208:R208))</f>
        <v/>
      </c>
      <c r="T208" s="12">
        <f>IF($D208="","",$J208+$S208)</f>
        <v/>
      </c>
      <c r="U208" s="25">
        <f>IF($D208="","",IF($F208=0,"未维护标准",IF(ROUND($T208-$F208,2)=0,"√","差异")))</f>
        <v/>
      </c>
      <c r="V208" s="11" t="n"/>
      <c r="W208" s="9" t="n"/>
    </row>
    <row r="209" ht="18" customHeight="1">
      <c r="B209" s="21">
        <f>IF(INDEX('01人员工时'!$D$7:$D$126,INT((ROW()-7)/4)+1)&amp;""="","",INDEX('01人员工时'!$B$7:$B$126,INT((ROW()-7)/4)+1))</f>
        <v/>
      </c>
      <c r="C209" s="22">
        <f>IF($D209="","",IF(MOD(ROW()-7,4)=0,INDEX('01人员工时'!$C$7:$C$126,INT((ROW()-7)/4)+1),""))</f>
        <v/>
      </c>
      <c r="D209" s="22">
        <f>IF(INDEX('01人员工时'!$D$7:$D$126,INT((ROW()-7)/4)+1)&amp;""="","",INDEX('01人员工时'!$D$7:$D$126,INT((ROW()-7)/4)+1))</f>
        <v/>
      </c>
      <c r="E209" s="22">
        <f>IF($D209="","",INDEX('参数设置'!$K$6:$K$9,MOD(ROW()-7,4)+1))</f>
        <v/>
      </c>
      <c r="F209" s="23">
        <f>IF($D209="","",IF($V209&lt;&gt;"",$V209,IFERROR(INDEX('参数设置'!$D$17:$G$26,MATCH($D209,'参数设置'!$C$17:$C$26,0),MATCH($E209,'参数设置'!$D$16:$G$16,0)),0)))</f>
        <v/>
      </c>
      <c r="G209" s="24">
        <f>IF($D209="","",INDEX('01人员工时'!$E$7:$E$126,INT((ROW()-7)/4)+1))</f>
        <v/>
      </c>
      <c r="H209" s="24">
        <f>IF($D209="","",INDEX('01人员工时'!$O$7:$O$126,INT((ROW()-7)/4)+1))</f>
        <v/>
      </c>
      <c r="I209" s="20">
        <f>IF(OR($D209="",$G209=0),"",$H209/$G209)</f>
        <v/>
      </c>
      <c r="J209" s="12">
        <f>IF($D209="","",ROUND($F209,2)-$S209)</f>
        <v/>
      </c>
      <c r="K209" s="12">
        <f>IF(OR($D209="",$G209=0),"",ROUND($F209*INDEX('01人员工时'!G$7:G$126,INT((ROW()-7)/4)+1)/$G209,2))</f>
        <v/>
      </c>
      <c r="L209" s="12">
        <f>IF(OR($D209="",$G209=0),"",ROUND($F209*INDEX('01人员工时'!H$7:H$126,INT((ROW()-7)/4)+1)/$G209,2))</f>
        <v/>
      </c>
      <c r="M209" s="12">
        <f>IF(OR($D209="",$G209=0),"",ROUND($F209*INDEX('01人员工时'!I$7:I$126,INT((ROW()-7)/4)+1)/$G209,2))</f>
        <v/>
      </c>
      <c r="N209" s="12">
        <f>IF(OR($D209="",$G209=0),"",ROUND($F209*INDEX('01人员工时'!J$7:J$126,INT((ROW()-7)/4)+1)/$G209,2))</f>
        <v/>
      </c>
      <c r="O209" s="12">
        <f>IF(OR($D209="",$G209=0),"",ROUND($F209*INDEX('01人员工时'!K$7:K$126,INT((ROW()-7)/4)+1)/$G209,2))</f>
        <v/>
      </c>
      <c r="P209" s="12">
        <f>IF(OR($D209="",$G209=0),"",ROUND($F209*INDEX('01人员工时'!L$7:L$126,INT((ROW()-7)/4)+1)/$G209,2))</f>
        <v/>
      </c>
      <c r="Q209" s="12">
        <f>IF(OR($D209="",$G209=0),"",ROUND($F209*INDEX('01人员工时'!M$7:M$126,INT((ROW()-7)/4)+1)/$G209,2))</f>
        <v/>
      </c>
      <c r="R209" s="12">
        <f>IF(OR($D209="",$G209=0),"",ROUND($F209*INDEX('01人员工时'!N$7:N$126,INT((ROW()-7)/4)+1)/$G209,2))</f>
        <v/>
      </c>
      <c r="S209" s="12">
        <f>IF($D209="","",SUM(K209:R209))</f>
        <v/>
      </c>
      <c r="T209" s="12">
        <f>IF($D209="","",$J209+$S209)</f>
        <v/>
      </c>
      <c r="U209" s="25">
        <f>IF($D209="","",IF($F209=0,"未维护标准",IF(ROUND($T209-$F209,2)=0,"√","差异")))</f>
        <v/>
      </c>
      <c r="V209" s="11" t="n"/>
      <c r="W209" s="9" t="n"/>
    </row>
    <row r="210" ht="18" customHeight="1">
      <c r="B210" s="26">
        <f>IF(INDEX('01人员工时'!$D$7:$D$126,INT((ROW()-7)/4)+1)&amp;""="","",INDEX('01人员工时'!$B$7:$B$126,INT((ROW()-7)/4)+1))</f>
        <v/>
      </c>
      <c r="C210" s="27">
        <f>IF($D210="","",IF(MOD(ROW()-7,4)=0,INDEX('01人员工时'!$C$7:$C$126,INT((ROW()-7)/4)+1),""))</f>
        <v/>
      </c>
      <c r="D210" s="27">
        <f>IF(INDEX('01人员工时'!$D$7:$D$126,INT((ROW()-7)/4)+1)&amp;""="","",INDEX('01人员工时'!$D$7:$D$126,INT((ROW()-7)/4)+1))</f>
        <v/>
      </c>
      <c r="E210" s="27">
        <f>IF($D210="","",INDEX('参数设置'!$K$6:$K$9,MOD(ROW()-7,4)+1))</f>
        <v/>
      </c>
      <c r="F210" s="28">
        <f>IF($D210="","",IF($V210&lt;&gt;"",$V210,IFERROR(INDEX('参数设置'!$D$17:$G$26,MATCH($D210,'参数设置'!$C$17:$C$26,0),MATCH($E210,'参数设置'!$D$16:$G$16,0)),0)))</f>
        <v/>
      </c>
      <c r="G210" s="29">
        <f>IF($D210="","",INDEX('01人员工时'!$E$7:$E$126,INT((ROW()-7)/4)+1))</f>
        <v/>
      </c>
      <c r="H210" s="29">
        <f>IF($D210="","",INDEX('01人员工时'!$O$7:$O$126,INT((ROW()-7)/4)+1))</f>
        <v/>
      </c>
      <c r="I210" s="30">
        <f>IF(OR($D210="",$G210=0),"",$H210/$G210)</f>
        <v/>
      </c>
      <c r="J210" s="31">
        <f>IF($D210="","",ROUND($F210,2)-$S210)</f>
        <v/>
      </c>
      <c r="K210" s="31">
        <f>IF(OR($D210="",$G210=0),"",ROUND($F210*INDEX('01人员工时'!G$7:G$126,INT((ROW()-7)/4)+1)/$G210,2))</f>
        <v/>
      </c>
      <c r="L210" s="31">
        <f>IF(OR($D210="",$G210=0),"",ROUND($F210*INDEX('01人员工时'!H$7:H$126,INT((ROW()-7)/4)+1)/$G210,2))</f>
        <v/>
      </c>
      <c r="M210" s="31">
        <f>IF(OR($D210="",$G210=0),"",ROUND($F210*INDEX('01人员工时'!I$7:I$126,INT((ROW()-7)/4)+1)/$G210,2))</f>
        <v/>
      </c>
      <c r="N210" s="31">
        <f>IF(OR($D210="",$G210=0),"",ROUND($F210*INDEX('01人员工时'!J$7:J$126,INT((ROW()-7)/4)+1)/$G210,2))</f>
        <v/>
      </c>
      <c r="O210" s="31">
        <f>IF(OR($D210="",$G210=0),"",ROUND($F210*INDEX('01人员工时'!K$7:K$126,INT((ROW()-7)/4)+1)/$G210,2))</f>
        <v/>
      </c>
      <c r="P210" s="31">
        <f>IF(OR($D210="",$G210=0),"",ROUND($F210*INDEX('01人员工时'!L$7:L$126,INT((ROW()-7)/4)+1)/$G210,2))</f>
        <v/>
      </c>
      <c r="Q210" s="31">
        <f>IF(OR($D210="",$G210=0),"",ROUND($F210*INDEX('01人员工时'!M$7:M$126,INT((ROW()-7)/4)+1)/$G210,2))</f>
        <v/>
      </c>
      <c r="R210" s="31">
        <f>IF(OR($D210="",$G210=0),"",ROUND($F210*INDEX('01人员工时'!N$7:N$126,INT((ROW()-7)/4)+1)/$G210,2))</f>
        <v/>
      </c>
      <c r="S210" s="31">
        <f>IF($D210="","",SUM(K210:R210))</f>
        <v/>
      </c>
      <c r="T210" s="31">
        <f>IF($D210="","",$J210+$S210)</f>
        <v/>
      </c>
      <c r="U210" s="32">
        <f>IF($D210="","",IF($F210=0,"未维护标准",IF(ROUND($T210-$F210,2)=0,"√","差异")))</f>
        <v/>
      </c>
      <c r="V210" s="33" t="n"/>
      <c r="W210" s="34" t="n"/>
    </row>
    <row r="211" ht="18" customHeight="1">
      <c r="B211" s="21">
        <f>IF(INDEX('01人员工时'!$D$7:$D$126,INT((ROW()-7)/4)+1)&amp;""="","",INDEX('01人员工时'!$B$7:$B$126,INT((ROW()-7)/4)+1))</f>
        <v/>
      </c>
      <c r="C211" s="22">
        <f>IF($D211="","",IF(MOD(ROW()-7,4)=0,INDEX('01人员工时'!$C$7:$C$126,INT((ROW()-7)/4)+1),""))</f>
        <v/>
      </c>
      <c r="D211" s="22">
        <f>IF(INDEX('01人员工时'!$D$7:$D$126,INT((ROW()-7)/4)+1)&amp;""="","",INDEX('01人员工时'!$D$7:$D$126,INT((ROW()-7)/4)+1))</f>
        <v/>
      </c>
      <c r="E211" s="22">
        <f>IF($D211="","",INDEX('参数设置'!$K$6:$K$9,MOD(ROW()-7,4)+1))</f>
        <v/>
      </c>
      <c r="F211" s="23">
        <f>IF($D211="","",IF($V211&lt;&gt;"",$V211,IFERROR(INDEX('参数设置'!$D$17:$G$26,MATCH($D211,'参数设置'!$C$17:$C$26,0),MATCH($E211,'参数设置'!$D$16:$G$16,0)),0)))</f>
        <v/>
      </c>
      <c r="G211" s="24">
        <f>IF($D211="","",INDEX('01人员工时'!$E$7:$E$126,INT((ROW()-7)/4)+1))</f>
        <v/>
      </c>
      <c r="H211" s="24">
        <f>IF($D211="","",INDEX('01人员工时'!$O$7:$O$126,INT((ROW()-7)/4)+1))</f>
        <v/>
      </c>
      <c r="I211" s="20">
        <f>IF(OR($D211="",$G211=0),"",$H211/$G211)</f>
        <v/>
      </c>
      <c r="J211" s="12">
        <f>IF($D211="","",ROUND($F211,2)-$S211)</f>
        <v/>
      </c>
      <c r="K211" s="12">
        <f>IF(OR($D211="",$G211=0),"",ROUND($F211*INDEX('01人员工时'!G$7:G$126,INT((ROW()-7)/4)+1)/$G211,2))</f>
        <v/>
      </c>
      <c r="L211" s="12">
        <f>IF(OR($D211="",$G211=0),"",ROUND($F211*INDEX('01人员工时'!H$7:H$126,INT((ROW()-7)/4)+1)/$G211,2))</f>
        <v/>
      </c>
      <c r="M211" s="12">
        <f>IF(OR($D211="",$G211=0),"",ROUND($F211*INDEX('01人员工时'!I$7:I$126,INT((ROW()-7)/4)+1)/$G211,2))</f>
        <v/>
      </c>
      <c r="N211" s="12">
        <f>IF(OR($D211="",$G211=0),"",ROUND($F211*INDEX('01人员工时'!J$7:J$126,INT((ROW()-7)/4)+1)/$G211,2))</f>
        <v/>
      </c>
      <c r="O211" s="12">
        <f>IF(OR($D211="",$G211=0),"",ROUND($F211*INDEX('01人员工时'!K$7:K$126,INT((ROW()-7)/4)+1)/$G211,2))</f>
        <v/>
      </c>
      <c r="P211" s="12">
        <f>IF(OR($D211="",$G211=0),"",ROUND($F211*INDEX('01人员工时'!L$7:L$126,INT((ROW()-7)/4)+1)/$G211,2))</f>
        <v/>
      </c>
      <c r="Q211" s="12">
        <f>IF(OR($D211="",$G211=0),"",ROUND($F211*INDEX('01人员工时'!M$7:M$126,INT((ROW()-7)/4)+1)/$G211,2))</f>
        <v/>
      </c>
      <c r="R211" s="12">
        <f>IF(OR($D211="",$G211=0),"",ROUND($F211*INDEX('01人员工时'!N$7:N$126,INT((ROW()-7)/4)+1)/$G211,2))</f>
        <v/>
      </c>
      <c r="S211" s="12">
        <f>IF($D211="","",SUM(K211:R211))</f>
        <v/>
      </c>
      <c r="T211" s="12">
        <f>IF($D211="","",$J211+$S211)</f>
        <v/>
      </c>
      <c r="U211" s="25">
        <f>IF($D211="","",IF($F211=0,"未维护标准",IF(ROUND($T211-$F211,2)=0,"√","差异")))</f>
        <v/>
      </c>
      <c r="V211" s="11" t="n"/>
      <c r="W211" s="9" t="n"/>
    </row>
    <row r="212" ht="18" customHeight="1">
      <c r="B212" s="21">
        <f>IF(INDEX('01人员工时'!$D$7:$D$126,INT((ROW()-7)/4)+1)&amp;""="","",INDEX('01人员工时'!$B$7:$B$126,INT((ROW()-7)/4)+1))</f>
        <v/>
      </c>
      <c r="C212" s="22">
        <f>IF($D212="","",IF(MOD(ROW()-7,4)=0,INDEX('01人员工时'!$C$7:$C$126,INT((ROW()-7)/4)+1),""))</f>
        <v/>
      </c>
      <c r="D212" s="22">
        <f>IF(INDEX('01人员工时'!$D$7:$D$126,INT((ROW()-7)/4)+1)&amp;""="","",INDEX('01人员工时'!$D$7:$D$126,INT((ROW()-7)/4)+1))</f>
        <v/>
      </c>
      <c r="E212" s="22">
        <f>IF($D212="","",INDEX('参数设置'!$K$6:$K$9,MOD(ROW()-7,4)+1))</f>
        <v/>
      </c>
      <c r="F212" s="23">
        <f>IF($D212="","",IF($V212&lt;&gt;"",$V212,IFERROR(INDEX('参数设置'!$D$17:$G$26,MATCH($D212,'参数设置'!$C$17:$C$26,0),MATCH($E212,'参数设置'!$D$16:$G$16,0)),0)))</f>
        <v/>
      </c>
      <c r="G212" s="24">
        <f>IF($D212="","",INDEX('01人员工时'!$E$7:$E$126,INT((ROW()-7)/4)+1))</f>
        <v/>
      </c>
      <c r="H212" s="24">
        <f>IF($D212="","",INDEX('01人员工时'!$O$7:$O$126,INT((ROW()-7)/4)+1))</f>
        <v/>
      </c>
      <c r="I212" s="20">
        <f>IF(OR($D212="",$G212=0),"",$H212/$G212)</f>
        <v/>
      </c>
      <c r="J212" s="12">
        <f>IF($D212="","",ROUND($F212,2)-$S212)</f>
        <v/>
      </c>
      <c r="K212" s="12">
        <f>IF(OR($D212="",$G212=0),"",ROUND($F212*INDEX('01人员工时'!G$7:G$126,INT((ROW()-7)/4)+1)/$G212,2))</f>
        <v/>
      </c>
      <c r="L212" s="12">
        <f>IF(OR($D212="",$G212=0),"",ROUND($F212*INDEX('01人员工时'!H$7:H$126,INT((ROW()-7)/4)+1)/$G212,2))</f>
        <v/>
      </c>
      <c r="M212" s="12">
        <f>IF(OR($D212="",$G212=0),"",ROUND($F212*INDEX('01人员工时'!I$7:I$126,INT((ROW()-7)/4)+1)/$G212,2))</f>
        <v/>
      </c>
      <c r="N212" s="12">
        <f>IF(OR($D212="",$G212=0),"",ROUND($F212*INDEX('01人员工时'!J$7:J$126,INT((ROW()-7)/4)+1)/$G212,2))</f>
        <v/>
      </c>
      <c r="O212" s="12">
        <f>IF(OR($D212="",$G212=0),"",ROUND($F212*INDEX('01人员工时'!K$7:K$126,INT((ROW()-7)/4)+1)/$G212,2))</f>
        <v/>
      </c>
      <c r="P212" s="12">
        <f>IF(OR($D212="",$G212=0),"",ROUND($F212*INDEX('01人员工时'!L$7:L$126,INT((ROW()-7)/4)+1)/$G212,2))</f>
        <v/>
      </c>
      <c r="Q212" s="12">
        <f>IF(OR($D212="",$G212=0),"",ROUND($F212*INDEX('01人员工时'!M$7:M$126,INT((ROW()-7)/4)+1)/$G212,2))</f>
        <v/>
      </c>
      <c r="R212" s="12">
        <f>IF(OR($D212="",$G212=0),"",ROUND($F212*INDEX('01人员工时'!N$7:N$126,INT((ROW()-7)/4)+1)/$G212,2))</f>
        <v/>
      </c>
      <c r="S212" s="12">
        <f>IF($D212="","",SUM(K212:R212))</f>
        <v/>
      </c>
      <c r="T212" s="12">
        <f>IF($D212="","",$J212+$S212)</f>
        <v/>
      </c>
      <c r="U212" s="25">
        <f>IF($D212="","",IF($F212=0,"未维护标准",IF(ROUND($T212-$F212,2)=0,"√","差异")))</f>
        <v/>
      </c>
      <c r="V212" s="11" t="n"/>
      <c r="W212" s="9" t="n"/>
    </row>
    <row r="213" ht="18" customHeight="1">
      <c r="B213" s="21">
        <f>IF(INDEX('01人员工时'!$D$7:$D$126,INT((ROW()-7)/4)+1)&amp;""="","",INDEX('01人员工时'!$B$7:$B$126,INT((ROW()-7)/4)+1))</f>
        <v/>
      </c>
      <c r="C213" s="22">
        <f>IF($D213="","",IF(MOD(ROW()-7,4)=0,INDEX('01人员工时'!$C$7:$C$126,INT((ROW()-7)/4)+1),""))</f>
        <v/>
      </c>
      <c r="D213" s="22">
        <f>IF(INDEX('01人员工时'!$D$7:$D$126,INT((ROW()-7)/4)+1)&amp;""="","",INDEX('01人员工时'!$D$7:$D$126,INT((ROW()-7)/4)+1))</f>
        <v/>
      </c>
      <c r="E213" s="22">
        <f>IF($D213="","",INDEX('参数设置'!$K$6:$K$9,MOD(ROW()-7,4)+1))</f>
        <v/>
      </c>
      <c r="F213" s="23">
        <f>IF($D213="","",IF($V213&lt;&gt;"",$V213,IFERROR(INDEX('参数设置'!$D$17:$G$26,MATCH($D213,'参数设置'!$C$17:$C$26,0),MATCH($E213,'参数设置'!$D$16:$G$16,0)),0)))</f>
        <v/>
      </c>
      <c r="G213" s="24">
        <f>IF($D213="","",INDEX('01人员工时'!$E$7:$E$126,INT((ROW()-7)/4)+1))</f>
        <v/>
      </c>
      <c r="H213" s="24">
        <f>IF($D213="","",INDEX('01人员工时'!$O$7:$O$126,INT((ROW()-7)/4)+1))</f>
        <v/>
      </c>
      <c r="I213" s="20">
        <f>IF(OR($D213="",$G213=0),"",$H213/$G213)</f>
        <v/>
      </c>
      <c r="J213" s="12">
        <f>IF($D213="","",ROUND($F213,2)-$S213)</f>
        <v/>
      </c>
      <c r="K213" s="12">
        <f>IF(OR($D213="",$G213=0),"",ROUND($F213*INDEX('01人员工时'!G$7:G$126,INT((ROW()-7)/4)+1)/$G213,2))</f>
        <v/>
      </c>
      <c r="L213" s="12">
        <f>IF(OR($D213="",$G213=0),"",ROUND($F213*INDEX('01人员工时'!H$7:H$126,INT((ROW()-7)/4)+1)/$G213,2))</f>
        <v/>
      </c>
      <c r="M213" s="12">
        <f>IF(OR($D213="",$G213=0),"",ROUND($F213*INDEX('01人员工时'!I$7:I$126,INT((ROW()-7)/4)+1)/$G213,2))</f>
        <v/>
      </c>
      <c r="N213" s="12">
        <f>IF(OR($D213="",$G213=0),"",ROUND($F213*INDEX('01人员工时'!J$7:J$126,INT((ROW()-7)/4)+1)/$G213,2))</f>
        <v/>
      </c>
      <c r="O213" s="12">
        <f>IF(OR($D213="",$G213=0),"",ROUND($F213*INDEX('01人员工时'!K$7:K$126,INT((ROW()-7)/4)+1)/$G213,2))</f>
        <v/>
      </c>
      <c r="P213" s="12">
        <f>IF(OR($D213="",$G213=0),"",ROUND($F213*INDEX('01人员工时'!L$7:L$126,INT((ROW()-7)/4)+1)/$G213,2))</f>
        <v/>
      </c>
      <c r="Q213" s="12">
        <f>IF(OR($D213="",$G213=0),"",ROUND($F213*INDEX('01人员工时'!M$7:M$126,INT((ROW()-7)/4)+1)/$G213,2))</f>
        <v/>
      </c>
      <c r="R213" s="12">
        <f>IF(OR($D213="",$G213=0),"",ROUND($F213*INDEX('01人员工时'!N$7:N$126,INT((ROW()-7)/4)+1)/$G213,2))</f>
        <v/>
      </c>
      <c r="S213" s="12">
        <f>IF($D213="","",SUM(K213:R213))</f>
        <v/>
      </c>
      <c r="T213" s="12">
        <f>IF($D213="","",$J213+$S213)</f>
        <v/>
      </c>
      <c r="U213" s="25">
        <f>IF($D213="","",IF($F213=0,"未维护标准",IF(ROUND($T213-$F213,2)=0,"√","差异")))</f>
        <v/>
      </c>
      <c r="V213" s="11" t="n"/>
      <c r="W213" s="9" t="n"/>
    </row>
    <row r="214" ht="18" customHeight="1">
      <c r="B214" s="26">
        <f>IF(INDEX('01人员工时'!$D$7:$D$126,INT((ROW()-7)/4)+1)&amp;""="","",INDEX('01人员工时'!$B$7:$B$126,INT((ROW()-7)/4)+1))</f>
        <v/>
      </c>
      <c r="C214" s="27">
        <f>IF($D214="","",IF(MOD(ROW()-7,4)=0,INDEX('01人员工时'!$C$7:$C$126,INT((ROW()-7)/4)+1),""))</f>
        <v/>
      </c>
      <c r="D214" s="27">
        <f>IF(INDEX('01人员工时'!$D$7:$D$126,INT((ROW()-7)/4)+1)&amp;""="","",INDEX('01人员工时'!$D$7:$D$126,INT((ROW()-7)/4)+1))</f>
        <v/>
      </c>
      <c r="E214" s="27">
        <f>IF($D214="","",INDEX('参数设置'!$K$6:$K$9,MOD(ROW()-7,4)+1))</f>
        <v/>
      </c>
      <c r="F214" s="28">
        <f>IF($D214="","",IF($V214&lt;&gt;"",$V214,IFERROR(INDEX('参数设置'!$D$17:$G$26,MATCH($D214,'参数设置'!$C$17:$C$26,0),MATCH($E214,'参数设置'!$D$16:$G$16,0)),0)))</f>
        <v/>
      </c>
      <c r="G214" s="29">
        <f>IF($D214="","",INDEX('01人员工时'!$E$7:$E$126,INT((ROW()-7)/4)+1))</f>
        <v/>
      </c>
      <c r="H214" s="29">
        <f>IF($D214="","",INDEX('01人员工时'!$O$7:$O$126,INT((ROW()-7)/4)+1))</f>
        <v/>
      </c>
      <c r="I214" s="30">
        <f>IF(OR($D214="",$G214=0),"",$H214/$G214)</f>
        <v/>
      </c>
      <c r="J214" s="31">
        <f>IF($D214="","",ROUND($F214,2)-$S214)</f>
        <v/>
      </c>
      <c r="K214" s="31">
        <f>IF(OR($D214="",$G214=0),"",ROUND($F214*INDEX('01人员工时'!G$7:G$126,INT((ROW()-7)/4)+1)/$G214,2))</f>
        <v/>
      </c>
      <c r="L214" s="31">
        <f>IF(OR($D214="",$G214=0),"",ROUND($F214*INDEX('01人员工时'!H$7:H$126,INT((ROW()-7)/4)+1)/$G214,2))</f>
        <v/>
      </c>
      <c r="M214" s="31">
        <f>IF(OR($D214="",$G214=0),"",ROUND($F214*INDEX('01人员工时'!I$7:I$126,INT((ROW()-7)/4)+1)/$G214,2))</f>
        <v/>
      </c>
      <c r="N214" s="31">
        <f>IF(OR($D214="",$G214=0),"",ROUND($F214*INDEX('01人员工时'!J$7:J$126,INT((ROW()-7)/4)+1)/$G214,2))</f>
        <v/>
      </c>
      <c r="O214" s="31">
        <f>IF(OR($D214="",$G214=0),"",ROUND($F214*INDEX('01人员工时'!K$7:K$126,INT((ROW()-7)/4)+1)/$G214,2))</f>
        <v/>
      </c>
      <c r="P214" s="31">
        <f>IF(OR($D214="",$G214=0),"",ROUND($F214*INDEX('01人员工时'!L$7:L$126,INT((ROW()-7)/4)+1)/$G214,2))</f>
        <v/>
      </c>
      <c r="Q214" s="31">
        <f>IF(OR($D214="",$G214=0),"",ROUND($F214*INDEX('01人员工时'!M$7:M$126,INT((ROW()-7)/4)+1)/$G214,2))</f>
        <v/>
      </c>
      <c r="R214" s="31">
        <f>IF(OR($D214="",$G214=0),"",ROUND($F214*INDEX('01人员工时'!N$7:N$126,INT((ROW()-7)/4)+1)/$G214,2))</f>
        <v/>
      </c>
      <c r="S214" s="31">
        <f>IF($D214="","",SUM(K214:R214))</f>
        <v/>
      </c>
      <c r="T214" s="31">
        <f>IF($D214="","",$J214+$S214)</f>
        <v/>
      </c>
      <c r="U214" s="32">
        <f>IF($D214="","",IF($F214=0,"未维护标准",IF(ROUND($T214-$F214,2)=0,"√","差异")))</f>
        <v/>
      </c>
      <c r="V214" s="33" t="n"/>
      <c r="W214" s="34" t="n"/>
    </row>
    <row r="215" ht="18" customHeight="1">
      <c r="B215" s="21">
        <f>IF(INDEX('01人员工时'!$D$7:$D$126,INT((ROW()-7)/4)+1)&amp;""="","",INDEX('01人员工时'!$B$7:$B$126,INT((ROW()-7)/4)+1))</f>
        <v/>
      </c>
      <c r="C215" s="22">
        <f>IF($D215="","",IF(MOD(ROW()-7,4)=0,INDEX('01人员工时'!$C$7:$C$126,INT((ROW()-7)/4)+1),""))</f>
        <v/>
      </c>
      <c r="D215" s="22">
        <f>IF(INDEX('01人员工时'!$D$7:$D$126,INT((ROW()-7)/4)+1)&amp;""="","",INDEX('01人员工时'!$D$7:$D$126,INT((ROW()-7)/4)+1))</f>
        <v/>
      </c>
      <c r="E215" s="22">
        <f>IF($D215="","",INDEX('参数设置'!$K$6:$K$9,MOD(ROW()-7,4)+1))</f>
        <v/>
      </c>
      <c r="F215" s="23">
        <f>IF($D215="","",IF($V215&lt;&gt;"",$V215,IFERROR(INDEX('参数设置'!$D$17:$G$26,MATCH($D215,'参数设置'!$C$17:$C$26,0),MATCH($E215,'参数设置'!$D$16:$G$16,0)),0)))</f>
        <v/>
      </c>
      <c r="G215" s="24">
        <f>IF($D215="","",INDEX('01人员工时'!$E$7:$E$126,INT((ROW()-7)/4)+1))</f>
        <v/>
      </c>
      <c r="H215" s="24">
        <f>IF($D215="","",INDEX('01人员工时'!$O$7:$O$126,INT((ROW()-7)/4)+1))</f>
        <v/>
      </c>
      <c r="I215" s="20">
        <f>IF(OR($D215="",$G215=0),"",$H215/$G215)</f>
        <v/>
      </c>
      <c r="J215" s="12">
        <f>IF($D215="","",ROUND($F215,2)-$S215)</f>
        <v/>
      </c>
      <c r="K215" s="12">
        <f>IF(OR($D215="",$G215=0),"",ROUND($F215*INDEX('01人员工时'!G$7:G$126,INT((ROW()-7)/4)+1)/$G215,2))</f>
        <v/>
      </c>
      <c r="L215" s="12">
        <f>IF(OR($D215="",$G215=0),"",ROUND($F215*INDEX('01人员工时'!H$7:H$126,INT((ROW()-7)/4)+1)/$G215,2))</f>
        <v/>
      </c>
      <c r="M215" s="12">
        <f>IF(OR($D215="",$G215=0),"",ROUND($F215*INDEX('01人员工时'!I$7:I$126,INT((ROW()-7)/4)+1)/$G215,2))</f>
        <v/>
      </c>
      <c r="N215" s="12">
        <f>IF(OR($D215="",$G215=0),"",ROUND($F215*INDEX('01人员工时'!J$7:J$126,INT((ROW()-7)/4)+1)/$G215,2))</f>
        <v/>
      </c>
      <c r="O215" s="12">
        <f>IF(OR($D215="",$G215=0),"",ROUND($F215*INDEX('01人员工时'!K$7:K$126,INT((ROW()-7)/4)+1)/$G215,2))</f>
        <v/>
      </c>
      <c r="P215" s="12">
        <f>IF(OR($D215="",$G215=0),"",ROUND($F215*INDEX('01人员工时'!L$7:L$126,INT((ROW()-7)/4)+1)/$G215,2))</f>
        <v/>
      </c>
      <c r="Q215" s="12">
        <f>IF(OR($D215="",$G215=0),"",ROUND($F215*INDEX('01人员工时'!M$7:M$126,INT((ROW()-7)/4)+1)/$G215,2))</f>
        <v/>
      </c>
      <c r="R215" s="12">
        <f>IF(OR($D215="",$G215=0),"",ROUND($F215*INDEX('01人员工时'!N$7:N$126,INT((ROW()-7)/4)+1)/$G215,2))</f>
        <v/>
      </c>
      <c r="S215" s="12">
        <f>IF($D215="","",SUM(K215:R215))</f>
        <v/>
      </c>
      <c r="T215" s="12">
        <f>IF($D215="","",$J215+$S215)</f>
        <v/>
      </c>
      <c r="U215" s="25">
        <f>IF($D215="","",IF($F215=0,"未维护标准",IF(ROUND($T215-$F215,2)=0,"√","差异")))</f>
        <v/>
      </c>
      <c r="V215" s="11" t="n"/>
      <c r="W215" s="9" t="n"/>
    </row>
    <row r="216" ht="18" customHeight="1">
      <c r="B216" s="21">
        <f>IF(INDEX('01人员工时'!$D$7:$D$126,INT((ROW()-7)/4)+1)&amp;""="","",INDEX('01人员工时'!$B$7:$B$126,INT((ROW()-7)/4)+1))</f>
        <v/>
      </c>
      <c r="C216" s="22">
        <f>IF($D216="","",IF(MOD(ROW()-7,4)=0,INDEX('01人员工时'!$C$7:$C$126,INT((ROW()-7)/4)+1),""))</f>
        <v/>
      </c>
      <c r="D216" s="22">
        <f>IF(INDEX('01人员工时'!$D$7:$D$126,INT((ROW()-7)/4)+1)&amp;""="","",INDEX('01人员工时'!$D$7:$D$126,INT((ROW()-7)/4)+1))</f>
        <v/>
      </c>
      <c r="E216" s="22">
        <f>IF($D216="","",INDEX('参数设置'!$K$6:$K$9,MOD(ROW()-7,4)+1))</f>
        <v/>
      </c>
      <c r="F216" s="23">
        <f>IF($D216="","",IF($V216&lt;&gt;"",$V216,IFERROR(INDEX('参数设置'!$D$17:$G$26,MATCH($D216,'参数设置'!$C$17:$C$26,0),MATCH($E216,'参数设置'!$D$16:$G$16,0)),0)))</f>
        <v/>
      </c>
      <c r="G216" s="24">
        <f>IF($D216="","",INDEX('01人员工时'!$E$7:$E$126,INT((ROW()-7)/4)+1))</f>
        <v/>
      </c>
      <c r="H216" s="24">
        <f>IF($D216="","",INDEX('01人员工时'!$O$7:$O$126,INT((ROW()-7)/4)+1))</f>
        <v/>
      </c>
      <c r="I216" s="20">
        <f>IF(OR($D216="",$G216=0),"",$H216/$G216)</f>
        <v/>
      </c>
      <c r="J216" s="12">
        <f>IF($D216="","",ROUND($F216,2)-$S216)</f>
        <v/>
      </c>
      <c r="K216" s="12">
        <f>IF(OR($D216="",$G216=0),"",ROUND($F216*INDEX('01人员工时'!G$7:G$126,INT((ROW()-7)/4)+1)/$G216,2))</f>
        <v/>
      </c>
      <c r="L216" s="12">
        <f>IF(OR($D216="",$G216=0),"",ROUND($F216*INDEX('01人员工时'!H$7:H$126,INT((ROW()-7)/4)+1)/$G216,2))</f>
        <v/>
      </c>
      <c r="M216" s="12">
        <f>IF(OR($D216="",$G216=0),"",ROUND($F216*INDEX('01人员工时'!I$7:I$126,INT((ROW()-7)/4)+1)/$G216,2))</f>
        <v/>
      </c>
      <c r="N216" s="12">
        <f>IF(OR($D216="",$G216=0),"",ROUND($F216*INDEX('01人员工时'!J$7:J$126,INT((ROW()-7)/4)+1)/$G216,2))</f>
        <v/>
      </c>
      <c r="O216" s="12">
        <f>IF(OR($D216="",$G216=0),"",ROUND($F216*INDEX('01人员工时'!K$7:K$126,INT((ROW()-7)/4)+1)/$G216,2))</f>
        <v/>
      </c>
      <c r="P216" s="12">
        <f>IF(OR($D216="",$G216=0),"",ROUND($F216*INDEX('01人员工时'!L$7:L$126,INT((ROW()-7)/4)+1)/$G216,2))</f>
        <v/>
      </c>
      <c r="Q216" s="12">
        <f>IF(OR($D216="",$G216=0),"",ROUND($F216*INDEX('01人员工时'!M$7:M$126,INT((ROW()-7)/4)+1)/$G216,2))</f>
        <v/>
      </c>
      <c r="R216" s="12">
        <f>IF(OR($D216="",$G216=0),"",ROUND($F216*INDEX('01人员工时'!N$7:N$126,INT((ROW()-7)/4)+1)/$G216,2))</f>
        <v/>
      </c>
      <c r="S216" s="12">
        <f>IF($D216="","",SUM(K216:R216))</f>
        <v/>
      </c>
      <c r="T216" s="12">
        <f>IF($D216="","",$J216+$S216)</f>
        <v/>
      </c>
      <c r="U216" s="25">
        <f>IF($D216="","",IF($F216=0,"未维护标准",IF(ROUND($T216-$F216,2)=0,"√","差异")))</f>
        <v/>
      </c>
      <c r="V216" s="11" t="n"/>
      <c r="W216" s="9" t="n"/>
    </row>
    <row r="217" ht="18" customHeight="1">
      <c r="B217" s="21">
        <f>IF(INDEX('01人员工时'!$D$7:$D$126,INT((ROW()-7)/4)+1)&amp;""="","",INDEX('01人员工时'!$B$7:$B$126,INT((ROW()-7)/4)+1))</f>
        <v/>
      </c>
      <c r="C217" s="22">
        <f>IF($D217="","",IF(MOD(ROW()-7,4)=0,INDEX('01人员工时'!$C$7:$C$126,INT((ROW()-7)/4)+1),""))</f>
        <v/>
      </c>
      <c r="D217" s="22">
        <f>IF(INDEX('01人员工时'!$D$7:$D$126,INT((ROW()-7)/4)+1)&amp;""="","",INDEX('01人员工时'!$D$7:$D$126,INT((ROW()-7)/4)+1))</f>
        <v/>
      </c>
      <c r="E217" s="22">
        <f>IF($D217="","",INDEX('参数设置'!$K$6:$K$9,MOD(ROW()-7,4)+1))</f>
        <v/>
      </c>
      <c r="F217" s="23">
        <f>IF($D217="","",IF($V217&lt;&gt;"",$V217,IFERROR(INDEX('参数设置'!$D$17:$G$26,MATCH($D217,'参数设置'!$C$17:$C$26,0),MATCH($E217,'参数设置'!$D$16:$G$16,0)),0)))</f>
        <v/>
      </c>
      <c r="G217" s="24">
        <f>IF($D217="","",INDEX('01人员工时'!$E$7:$E$126,INT((ROW()-7)/4)+1))</f>
        <v/>
      </c>
      <c r="H217" s="24">
        <f>IF($D217="","",INDEX('01人员工时'!$O$7:$O$126,INT((ROW()-7)/4)+1))</f>
        <v/>
      </c>
      <c r="I217" s="20">
        <f>IF(OR($D217="",$G217=0),"",$H217/$G217)</f>
        <v/>
      </c>
      <c r="J217" s="12">
        <f>IF($D217="","",ROUND($F217,2)-$S217)</f>
        <v/>
      </c>
      <c r="K217" s="12">
        <f>IF(OR($D217="",$G217=0),"",ROUND($F217*INDEX('01人员工时'!G$7:G$126,INT((ROW()-7)/4)+1)/$G217,2))</f>
        <v/>
      </c>
      <c r="L217" s="12">
        <f>IF(OR($D217="",$G217=0),"",ROUND($F217*INDEX('01人员工时'!H$7:H$126,INT((ROW()-7)/4)+1)/$G217,2))</f>
        <v/>
      </c>
      <c r="M217" s="12">
        <f>IF(OR($D217="",$G217=0),"",ROUND($F217*INDEX('01人员工时'!I$7:I$126,INT((ROW()-7)/4)+1)/$G217,2))</f>
        <v/>
      </c>
      <c r="N217" s="12">
        <f>IF(OR($D217="",$G217=0),"",ROUND($F217*INDEX('01人员工时'!J$7:J$126,INT((ROW()-7)/4)+1)/$G217,2))</f>
        <v/>
      </c>
      <c r="O217" s="12">
        <f>IF(OR($D217="",$G217=0),"",ROUND($F217*INDEX('01人员工时'!K$7:K$126,INT((ROW()-7)/4)+1)/$G217,2))</f>
        <v/>
      </c>
      <c r="P217" s="12">
        <f>IF(OR($D217="",$G217=0),"",ROUND($F217*INDEX('01人员工时'!L$7:L$126,INT((ROW()-7)/4)+1)/$G217,2))</f>
        <v/>
      </c>
      <c r="Q217" s="12">
        <f>IF(OR($D217="",$G217=0),"",ROUND($F217*INDEX('01人员工时'!M$7:M$126,INT((ROW()-7)/4)+1)/$G217,2))</f>
        <v/>
      </c>
      <c r="R217" s="12">
        <f>IF(OR($D217="",$G217=0),"",ROUND($F217*INDEX('01人员工时'!N$7:N$126,INT((ROW()-7)/4)+1)/$G217,2))</f>
        <v/>
      </c>
      <c r="S217" s="12">
        <f>IF($D217="","",SUM(K217:R217))</f>
        <v/>
      </c>
      <c r="T217" s="12">
        <f>IF($D217="","",$J217+$S217)</f>
        <v/>
      </c>
      <c r="U217" s="25">
        <f>IF($D217="","",IF($F217=0,"未维护标准",IF(ROUND($T217-$F217,2)=0,"√","差异")))</f>
        <v/>
      </c>
      <c r="V217" s="11" t="n"/>
      <c r="W217" s="9" t="n"/>
    </row>
    <row r="218" ht="18" customHeight="1">
      <c r="B218" s="26">
        <f>IF(INDEX('01人员工时'!$D$7:$D$126,INT((ROW()-7)/4)+1)&amp;""="","",INDEX('01人员工时'!$B$7:$B$126,INT((ROW()-7)/4)+1))</f>
        <v/>
      </c>
      <c r="C218" s="27">
        <f>IF($D218="","",IF(MOD(ROW()-7,4)=0,INDEX('01人员工时'!$C$7:$C$126,INT((ROW()-7)/4)+1),""))</f>
        <v/>
      </c>
      <c r="D218" s="27">
        <f>IF(INDEX('01人员工时'!$D$7:$D$126,INT((ROW()-7)/4)+1)&amp;""="","",INDEX('01人员工时'!$D$7:$D$126,INT((ROW()-7)/4)+1))</f>
        <v/>
      </c>
      <c r="E218" s="27">
        <f>IF($D218="","",INDEX('参数设置'!$K$6:$K$9,MOD(ROW()-7,4)+1))</f>
        <v/>
      </c>
      <c r="F218" s="28">
        <f>IF($D218="","",IF($V218&lt;&gt;"",$V218,IFERROR(INDEX('参数设置'!$D$17:$G$26,MATCH($D218,'参数设置'!$C$17:$C$26,0),MATCH($E218,'参数设置'!$D$16:$G$16,0)),0)))</f>
        <v/>
      </c>
      <c r="G218" s="29">
        <f>IF($D218="","",INDEX('01人员工时'!$E$7:$E$126,INT((ROW()-7)/4)+1))</f>
        <v/>
      </c>
      <c r="H218" s="29">
        <f>IF($D218="","",INDEX('01人员工时'!$O$7:$O$126,INT((ROW()-7)/4)+1))</f>
        <v/>
      </c>
      <c r="I218" s="30">
        <f>IF(OR($D218="",$G218=0),"",$H218/$G218)</f>
        <v/>
      </c>
      <c r="J218" s="31">
        <f>IF($D218="","",ROUND($F218,2)-$S218)</f>
        <v/>
      </c>
      <c r="K218" s="31">
        <f>IF(OR($D218="",$G218=0),"",ROUND($F218*INDEX('01人员工时'!G$7:G$126,INT((ROW()-7)/4)+1)/$G218,2))</f>
        <v/>
      </c>
      <c r="L218" s="31">
        <f>IF(OR($D218="",$G218=0),"",ROUND($F218*INDEX('01人员工时'!H$7:H$126,INT((ROW()-7)/4)+1)/$G218,2))</f>
        <v/>
      </c>
      <c r="M218" s="31">
        <f>IF(OR($D218="",$G218=0),"",ROUND($F218*INDEX('01人员工时'!I$7:I$126,INT((ROW()-7)/4)+1)/$G218,2))</f>
        <v/>
      </c>
      <c r="N218" s="31">
        <f>IF(OR($D218="",$G218=0),"",ROUND($F218*INDEX('01人员工时'!J$7:J$126,INT((ROW()-7)/4)+1)/$G218,2))</f>
        <v/>
      </c>
      <c r="O218" s="31">
        <f>IF(OR($D218="",$G218=0),"",ROUND($F218*INDEX('01人员工时'!K$7:K$126,INT((ROW()-7)/4)+1)/$G218,2))</f>
        <v/>
      </c>
      <c r="P218" s="31">
        <f>IF(OR($D218="",$G218=0),"",ROUND($F218*INDEX('01人员工时'!L$7:L$126,INT((ROW()-7)/4)+1)/$G218,2))</f>
        <v/>
      </c>
      <c r="Q218" s="31">
        <f>IF(OR($D218="",$G218=0),"",ROUND($F218*INDEX('01人员工时'!M$7:M$126,INT((ROW()-7)/4)+1)/$G218,2))</f>
        <v/>
      </c>
      <c r="R218" s="31">
        <f>IF(OR($D218="",$G218=0),"",ROUND($F218*INDEX('01人员工时'!N$7:N$126,INT((ROW()-7)/4)+1)/$G218,2))</f>
        <v/>
      </c>
      <c r="S218" s="31">
        <f>IF($D218="","",SUM(K218:R218))</f>
        <v/>
      </c>
      <c r="T218" s="31">
        <f>IF($D218="","",$J218+$S218)</f>
        <v/>
      </c>
      <c r="U218" s="32">
        <f>IF($D218="","",IF($F218=0,"未维护标准",IF(ROUND($T218-$F218,2)=0,"√","差异")))</f>
        <v/>
      </c>
      <c r="V218" s="33" t="n"/>
      <c r="W218" s="34" t="n"/>
    </row>
    <row r="219" ht="18" customHeight="1">
      <c r="B219" s="21">
        <f>IF(INDEX('01人员工时'!$D$7:$D$126,INT((ROW()-7)/4)+1)&amp;""="","",INDEX('01人员工时'!$B$7:$B$126,INT((ROW()-7)/4)+1))</f>
        <v/>
      </c>
      <c r="C219" s="22">
        <f>IF($D219="","",IF(MOD(ROW()-7,4)=0,INDEX('01人员工时'!$C$7:$C$126,INT((ROW()-7)/4)+1),""))</f>
        <v/>
      </c>
      <c r="D219" s="22">
        <f>IF(INDEX('01人员工时'!$D$7:$D$126,INT((ROW()-7)/4)+1)&amp;""="","",INDEX('01人员工时'!$D$7:$D$126,INT((ROW()-7)/4)+1))</f>
        <v/>
      </c>
      <c r="E219" s="22">
        <f>IF($D219="","",INDEX('参数设置'!$K$6:$K$9,MOD(ROW()-7,4)+1))</f>
        <v/>
      </c>
      <c r="F219" s="23">
        <f>IF($D219="","",IF($V219&lt;&gt;"",$V219,IFERROR(INDEX('参数设置'!$D$17:$G$26,MATCH($D219,'参数设置'!$C$17:$C$26,0),MATCH($E219,'参数设置'!$D$16:$G$16,0)),0)))</f>
        <v/>
      </c>
      <c r="G219" s="24">
        <f>IF($D219="","",INDEX('01人员工时'!$E$7:$E$126,INT((ROW()-7)/4)+1))</f>
        <v/>
      </c>
      <c r="H219" s="24">
        <f>IF($D219="","",INDEX('01人员工时'!$O$7:$O$126,INT((ROW()-7)/4)+1))</f>
        <v/>
      </c>
      <c r="I219" s="20">
        <f>IF(OR($D219="",$G219=0),"",$H219/$G219)</f>
        <v/>
      </c>
      <c r="J219" s="12">
        <f>IF($D219="","",ROUND($F219,2)-$S219)</f>
        <v/>
      </c>
      <c r="K219" s="12">
        <f>IF(OR($D219="",$G219=0),"",ROUND($F219*INDEX('01人员工时'!G$7:G$126,INT((ROW()-7)/4)+1)/$G219,2))</f>
        <v/>
      </c>
      <c r="L219" s="12">
        <f>IF(OR($D219="",$G219=0),"",ROUND($F219*INDEX('01人员工时'!H$7:H$126,INT((ROW()-7)/4)+1)/$G219,2))</f>
        <v/>
      </c>
      <c r="M219" s="12">
        <f>IF(OR($D219="",$G219=0),"",ROUND($F219*INDEX('01人员工时'!I$7:I$126,INT((ROW()-7)/4)+1)/$G219,2))</f>
        <v/>
      </c>
      <c r="N219" s="12">
        <f>IF(OR($D219="",$G219=0),"",ROUND($F219*INDEX('01人员工时'!J$7:J$126,INT((ROW()-7)/4)+1)/$G219,2))</f>
        <v/>
      </c>
      <c r="O219" s="12">
        <f>IF(OR($D219="",$G219=0),"",ROUND($F219*INDEX('01人员工时'!K$7:K$126,INT((ROW()-7)/4)+1)/$G219,2))</f>
        <v/>
      </c>
      <c r="P219" s="12">
        <f>IF(OR($D219="",$G219=0),"",ROUND($F219*INDEX('01人员工时'!L$7:L$126,INT((ROW()-7)/4)+1)/$G219,2))</f>
        <v/>
      </c>
      <c r="Q219" s="12">
        <f>IF(OR($D219="",$G219=0),"",ROUND($F219*INDEX('01人员工时'!M$7:M$126,INT((ROW()-7)/4)+1)/$G219,2))</f>
        <v/>
      </c>
      <c r="R219" s="12">
        <f>IF(OR($D219="",$G219=0),"",ROUND($F219*INDEX('01人员工时'!N$7:N$126,INT((ROW()-7)/4)+1)/$G219,2))</f>
        <v/>
      </c>
      <c r="S219" s="12">
        <f>IF($D219="","",SUM(K219:R219))</f>
        <v/>
      </c>
      <c r="T219" s="12">
        <f>IF($D219="","",$J219+$S219)</f>
        <v/>
      </c>
      <c r="U219" s="25">
        <f>IF($D219="","",IF($F219=0,"未维护标准",IF(ROUND($T219-$F219,2)=0,"√","差异")))</f>
        <v/>
      </c>
      <c r="V219" s="11" t="n"/>
      <c r="W219" s="9" t="n"/>
    </row>
    <row r="220" ht="18" customHeight="1">
      <c r="B220" s="21">
        <f>IF(INDEX('01人员工时'!$D$7:$D$126,INT((ROW()-7)/4)+1)&amp;""="","",INDEX('01人员工时'!$B$7:$B$126,INT((ROW()-7)/4)+1))</f>
        <v/>
      </c>
      <c r="C220" s="22">
        <f>IF($D220="","",IF(MOD(ROW()-7,4)=0,INDEX('01人员工时'!$C$7:$C$126,INT((ROW()-7)/4)+1),""))</f>
        <v/>
      </c>
      <c r="D220" s="22">
        <f>IF(INDEX('01人员工时'!$D$7:$D$126,INT((ROW()-7)/4)+1)&amp;""="","",INDEX('01人员工时'!$D$7:$D$126,INT((ROW()-7)/4)+1))</f>
        <v/>
      </c>
      <c r="E220" s="22">
        <f>IF($D220="","",INDEX('参数设置'!$K$6:$K$9,MOD(ROW()-7,4)+1))</f>
        <v/>
      </c>
      <c r="F220" s="23">
        <f>IF($D220="","",IF($V220&lt;&gt;"",$V220,IFERROR(INDEX('参数设置'!$D$17:$G$26,MATCH($D220,'参数设置'!$C$17:$C$26,0),MATCH($E220,'参数设置'!$D$16:$G$16,0)),0)))</f>
        <v/>
      </c>
      <c r="G220" s="24">
        <f>IF($D220="","",INDEX('01人员工时'!$E$7:$E$126,INT((ROW()-7)/4)+1))</f>
        <v/>
      </c>
      <c r="H220" s="24">
        <f>IF($D220="","",INDEX('01人员工时'!$O$7:$O$126,INT((ROW()-7)/4)+1))</f>
        <v/>
      </c>
      <c r="I220" s="20">
        <f>IF(OR($D220="",$G220=0),"",$H220/$G220)</f>
        <v/>
      </c>
      <c r="J220" s="12">
        <f>IF($D220="","",ROUND($F220,2)-$S220)</f>
        <v/>
      </c>
      <c r="K220" s="12">
        <f>IF(OR($D220="",$G220=0),"",ROUND($F220*INDEX('01人员工时'!G$7:G$126,INT((ROW()-7)/4)+1)/$G220,2))</f>
        <v/>
      </c>
      <c r="L220" s="12">
        <f>IF(OR($D220="",$G220=0),"",ROUND($F220*INDEX('01人员工时'!H$7:H$126,INT((ROW()-7)/4)+1)/$G220,2))</f>
        <v/>
      </c>
      <c r="M220" s="12">
        <f>IF(OR($D220="",$G220=0),"",ROUND($F220*INDEX('01人员工时'!I$7:I$126,INT((ROW()-7)/4)+1)/$G220,2))</f>
        <v/>
      </c>
      <c r="N220" s="12">
        <f>IF(OR($D220="",$G220=0),"",ROUND($F220*INDEX('01人员工时'!J$7:J$126,INT((ROW()-7)/4)+1)/$G220,2))</f>
        <v/>
      </c>
      <c r="O220" s="12">
        <f>IF(OR($D220="",$G220=0),"",ROUND($F220*INDEX('01人员工时'!K$7:K$126,INT((ROW()-7)/4)+1)/$G220,2))</f>
        <v/>
      </c>
      <c r="P220" s="12">
        <f>IF(OR($D220="",$G220=0),"",ROUND($F220*INDEX('01人员工时'!L$7:L$126,INT((ROW()-7)/4)+1)/$G220,2))</f>
        <v/>
      </c>
      <c r="Q220" s="12">
        <f>IF(OR($D220="",$G220=0),"",ROUND($F220*INDEX('01人员工时'!M$7:M$126,INT((ROW()-7)/4)+1)/$G220,2))</f>
        <v/>
      </c>
      <c r="R220" s="12">
        <f>IF(OR($D220="",$G220=0),"",ROUND($F220*INDEX('01人员工时'!N$7:N$126,INT((ROW()-7)/4)+1)/$G220,2))</f>
        <v/>
      </c>
      <c r="S220" s="12">
        <f>IF($D220="","",SUM(K220:R220))</f>
        <v/>
      </c>
      <c r="T220" s="12">
        <f>IF($D220="","",$J220+$S220)</f>
        <v/>
      </c>
      <c r="U220" s="25">
        <f>IF($D220="","",IF($F220=0,"未维护标准",IF(ROUND($T220-$F220,2)=0,"√","差异")))</f>
        <v/>
      </c>
      <c r="V220" s="11" t="n"/>
      <c r="W220" s="9" t="n"/>
    </row>
    <row r="221" ht="18" customHeight="1">
      <c r="B221" s="21">
        <f>IF(INDEX('01人员工时'!$D$7:$D$126,INT((ROW()-7)/4)+1)&amp;""="","",INDEX('01人员工时'!$B$7:$B$126,INT((ROW()-7)/4)+1))</f>
        <v/>
      </c>
      <c r="C221" s="22">
        <f>IF($D221="","",IF(MOD(ROW()-7,4)=0,INDEX('01人员工时'!$C$7:$C$126,INT((ROW()-7)/4)+1),""))</f>
        <v/>
      </c>
      <c r="D221" s="22">
        <f>IF(INDEX('01人员工时'!$D$7:$D$126,INT((ROW()-7)/4)+1)&amp;""="","",INDEX('01人员工时'!$D$7:$D$126,INT((ROW()-7)/4)+1))</f>
        <v/>
      </c>
      <c r="E221" s="22">
        <f>IF($D221="","",INDEX('参数设置'!$K$6:$K$9,MOD(ROW()-7,4)+1))</f>
        <v/>
      </c>
      <c r="F221" s="23">
        <f>IF($D221="","",IF($V221&lt;&gt;"",$V221,IFERROR(INDEX('参数设置'!$D$17:$G$26,MATCH($D221,'参数设置'!$C$17:$C$26,0),MATCH($E221,'参数设置'!$D$16:$G$16,0)),0)))</f>
        <v/>
      </c>
      <c r="G221" s="24">
        <f>IF($D221="","",INDEX('01人员工时'!$E$7:$E$126,INT((ROW()-7)/4)+1))</f>
        <v/>
      </c>
      <c r="H221" s="24">
        <f>IF($D221="","",INDEX('01人员工时'!$O$7:$O$126,INT((ROW()-7)/4)+1))</f>
        <v/>
      </c>
      <c r="I221" s="20">
        <f>IF(OR($D221="",$G221=0),"",$H221/$G221)</f>
        <v/>
      </c>
      <c r="J221" s="12">
        <f>IF($D221="","",ROUND($F221,2)-$S221)</f>
        <v/>
      </c>
      <c r="K221" s="12">
        <f>IF(OR($D221="",$G221=0),"",ROUND($F221*INDEX('01人员工时'!G$7:G$126,INT((ROW()-7)/4)+1)/$G221,2))</f>
        <v/>
      </c>
      <c r="L221" s="12">
        <f>IF(OR($D221="",$G221=0),"",ROUND($F221*INDEX('01人员工时'!H$7:H$126,INT((ROW()-7)/4)+1)/$G221,2))</f>
        <v/>
      </c>
      <c r="M221" s="12">
        <f>IF(OR($D221="",$G221=0),"",ROUND($F221*INDEX('01人员工时'!I$7:I$126,INT((ROW()-7)/4)+1)/$G221,2))</f>
        <v/>
      </c>
      <c r="N221" s="12">
        <f>IF(OR($D221="",$G221=0),"",ROUND($F221*INDEX('01人员工时'!J$7:J$126,INT((ROW()-7)/4)+1)/$G221,2))</f>
        <v/>
      </c>
      <c r="O221" s="12">
        <f>IF(OR($D221="",$G221=0),"",ROUND($F221*INDEX('01人员工时'!K$7:K$126,INT((ROW()-7)/4)+1)/$G221,2))</f>
        <v/>
      </c>
      <c r="P221" s="12">
        <f>IF(OR($D221="",$G221=0),"",ROUND($F221*INDEX('01人员工时'!L$7:L$126,INT((ROW()-7)/4)+1)/$G221,2))</f>
        <v/>
      </c>
      <c r="Q221" s="12">
        <f>IF(OR($D221="",$G221=0),"",ROUND($F221*INDEX('01人员工时'!M$7:M$126,INT((ROW()-7)/4)+1)/$G221,2))</f>
        <v/>
      </c>
      <c r="R221" s="12">
        <f>IF(OR($D221="",$G221=0),"",ROUND($F221*INDEX('01人员工时'!N$7:N$126,INT((ROW()-7)/4)+1)/$G221,2))</f>
        <v/>
      </c>
      <c r="S221" s="12">
        <f>IF($D221="","",SUM(K221:R221))</f>
        <v/>
      </c>
      <c r="T221" s="12">
        <f>IF($D221="","",$J221+$S221)</f>
        <v/>
      </c>
      <c r="U221" s="25">
        <f>IF($D221="","",IF($F221=0,"未维护标准",IF(ROUND($T221-$F221,2)=0,"√","差异")))</f>
        <v/>
      </c>
      <c r="V221" s="11" t="n"/>
      <c r="W221" s="9" t="n"/>
    </row>
    <row r="222" ht="18" customHeight="1">
      <c r="B222" s="26">
        <f>IF(INDEX('01人员工时'!$D$7:$D$126,INT((ROW()-7)/4)+1)&amp;""="","",INDEX('01人员工时'!$B$7:$B$126,INT((ROW()-7)/4)+1))</f>
        <v/>
      </c>
      <c r="C222" s="27">
        <f>IF($D222="","",IF(MOD(ROW()-7,4)=0,INDEX('01人员工时'!$C$7:$C$126,INT((ROW()-7)/4)+1),""))</f>
        <v/>
      </c>
      <c r="D222" s="27">
        <f>IF(INDEX('01人员工时'!$D$7:$D$126,INT((ROW()-7)/4)+1)&amp;""="","",INDEX('01人员工时'!$D$7:$D$126,INT((ROW()-7)/4)+1))</f>
        <v/>
      </c>
      <c r="E222" s="27">
        <f>IF($D222="","",INDEX('参数设置'!$K$6:$K$9,MOD(ROW()-7,4)+1))</f>
        <v/>
      </c>
      <c r="F222" s="28">
        <f>IF($D222="","",IF($V222&lt;&gt;"",$V222,IFERROR(INDEX('参数设置'!$D$17:$G$26,MATCH($D222,'参数设置'!$C$17:$C$26,0),MATCH($E222,'参数设置'!$D$16:$G$16,0)),0)))</f>
        <v/>
      </c>
      <c r="G222" s="29">
        <f>IF($D222="","",INDEX('01人员工时'!$E$7:$E$126,INT((ROW()-7)/4)+1))</f>
        <v/>
      </c>
      <c r="H222" s="29">
        <f>IF($D222="","",INDEX('01人员工时'!$O$7:$O$126,INT((ROW()-7)/4)+1))</f>
        <v/>
      </c>
      <c r="I222" s="30">
        <f>IF(OR($D222="",$G222=0),"",$H222/$G222)</f>
        <v/>
      </c>
      <c r="J222" s="31">
        <f>IF($D222="","",ROUND($F222,2)-$S222)</f>
        <v/>
      </c>
      <c r="K222" s="31">
        <f>IF(OR($D222="",$G222=0),"",ROUND($F222*INDEX('01人员工时'!G$7:G$126,INT((ROW()-7)/4)+1)/$G222,2))</f>
        <v/>
      </c>
      <c r="L222" s="31">
        <f>IF(OR($D222="",$G222=0),"",ROUND($F222*INDEX('01人员工时'!H$7:H$126,INT((ROW()-7)/4)+1)/$G222,2))</f>
        <v/>
      </c>
      <c r="M222" s="31">
        <f>IF(OR($D222="",$G222=0),"",ROUND($F222*INDEX('01人员工时'!I$7:I$126,INT((ROW()-7)/4)+1)/$G222,2))</f>
        <v/>
      </c>
      <c r="N222" s="31">
        <f>IF(OR($D222="",$G222=0),"",ROUND($F222*INDEX('01人员工时'!J$7:J$126,INT((ROW()-7)/4)+1)/$G222,2))</f>
        <v/>
      </c>
      <c r="O222" s="31">
        <f>IF(OR($D222="",$G222=0),"",ROUND($F222*INDEX('01人员工时'!K$7:K$126,INT((ROW()-7)/4)+1)/$G222,2))</f>
        <v/>
      </c>
      <c r="P222" s="31">
        <f>IF(OR($D222="",$G222=0),"",ROUND($F222*INDEX('01人员工时'!L$7:L$126,INT((ROW()-7)/4)+1)/$G222,2))</f>
        <v/>
      </c>
      <c r="Q222" s="31">
        <f>IF(OR($D222="",$G222=0),"",ROUND($F222*INDEX('01人员工时'!M$7:M$126,INT((ROW()-7)/4)+1)/$G222,2))</f>
        <v/>
      </c>
      <c r="R222" s="31">
        <f>IF(OR($D222="",$G222=0),"",ROUND($F222*INDEX('01人员工时'!N$7:N$126,INT((ROW()-7)/4)+1)/$G222,2))</f>
        <v/>
      </c>
      <c r="S222" s="31">
        <f>IF($D222="","",SUM(K222:R222))</f>
        <v/>
      </c>
      <c r="T222" s="31">
        <f>IF($D222="","",$J222+$S222)</f>
        <v/>
      </c>
      <c r="U222" s="32">
        <f>IF($D222="","",IF($F222=0,"未维护标准",IF(ROUND($T222-$F222,2)=0,"√","差异")))</f>
        <v/>
      </c>
      <c r="V222" s="33" t="n"/>
      <c r="W222" s="34" t="n"/>
    </row>
    <row r="223" ht="18" customHeight="1">
      <c r="B223" s="21">
        <f>IF(INDEX('01人员工时'!$D$7:$D$126,INT((ROW()-7)/4)+1)&amp;""="","",INDEX('01人员工时'!$B$7:$B$126,INT((ROW()-7)/4)+1))</f>
        <v/>
      </c>
      <c r="C223" s="22">
        <f>IF($D223="","",IF(MOD(ROW()-7,4)=0,INDEX('01人员工时'!$C$7:$C$126,INT((ROW()-7)/4)+1),""))</f>
        <v/>
      </c>
      <c r="D223" s="22">
        <f>IF(INDEX('01人员工时'!$D$7:$D$126,INT((ROW()-7)/4)+1)&amp;""="","",INDEX('01人员工时'!$D$7:$D$126,INT((ROW()-7)/4)+1))</f>
        <v/>
      </c>
      <c r="E223" s="22">
        <f>IF($D223="","",INDEX('参数设置'!$K$6:$K$9,MOD(ROW()-7,4)+1))</f>
        <v/>
      </c>
      <c r="F223" s="23">
        <f>IF($D223="","",IF($V223&lt;&gt;"",$V223,IFERROR(INDEX('参数设置'!$D$17:$G$26,MATCH($D223,'参数设置'!$C$17:$C$26,0),MATCH($E223,'参数设置'!$D$16:$G$16,0)),0)))</f>
        <v/>
      </c>
      <c r="G223" s="24">
        <f>IF($D223="","",INDEX('01人员工时'!$E$7:$E$126,INT((ROW()-7)/4)+1))</f>
        <v/>
      </c>
      <c r="H223" s="24">
        <f>IF($D223="","",INDEX('01人员工时'!$O$7:$O$126,INT((ROW()-7)/4)+1))</f>
        <v/>
      </c>
      <c r="I223" s="20">
        <f>IF(OR($D223="",$G223=0),"",$H223/$G223)</f>
        <v/>
      </c>
      <c r="J223" s="12">
        <f>IF($D223="","",ROUND($F223,2)-$S223)</f>
        <v/>
      </c>
      <c r="K223" s="12">
        <f>IF(OR($D223="",$G223=0),"",ROUND($F223*INDEX('01人员工时'!G$7:G$126,INT((ROW()-7)/4)+1)/$G223,2))</f>
        <v/>
      </c>
      <c r="L223" s="12">
        <f>IF(OR($D223="",$G223=0),"",ROUND($F223*INDEX('01人员工时'!H$7:H$126,INT((ROW()-7)/4)+1)/$G223,2))</f>
        <v/>
      </c>
      <c r="M223" s="12">
        <f>IF(OR($D223="",$G223=0),"",ROUND($F223*INDEX('01人员工时'!I$7:I$126,INT((ROW()-7)/4)+1)/$G223,2))</f>
        <v/>
      </c>
      <c r="N223" s="12">
        <f>IF(OR($D223="",$G223=0),"",ROUND($F223*INDEX('01人员工时'!J$7:J$126,INT((ROW()-7)/4)+1)/$G223,2))</f>
        <v/>
      </c>
      <c r="O223" s="12">
        <f>IF(OR($D223="",$G223=0),"",ROUND($F223*INDEX('01人员工时'!K$7:K$126,INT((ROW()-7)/4)+1)/$G223,2))</f>
        <v/>
      </c>
      <c r="P223" s="12">
        <f>IF(OR($D223="",$G223=0),"",ROUND($F223*INDEX('01人员工时'!L$7:L$126,INT((ROW()-7)/4)+1)/$G223,2))</f>
        <v/>
      </c>
      <c r="Q223" s="12">
        <f>IF(OR($D223="",$G223=0),"",ROUND($F223*INDEX('01人员工时'!M$7:M$126,INT((ROW()-7)/4)+1)/$G223,2))</f>
        <v/>
      </c>
      <c r="R223" s="12">
        <f>IF(OR($D223="",$G223=0),"",ROUND($F223*INDEX('01人员工时'!N$7:N$126,INT((ROW()-7)/4)+1)/$G223,2))</f>
        <v/>
      </c>
      <c r="S223" s="12">
        <f>IF($D223="","",SUM(K223:R223))</f>
        <v/>
      </c>
      <c r="T223" s="12">
        <f>IF($D223="","",$J223+$S223)</f>
        <v/>
      </c>
      <c r="U223" s="25">
        <f>IF($D223="","",IF($F223=0,"未维护标准",IF(ROUND($T223-$F223,2)=0,"√","差异")))</f>
        <v/>
      </c>
      <c r="V223" s="11" t="n"/>
      <c r="W223" s="9" t="n"/>
    </row>
    <row r="224" ht="18" customHeight="1">
      <c r="B224" s="21">
        <f>IF(INDEX('01人员工时'!$D$7:$D$126,INT((ROW()-7)/4)+1)&amp;""="","",INDEX('01人员工时'!$B$7:$B$126,INT((ROW()-7)/4)+1))</f>
        <v/>
      </c>
      <c r="C224" s="22">
        <f>IF($D224="","",IF(MOD(ROW()-7,4)=0,INDEX('01人员工时'!$C$7:$C$126,INT((ROW()-7)/4)+1),""))</f>
        <v/>
      </c>
      <c r="D224" s="22">
        <f>IF(INDEX('01人员工时'!$D$7:$D$126,INT((ROW()-7)/4)+1)&amp;""="","",INDEX('01人员工时'!$D$7:$D$126,INT((ROW()-7)/4)+1))</f>
        <v/>
      </c>
      <c r="E224" s="22">
        <f>IF($D224="","",INDEX('参数设置'!$K$6:$K$9,MOD(ROW()-7,4)+1))</f>
        <v/>
      </c>
      <c r="F224" s="23">
        <f>IF($D224="","",IF($V224&lt;&gt;"",$V224,IFERROR(INDEX('参数设置'!$D$17:$G$26,MATCH($D224,'参数设置'!$C$17:$C$26,0),MATCH($E224,'参数设置'!$D$16:$G$16,0)),0)))</f>
        <v/>
      </c>
      <c r="G224" s="24">
        <f>IF($D224="","",INDEX('01人员工时'!$E$7:$E$126,INT((ROW()-7)/4)+1))</f>
        <v/>
      </c>
      <c r="H224" s="24">
        <f>IF($D224="","",INDEX('01人员工时'!$O$7:$O$126,INT((ROW()-7)/4)+1))</f>
        <v/>
      </c>
      <c r="I224" s="20">
        <f>IF(OR($D224="",$G224=0),"",$H224/$G224)</f>
        <v/>
      </c>
      <c r="J224" s="12">
        <f>IF($D224="","",ROUND($F224,2)-$S224)</f>
        <v/>
      </c>
      <c r="K224" s="12">
        <f>IF(OR($D224="",$G224=0),"",ROUND($F224*INDEX('01人员工时'!G$7:G$126,INT((ROW()-7)/4)+1)/$G224,2))</f>
        <v/>
      </c>
      <c r="L224" s="12">
        <f>IF(OR($D224="",$G224=0),"",ROUND($F224*INDEX('01人员工时'!H$7:H$126,INT((ROW()-7)/4)+1)/$G224,2))</f>
        <v/>
      </c>
      <c r="M224" s="12">
        <f>IF(OR($D224="",$G224=0),"",ROUND($F224*INDEX('01人员工时'!I$7:I$126,INT((ROW()-7)/4)+1)/$G224,2))</f>
        <v/>
      </c>
      <c r="N224" s="12">
        <f>IF(OR($D224="",$G224=0),"",ROUND($F224*INDEX('01人员工时'!J$7:J$126,INT((ROW()-7)/4)+1)/$G224,2))</f>
        <v/>
      </c>
      <c r="O224" s="12">
        <f>IF(OR($D224="",$G224=0),"",ROUND($F224*INDEX('01人员工时'!K$7:K$126,INT((ROW()-7)/4)+1)/$G224,2))</f>
        <v/>
      </c>
      <c r="P224" s="12">
        <f>IF(OR($D224="",$G224=0),"",ROUND($F224*INDEX('01人员工时'!L$7:L$126,INT((ROW()-7)/4)+1)/$G224,2))</f>
        <v/>
      </c>
      <c r="Q224" s="12">
        <f>IF(OR($D224="",$G224=0),"",ROUND($F224*INDEX('01人员工时'!M$7:M$126,INT((ROW()-7)/4)+1)/$G224,2))</f>
        <v/>
      </c>
      <c r="R224" s="12">
        <f>IF(OR($D224="",$G224=0),"",ROUND($F224*INDEX('01人员工时'!N$7:N$126,INT((ROW()-7)/4)+1)/$G224,2))</f>
        <v/>
      </c>
      <c r="S224" s="12">
        <f>IF($D224="","",SUM(K224:R224))</f>
        <v/>
      </c>
      <c r="T224" s="12">
        <f>IF($D224="","",$J224+$S224)</f>
        <v/>
      </c>
      <c r="U224" s="25">
        <f>IF($D224="","",IF($F224=0,"未维护标准",IF(ROUND($T224-$F224,2)=0,"√","差异")))</f>
        <v/>
      </c>
      <c r="V224" s="11" t="n"/>
      <c r="W224" s="9" t="n"/>
    </row>
    <row r="225" ht="18" customHeight="1">
      <c r="B225" s="21">
        <f>IF(INDEX('01人员工时'!$D$7:$D$126,INT((ROW()-7)/4)+1)&amp;""="","",INDEX('01人员工时'!$B$7:$B$126,INT((ROW()-7)/4)+1))</f>
        <v/>
      </c>
      <c r="C225" s="22">
        <f>IF($D225="","",IF(MOD(ROW()-7,4)=0,INDEX('01人员工时'!$C$7:$C$126,INT((ROW()-7)/4)+1),""))</f>
        <v/>
      </c>
      <c r="D225" s="22">
        <f>IF(INDEX('01人员工时'!$D$7:$D$126,INT((ROW()-7)/4)+1)&amp;""="","",INDEX('01人员工时'!$D$7:$D$126,INT((ROW()-7)/4)+1))</f>
        <v/>
      </c>
      <c r="E225" s="22">
        <f>IF($D225="","",INDEX('参数设置'!$K$6:$K$9,MOD(ROW()-7,4)+1))</f>
        <v/>
      </c>
      <c r="F225" s="23">
        <f>IF($D225="","",IF($V225&lt;&gt;"",$V225,IFERROR(INDEX('参数设置'!$D$17:$G$26,MATCH($D225,'参数设置'!$C$17:$C$26,0),MATCH($E225,'参数设置'!$D$16:$G$16,0)),0)))</f>
        <v/>
      </c>
      <c r="G225" s="24">
        <f>IF($D225="","",INDEX('01人员工时'!$E$7:$E$126,INT((ROW()-7)/4)+1))</f>
        <v/>
      </c>
      <c r="H225" s="24">
        <f>IF($D225="","",INDEX('01人员工时'!$O$7:$O$126,INT((ROW()-7)/4)+1))</f>
        <v/>
      </c>
      <c r="I225" s="20">
        <f>IF(OR($D225="",$G225=0),"",$H225/$G225)</f>
        <v/>
      </c>
      <c r="J225" s="12">
        <f>IF($D225="","",ROUND($F225,2)-$S225)</f>
        <v/>
      </c>
      <c r="K225" s="12">
        <f>IF(OR($D225="",$G225=0),"",ROUND($F225*INDEX('01人员工时'!G$7:G$126,INT((ROW()-7)/4)+1)/$G225,2))</f>
        <v/>
      </c>
      <c r="L225" s="12">
        <f>IF(OR($D225="",$G225=0),"",ROUND($F225*INDEX('01人员工时'!H$7:H$126,INT((ROW()-7)/4)+1)/$G225,2))</f>
        <v/>
      </c>
      <c r="M225" s="12">
        <f>IF(OR($D225="",$G225=0),"",ROUND($F225*INDEX('01人员工时'!I$7:I$126,INT((ROW()-7)/4)+1)/$G225,2))</f>
        <v/>
      </c>
      <c r="N225" s="12">
        <f>IF(OR($D225="",$G225=0),"",ROUND($F225*INDEX('01人员工时'!J$7:J$126,INT((ROW()-7)/4)+1)/$G225,2))</f>
        <v/>
      </c>
      <c r="O225" s="12">
        <f>IF(OR($D225="",$G225=0),"",ROUND($F225*INDEX('01人员工时'!K$7:K$126,INT((ROW()-7)/4)+1)/$G225,2))</f>
        <v/>
      </c>
      <c r="P225" s="12">
        <f>IF(OR($D225="",$G225=0),"",ROUND($F225*INDEX('01人员工时'!L$7:L$126,INT((ROW()-7)/4)+1)/$G225,2))</f>
        <v/>
      </c>
      <c r="Q225" s="12">
        <f>IF(OR($D225="",$G225=0),"",ROUND($F225*INDEX('01人员工时'!M$7:M$126,INT((ROW()-7)/4)+1)/$G225,2))</f>
        <v/>
      </c>
      <c r="R225" s="12">
        <f>IF(OR($D225="",$G225=0),"",ROUND($F225*INDEX('01人员工时'!N$7:N$126,INT((ROW()-7)/4)+1)/$G225,2))</f>
        <v/>
      </c>
      <c r="S225" s="12">
        <f>IF($D225="","",SUM(K225:R225))</f>
        <v/>
      </c>
      <c r="T225" s="12">
        <f>IF($D225="","",$J225+$S225)</f>
        <v/>
      </c>
      <c r="U225" s="25">
        <f>IF($D225="","",IF($F225=0,"未维护标准",IF(ROUND($T225-$F225,2)=0,"√","差异")))</f>
        <v/>
      </c>
      <c r="V225" s="11" t="n"/>
      <c r="W225" s="9" t="n"/>
    </row>
    <row r="226" ht="18" customHeight="1">
      <c r="B226" s="26">
        <f>IF(INDEX('01人员工时'!$D$7:$D$126,INT((ROW()-7)/4)+1)&amp;""="","",INDEX('01人员工时'!$B$7:$B$126,INT((ROW()-7)/4)+1))</f>
        <v/>
      </c>
      <c r="C226" s="27">
        <f>IF($D226="","",IF(MOD(ROW()-7,4)=0,INDEX('01人员工时'!$C$7:$C$126,INT((ROW()-7)/4)+1),""))</f>
        <v/>
      </c>
      <c r="D226" s="27">
        <f>IF(INDEX('01人员工时'!$D$7:$D$126,INT((ROW()-7)/4)+1)&amp;""="","",INDEX('01人员工时'!$D$7:$D$126,INT((ROW()-7)/4)+1))</f>
        <v/>
      </c>
      <c r="E226" s="27">
        <f>IF($D226="","",INDEX('参数设置'!$K$6:$K$9,MOD(ROW()-7,4)+1))</f>
        <v/>
      </c>
      <c r="F226" s="28">
        <f>IF($D226="","",IF($V226&lt;&gt;"",$V226,IFERROR(INDEX('参数设置'!$D$17:$G$26,MATCH($D226,'参数设置'!$C$17:$C$26,0),MATCH($E226,'参数设置'!$D$16:$G$16,0)),0)))</f>
        <v/>
      </c>
      <c r="G226" s="29">
        <f>IF($D226="","",INDEX('01人员工时'!$E$7:$E$126,INT((ROW()-7)/4)+1))</f>
        <v/>
      </c>
      <c r="H226" s="29">
        <f>IF($D226="","",INDEX('01人员工时'!$O$7:$O$126,INT((ROW()-7)/4)+1))</f>
        <v/>
      </c>
      <c r="I226" s="30">
        <f>IF(OR($D226="",$G226=0),"",$H226/$G226)</f>
        <v/>
      </c>
      <c r="J226" s="31">
        <f>IF($D226="","",ROUND($F226,2)-$S226)</f>
        <v/>
      </c>
      <c r="K226" s="31">
        <f>IF(OR($D226="",$G226=0),"",ROUND($F226*INDEX('01人员工时'!G$7:G$126,INT((ROW()-7)/4)+1)/$G226,2))</f>
        <v/>
      </c>
      <c r="L226" s="31">
        <f>IF(OR($D226="",$G226=0),"",ROUND($F226*INDEX('01人员工时'!H$7:H$126,INT((ROW()-7)/4)+1)/$G226,2))</f>
        <v/>
      </c>
      <c r="M226" s="31">
        <f>IF(OR($D226="",$G226=0),"",ROUND($F226*INDEX('01人员工时'!I$7:I$126,INT((ROW()-7)/4)+1)/$G226,2))</f>
        <v/>
      </c>
      <c r="N226" s="31">
        <f>IF(OR($D226="",$G226=0),"",ROUND($F226*INDEX('01人员工时'!J$7:J$126,INT((ROW()-7)/4)+1)/$G226,2))</f>
        <v/>
      </c>
      <c r="O226" s="31">
        <f>IF(OR($D226="",$G226=0),"",ROUND($F226*INDEX('01人员工时'!K$7:K$126,INT((ROW()-7)/4)+1)/$G226,2))</f>
        <v/>
      </c>
      <c r="P226" s="31">
        <f>IF(OR($D226="",$G226=0),"",ROUND($F226*INDEX('01人员工时'!L$7:L$126,INT((ROW()-7)/4)+1)/$G226,2))</f>
        <v/>
      </c>
      <c r="Q226" s="31">
        <f>IF(OR($D226="",$G226=0),"",ROUND($F226*INDEX('01人员工时'!M$7:M$126,INT((ROW()-7)/4)+1)/$G226,2))</f>
        <v/>
      </c>
      <c r="R226" s="31">
        <f>IF(OR($D226="",$G226=0),"",ROUND($F226*INDEX('01人员工时'!N$7:N$126,INT((ROW()-7)/4)+1)/$G226,2))</f>
        <v/>
      </c>
      <c r="S226" s="31">
        <f>IF($D226="","",SUM(K226:R226))</f>
        <v/>
      </c>
      <c r="T226" s="31">
        <f>IF($D226="","",$J226+$S226)</f>
        <v/>
      </c>
      <c r="U226" s="32">
        <f>IF($D226="","",IF($F226=0,"未维护标准",IF(ROUND($T226-$F226,2)=0,"√","差异")))</f>
        <v/>
      </c>
      <c r="V226" s="33" t="n"/>
      <c r="W226" s="34" t="n"/>
    </row>
    <row r="227" ht="18" customHeight="1">
      <c r="B227" s="21">
        <f>IF(INDEX('01人员工时'!$D$7:$D$126,INT((ROW()-7)/4)+1)&amp;""="","",INDEX('01人员工时'!$B$7:$B$126,INT((ROW()-7)/4)+1))</f>
        <v/>
      </c>
      <c r="C227" s="22">
        <f>IF($D227="","",IF(MOD(ROW()-7,4)=0,INDEX('01人员工时'!$C$7:$C$126,INT((ROW()-7)/4)+1),""))</f>
        <v/>
      </c>
      <c r="D227" s="22">
        <f>IF(INDEX('01人员工时'!$D$7:$D$126,INT((ROW()-7)/4)+1)&amp;""="","",INDEX('01人员工时'!$D$7:$D$126,INT((ROW()-7)/4)+1))</f>
        <v/>
      </c>
      <c r="E227" s="22">
        <f>IF($D227="","",INDEX('参数设置'!$K$6:$K$9,MOD(ROW()-7,4)+1))</f>
        <v/>
      </c>
      <c r="F227" s="23">
        <f>IF($D227="","",IF($V227&lt;&gt;"",$V227,IFERROR(INDEX('参数设置'!$D$17:$G$26,MATCH($D227,'参数设置'!$C$17:$C$26,0),MATCH($E227,'参数设置'!$D$16:$G$16,0)),0)))</f>
        <v/>
      </c>
      <c r="G227" s="24">
        <f>IF($D227="","",INDEX('01人员工时'!$E$7:$E$126,INT((ROW()-7)/4)+1))</f>
        <v/>
      </c>
      <c r="H227" s="24">
        <f>IF($D227="","",INDEX('01人员工时'!$O$7:$O$126,INT((ROW()-7)/4)+1))</f>
        <v/>
      </c>
      <c r="I227" s="20">
        <f>IF(OR($D227="",$G227=0),"",$H227/$G227)</f>
        <v/>
      </c>
      <c r="J227" s="12">
        <f>IF($D227="","",ROUND($F227,2)-$S227)</f>
        <v/>
      </c>
      <c r="K227" s="12">
        <f>IF(OR($D227="",$G227=0),"",ROUND($F227*INDEX('01人员工时'!G$7:G$126,INT((ROW()-7)/4)+1)/$G227,2))</f>
        <v/>
      </c>
      <c r="L227" s="12">
        <f>IF(OR($D227="",$G227=0),"",ROUND($F227*INDEX('01人员工时'!H$7:H$126,INT((ROW()-7)/4)+1)/$G227,2))</f>
        <v/>
      </c>
      <c r="M227" s="12">
        <f>IF(OR($D227="",$G227=0),"",ROUND($F227*INDEX('01人员工时'!I$7:I$126,INT((ROW()-7)/4)+1)/$G227,2))</f>
        <v/>
      </c>
      <c r="N227" s="12">
        <f>IF(OR($D227="",$G227=0),"",ROUND($F227*INDEX('01人员工时'!J$7:J$126,INT((ROW()-7)/4)+1)/$G227,2))</f>
        <v/>
      </c>
      <c r="O227" s="12">
        <f>IF(OR($D227="",$G227=0),"",ROUND($F227*INDEX('01人员工时'!K$7:K$126,INT((ROW()-7)/4)+1)/$G227,2))</f>
        <v/>
      </c>
      <c r="P227" s="12">
        <f>IF(OR($D227="",$G227=0),"",ROUND($F227*INDEX('01人员工时'!L$7:L$126,INT((ROW()-7)/4)+1)/$G227,2))</f>
        <v/>
      </c>
      <c r="Q227" s="12">
        <f>IF(OR($D227="",$G227=0),"",ROUND($F227*INDEX('01人员工时'!M$7:M$126,INT((ROW()-7)/4)+1)/$G227,2))</f>
        <v/>
      </c>
      <c r="R227" s="12">
        <f>IF(OR($D227="",$G227=0),"",ROUND($F227*INDEX('01人员工时'!N$7:N$126,INT((ROW()-7)/4)+1)/$G227,2))</f>
        <v/>
      </c>
      <c r="S227" s="12">
        <f>IF($D227="","",SUM(K227:R227))</f>
        <v/>
      </c>
      <c r="T227" s="12">
        <f>IF($D227="","",$J227+$S227)</f>
        <v/>
      </c>
      <c r="U227" s="25">
        <f>IF($D227="","",IF($F227=0,"未维护标准",IF(ROUND($T227-$F227,2)=0,"√","差异")))</f>
        <v/>
      </c>
      <c r="V227" s="11" t="n"/>
      <c r="W227" s="9" t="n"/>
    </row>
    <row r="228" ht="18" customHeight="1">
      <c r="B228" s="21">
        <f>IF(INDEX('01人员工时'!$D$7:$D$126,INT((ROW()-7)/4)+1)&amp;""="","",INDEX('01人员工时'!$B$7:$B$126,INT((ROW()-7)/4)+1))</f>
        <v/>
      </c>
      <c r="C228" s="22">
        <f>IF($D228="","",IF(MOD(ROW()-7,4)=0,INDEX('01人员工时'!$C$7:$C$126,INT((ROW()-7)/4)+1),""))</f>
        <v/>
      </c>
      <c r="D228" s="22">
        <f>IF(INDEX('01人员工时'!$D$7:$D$126,INT((ROW()-7)/4)+1)&amp;""="","",INDEX('01人员工时'!$D$7:$D$126,INT((ROW()-7)/4)+1))</f>
        <v/>
      </c>
      <c r="E228" s="22">
        <f>IF($D228="","",INDEX('参数设置'!$K$6:$K$9,MOD(ROW()-7,4)+1))</f>
        <v/>
      </c>
      <c r="F228" s="23">
        <f>IF($D228="","",IF($V228&lt;&gt;"",$V228,IFERROR(INDEX('参数设置'!$D$17:$G$26,MATCH($D228,'参数设置'!$C$17:$C$26,0),MATCH($E228,'参数设置'!$D$16:$G$16,0)),0)))</f>
        <v/>
      </c>
      <c r="G228" s="24">
        <f>IF($D228="","",INDEX('01人员工时'!$E$7:$E$126,INT((ROW()-7)/4)+1))</f>
        <v/>
      </c>
      <c r="H228" s="24">
        <f>IF($D228="","",INDEX('01人员工时'!$O$7:$O$126,INT((ROW()-7)/4)+1))</f>
        <v/>
      </c>
      <c r="I228" s="20">
        <f>IF(OR($D228="",$G228=0),"",$H228/$G228)</f>
        <v/>
      </c>
      <c r="J228" s="12">
        <f>IF($D228="","",ROUND($F228,2)-$S228)</f>
        <v/>
      </c>
      <c r="K228" s="12">
        <f>IF(OR($D228="",$G228=0),"",ROUND($F228*INDEX('01人员工时'!G$7:G$126,INT((ROW()-7)/4)+1)/$G228,2))</f>
        <v/>
      </c>
      <c r="L228" s="12">
        <f>IF(OR($D228="",$G228=0),"",ROUND($F228*INDEX('01人员工时'!H$7:H$126,INT((ROW()-7)/4)+1)/$G228,2))</f>
        <v/>
      </c>
      <c r="M228" s="12">
        <f>IF(OR($D228="",$G228=0),"",ROUND($F228*INDEX('01人员工时'!I$7:I$126,INT((ROW()-7)/4)+1)/$G228,2))</f>
        <v/>
      </c>
      <c r="N228" s="12">
        <f>IF(OR($D228="",$G228=0),"",ROUND($F228*INDEX('01人员工时'!J$7:J$126,INT((ROW()-7)/4)+1)/$G228,2))</f>
        <v/>
      </c>
      <c r="O228" s="12">
        <f>IF(OR($D228="",$G228=0),"",ROUND($F228*INDEX('01人员工时'!K$7:K$126,INT((ROW()-7)/4)+1)/$G228,2))</f>
        <v/>
      </c>
      <c r="P228" s="12">
        <f>IF(OR($D228="",$G228=0),"",ROUND($F228*INDEX('01人员工时'!L$7:L$126,INT((ROW()-7)/4)+1)/$G228,2))</f>
        <v/>
      </c>
      <c r="Q228" s="12">
        <f>IF(OR($D228="",$G228=0),"",ROUND($F228*INDEX('01人员工时'!M$7:M$126,INT((ROW()-7)/4)+1)/$G228,2))</f>
        <v/>
      </c>
      <c r="R228" s="12">
        <f>IF(OR($D228="",$G228=0),"",ROUND($F228*INDEX('01人员工时'!N$7:N$126,INT((ROW()-7)/4)+1)/$G228,2))</f>
        <v/>
      </c>
      <c r="S228" s="12">
        <f>IF($D228="","",SUM(K228:R228))</f>
        <v/>
      </c>
      <c r="T228" s="12">
        <f>IF($D228="","",$J228+$S228)</f>
        <v/>
      </c>
      <c r="U228" s="25">
        <f>IF($D228="","",IF($F228=0,"未维护标准",IF(ROUND($T228-$F228,2)=0,"√","差异")))</f>
        <v/>
      </c>
      <c r="V228" s="11" t="n"/>
      <c r="W228" s="9" t="n"/>
    </row>
    <row r="229" ht="18" customHeight="1">
      <c r="B229" s="21">
        <f>IF(INDEX('01人员工时'!$D$7:$D$126,INT((ROW()-7)/4)+1)&amp;""="","",INDEX('01人员工时'!$B$7:$B$126,INT((ROW()-7)/4)+1))</f>
        <v/>
      </c>
      <c r="C229" s="22">
        <f>IF($D229="","",IF(MOD(ROW()-7,4)=0,INDEX('01人员工时'!$C$7:$C$126,INT((ROW()-7)/4)+1),""))</f>
        <v/>
      </c>
      <c r="D229" s="22">
        <f>IF(INDEX('01人员工时'!$D$7:$D$126,INT((ROW()-7)/4)+1)&amp;""="","",INDEX('01人员工时'!$D$7:$D$126,INT((ROW()-7)/4)+1))</f>
        <v/>
      </c>
      <c r="E229" s="22">
        <f>IF($D229="","",INDEX('参数设置'!$K$6:$K$9,MOD(ROW()-7,4)+1))</f>
        <v/>
      </c>
      <c r="F229" s="23">
        <f>IF($D229="","",IF($V229&lt;&gt;"",$V229,IFERROR(INDEX('参数设置'!$D$17:$G$26,MATCH($D229,'参数设置'!$C$17:$C$26,0),MATCH($E229,'参数设置'!$D$16:$G$16,0)),0)))</f>
        <v/>
      </c>
      <c r="G229" s="24">
        <f>IF($D229="","",INDEX('01人员工时'!$E$7:$E$126,INT((ROW()-7)/4)+1))</f>
        <v/>
      </c>
      <c r="H229" s="24">
        <f>IF($D229="","",INDEX('01人员工时'!$O$7:$O$126,INT((ROW()-7)/4)+1))</f>
        <v/>
      </c>
      <c r="I229" s="20">
        <f>IF(OR($D229="",$G229=0),"",$H229/$G229)</f>
        <v/>
      </c>
      <c r="J229" s="12">
        <f>IF($D229="","",ROUND($F229,2)-$S229)</f>
        <v/>
      </c>
      <c r="K229" s="12">
        <f>IF(OR($D229="",$G229=0),"",ROUND($F229*INDEX('01人员工时'!G$7:G$126,INT((ROW()-7)/4)+1)/$G229,2))</f>
        <v/>
      </c>
      <c r="L229" s="12">
        <f>IF(OR($D229="",$G229=0),"",ROUND($F229*INDEX('01人员工时'!H$7:H$126,INT((ROW()-7)/4)+1)/$G229,2))</f>
        <v/>
      </c>
      <c r="M229" s="12">
        <f>IF(OR($D229="",$G229=0),"",ROUND($F229*INDEX('01人员工时'!I$7:I$126,INT((ROW()-7)/4)+1)/$G229,2))</f>
        <v/>
      </c>
      <c r="N229" s="12">
        <f>IF(OR($D229="",$G229=0),"",ROUND($F229*INDEX('01人员工时'!J$7:J$126,INT((ROW()-7)/4)+1)/$G229,2))</f>
        <v/>
      </c>
      <c r="O229" s="12">
        <f>IF(OR($D229="",$G229=0),"",ROUND($F229*INDEX('01人员工时'!K$7:K$126,INT((ROW()-7)/4)+1)/$G229,2))</f>
        <v/>
      </c>
      <c r="P229" s="12">
        <f>IF(OR($D229="",$G229=0),"",ROUND($F229*INDEX('01人员工时'!L$7:L$126,INT((ROW()-7)/4)+1)/$G229,2))</f>
        <v/>
      </c>
      <c r="Q229" s="12">
        <f>IF(OR($D229="",$G229=0),"",ROUND($F229*INDEX('01人员工时'!M$7:M$126,INT((ROW()-7)/4)+1)/$G229,2))</f>
        <v/>
      </c>
      <c r="R229" s="12">
        <f>IF(OR($D229="",$G229=0),"",ROUND($F229*INDEX('01人员工时'!N$7:N$126,INT((ROW()-7)/4)+1)/$G229,2))</f>
        <v/>
      </c>
      <c r="S229" s="12">
        <f>IF($D229="","",SUM(K229:R229))</f>
        <v/>
      </c>
      <c r="T229" s="12">
        <f>IF($D229="","",$J229+$S229)</f>
        <v/>
      </c>
      <c r="U229" s="25">
        <f>IF($D229="","",IF($F229=0,"未维护标准",IF(ROUND($T229-$F229,2)=0,"√","差异")))</f>
        <v/>
      </c>
      <c r="V229" s="11" t="n"/>
      <c r="W229" s="9" t="n"/>
    </row>
    <row r="230" ht="18" customHeight="1">
      <c r="B230" s="26">
        <f>IF(INDEX('01人员工时'!$D$7:$D$126,INT((ROW()-7)/4)+1)&amp;""="","",INDEX('01人员工时'!$B$7:$B$126,INT((ROW()-7)/4)+1))</f>
        <v/>
      </c>
      <c r="C230" s="27">
        <f>IF($D230="","",IF(MOD(ROW()-7,4)=0,INDEX('01人员工时'!$C$7:$C$126,INT((ROW()-7)/4)+1),""))</f>
        <v/>
      </c>
      <c r="D230" s="27">
        <f>IF(INDEX('01人员工时'!$D$7:$D$126,INT((ROW()-7)/4)+1)&amp;""="","",INDEX('01人员工时'!$D$7:$D$126,INT((ROW()-7)/4)+1))</f>
        <v/>
      </c>
      <c r="E230" s="27">
        <f>IF($D230="","",INDEX('参数设置'!$K$6:$K$9,MOD(ROW()-7,4)+1))</f>
        <v/>
      </c>
      <c r="F230" s="28">
        <f>IF($D230="","",IF($V230&lt;&gt;"",$V230,IFERROR(INDEX('参数设置'!$D$17:$G$26,MATCH($D230,'参数设置'!$C$17:$C$26,0),MATCH($E230,'参数设置'!$D$16:$G$16,0)),0)))</f>
        <v/>
      </c>
      <c r="G230" s="29">
        <f>IF($D230="","",INDEX('01人员工时'!$E$7:$E$126,INT((ROW()-7)/4)+1))</f>
        <v/>
      </c>
      <c r="H230" s="29">
        <f>IF($D230="","",INDEX('01人员工时'!$O$7:$O$126,INT((ROW()-7)/4)+1))</f>
        <v/>
      </c>
      <c r="I230" s="30">
        <f>IF(OR($D230="",$G230=0),"",$H230/$G230)</f>
        <v/>
      </c>
      <c r="J230" s="31">
        <f>IF($D230="","",ROUND($F230,2)-$S230)</f>
        <v/>
      </c>
      <c r="K230" s="31">
        <f>IF(OR($D230="",$G230=0),"",ROUND($F230*INDEX('01人员工时'!G$7:G$126,INT((ROW()-7)/4)+1)/$G230,2))</f>
        <v/>
      </c>
      <c r="L230" s="31">
        <f>IF(OR($D230="",$G230=0),"",ROUND($F230*INDEX('01人员工时'!H$7:H$126,INT((ROW()-7)/4)+1)/$G230,2))</f>
        <v/>
      </c>
      <c r="M230" s="31">
        <f>IF(OR($D230="",$G230=0),"",ROUND($F230*INDEX('01人员工时'!I$7:I$126,INT((ROW()-7)/4)+1)/$G230,2))</f>
        <v/>
      </c>
      <c r="N230" s="31">
        <f>IF(OR($D230="",$G230=0),"",ROUND($F230*INDEX('01人员工时'!J$7:J$126,INT((ROW()-7)/4)+1)/$G230,2))</f>
        <v/>
      </c>
      <c r="O230" s="31">
        <f>IF(OR($D230="",$G230=0),"",ROUND($F230*INDEX('01人员工时'!K$7:K$126,INT((ROW()-7)/4)+1)/$G230,2))</f>
        <v/>
      </c>
      <c r="P230" s="31">
        <f>IF(OR($D230="",$G230=0),"",ROUND($F230*INDEX('01人员工时'!L$7:L$126,INT((ROW()-7)/4)+1)/$G230,2))</f>
        <v/>
      </c>
      <c r="Q230" s="31">
        <f>IF(OR($D230="",$G230=0),"",ROUND($F230*INDEX('01人员工时'!M$7:M$126,INT((ROW()-7)/4)+1)/$G230,2))</f>
        <v/>
      </c>
      <c r="R230" s="31">
        <f>IF(OR($D230="",$G230=0),"",ROUND($F230*INDEX('01人员工时'!N$7:N$126,INT((ROW()-7)/4)+1)/$G230,2))</f>
        <v/>
      </c>
      <c r="S230" s="31">
        <f>IF($D230="","",SUM(K230:R230))</f>
        <v/>
      </c>
      <c r="T230" s="31">
        <f>IF($D230="","",$J230+$S230)</f>
        <v/>
      </c>
      <c r="U230" s="32">
        <f>IF($D230="","",IF($F230=0,"未维护标准",IF(ROUND($T230-$F230,2)=0,"√","差异")))</f>
        <v/>
      </c>
      <c r="V230" s="33" t="n"/>
      <c r="W230" s="34" t="n"/>
    </row>
    <row r="231" ht="18" customHeight="1">
      <c r="B231" s="21">
        <f>IF(INDEX('01人员工时'!$D$7:$D$126,INT((ROW()-7)/4)+1)&amp;""="","",INDEX('01人员工时'!$B$7:$B$126,INT((ROW()-7)/4)+1))</f>
        <v/>
      </c>
      <c r="C231" s="22">
        <f>IF($D231="","",IF(MOD(ROW()-7,4)=0,INDEX('01人员工时'!$C$7:$C$126,INT((ROW()-7)/4)+1),""))</f>
        <v/>
      </c>
      <c r="D231" s="22">
        <f>IF(INDEX('01人员工时'!$D$7:$D$126,INT((ROW()-7)/4)+1)&amp;""="","",INDEX('01人员工时'!$D$7:$D$126,INT((ROW()-7)/4)+1))</f>
        <v/>
      </c>
      <c r="E231" s="22">
        <f>IF($D231="","",INDEX('参数设置'!$K$6:$K$9,MOD(ROW()-7,4)+1))</f>
        <v/>
      </c>
      <c r="F231" s="23">
        <f>IF($D231="","",IF($V231&lt;&gt;"",$V231,IFERROR(INDEX('参数设置'!$D$17:$G$26,MATCH($D231,'参数设置'!$C$17:$C$26,0),MATCH($E231,'参数设置'!$D$16:$G$16,0)),0)))</f>
        <v/>
      </c>
      <c r="G231" s="24">
        <f>IF($D231="","",INDEX('01人员工时'!$E$7:$E$126,INT((ROW()-7)/4)+1))</f>
        <v/>
      </c>
      <c r="H231" s="24">
        <f>IF($D231="","",INDEX('01人员工时'!$O$7:$O$126,INT((ROW()-7)/4)+1))</f>
        <v/>
      </c>
      <c r="I231" s="20">
        <f>IF(OR($D231="",$G231=0),"",$H231/$G231)</f>
        <v/>
      </c>
      <c r="J231" s="12">
        <f>IF($D231="","",ROUND($F231,2)-$S231)</f>
        <v/>
      </c>
      <c r="K231" s="12">
        <f>IF(OR($D231="",$G231=0),"",ROUND($F231*INDEX('01人员工时'!G$7:G$126,INT((ROW()-7)/4)+1)/$G231,2))</f>
        <v/>
      </c>
      <c r="L231" s="12">
        <f>IF(OR($D231="",$G231=0),"",ROUND($F231*INDEX('01人员工时'!H$7:H$126,INT((ROW()-7)/4)+1)/$G231,2))</f>
        <v/>
      </c>
      <c r="M231" s="12">
        <f>IF(OR($D231="",$G231=0),"",ROUND($F231*INDEX('01人员工时'!I$7:I$126,INT((ROW()-7)/4)+1)/$G231,2))</f>
        <v/>
      </c>
      <c r="N231" s="12">
        <f>IF(OR($D231="",$G231=0),"",ROUND($F231*INDEX('01人员工时'!J$7:J$126,INT((ROW()-7)/4)+1)/$G231,2))</f>
        <v/>
      </c>
      <c r="O231" s="12">
        <f>IF(OR($D231="",$G231=0),"",ROUND($F231*INDEX('01人员工时'!K$7:K$126,INT((ROW()-7)/4)+1)/$G231,2))</f>
        <v/>
      </c>
      <c r="P231" s="12">
        <f>IF(OR($D231="",$G231=0),"",ROUND($F231*INDEX('01人员工时'!L$7:L$126,INT((ROW()-7)/4)+1)/$G231,2))</f>
        <v/>
      </c>
      <c r="Q231" s="12">
        <f>IF(OR($D231="",$G231=0),"",ROUND($F231*INDEX('01人员工时'!M$7:M$126,INT((ROW()-7)/4)+1)/$G231,2))</f>
        <v/>
      </c>
      <c r="R231" s="12">
        <f>IF(OR($D231="",$G231=0),"",ROUND($F231*INDEX('01人员工时'!N$7:N$126,INT((ROW()-7)/4)+1)/$G231,2))</f>
        <v/>
      </c>
      <c r="S231" s="12">
        <f>IF($D231="","",SUM(K231:R231))</f>
        <v/>
      </c>
      <c r="T231" s="12">
        <f>IF($D231="","",$J231+$S231)</f>
        <v/>
      </c>
      <c r="U231" s="25">
        <f>IF($D231="","",IF($F231=0,"未维护标准",IF(ROUND($T231-$F231,2)=0,"√","差异")))</f>
        <v/>
      </c>
      <c r="V231" s="11" t="n"/>
      <c r="W231" s="9" t="n"/>
    </row>
    <row r="232" ht="18" customHeight="1">
      <c r="B232" s="21">
        <f>IF(INDEX('01人员工时'!$D$7:$D$126,INT((ROW()-7)/4)+1)&amp;""="","",INDEX('01人员工时'!$B$7:$B$126,INT((ROW()-7)/4)+1))</f>
        <v/>
      </c>
      <c r="C232" s="22">
        <f>IF($D232="","",IF(MOD(ROW()-7,4)=0,INDEX('01人员工时'!$C$7:$C$126,INT((ROW()-7)/4)+1),""))</f>
        <v/>
      </c>
      <c r="D232" s="22">
        <f>IF(INDEX('01人员工时'!$D$7:$D$126,INT((ROW()-7)/4)+1)&amp;""="","",INDEX('01人员工时'!$D$7:$D$126,INT((ROW()-7)/4)+1))</f>
        <v/>
      </c>
      <c r="E232" s="22">
        <f>IF($D232="","",INDEX('参数设置'!$K$6:$K$9,MOD(ROW()-7,4)+1))</f>
        <v/>
      </c>
      <c r="F232" s="23">
        <f>IF($D232="","",IF($V232&lt;&gt;"",$V232,IFERROR(INDEX('参数设置'!$D$17:$G$26,MATCH($D232,'参数设置'!$C$17:$C$26,0),MATCH($E232,'参数设置'!$D$16:$G$16,0)),0)))</f>
        <v/>
      </c>
      <c r="G232" s="24">
        <f>IF($D232="","",INDEX('01人员工时'!$E$7:$E$126,INT((ROW()-7)/4)+1))</f>
        <v/>
      </c>
      <c r="H232" s="24">
        <f>IF($D232="","",INDEX('01人员工时'!$O$7:$O$126,INT((ROW()-7)/4)+1))</f>
        <v/>
      </c>
      <c r="I232" s="20">
        <f>IF(OR($D232="",$G232=0),"",$H232/$G232)</f>
        <v/>
      </c>
      <c r="J232" s="12">
        <f>IF($D232="","",ROUND($F232,2)-$S232)</f>
        <v/>
      </c>
      <c r="K232" s="12">
        <f>IF(OR($D232="",$G232=0),"",ROUND($F232*INDEX('01人员工时'!G$7:G$126,INT((ROW()-7)/4)+1)/$G232,2))</f>
        <v/>
      </c>
      <c r="L232" s="12">
        <f>IF(OR($D232="",$G232=0),"",ROUND($F232*INDEX('01人员工时'!H$7:H$126,INT((ROW()-7)/4)+1)/$G232,2))</f>
        <v/>
      </c>
      <c r="M232" s="12">
        <f>IF(OR($D232="",$G232=0),"",ROUND($F232*INDEX('01人员工时'!I$7:I$126,INT((ROW()-7)/4)+1)/$G232,2))</f>
        <v/>
      </c>
      <c r="N232" s="12">
        <f>IF(OR($D232="",$G232=0),"",ROUND($F232*INDEX('01人员工时'!J$7:J$126,INT((ROW()-7)/4)+1)/$G232,2))</f>
        <v/>
      </c>
      <c r="O232" s="12">
        <f>IF(OR($D232="",$G232=0),"",ROUND($F232*INDEX('01人员工时'!K$7:K$126,INT((ROW()-7)/4)+1)/$G232,2))</f>
        <v/>
      </c>
      <c r="P232" s="12">
        <f>IF(OR($D232="",$G232=0),"",ROUND($F232*INDEX('01人员工时'!L$7:L$126,INT((ROW()-7)/4)+1)/$G232,2))</f>
        <v/>
      </c>
      <c r="Q232" s="12">
        <f>IF(OR($D232="",$G232=0),"",ROUND($F232*INDEX('01人员工时'!M$7:M$126,INT((ROW()-7)/4)+1)/$G232,2))</f>
        <v/>
      </c>
      <c r="R232" s="12">
        <f>IF(OR($D232="",$G232=0),"",ROUND($F232*INDEX('01人员工时'!N$7:N$126,INT((ROW()-7)/4)+1)/$G232,2))</f>
        <v/>
      </c>
      <c r="S232" s="12">
        <f>IF($D232="","",SUM(K232:R232))</f>
        <v/>
      </c>
      <c r="T232" s="12">
        <f>IF($D232="","",$J232+$S232)</f>
        <v/>
      </c>
      <c r="U232" s="25">
        <f>IF($D232="","",IF($F232=0,"未维护标准",IF(ROUND($T232-$F232,2)=0,"√","差异")))</f>
        <v/>
      </c>
      <c r="V232" s="11" t="n"/>
      <c r="W232" s="9" t="n"/>
    </row>
    <row r="233" ht="18" customHeight="1">
      <c r="B233" s="21">
        <f>IF(INDEX('01人员工时'!$D$7:$D$126,INT((ROW()-7)/4)+1)&amp;""="","",INDEX('01人员工时'!$B$7:$B$126,INT((ROW()-7)/4)+1))</f>
        <v/>
      </c>
      <c r="C233" s="22">
        <f>IF($D233="","",IF(MOD(ROW()-7,4)=0,INDEX('01人员工时'!$C$7:$C$126,INT((ROW()-7)/4)+1),""))</f>
        <v/>
      </c>
      <c r="D233" s="22">
        <f>IF(INDEX('01人员工时'!$D$7:$D$126,INT((ROW()-7)/4)+1)&amp;""="","",INDEX('01人员工时'!$D$7:$D$126,INT((ROW()-7)/4)+1))</f>
        <v/>
      </c>
      <c r="E233" s="22">
        <f>IF($D233="","",INDEX('参数设置'!$K$6:$K$9,MOD(ROW()-7,4)+1))</f>
        <v/>
      </c>
      <c r="F233" s="23">
        <f>IF($D233="","",IF($V233&lt;&gt;"",$V233,IFERROR(INDEX('参数设置'!$D$17:$G$26,MATCH($D233,'参数设置'!$C$17:$C$26,0),MATCH($E233,'参数设置'!$D$16:$G$16,0)),0)))</f>
        <v/>
      </c>
      <c r="G233" s="24">
        <f>IF($D233="","",INDEX('01人员工时'!$E$7:$E$126,INT((ROW()-7)/4)+1))</f>
        <v/>
      </c>
      <c r="H233" s="24">
        <f>IF($D233="","",INDEX('01人员工时'!$O$7:$O$126,INT((ROW()-7)/4)+1))</f>
        <v/>
      </c>
      <c r="I233" s="20">
        <f>IF(OR($D233="",$G233=0),"",$H233/$G233)</f>
        <v/>
      </c>
      <c r="J233" s="12">
        <f>IF($D233="","",ROUND($F233,2)-$S233)</f>
        <v/>
      </c>
      <c r="K233" s="12">
        <f>IF(OR($D233="",$G233=0),"",ROUND($F233*INDEX('01人员工时'!G$7:G$126,INT((ROW()-7)/4)+1)/$G233,2))</f>
        <v/>
      </c>
      <c r="L233" s="12">
        <f>IF(OR($D233="",$G233=0),"",ROUND($F233*INDEX('01人员工时'!H$7:H$126,INT((ROW()-7)/4)+1)/$G233,2))</f>
        <v/>
      </c>
      <c r="M233" s="12">
        <f>IF(OR($D233="",$G233=0),"",ROUND($F233*INDEX('01人员工时'!I$7:I$126,INT((ROW()-7)/4)+1)/$G233,2))</f>
        <v/>
      </c>
      <c r="N233" s="12">
        <f>IF(OR($D233="",$G233=0),"",ROUND($F233*INDEX('01人员工时'!J$7:J$126,INT((ROW()-7)/4)+1)/$G233,2))</f>
        <v/>
      </c>
      <c r="O233" s="12">
        <f>IF(OR($D233="",$G233=0),"",ROUND($F233*INDEX('01人员工时'!K$7:K$126,INT((ROW()-7)/4)+1)/$G233,2))</f>
        <v/>
      </c>
      <c r="P233" s="12">
        <f>IF(OR($D233="",$G233=0),"",ROUND($F233*INDEX('01人员工时'!L$7:L$126,INT((ROW()-7)/4)+1)/$G233,2))</f>
        <v/>
      </c>
      <c r="Q233" s="12">
        <f>IF(OR($D233="",$G233=0),"",ROUND($F233*INDEX('01人员工时'!M$7:M$126,INT((ROW()-7)/4)+1)/$G233,2))</f>
        <v/>
      </c>
      <c r="R233" s="12">
        <f>IF(OR($D233="",$G233=0),"",ROUND($F233*INDEX('01人员工时'!N$7:N$126,INT((ROW()-7)/4)+1)/$G233,2))</f>
        <v/>
      </c>
      <c r="S233" s="12">
        <f>IF($D233="","",SUM(K233:R233))</f>
        <v/>
      </c>
      <c r="T233" s="12">
        <f>IF($D233="","",$J233+$S233)</f>
        <v/>
      </c>
      <c r="U233" s="25">
        <f>IF($D233="","",IF($F233=0,"未维护标准",IF(ROUND($T233-$F233,2)=0,"√","差异")))</f>
        <v/>
      </c>
      <c r="V233" s="11" t="n"/>
      <c r="W233" s="9" t="n"/>
    </row>
    <row r="234" ht="18" customHeight="1">
      <c r="B234" s="26">
        <f>IF(INDEX('01人员工时'!$D$7:$D$126,INT((ROW()-7)/4)+1)&amp;""="","",INDEX('01人员工时'!$B$7:$B$126,INT((ROW()-7)/4)+1))</f>
        <v/>
      </c>
      <c r="C234" s="27">
        <f>IF($D234="","",IF(MOD(ROW()-7,4)=0,INDEX('01人员工时'!$C$7:$C$126,INT((ROW()-7)/4)+1),""))</f>
        <v/>
      </c>
      <c r="D234" s="27">
        <f>IF(INDEX('01人员工时'!$D$7:$D$126,INT((ROW()-7)/4)+1)&amp;""="","",INDEX('01人员工时'!$D$7:$D$126,INT((ROW()-7)/4)+1))</f>
        <v/>
      </c>
      <c r="E234" s="27">
        <f>IF($D234="","",INDEX('参数设置'!$K$6:$K$9,MOD(ROW()-7,4)+1))</f>
        <v/>
      </c>
      <c r="F234" s="28">
        <f>IF($D234="","",IF($V234&lt;&gt;"",$V234,IFERROR(INDEX('参数设置'!$D$17:$G$26,MATCH($D234,'参数设置'!$C$17:$C$26,0),MATCH($E234,'参数设置'!$D$16:$G$16,0)),0)))</f>
        <v/>
      </c>
      <c r="G234" s="29">
        <f>IF($D234="","",INDEX('01人员工时'!$E$7:$E$126,INT((ROW()-7)/4)+1))</f>
        <v/>
      </c>
      <c r="H234" s="29">
        <f>IF($D234="","",INDEX('01人员工时'!$O$7:$O$126,INT((ROW()-7)/4)+1))</f>
        <v/>
      </c>
      <c r="I234" s="30">
        <f>IF(OR($D234="",$G234=0),"",$H234/$G234)</f>
        <v/>
      </c>
      <c r="J234" s="31">
        <f>IF($D234="","",ROUND($F234,2)-$S234)</f>
        <v/>
      </c>
      <c r="K234" s="31">
        <f>IF(OR($D234="",$G234=0),"",ROUND($F234*INDEX('01人员工时'!G$7:G$126,INT((ROW()-7)/4)+1)/$G234,2))</f>
        <v/>
      </c>
      <c r="L234" s="31">
        <f>IF(OR($D234="",$G234=0),"",ROUND($F234*INDEX('01人员工时'!H$7:H$126,INT((ROW()-7)/4)+1)/$G234,2))</f>
        <v/>
      </c>
      <c r="M234" s="31">
        <f>IF(OR($D234="",$G234=0),"",ROUND($F234*INDEX('01人员工时'!I$7:I$126,INT((ROW()-7)/4)+1)/$G234,2))</f>
        <v/>
      </c>
      <c r="N234" s="31">
        <f>IF(OR($D234="",$G234=0),"",ROUND($F234*INDEX('01人员工时'!J$7:J$126,INT((ROW()-7)/4)+1)/$G234,2))</f>
        <v/>
      </c>
      <c r="O234" s="31">
        <f>IF(OR($D234="",$G234=0),"",ROUND($F234*INDEX('01人员工时'!K$7:K$126,INT((ROW()-7)/4)+1)/$G234,2))</f>
        <v/>
      </c>
      <c r="P234" s="31">
        <f>IF(OR($D234="",$G234=0),"",ROUND($F234*INDEX('01人员工时'!L$7:L$126,INT((ROW()-7)/4)+1)/$G234,2))</f>
        <v/>
      </c>
      <c r="Q234" s="31">
        <f>IF(OR($D234="",$G234=0),"",ROUND($F234*INDEX('01人员工时'!M$7:M$126,INT((ROW()-7)/4)+1)/$G234,2))</f>
        <v/>
      </c>
      <c r="R234" s="31">
        <f>IF(OR($D234="",$G234=0),"",ROUND($F234*INDEX('01人员工时'!N$7:N$126,INT((ROW()-7)/4)+1)/$G234,2))</f>
        <v/>
      </c>
      <c r="S234" s="31">
        <f>IF($D234="","",SUM(K234:R234))</f>
        <v/>
      </c>
      <c r="T234" s="31">
        <f>IF($D234="","",$J234+$S234)</f>
        <v/>
      </c>
      <c r="U234" s="32">
        <f>IF($D234="","",IF($F234=0,"未维护标准",IF(ROUND($T234-$F234,2)=0,"√","差异")))</f>
        <v/>
      </c>
      <c r="V234" s="33" t="n"/>
      <c r="W234" s="34" t="n"/>
    </row>
    <row r="235" ht="18" customHeight="1">
      <c r="B235" s="21">
        <f>IF(INDEX('01人员工时'!$D$7:$D$126,INT((ROW()-7)/4)+1)&amp;""="","",INDEX('01人员工时'!$B$7:$B$126,INT((ROW()-7)/4)+1))</f>
        <v/>
      </c>
      <c r="C235" s="22">
        <f>IF($D235="","",IF(MOD(ROW()-7,4)=0,INDEX('01人员工时'!$C$7:$C$126,INT((ROW()-7)/4)+1),""))</f>
        <v/>
      </c>
      <c r="D235" s="22">
        <f>IF(INDEX('01人员工时'!$D$7:$D$126,INT((ROW()-7)/4)+1)&amp;""="","",INDEX('01人员工时'!$D$7:$D$126,INT((ROW()-7)/4)+1))</f>
        <v/>
      </c>
      <c r="E235" s="22">
        <f>IF($D235="","",INDEX('参数设置'!$K$6:$K$9,MOD(ROW()-7,4)+1))</f>
        <v/>
      </c>
      <c r="F235" s="23">
        <f>IF($D235="","",IF($V235&lt;&gt;"",$V235,IFERROR(INDEX('参数设置'!$D$17:$G$26,MATCH($D235,'参数设置'!$C$17:$C$26,0),MATCH($E235,'参数设置'!$D$16:$G$16,0)),0)))</f>
        <v/>
      </c>
      <c r="G235" s="24">
        <f>IF($D235="","",INDEX('01人员工时'!$E$7:$E$126,INT((ROW()-7)/4)+1))</f>
        <v/>
      </c>
      <c r="H235" s="24">
        <f>IF($D235="","",INDEX('01人员工时'!$O$7:$O$126,INT((ROW()-7)/4)+1))</f>
        <v/>
      </c>
      <c r="I235" s="20">
        <f>IF(OR($D235="",$G235=0),"",$H235/$G235)</f>
        <v/>
      </c>
      <c r="J235" s="12">
        <f>IF($D235="","",ROUND($F235,2)-$S235)</f>
        <v/>
      </c>
      <c r="K235" s="12">
        <f>IF(OR($D235="",$G235=0),"",ROUND($F235*INDEX('01人员工时'!G$7:G$126,INT((ROW()-7)/4)+1)/$G235,2))</f>
        <v/>
      </c>
      <c r="L235" s="12">
        <f>IF(OR($D235="",$G235=0),"",ROUND($F235*INDEX('01人员工时'!H$7:H$126,INT((ROW()-7)/4)+1)/$G235,2))</f>
        <v/>
      </c>
      <c r="M235" s="12">
        <f>IF(OR($D235="",$G235=0),"",ROUND($F235*INDEX('01人员工时'!I$7:I$126,INT((ROW()-7)/4)+1)/$G235,2))</f>
        <v/>
      </c>
      <c r="N235" s="12">
        <f>IF(OR($D235="",$G235=0),"",ROUND($F235*INDEX('01人员工时'!J$7:J$126,INT((ROW()-7)/4)+1)/$G235,2))</f>
        <v/>
      </c>
      <c r="O235" s="12">
        <f>IF(OR($D235="",$G235=0),"",ROUND($F235*INDEX('01人员工时'!K$7:K$126,INT((ROW()-7)/4)+1)/$G235,2))</f>
        <v/>
      </c>
      <c r="P235" s="12">
        <f>IF(OR($D235="",$G235=0),"",ROUND($F235*INDEX('01人员工时'!L$7:L$126,INT((ROW()-7)/4)+1)/$G235,2))</f>
        <v/>
      </c>
      <c r="Q235" s="12">
        <f>IF(OR($D235="",$G235=0),"",ROUND($F235*INDEX('01人员工时'!M$7:M$126,INT((ROW()-7)/4)+1)/$G235,2))</f>
        <v/>
      </c>
      <c r="R235" s="12">
        <f>IF(OR($D235="",$G235=0),"",ROUND($F235*INDEX('01人员工时'!N$7:N$126,INT((ROW()-7)/4)+1)/$G235,2))</f>
        <v/>
      </c>
      <c r="S235" s="12">
        <f>IF($D235="","",SUM(K235:R235))</f>
        <v/>
      </c>
      <c r="T235" s="12">
        <f>IF($D235="","",$J235+$S235)</f>
        <v/>
      </c>
      <c r="U235" s="25">
        <f>IF($D235="","",IF($F235=0,"未维护标准",IF(ROUND($T235-$F235,2)=0,"√","差异")))</f>
        <v/>
      </c>
      <c r="V235" s="11" t="n"/>
      <c r="W235" s="9" t="n"/>
    </row>
    <row r="236" ht="18" customHeight="1">
      <c r="B236" s="21">
        <f>IF(INDEX('01人员工时'!$D$7:$D$126,INT((ROW()-7)/4)+1)&amp;""="","",INDEX('01人员工时'!$B$7:$B$126,INT((ROW()-7)/4)+1))</f>
        <v/>
      </c>
      <c r="C236" s="22">
        <f>IF($D236="","",IF(MOD(ROW()-7,4)=0,INDEX('01人员工时'!$C$7:$C$126,INT((ROW()-7)/4)+1),""))</f>
        <v/>
      </c>
      <c r="D236" s="22">
        <f>IF(INDEX('01人员工时'!$D$7:$D$126,INT((ROW()-7)/4)+1)&amp;""="","",INDEX('01人员工时'!$D$7:$D$126,INT((ROW()-7)/4)+1))</f>
        <v/>
      </c>
      <c r="E236" s="22">
        <f>IF($D236="","",INDEX('参数设置'!$K$6:$K$9,MOD(ROW()-7,4)+1))</f>
        <v/>
      </c>
      <c r="F236" s="23">
        <f>IF($D236="","",IF($V236&lt;&gt;"",$V236,IFERROR(INDEX('参数设置'!$D$17:$G$26,MATCH($D236,'参数设置'!$C$17:$C$26,0),MATCH($E236,'参数设置'!$D$16:$G$16,0)),0)))</f>
        <v/>
      </c>
      <c r="G236" s="24">
        <f>IF($D236="","",INDEX('01人员工时'!$E$7:$E$126,INT((ROW()-7)/4)+1))</f>
        <v/>
      </c>
      <c r="H236" s="24">
        <f>IF($D236="","",INDEX('01人员工时'!$O$7:$O$126,INT((ROW()-7)/4)+1))</f>
        <v/>
      </c>
      <c r="I236" s="20">
        <f>IF(OR($D236="",$G236=0),"",$H236/$G236)</f>
        <v/>
      </c>
      <c r="J236" s="12">
        <f>IF($D236="","",ROUND($F236,2)-$S236)</f>
        <v/>
      </c>
      <c r="K236" s="12">
        <f>IF(OR($D236="",$G236=0),"",ROUND($F236*INDEX('01人员工时'!G$7:G$126,INT((ROW()-7)/4)+1)/$G236,2))</f>
        <v/>
      </c>
      <c r="L236" s="12">
        <f>IF(OR($D236="",$G236=0),"",ROUND($F236*INDEX('01人员工时'!H$7:H$126,INT((ROW()-7)/4)+1)/$G236,2))</f>
        <v/>
      </c>
      <c r="M236" s="12">
        <f>IF(OR($D236="",$G236=0),"",ROUND($F236*INDEX('01人员工时'!I$7:I$126,INT((ROW()-7)/4)+1)/$G236,2))</f>
        <v/>
      </c>
      <c r="N236" s="12">
        <f>IF(OR($D236="",$G236=0),"",ROUND($F236*INDEX('01人员工时'!J$7:J$126,INT((ROW()-7)/4)+1)/$G236,2))</f>
        <v/>
      </c>
      <c r="O236" s="12">
        <f>IF(OR($D236="",$G236=0),"",ROUND($F236*INDEX('01人员工时'!K$7:K$126,INT((ROW()-7)/4)+1)/$G236,2))</f>
        <v/>
      </c>
      <c r="P236" s="12">
        <f>IF(OR($D236="",$G236=0),"",ROUND($F236*INDEX('01人员工时'!L$7:L$126,INT((ROW()-7)/4)+1)/$G236,2))</f>
        <v/>
      </c>
      <c r="Q236" s="12">
        <f>IF(OR($D236="",$G236=0),"",ROUND($F236*INDEX('01人员工时'!M$7:M$126,INT((ROW()-7)/4)+1)/$G236,2))</f>
        <v/>
      </c>
      <c r="R236" s="12">
        <f>IF(OR($D236="",$G236=0),"",ROUND($F236*INDEX('01人员工时'!N$7:N$126,INT((ROW()-7)/4)+1)/$G236,2))</f>
        <v/>
      </c>
      <c r="S236" s="12">
        <f>IF($D236="","",SUM(K236:R236))</f>
        <v/>
      </c>
      <c r="T236" s="12">
        <f>IF($D236="","",$J236+$S236)</f>
        <v/>
      </c>
      <c r="U236" s="25">
        <f>IF($D236="","",IF($F236=0,"未维护标准",IF(ROUND($T236-$F236,2)=0,"√","差异")))</f>
        <v/>
      </c>
      <c r="V236" s="11" t="n"/>
      <c r="W236" s="9" t="n"/>
    </row>
    <row r="237" ht="18" customHeight="1">
      <c r="B237" s="21">
        <f>IF(INDEX('01人员工时'!$D$7:$D$126,INT((ROW()-7)/4)+1)&amp;""="","",INDEX('01人员工时'!$B$7:$B$126,INT((ROW()-7)/4)+1))</f>
        <v/>
      </c>
      <c r="C237" s="22">
        <f>IF($D237="","",IF(MOD(ROW()-7,4)=0,INDEX('01人员工时'!$C$7:$C$126,INT((ROW()-7)/4)+1),""))</f>
        <v/>
      </c>
      <c r="D237" s="22">
        <f>IF(INDEX('01人员工时'!$D$7:$D$126,INT((ROW()-7)/4)+1)&amp;""="","",INDEX('01人员工时'!$D$7:$D$126,INT((ROW()-7)/4)+1))</f>
        <v/>
      </c>
      <c r="E237" s="22">
        <f>IF($D237="","",INDEX('参数设置'!$K$6:$K$9,MOD(ROW()-7,4)+1))</f>
        <v/>
      </c>
      <c r="F237" s="23">
        <f>IF($D237="","",IF($V237&lt;&gt;"",$V237,IFERROR(INDEX('参数设置'!$D$17:$G$26,MATCH($D237,'参数设置'!$C$17:$C$26,0),MATCH($E237,'参数设置'!$D$16:$G$16,0)),0)))</f>
        <v/>
      </c>
      <c r="G237" s="24">
        <f>IF($D237="","",INDEX('01人员工时'!$E$7:$E$126,INT((ROW()-7)/4)+1))</f>
        <v/>
      </c>
      <c r="H237" s="24">
        <f>IF($D237="","",INDEX('01人员工时'!$O$7:$O$126,INT((ROW()-7)/4)+1))</f>
        <v/>
      </c>
      <c r="I237" s="20">
        <f>IF(OR($D237="",$G237=0),"",$H237/$G237)</f>
        <v/>
      </c>
      <c r="J237" s="12">
        <f>IF($D237="","",ROUND($F237,2)-$S237)</f>
        <v/>
      </c>
      <c r="K237" s="12">
        <f>IF(OR($D237="",$G237=0),"",ROUND($F237*INDEX('01人员工时'!G$7:G$126,INT((ROW()-7)/4)+1)/$G237,2))</f>
        <v/>
      </c>
      <c r="L237" s="12">
        <f>IF(OR($D237="",$G237=0),"",ROUND($F237*INDEX('01人员工时'!H$7:H$126,INT((ROW()-7)/4)+1)/$G237,2))</f>
        <v/>
      </c>
      <c r="M237" s="12">
        <f>IF(OR($D237="",$G237=0),"",ROUND($F237*INDEX('01人员工时'!I$7:I$126,INT((ROW()-7)/4)+1)/$G237,2))</f>
        <v/>
      </c>
      <c r="N237" s="12">
        <f>IF(OR($D237="",$G237=0),"",ROUND($F237*INDEX('01人员工时'!J$7:J$126,INT((ROW()-7)/4)+1)/$G237,2))</f>
        <v/>
      </c>
      <c r="O237" s="12">
        <f>IF(OR($D237="",$G237=0),"",ROUND($F237*INDEX('01人员工时'!K$7:K$126,INT((ROW()-7)/4)+1)/$G237,2))</f>
        <v/>
      </c>
      <c r="P237" s="12">
        <f>IF(OR($D237="",$G237=0),"",ROUND($F237*INDEX('01人员工时'!L$7:L$126,INT((ROW()-7)/4)+1)/$G237,2))</f>
        <v/>
      </c>
      <c r="Q237" s="12">
        <f>IF(OR($D237="",$G237=0),"",ROUND($F237*INDEX('01人员工时'!M$7:M$126,INT((ROW()-7)/4)+1)/$G237,2))</f>
        <v/>
      </c>
      <c r="R237" s="12">
        <f>IF(OR($D237="",$G237=0),"",ROUND($F237*INDEX('01人员工时'!N$7:N$126,INT((ROW()-7)/4)+1)/$G237,2))</f>
        <v/>
      </c>
      <c r="S237" s="12">
        <f>IF($D237="","",SUM(K237:R237))</f>
        <v/>
      </c>
      <c r="T237" s="12">
        <f>IF($D237="","",$J237+$S237)</f>
        <v/>
      </c>
      <c r="U237" s="25">
        <f>IF($D237="","",IF($F237=0,"未维护标准",IF(ROUND($T237-$F237,2)=0,"√","差异")))</f>
        <v/>
      </c>
      <c r="V237" s="11" t="n"/>
      <c r="W237" s="9" t="n"/>
    </row>
    <row r="238" ht="18" customHeight="1">
      <c r="B238" s="26">
        <f>IF(INDEX('01人员工时'!$D$7:$D$126,INT((ROW()-7)/4)+1)&amp;""="","",INDEX('01人员工时'!$B$7:$B$126,INT((ROW()-7)/4)+1))</f>
        <v/>
      </c>
      <c r="C238" s="27">
        <f>IF($D238="","",IF(MOD(ROW()-7,4)=0,INDEX('01人员工时'!$C$7:$C$126,INT((ROW()-7)/4)+1),""))</f>
        <v/>
      </c>
      <c r="D238" s="27">
        <f>IF(INDEX('01人员工时'!$D$7:$D$126,INT((ROW()-7)/4)+1)&amp;""="","",INDEX('01人员工时'!$D$7:$D$126,INT((ROW()-7)/4)+1))</f>
        <v/>
      </c>
      <c r="E238" s="27">
        <f>IF($D238="","",INDEX('参数设置'!$K$6:$K$9,MOD(ROW()-7,4)+1))</f>
        <v/>
      </c>
      <c r="F238" s="28">
        <f>IF($D238="","",IF($V238&lt;&gt;"",$V238,IFERROR(INDEX('参数设置'!$D$17:$G$26,MATCH($D238,'参数设置'!$C$17:$C$26,0),MATCH($E238,'参数设置'!$D$16:$G$16,0)),0)))</f>
        <v/>
      </c>
      <c r="G238" s="29">
        <f>IF($D238="","",INDEX('01人员工时'!$E$7:$E$126,INT((ROW()-7)/4)+1))</f>
        <v/>
      </c>
      <c r="H238" s="29">
        <f>IF($D238="","",INDEX('01人员工时'!$O$7:$O$126,INT((ROW()-7)/4)+1))</f>
        <v/>
      </c>
      <c r="I238" s="30">
        <f>IF(OR($D238="",$G238=0),"",$H238/$G238)</f>
        <v/>
      </c>
      <c r="J238" s="31">
        <f>IF($D238="","",ROUND($F238,2)-$S238)</f>
        <v/>
      </c>
      <c r="K238" s="31">
        <f>IF(OR($D238="",$G238=0),"",ROUND($F238*INDEX('01人员工时'!G$7:G$126,INT((ROW()-7)/4)+1)/$G238,2))</f>
        <v/>
      </c>
      <c r="L238" s="31">
        <f>IF(OR($D238="",$G238=0),"",ROUND($F238*INDEX('01人员工时'!H$7:H$126,INT((ROW()-7)/4)+1)/$G238,2))</f>
        <v/>
      </c>
      <c r="M238" s="31">
        <f>IF(OR($D238="",$G238=0),"",ROUND($F238*INDEX('01人员工时'!I$7:I$126,INT((ROW()-7)/4)+1)/$G238,2))</f>
        <v/>
      </c>
      <c r="N238" s="31">
        <f>IF(OR($D238="",$G238=0),"",ROUND($F238*INDEX('01人员工时'!J$7:J$126,INT((ROW()-7)/4)+1)/$G238,2))</f>
        <v/>
      </c>
      <c r="O238" s="31">
        <f>IF(OR($D238="",$G238=0),"",ROUND($F238*INDEX('01人员工时'!K$7:K$126,INT((ROW()-7)/4)+1)/$G238,2))</f>
        <v/>
      </c>
      <c r="P238" s="31">
        <f>IF(OR($D238="",$G238=0),"",ROUND($F238*INDEX('01人员工时'!L$7:L$126,INT((ROW()-7)/4)+1)/$G238,2))</f>
        <v/>
      </c>
      <c r="Q238" s="31">
        <f>IF(OR($D238="",$G238=0),"",ROUND($F238*INDEX('01人员工时'!M$7:M$126,INT((ROW()-7)/4)+1)/$G238,2))</f>
        <v/>
      </c>
      <c r="R238" s="31">
        <f>IF(OR($D238="",$G238=0),"",ROUND($F238*INDEX('01人员工时'!N$7:N$126,INT((ROW()-7)/4)+1)/$G238,2))</f>
        <v/>
      </c>
      <c r="S238" s="31">
        <f>IF($D238="","",SUM(K238:R238))</f>
        <v/>
      </c>
      <c r="T238" s="31">
        <f>IF($D238="","",$J238+$S238)</f>
        <v/>
      </c>
      <c r="U238" s="32">
        <f>IF($D238="","",IF($F238=0,"未维护标准",IF(ROUND($T238-$F238,2)=0,"√","差异")))</f>
        <v/>
      </c>
      <c r="V238" s="33" t="n"/>
      <c r="W238" s="34" t="n"/>
    </row>
    <row r="239" ht="18" customHeight="1">
      <c r="B239" s="21">
        <f>IF(INDEX('01人员工时'!$D$7:$D$126,INT((ROW()-7)/4)+1)&amp;""="","",INDEX('01人员工时'!$B$7:$B$126,INT((ROW()-7)/4)+1))</f>
        <v/>
      </c>
      <c r="C239" s="22">
        <f>IF($D239="","",IF(MOD(ROW()-7,4)=0,INDEX('01人员工时'!$C$7:$C$126,INT((ROW()-7)/4)+1),""))</f>
        <v/>
      </c>
      <c r="D239" s="22">
        <f>IF(INDEX('01人员工时'!$D$7:$D$126,INT((ROW()-7)/4)+1)&amp;""="","",INDEX('01人员工时'!$D$7:$D$126,INT((ROW()-7)/4)+1))</f>
        <v/>
      </c>
      <c r="E239" s="22">
        <f>IF($D239="","",INDEX('参数设置'!$K$6:$K$9,MOD(ROW()-7,4)+1))</f>
        <v/>
      </c>
      <c r="F239" s="23">
        <f>IF($D239="","",IF($V239&lt;&gt;"",$V239,IFERROR(INDEX('参数设置'!$D$17:$G$26,MATCH($D239,'参数设置'!$C$17:$C$26,0),MATCH($E239,'参数设置'!$D$16:$G$16,0)),0)))</f>
        <v/>
      </c>
      <c r="G239" s="24">
        <f>IF($D239="","",INDEX('01人员工时'!$E$7:$E$126,INT((ROW()-7)/4)+1))</f>
        <v/>
      </c>
      <c r="H239" s="24">
        <f>IF($D239="","",INDEX('01人员工时'!$O$7:$O$126,INT((ROW()-7)/4)+1))</f>
        <v/>
      </c>
      <c r="I239" s="20">
        <f>IF(OR($D239="",$G239=0),"",$H239/$G239)</f>
        <v/>
      </c>
      <c r="J239" s="12">
        <f>IF($D239="","",ROUND($F239,2)-$S239)</f>
        <v/>
      </c>
      <c r="K239" s="12">
        <f>IF(OR($D239="",$G239=0),"",ROUND($F239*INDEX('01人员工时'!G$7:G$126,INT((ROW()-7)/4)+1)/$G239,2))</f>
        <v/>
      </c>
      <c r="L239" s="12">
        <f>IF(OR($D239="",$G239=0),"",ROUND($F239*INDEX('01人员工时'!H$7:H$126,INT((ROW()-7)/4)+1)/$G239,2))</f>
        <v/>
      </c>
      <c r="M239" s="12">
        <f>IF(OR($D239="",$G239=0),"",ROUND($F239*INDEX('01人员工时'!I$7:I$126,INT((ROW()-7)/4)+1)/$G239,2))</f>
        <v/>
      </c>
      <c r="N239" s="12">
        <f>IF(OR($D239="",$G239=0),"",ROUND($F239*INDEX('01人员工时'!J$7:J$126,INT((ROW()-7)/4)+1)/$G239,2))</f>
        <v/>
      </c>
      <c r="O239" s="12">
        <f>IF(OR($D239="",$G239=0),"",ROUND($F239*INDEX('01人员工时'!K$7:K$126,INT((ROW()-7)/4)+1)/$G239,2))</f>
        <v/>
      </c>
      <c r="P239" s="12">
        <f>IF(OR($D239="",$G239=0),"",ROUND($F239*INDEX('01人员工时'!L$7:L$126,INT((ROW()-7)/4)+1)/$G239,2))</f>
        <v/>
      </c>
      <c r="Q239" s="12">
        <f>IF(OR($D239="",$G239=0),"",ROUND($F239*INDEX('01人员工时'!M$7:M$126,INT((ROW()-7)/4)+1)/$G239,2))</f>
        <v/>
      </c>
      <c r="R239" s="12">
        <f>IF(OR($D239="",$G239=0),"",ROUND($F239*INDEX('01人员工时'!N$7:N$126,INT((ROW()-7)/4)+1)/$G239,2))</f>
        <v/>
      </c>
      <c r="S239" s="12">
        <f>IF($D239="","",SUM(K239:R239))</f>
        <v/>
      </c>
      <c r="T239" s="12">
        <f>IF($D239="","",$J239+$S239)</f>
        <v/>
      </c>
      <c r="U239" s="25">
        <f>IF($D239="","",IF($F239=0,"未维护标准",IF(ROUND($T239-$F239,2)=0,"√","差异")))</f>
        <v/>
      </c>
      <c r="V239" s="11" t="n"/>
      <c r="W239" s="9" t="n"/>
    </row>
    <row r="240" ht="18" customHeight="1">
      <c r="B240" s="21">
        <f>IF(INDEX('01人员工时'!$D$7:$D$126,INT((ROW()-7)/4)+1)&amp;""="","",INDEX('01人员工时'!$B$7:$B$126,INT((ROW()-7)/4)+1))</f>
        <v/>
      </c>
      <c r="C240" s="22">
        <f>IF($D240="","",IF(MOD(ROW()-7,4)=0,INDEX('01人员工时'!$C$7:$C$126,INT((ROW()-7)/4)+1),""))</f>
        <v/>
      </c>
      <c r="D240" s="22">
        <f>IF(INDEX('01人员工时'!$D$7:$D$126,INT((ROW()-7)/4)+1)&amp;""="","",INDEX('01人员工时'!$D$7:$D$126,INT((ROW()-7)/4)+1))</f>
        <v/>
      </c>
      <c r="E240" s="22">
        <f>IF($D240="","",INDEX('参数设置'!$K$6:$K$9,MOD(ROW()-7,4)+1))</f>
        <v/>
      </c>
      <c r="F240" s="23">
        <f>IF($D240="","",IF($V240&lt;&gt;"",$V240,IFERROR(INDEX('参数设置'!$D$17:$G$26,MATCH($D240,'参数设置'!$C$17:$C$26,0),MATCH($E240,'参数设置'!$D$16:$G$16,0)),0)))</f>
        <v/>
      </c>
      <c r="G240" s="24">
        <f>IF($D240="","",INDEX('01人员工时'!$E$7:$E$126,INT((ROW()-7)/4)+1))</f>
        <v/>
      </c>
      <c r="H240" s="24">
        <f>IF($D240="","",INDEX('01人员工时'!$O$7:$O$126,INT((ROW()-7)/4)+1))</f>
        <v/>
      </c>
      <c r="I240" s="20">
        <f>IF(OR($D240="",$G240=0),"",$H240/$G240)</f>
        <v/>
      </c>
      <c r="J240" s="12">
        <f>IF($D240="","",ROUND($F240,2)-$S240)</f>
        <v/>
      </c>
      <c r="K240" s="12">
        <f>IF(OR($D240="",$G240=0),"",ROUND($F240*INDEX('01人员工时'!G$7:G$126,INT((ROW()-7)/4)+1)/$G240,2))</f>
        <v/>
      </c>
      <c r="L240" s="12">
        <f>IF(OR($D240="",$G240=0),"",ROUND($F240*INDEX('01人员工时'!H$7:H$126,INT((ROW()-7)/4)+1)/$G240,2))</f>
        <v/>
      </c>
      <c r="M240" s="12">
        <f>IF(OR($D240="",$G240=0),"",ROUND($F240*INDEX('01人员工时'!I$7:I$126,INT((ROW()-7)/4)+1)/$G240,2))</f>
        <v/>
      </c>
      <c r="N240" s="12">
        <f>IF(OR($D240="",$G240=0),"",ROUND($F240*INDEX('01人员工时'!J$7:J$126,INT((ROW()-7)/4)+1)/$G240,2))</f>
        <v/>
      </c>
      <c r="O240" s="12">
        <f>IF(OR($D240="",$G240=0),"",ROUND($F240*INDEX('01人员工时'!K$7:K$126,INT((ROW()-7)/4)+1)/$G240,2))</f>
        <v/>
      </c>
      <c r="P240" s="12">
        <f>IF(OR($D240="",$G240=0),"",ROUND($F240*INDEX('01人员工时'!L$7:L$126,INT((ROW()-7)/4)+1)/$G240,2))</f>
        <v/>
      </c>
      <c r="Q240" s="12">
        <f>IF(OR($D240="",$G240=0),"",ROUND($F240*INDEX('01人员工时'!M$7:M$126,INT((ROW()-7)/4)+1)/$G240,2))</f>
        <v/>
      </c>
      <c r="R240" s="12">
        <f>IF(OR($D240="",$G240=0),"",ROUND($F240*INDEX('01人员工时'!N$7:N$126,INT((ROW()-7)/4)+1)/$G240,2))</f>
        <v/>
      </c>
      <c r="S240" s="12">
        <f>IF($D240="","",SUM(K240:R240))</f>
        <v/>
      </c>
      <c r="T240" s="12">
        <f>IF($D240="","",$J240+$S240)</f>
        <v/>
      </c>
      <c r="U240" s="25">
        <f>IF($D240="","",IF($F240=0,"未维护标准",IF(ROUND($T240-$F240,2)=0,"√","差异")))</f>
        <v/>
      </c>
      <c r="V240" s="11" t="n"/>
      <c r="W240" s="9" t="n"/>
    </row>
    <row r="241" ht="18" customHeight="1">
      <c r="B241" s="21">
        <f>IF(INDEX('01人员工时'!$D$7:$D$126,INT((ROW()-7)/4)+1)&amp;""="","",INDEX('01人员工时'!$B$7:$B$126,INT((ROW()-7)/4)+1))</f>
        <v/>
      </c>
      <c r="C241" s="22">
        <f>IF($D241="","",IF(MOD(ROW()-7,4)=0,INDEX('01人员工时'!$C$7:$C$126,INT((ROW()-7)/4)+1),""))</f>
        <v/>
      </c>
      <c r="D241" s="22">
        <f>IF(INDEX('01人员工时'!$D$7:$D$126,INT((ROW()-7)/4)+1)&amp;""="","",INDEX('01人员工时'!$D$7:$D$126,INT((ROW()-7)/4)+1))</f>
        <v/>
      </c>
      <c r="E241" s="22">
        <f>IF($D241="","",INDEX('参数设置'!$K$6:$K$9,MOD(ROW()-7,4)+1))</f>
        <v/>
      </c>
      <c r="F241" s="23">
        <f>IF($D241="","",IF($V241&lt;&gt;"",$V241,IFERROR(INDEX('参数设置'!$D$17:$G$26,MATCH($D241,'参数设置'!$C$17:$C$26,0),MATCH($E241,'参数设置'!$D$16:$G$16,0)),0)))</f>
        <v/>
      </c>
      <c r="G241" s="24">
        <f>IF($D241="","",INDEX('01人员工时'!$E$7:$E$126,INT((ROW()-7)/4)+1))</f>
        <v/>
      </c>
      <c r="H241" s="24">
        <f>IF($D241="","",INDEX('01人员工时'!$O$7:$O$126,INT((ROW()-7)/4)+1))</f>
        <v/>
      </c>
      <c r="I241" s="20">
        <f>IF(OR($D241="",$G241=0),"",$H241/$G241)</f>
        <v/>
      </c>
      <c r="J241" s="12">
        <f>IF($D241="","",ROUND($F241,2)-$S241)</f>
        <v/>
      </c>
      <c r="K241" s="12">
        <f>IF(OR($D241="",$G241=0),"",ROUND($F241*INDEX('01人员工时'!G$7:G$126,INT((ROW()-7)/4)+1)/$G241,2))</f>
        <v/>
      </c>
      <c r="L241" s="12">
        <f>IF(OR($D241="",$G241=0),"",ROUND($F241*INDEX('01人员工时'!H$7:H$126,INT((ROW()-7)/4)+1)/$G241,2))</f>
        <v/>
      </c>
      <c r="M241" s="12">
        <f>IF(OR($D241="",$G241=0),"",ROUND($F241*INDEX('01人员工时'!I$7:I$126,INT((ROW()-7)/4)+1)/$G241,2))</f>
        <v/>
      </c>
      <c r="N241" s="12">
        <f>IF(OR($D241="",$G241=0),"",ROUND($F241*INDEX('01人员工时'!J$7:J$126,INT((ROW()-7)/4)+1)/$G241,2))</f>
        <v/>
      </c>
      <c r="O241" s="12">
        <f>IF(OR($D241="",$G241=0),"",ROUND($F241*INDEX('01人员工时'!K$7:K$126,INT((ROW()-7)/4)+1)/$G241,2))</f>
        <v/>
      </c>
      <c r="P241" s="12">
        <f>IF(OR($D241="",$G241=0),"",ROUND($F241*INDEX('01人员工时'!L$7:L$126,INT((ROW()-7)/4)+1)/$G241,2))</f>
        <v/>
      </c>
      <c r="Q241" s="12">
        <f>IF(OR($D241="",$G241=0),"",ROUND($F241*INDEX('01人员工时'!M$7:M$126,INT((ROW()-7)/4)+1)/$G241,2))</f>
        <v/>
      </c>
      <c r="R241" s="12">
        <f>IF(OR($D241="",$G241=0),"",ROUND($F241*INDEX('01人员工时'!N$7:N$126,INT((ROW()-7)/4)+1)/$G241,2))</f>
        <v/>
      </c>
      <c r="S241" s="12">
        <f>IF($D241="","",SUM(K241:R241))</f>
        <v/>
      </c>
      <c r="T241" s="12">
        <f>IF($D241="","",$J241+$S241)</f>
        <v/>
      </c>
      <c r="U241" s="25">
        <f>IF($D241="","",IF($F241=0,"未维护标准",IF(ROUND($T241-$F241,2)=0,"√","差异")))</f>
        <v/>
      </c>
      <c r="V241" s="11" t="n"/>
      <c r="W241" s="9" t="n"/>
    </row>
    <row r="242" ht="18" customHeight="1">
      <c r="B242" s="26">
        <f>IF(INDEX('01人员工时'!$D$7:$D$126,INT((ROW()-7)/4)+1)&amp;""="","",INDEX('01人员工时'!$B$7:$B$126,INT((ROW()-7)/4)+1))</f>
        <v/>
      </c>
      <c r="C242" s="27">
        <f>IF($D242="","",IF(MOD(ROW()-7,4)=0,INDEX('01人员工时'!$C$7:$C$126,INT((ROW()-7)/4)+1),""))</f>
        <v/>
      </c>
      <c r="D242" s="27">
        <f>IF(INDEX('01人员工时'!$D$7:$D$126,INT((ROW()-7)/4)+1)&amp;""="","",INDEX('01人员工时'!$D$7:$D$126,INT((ROW()-7)/4)+1))</f>
        <v/>
      </c>
      <c r="E242" s="27">
        <f>IF($D242="","",INDEX('参数设置'!$K$6:$K$9,MOD(ROW()-7,4)+1))</f>
        <v/>
      </c>
      <c r="F242" s="28">
        <f>IF($D242="","",IF($V242&lt;&gt;"",$V242,IFERROR(INDEX('参数设置'!$D$17:$G$26,MATCH($D242,'参数设置'!$C$17:$C$26,0),MATCH($E242,'参数设置'!$D$16:$G$16,0)),0)))</f>
        <v/>
      </c>
      <c r="G242" s="29">
        <f>IF($D242="","",INDEX('01人员工时'!$E$7:$E$126,INT((ROW()-7)/4)+1))</f>
        <v/>
      </c>
      <c r="H242" s="29">
        <f>IF($D242="","",INDEX('01人员工时'!$O$7:$O$126,INT((ROW()-7)/4)+1))</f>
        <v/>
      </c>
      <c r="I242" s="30">
        <f>IF(OR($D242="",$G242=0),"",$H242/$G242)</f>
        <v/>
      </c>
      <c r="J242" s="31">
        <f>IF($D242="","",ROUND($F242,2)-$S242)</f>
        <v/>
      </c>
      <c r="K242" s="31">
        <f>IF(OR($D242="",$G242=0),"",ROUND($F242*INDEX('01人员工时'!G$7:G$126,INT((ROW()-7)/4)+1)/$G242,2))</f>
        <v/>
      </c>
      <c r="L242" s="31">
        <f>IF(OR($D242="",$G242=0),"",ROUND($F242*INDEX('01人员工时'!H$7:H$126,INT((ROW()-7)/4)+1)/$G242,2))</f>
        <v/>
      </c>
      <c r="M242" s="31">
        <f>IF(OR($D242="",$G242=0),"",ROUND($F242*INDEX('01人员工时'!I$7:I$126,INT((ROW()-7)/4)+1)/$G242,2))</f>
        <v/>
      </c>
      <c r="N242" s="31">
        <f>IF(OR($D242="",$G242=0),"",ROUND($F242*INDEX('01人员工时'!J$7:J$126,INT((ROW()-7)/4)+1)/$G242,2))</f>
        <v/>
      </c>
      <c r="O242" s="31">
        <f>IF(OR($D242="",$G242=0),"",ROUND($F242*INDEX('01人员工时'!K$7:K$126,INT((ROW()-7)/4)+1)/$G242,2))</f>
        <v/>
      </c>
      <c r="P242" s="31">
        <f>IF(OR($D242="",$G242=0),"",ROUND($F242*INDEX('01人员工时'!L$7:L$126,INT((ROW()-7)/4)+1)/$G242,2))</f>
        <v/>
      </c>
      <c r="Q242" s="31">
        <f>IF(OR($D242="",$G242=0),"",ROUND($F242*INDEX('01人员工时'!M$7:M$126,INT((ROW()-7)/4)+1)/$G242,2))</f>
        <v/>
      </c>
      <c r="R242" s="31">
        <f>IF(OR($D242="",$G242=0),"",ROUND($F242*INDEX('01人员工时'!N$7:N$126,INT((ROW()-7)/4)+1)/$G242,2))</f>
        <v/>
      </c>
      <c r="S242" s="31">
        <f>IF($D242="","",SUM(K242:R242))</f>
        <v/>
      </c>
      <c r="T242" s="31">
        <f>IF($D242="","",$J242+$S242)</f>
        <v/>
      </c>
      <c r="U242" s="32">
        <f>IF($D242="","",IF($F242=0,"未维护标准",IF(ROUND($T242-$F242,2)=0,"√","差异")))</f>
        <v/>
      </c>
      <c r="V242" s="33" t="n"/>
      <c r="W242" s="34" t="n"/>
    </row>
    <row r="243" ht="18" customHeight="1">
      <c r="B243" s="21">
        <f>IF(INDEX('01人员工时'!$D$7:$D$126,INT((ROW()-7)/4)+1)&amp;""="","",INDEX('01人员工时'!$B$7:$B$126,INT((ROW()-7)/4)+1))</f>
        <v/>
      </c>
      <c r="C243" s="22">
        <f>IF($D243="","",IF(MOD(ROW()-7,4)=0,INDEX('01人员工时'!$C$7:$C$126,INT((ROW()-7)/4)+1),""))</f>
        <v/>
      </c>
      <c r="D243" s="22">
        <f>IF(INDEX('01人员工时'!$D$7:$D$126,INT((ROW()-7)/4)+1)&amp;""="","",INDEX('01人员工时'!$D$7:$D$126,INT((ROW()-7)/4)+1))</f>
        <v/>
      </c>
      <c r="E243" s="22">
        <f>IF($D243="","",INDEX('参数设置'!$K$6:$K$9,MOD(ROW()-7,4)+1))</f>
        <v/>
      </c>
      <c r="F243" s="23">
        <f>IF($D243="","",IF($V243&lt;&gt;"",$V243,IFERROR(INDEX('参数设置'!$D$17:$G$26,MATCH($D243,'参数设置'!$C$17:$C$26,0),MATCH($E243,'参数设置'!$D$16:$G$16,0)),0)))</f>
        <v/>
      </c>
      <c r="G243" s="24">
        <f>IF($D243="","",INDEX('01人员工时'!$E$7:$E$126,INT((ROW()-7)/4)+1))</f>
        <v/>
      </c>
      <c r="H243" s="24">
        <f>IF($D243="","",INDEX('01人员工时'!$O$7:$O$126,INT((ROW()-7)/4)+1))</f>
        <v/>
      </c>
      <c r="I243" s="20">
        <f>IF(OR($D243="",$G243=0),"",$H243/$G243)</f>
        <v/>
      </c>
      <c r="J243" s="12">
        <f>IF($D243="","",ROUND($F243,2)-$S243)</f>
        <v/>
      </c>
      <c r="K243" s="12">
        <f>IF(OR($D243="",$G243=0),"",ROUND($F243*INDEX('01人员工时'!G$7:G$126,INT((ROW()-7)/4)+1)/$G243,2))</f>
        <v/>
      </c>
      <c r="L243" s="12">
        <f>IF(OR($D243="",$G243=0),"",ROUND($F243*INDEX('01人员工时'!H$7:H$126,INT((ROW()-7)/4)+1)/$G243,2))</f>
        <v/>
      </c>
      <c r="M243" s="12">
        <f>IF(OR($D243="",$G243=0),"",ROUND($F243*INDEX('01人员工时'!I$7:I$126,INT((ROW()-7)/4)+1)/$G243,2))</f>
        <v/>
      </c>
      <c r="N243" s="12">
        <f>IF(OR($D243="",$G243=0),"",ROUND($F243*INDEX('01人员工时'!J$7:J$126,INT((ROW()-7)/4)+1)/$G243,2))</f>
        <v/>
      </c>
      <c r="O243" s="12">
        <f>IF(OR($D243="",$G243=0),"",ROUND($F243*INDEX('01人员工时'!K$7:K$126,INT((ROW()-7)/4)+1)/$G243,2))</f>
        <v/>
      </c>
      <c r="P243" s="12">
        <f>IF(OR($D243="",$G243=0),"",ROUND($F243*INDEX('01人员工时'!L$7:L$126,INT((ROW()-7)/4)+1)/$G243,2))</f>
        <v/>
      </c>
      <c r="Q243" s="12">
        <f>IF(OR($D243="",$G243=0),"",ROUND($F243*INDEX('01人员工时'!M$7:M$126,INT((ROW()-7)/4)+1)/$G243,2))</f>
        <v/>
      </c>
      <c r="R243" s="12">
        <f>IF(OR($D243="",$G243=0),"",ROUND($F243*INDEX('01人员工时'!N$7:N$126,INT((ROW()-7)/4)+1)/$G243,2))</f>
        <v/>
      </c>
      <c r="S243" s="12">
        <f>IF($D243="","",SUM(K243:R243))</f>
        <v/>
      </c>
      <c r="T243" s="12">
        <f>IF($D243="","",$J243+$S243)</f>
        <v/>
      </c>
      <c r="U243" s="25">
        <f>IF($D243="","",IF($F243=0,"未维护标准",IF(ROUND($T243-$F243,2)=0,"√","差异")))</f>
        <v/>
      </c>
      <c r="V243" s="11" t="n"/>
      <c r="W243" s="9" t="n"/>
    </row>
    <row r="244" ht="18" customHeight="1">
      <c r="B244" s="21">
        <f>IF(INDEX('01人员工时'!$D$7:$D$126,INT((ROW()-7)/4)+1)&amp;""="","",INDEX('01人员工时'!$B$7:$B$126,INT((ROW()-7)/4)+1))</f>
        <v/>
      </c>
      <c r="C244" s="22">
        <f>IF($D244="","",IF(MOD(ROW()-7,4)=0,INDEX('01人员工时'!$C$7:$C$126,INT((ROW()-7)/4)+1),""))</f>
        <v/>
      </c>
      <c r="D244" s="22">
        <f>IF(INDEX('01人员工时'!$D$7:$D$126,INT((ROW()-7)/4)+1)&amp;""="","",INDEX('01人员工时'!$D$7:$D$126,INT((ROW()-7)/4)+1))</f>
        <v/>
      </c>
      <c r="E244" s="22">
        <f>IF($D244="","",INDEX('参数设置'!$K$6:$K$9,MOD(ROW()-7,4)+1))</f>
        <v/>
      </c>
      <c r="F244" s="23">
        <f>IF($D244="","",IF($V244&lt;&gt;"",$V244,IFERROR(INDEX('参数设置'!$D$17:$G$26,MATCH($D244,'参数设置'!$C$17:$C$26,0),MATCH($E244,'参数设置'!$D$16:$G$16,0)),0)))</f>
        <v/>
      </c>
      <c r="G244" s="24">
        <f>IF($D244="","",INDEX('01人员工时'!$E$7:$E$126,INT((ROW()-7)/4)+1))</f>
        <v/>
      </c>
      <c r="H244" s="24">
        <f>IF($D244="","",INDEX('01人员工时'!$O$7:$O$126,INT((ROW()-7)/4)+1))</f>
        <v/>
      </c>
      <c r="I244" s="20">
        <f>IF(OR($D244="",$G244=0),"",$H244/$G244)</f>
        <v/>
      </c>
      <c r="J244" s="12">
        <f>IF($D244="","",ROUND($F244,2)-$S244)</f>
        <v/>
      </c>
      <c r="K244" s="12">
        <f>IF(OR($D244="",$G244=0),"",ROUND($F244*INDEX('01人员工时'!G$7:G$126,INT((ROW()-7)/4)+1)/$G244,2))</f>
        <v/>
      </c>
      <c r="L244" s="12">
        <f>IF(OR($D244="",$G244=0),"",ROUND($F244*INDEX('01人员工时'!H$7:H$126,INT((ROW()-7)/4)+1)/$G244,2))</f>
        <v/>
      </c>
      <c r="M244" s="12">
        <f>IF(OR($D244="",$G244=0),"",ROUND($F244*INDEX('01人员工时'!I$7:I$126,INT((ROW()-7)/4)+1)/$G244,2))</f>
        <v/>
      </c>
      <c r="N244" s="12">
        <f>IF(OR($D244="",$G244=0),"",ROUND($F244*INDEX('01人员工时'!J$7:J$126,INT((ROW()-7)/4)+1)/$G244,2))</f>
        <v/>
      </c>
      <c r="O244" s="12">
        <f>IF(OR($D244="",$G244=0),"",ROUND($F244*INDEX('01人员工时'!K$7:K$126,INT((ROW()-7)/4)+1)/$G244,2))</f>
        <v/>
      </c>
      <c r="P244" s="12">
        <f>IF(OR($D244="",$G244=0),"",ROUND($F244*INDEX('01人员工时'!L$7:L$126,INT((ROW()-7)/4)+1)/$G244,2))</f>
        <v/>
      </c>
      <c r="Q244" s="12">
        <f>IF(OR($D244="",$G244=0),"",ROUND($F244*INDEX('01人员工时'!M$7:M$126,INT((ROW()-7)/4)+1)/$G244,2))</f>
        <v/>
      </c>
      <c r="R244" s="12">
        <f>IF(OR($D244="",$G244=0),"",ROUND($F244*INDEX('01人员工时'!N$7:N$126,INT((ROW()-7)/4)+1)/$G244,2))</f>
        <v/>
      </c>
      <c r="S244" s="12">
        <f>IF($D244="","",SUM(K244:R244))</f>
        <v/>
      </c>
      <c r="T244" s="12">
        <f>IF($D244="","",$J244+$S244)</f>
        <v/>
      </c>
      <c r="U244" s="25">
        <f>IF($D244="","",IF($F244=0,"未维护标准",IF(ROUND($T244-$F244,2)=0,"√","差异")))</f>
        <v/>
      </c>
      <c r="V244" s="11" t="n"/>
      <c r="W244" s="9" t="n"/>
    </row>
    <row r="245" ht="18" customHeight="1">
      <c r="B245" s="21">
        <f>IF(INDEX('01人员工时'!$D$7:$D$126,INT((ROW()-7)/4)+1)&amp;""="","",INDEX('01人员工时'!$B$7:$B$126,INT((ROW()-7)/4)+1))</f>
        <v/>
      </c>
      <c r="C245" s="22">
        <f>IF($D245="","",IF(MOD(ROW()-7,4)=0,INDEX('01人员工时'!$C$7:$C$126,INT((ROW()-7)/4)+1),""))</f>
        <v/>
      </c>
      <c r="D245" s="22">
        <f>IF(INDEX('01人员工时'!$D$7:$D$126,INT((ROW()-7)/4)+1)&amp;""="","",INDEX('01人员工时'!$D$7:$D$126,INT((ROW()-7)/4)+1))</f>
        <v/>
      </c>
      <c r="E245" s="22">
        <f>IF($D245="","",INDEX('参数设置'!$K$6:$K$9,MOD(ROW()-7,4)+1))</f>
        <v/>
      </c>
      <c r="F245" s="23">
        <f>IF($D245="","",IF($V245&lt;&gt;"",$V245,IFERROR(INDEX('参数设置'!$D$17:$G$26,MATCH($D245,'参数设置'!$C$17:$C$26,0),MATCH($E245,'参数设置'!$D$16:$G$16,0)),0)))</f>
        <v/>
      </c>
      <c r="G245" s="24">
        <f>IF($D245="","",INDEX('01人员工时'!$E$7:$E$126,INT((ROW()-7)/4)+1))</f>
        <v/>
      </c>
      <c r="H245" s="24">
        <f>IF($D245="","",INDEX('01人员工时'!$O$7:$O$126,INT((ROW()-7)/4)+1))</f>
        <v/>
      </c>
      <c r="I245" s="20">
        <f>IF(OR($D245="",$G245=0),"",$H245/$G245)</f>
        <v/>
      </c>
      <c r="J245" s="12">
        <f>IF($D245="","",ROUND($F245,2)-$S245)</f>
        <v/>
      </c>
      <c r="K245" s="12">
        <f>IF(OR($D245="",$G245=0),"",ROUND($F245*INDEX('01人员工时'!G$7:G$126,INT((ROW()-7)/4)+1)/$G245,2))</f>
        <v/>
      </c>
      <c r="L245" s="12">
        <f>IF(OR($D245="",$G245=0),"",ROUND($F245*INDEX('01人员工时'!H$7:H$126,INT((ROW()-7)/4)+1)/$G245,2))</f>
        <v/>
      </c>
      <c r="M245" s="12">
        <f>IF(OR($D245="",$G245=0),"",ROUND($F245*INDEX('01人员工时'!I$7:I$126,INT((ROW()-7)/4)+1)/$G245,2))</f>
        <v/>
      </c>
      <c r="N245" s="12">
        <f>IF(OR($D245="",$G245=0),"",ROUND($F245*INDEX('01人员工时'!J$7:J$126,INT((ROW()-7)/4)+1)/$G245,2))</f>
        <v/>
      </c>
      <c r="O245" s="12">
        <f>IF(OR($D245="",$G245=0),"",ROUND($F245*INDEX('01人员工时'!K$7:K$126,INT((ROW()-7)/4)+1)/$G245,2))</f>
        <v/>
      </c>
      <c r="P245" s="12">
        <f>IF(OR($D245="",$G245=0),"",ROUND($F245*INDEX('01人员工时'!L$7:L$126,INT((ROW()-7)/4)+1)/$G245,2))</f>
        <v/>
      </c>
      <c r="Q245" s="12">
        <f>IF(OR($D245="",$G245=0),"",ROUND($F245*INDEX('01人员工时'!M$7:M$126,INT((ROW()-7)/4)+1)/$G245,2))</f>
        <v/>
      </c>
      <c r="R245" s="12">
        <f>IF(OR($D245="",$G245=0),"",ROUND($F245*INDEX('01人员工时'!N$7:N$126,INT((ROW()-7)/4)+1)/$G245,2))</f>
        <v/>
      </c>
      <c r="S245" s="12">
        <f>IF($D245="","",SUM(K245:R245))</f>
        <v/>
      </c>
      <c r="T245" s="12">
        <f>IF($D245="","",$J245+$S245)</f>
        <v/>
      </c>
      <c r="U245" s="25">
        <f>IF($D245="","",IF($F245=0,"未维护标准",IF(ROUND($T245-$F245,2)=0,"√","差异")))</f>
        <v/>
      </c>
      <c r="V245" s="11" t="n"/>
      <c r="W245" s="9" t="n"/>
    </row>
    <row r="246" ht="18" customHeight="1">
      <c r="B246" s="26">
        <f>IF(INDEX('01人员工时'!$D$7:$D$126,INT((ROW()-7)/4)+1)&amp;""="","",INDEX('01人员工时'!$B$7:$B$126,INT((ROW()-7)/4)+1))</f>
        <v/>
      </c>
      <c r="C246" s="27">
        <f>IF($D246="","",IF(MOD(ROW()-7,4)=0,INDEX('01人员工时'!$C$7:$C$126,INT((ROW()-7)/4)+1),""))</f>
        <v/>
      </c>
      <c r="D246" s="27">
        <f>IF(INDEX('01人员工时'!$D$7:$D$126,INT((ROW()-7)/4)+1)&amp;""="","",INDEX('01人员工时'!$D$7:$D$126,INT((ROW()-7)/4)+1))</f>
        <v/>
      </c>
      <c r="E246" s="27">
        <f>IF($D246="","",INDEX('参数设置'!$K$6:$K$9,MOD(ROW()-7,4)+1))</f>
        <v/>
      </c>
      <c r="F246" s="28">
        <f>IF($D246="","",IF($V246&lt;&gt;"",$V246,IFERROR(INDEX('参数设置'!$D$17:$G$26,MATCH($D246,'参数设置'!$C$17:$C$26,0),MATCH($E246,'参数设置'!$D$16:$G$16,0)),0)))</f>
        <v/>
      </c>
      <c r="G246" s="29">
        <f>IF($D246="","",INDEX('01人员工时'!$E$7:$E$126,INT((ROW()-7)/4)+1))</f>
        <v/>
      </c>
      <c r="H246" s="29">
        <f>IF($D246="","",INDEX('01人员工时'!$O$7:$O$126,INT((ROW()-7)/4)+1))</f>
        <v/>
      </c>
      <c r="I246" s="30">
        <f>IF(OR($D246="",$G246=0),"",$H246/$G246)</f>
        <v/>
      </c>
      <c r="J246" s="31">
        <f>IF($D246="","",ROUND($F246,2)-$S246)</f>
        <v/>
      </c>
      <c r="K246" s="31">
        <f>IF(OR($D246="",$G246=0),"",ROUND($F246*INDEX('01人员工时'!G$7:G$126,INT((ROW()-7)/4)+1)/$G246,2))</f>
        <v/>
      </c>
      <c r="L246" s="31">
        <f>IF(OR($D246="",$G246=0),"",ROUND($F246*INDEX('01人员工时'!H$7:H$126,INT((ROW()-7)/4)+1)/$G246,2))</f>
        <v/>
      </c>
      <c r="M246" s="31">
        <f>IF(OR($D246="",$G246=0),"",ROUND($F246*INDEX('01人员工时'!I$7:I$126,INT((ROW()-7)/4)+1)/$G246,2))</f>
        <v/>
      </c>
      <c r="N246" s="31">
        <f>IF(OR($D246="",$G246=0),"",ROUND($F246*INDEX('01人员工时'!J$7:J$126,INT((ROW()-7)/4)+1)/$G246,2))</f>
        <v/>
      </c>
      <c r="O246" s="31">
        <f>IF(OR($D246="",$G246=0),"",ROUND($F246*INDEX('01人员工时'!K$7:K$126,INT((ROW()-7)/4)+1)/$G246,2))</f>
        <v/>
      </c>
      <c r="P246" s="31">
        <f>IF(OR($D246="",$G246=0),"",ROUND($F246*INDEX('01人员工时'!L$7:L$126,INT((ROW()-7)/4)+1)/$G246,2))</f>
        <v/>
      </c>
      <c r="Q246" s="31">
        <f>IF(OR($D246="",$G246=0),"",ROUND($F246*INDEX('01人员工时'!M$7:M$126,INT((ROW()-7)/4)+1)/$G246,2))</f>
        <v/>
      </c>
      <c r="R246" s="31">
        <f>IF(OR($D246="",$G246=0),"",ROUND($F246*INDEX('01人员工时'!N$7:N$126,INT((ROW()-7)/4)+1)/$G246,2))</f>
        <v/>
      </c>
      <c r="S246" s="31">
        <f>IF($D246="","",SUM(K246:R246))</f>
        <v/>
      </c>
      <c r="T246" s="31">
        <f>IF($D246="","",$J246+$S246)</f>
        <v/>
      </c>
      <c r="U246" s="32">
        <f>IF($D246="","",IF($F246=0,"未维护标准",IF(ROUND($T246-$F246,2)=0,"√","差异")))</f>
        <v/>
      </c>
      <c r="V246" s="33" t="n"/>
      <c r="W246" s="34" t="n"/>
    </row>
    <row r="247" ht="18" customHeight="1">
      <c r="B247" s="21">
        <f>IF(INDEX('01人员工时'!$D$7:$D$126,INT((ROW()-7)/4)+1)&amp;""="","",INDEX('01人员工时'!$B$7:$B$126,INT((ROW()-7)/4)+1))</f>
        <v/>
      </c>
      <c r="C247" s="22">
        <f>IF($D247="","",IF(MOD(ROW()-7,4)=0,INDEX('01人员工时'!$C$7:$C$126,INT((ROW()-7)/4)+1),""))</f>
        <v/>
      </c>
      <c r="D247" s="22">
        <f>IF(INDEX('01人员工时'!$D$7:$D$126,INT((ROW()-7)/4)+1)&amp;""="","",INDEX('01人员工时'!$D$7:$D$126,INT((ROW()-7)/4)+1))</f>
        <v/>
      </c>
      <c r="E247" s="22">
        <f>IF($D247="","",INDEX('参数设置'!$K$6:$K$9,MOD(ROW()-7,4)+1))</f>
        <v/>
      </c>
      <c r="F247" s="23">
        <f>IF($D247="","",IF($V247&lt;&gt;"",$V247,IFERROR(INDEX('参数设置'!$D$17:$G$26,MATCH($D247,'参数设置'!$C$17:$C$26,0),MATCH($E247,'参数设置'!$D$16:$G$16,0)),0)))</f>
        <v/>
      </c>
      <c r="G247" s="24">
        <f>IF($D247="","",INDEX('01人员工时'!$E$7:$E$126,INT((ROW()-7)/4)+1))</f>
        <v/>
      </c>
      <c r="H247" s="24">
        <f>IF($D247="","",INDEX('01人员工时'!$O$7:$O$126,INT((ROW()-7)/4)+1))</f>
        <v/>
      </c>
      <c r="I247" s="20">
        <f>IF(OR($D247="",$G247=0),"",$H247/$G247)</f>
        <v/>
      </c>
      <c r="J247" s="12">
        <f>IF($D247="","",ROUND($F247,2)-$S247)</f>
        <v/>
      </c>
      <c r="K247" s="12">
        <f>IF(OR($D247="",$G247=0),"",ROUND($F247*INDEX('01人员工时'!G$7:G$126,INT((ROW()-7)/4)+1)/$G247,2))</f>
        <v/>
      </c>
      <c r="L247" s="12">
        <f>IF(OR($D247="",$G247=0),"",ROUND($F247*INDEX('01人员工时'!H$7:H$126,INT((ROW()-7)/4)+1)/$G247,2))</f>
        <v/>
      </c>
      <c r="M247" s="12">
        <f>IF(OR($D247="",$G247=0),"",ROUND($F247*INDEX('01人员工时'!I$7:I$126,INT((ROW()-7)/4)+1)/$G247,2))</f>
        <v/>
      </c>
      <c r="N247" s="12">
        <f>IF(OR($D247="",$G247=0),"",ROUND($F247*INDEX('01人员工时'!J$7:J$126,INT((ROW()-7)/4)+1)/$G247,2))</f>
        <v/>
      </c>
      <c r="O247" s="12">
        <f>IF(OR($D247="",$G247=0),"",ROUND($F247*INDEX('01人员工时'!K$7:K$126,INT((ROW()-7)/4)+1)/$G247,2))</f>
        <v/>
      </c>
      <c r="P247" s="12">
        <f>IF(OR($D247="",$G247=0),"",ROUND($F247*INDEX('01人员工时'!L$7:L$126,INT((ROW()-7)/4)+1)/$G247,2))</f>
        <v/>
      </c>
      <c r="Q247" s="12">
        <f>IF(OR($D247="",$G247=0),"",ROUND($F247*INDEX('01人员工时'!M$7:M$126,INT((ROW()-7)/4)+1)/$G247,2))</f>
        <v/>
      </c>
      <c r="R247" s="12">
        <f>IF(OR($D247="",$G247=0),"",ROUND($F247*INDEX('01人员工时'!N$7:N$126,INT((ROW()-7)/4)+1)/$G247,2))</f>
        <v/>
      </c>
      <c r="S247" s="12">
        <f>IF($D247="","",SUM(K247:R247))</f>
        <v/>
      </c>
      <c r="T247" s="12">
        <f>IF($D247="","",$J247+$S247)</f>
        <v/>
      </c>
      <c r="U247" s="25">
        <f>IF($D247="","",IF($F247=0,"未维护标准",IF(ROUND($T247-$F247,2)=0,"√","差异")))</f>
        <v/>
      </c>
      <c r="V247" s="11" t="n"/>
      <c r="W247" s="9" t="n"/>
    </row>
    <row r="248" ht="18" customHeight="1">
      <c r="B248" s="21">
        <f>IF(INDEX('01人员工时'!$D$7:$D$126,INT((ROW()-7)/4)+1)&amp;""="","",INDEX('01人员工时'!$B$7:$B$126,INT((ROW()-7)/4)+1))</f>
        <v/>
      </c>
      <c r="C248" s="22">
        <f>IF($D248="","",IF(MOD(ROW()-7,4)=0,INDEX('01人员工时'!$C$7:$C$126,INT((ROW()-7)/4)+1),""))</f>
        <v/>
      </c>
      <c r="D248" s="22">
        <f>IF(INDEX('01人员工时'!$D$7:$D$126,INT((ROW()-7)/4)+1)&amp;""="","",INDEX('01人员工时'!$D$7:$D$126,INT((ROW()-7)/4)+1))</f>
        <v/>
      </c>
      <c r="E248" s="22">
        <f>IF($D248="","",INDEX('参数设置'!$K$6:$K$9,MOD(ROW()-7,4)+1))</f>
        <v/>
      </c>
      <c r="F248" s="23">
        <f>IF($D248="","",IF($V248&lt;&gt;"",$V248,IFERROR(INDEX('参数设置'!$D$17:$G$26,MATCH($D248,'参数设置'!$C$17:$C$26,0),MATCH($E248,'参数设置'!$D$16:$G$16,0)),0)))</f>
        <v/>
      </c>
      <c r="G248" s="24">
        <f>IF($D248="","",INDEX('01人员工时'!$E$7:$E$126,INT((ROW()-7)/4)+1))</f>
        <v/>
      </c>
      <c r="H248" s="24">
        <f>IF($D248="","",INDEX('01人员工时'!$O$7:$O$126,INT((ROW()-7)/4)+1))</f>
        <v/>
      </c>
      <c r="I248" s="20">
        <f>IF(OR($D248="",$G248=0),"",$H248/$G248)</f>
        <v/>
      </c>
      <c r="J248" s="12">
        <f>IF($D248="","",ROUND($F248,2)-$S248)</f>
        <v/>
      </c>
      <c r="K248" s="12">
        <f>IF(OR($D248="",$G248=0),"",ROUND($F248*INDEX('01人员工时'!G$7:G$126,INT((ROW()-7)/4)+1)/$G248,2))</f>
        <v/>
      </c>
      <c r="L248" s="12">
        <f>IF(OR($D248="",$G248=0),"",ROUND($F248*INDEX('01人员工时'!H$7:H$126,INT((ROW()-7)/4)+1)/$G248,2))</f>
        <v/>
      </c>
      <c r="M248" s="12">
        <f>IF(OR($D248="",$G248=0),"",ROUND($F248*INDEX('01人员工时'!I$7:I$126,INT((ROW()-7)/4)+1)/$G248,2))</f>
        <v/>
      </c>
      <c r="N248" s="12">
        <f>IF(OR($D248="",$G248=0),"",ROUND($F248*INDEX('01人员工时'!J$7:J$126,INT((ROW()-7)/4)+1)/$G248,2))</f>
        <v/>
      </c>
      <c r="O248" s="12">
        <f>IF(OR($D248="",$G248=0),"",ROUND($F248*INDEX('01人员工时'!K$7:K$126,INT((ROW()-7)/4)+1)/$G248,2))</f>
        <v/>
      </c>
      <c r="P248" s="12">
        <f>IF(OR($D248="",$G248=0),"",ROUND($F248*INDEX('01人员工时'!L$7:L$126,INT((ROW()-7)/4)+1)/$G248,2))</f>
        <v/>
      </c>
      <c r="Q248" s="12">
        <f>IF(OR($D248="",$G248=0),"",ROUND($F248*INDEX('01人员工时'!M$7:M$126,INT((ROW()-7)/4)+1)/$G248,2))</f>
        <v/>
      </c>
      <c r="R248" s="12">
        <f>IF(OR($D248="",$G248=0),"",ROUND($F248*INDEX('01人员工时'!N$7:N$126,INT((ROW()-7)/4)+1)/$G248,2))</f>
        <v/>
      </c>
      <c r="S248" s="12">
        <f>IF($D248="","",SUM(K248:R248))</f>
        <v/>
      </c>
      <c r="T248" s="12">
        <f>IF($D248="","",$J248+$S248)</f>
        <v/>
      </c>
      <c r="U248" s="25">
        <f>IF($D248="","",IF($F248=0,"未维护标准",IF(ROUND($T248-$F248,2)=0,"√","差异")))</f>
        <v/>
      </c>
      <c r="V248" s="11" t="n"/>
      <c r="W248" s="9" t="n"/>
    </row>
    <row r="249" ht="18" customHeight="1">
      <c r="B249" s="21">
        <f>IF(INDEX('01人员工时'!$D$7:$D$126,INT((ROW()-7)/4)+1)&amp;""="","",INDEX('01人员工时'!$B$7:$B$126,INT((ROW()-7)/4)+1))</f>
        <v/>
      </c>
      <c r="C249" s="22">
        <f>IF($D249="","",IF(MOD(ROW()-7,4)=0,INDEX('01人员工时'!$C$7:$C$126,INT((ROW()-7)/4)+1),""))</f>
        <v/>
      </c>
      <c r="D249" s="22">
        <f>IF(INDEX('01人员工时'!$D$7:$D$126,INT((ROW()-7)/4)+1)&amp;""="","",INDEX('01人员工时'!$D$7:$D$126,INT((ROW()-7)/4)+1))</f>
        <v/>
      </c>
      <c r="E249" s="22">
        <f>IF($D249="","",INDEX('参数设置'!$K$6:$K$9,MOD(ROW()-7,4)+1))</f>
        <v/>
      </c>
      <c r="F249" s="23">
        <f>IF($D249="","",IF($V249&lt;&gt;"",$V249,IFERROR(INDEX('参数设置'!$D$17:$G$26,MATCH($D249,'参数设置'!$C$17:$C$26,0),MATCH($E249,'参数设置'!$D$16:$G$16,0)),0)))</f>
        <v/>
      </c>
      <c r="G249" s="24">
        <f>IF($D249="","",INDEX('01人员工时'!$E$7:$E$126,INT((ROW()-7)/4)+1))</f>
        <v/>
      </c>
      <c r="H249" s="24">
        <f>IF($D249="","",INDEX('01人员工时'!$O$7:$O$126,INT((ROW()-7)/4)+1))</f>
        <v/>
      </c>
      <c r="I249" s="20">
        <f>IF(OR($D249="",$G249=0),"",$H249/$G249)</f>
        <v/>
      </c>
      <c r="J249" s="12">
        <f>IF($D249="","",ROUND($F249,2)-$S249)</f>
        <v/>
      </c>
      <c r="K249" s="12">
        <f>IF(OR($D249="",$G249=0),"",ROUND($F249*INDEX('01人员工时'!G$7:G$126,INT((ROW()-7)/4)+1)/$G249,2))</f>
        <v/>
      </c>
      <c r="L249" s="12">
        <f>IF(OR($D249="",$G249=0),"",ROUND($F249*INDEX('01人员工时'!H$7:H$126,INT((ROW()-7)/4)+1)/$G249,2))</f>
        <v/>
      </c>
      <c r="M249" s="12">
        <f>IF(OR($D249="",$G249=0),"",ROUND($F249*INDEX('01人员工时'!I$7:I$126,INT((ROW()-7)/4)+1)/$G249,2))</f>
        <v/>
      </c>
      <c r="N249" s="12">
        <f>IF(OR($D249="",$G249=0),"",ROUND($F249*INDEX('01人员工时'!J$7:J$126,INT((ROW()-7)/4)+1)/$G249,2))</f>
        <v/>
      </c>
      <c r="O249" s="12">
        <f>IF(OR($D249="",$G249=0),"",ROUND($F249*INDEX('01人员工时'!K$7:K$126,INT((ROW()-7)/4)+1)/$G249,2))</f>
        <v/>
      </c>
      <c r="P249" s="12">
        <f>IF(OR($D249="",$G249=0),"",ROUND($F249*INDEX('01人员工时'!L$7:L$126,INT((ROW()-7)/4)+1)/$G249,2))</f>
        <v/>
      </c>
      <c r="Q249" s="12">
        <f>IF(OR($D249="",$G249=0),"",ROUND($F249*INDEX('01人员工时'!M$7:M$126,INT((ROW()-7)/4)+1)/$G249,2))</f>
        <v/>
      </c>
      <c r="R249" s="12">
        <f>IF(OR($D249="",$G249=0),"",ROUND($F249*INDEX('01人员工时'!N$7:N$126,INT((ROW()-7)/4)+1)/$G249,2))</f>
        <v/>
      </c>
      <c r="S249" s="12">
        <f>IF($D249="","",SUM(K249:R249))</f>
        <v/>
      </c>
      <c r="T249" s="12">
        <f>IF($D249="","",$J249+$S249)</f>
        <v/>
      </c>
      <c r="U249" s="25">
        <f>IF($D249="","",IF($F249=0,"未维护标准",IF(ROUND($T249-$F249,2)=0,"√","差异")))</f>
        <v/>
      </c>
      <c r="V249" s="11" t="n"/>
      <c r="W249" s="9" t="n"/>
    </row>
    <row r="250" ht="18" customHeight="1">
      <c r="B250" s="26">
        <f>IF(INDEX('01人员工时'!$D$7:$D$126,INT((ROW()-7)/4)+1)&amp;""="","",INDEX('01人员工时'!$B$7:$B$126,INT((ROW()-7)/4)+1))</f>
        <v/>
      </c>
      <c r="C250" s="27">
        <f>IF($D250="","",IF(MOD(ROW()-7,4)=0,INDEX('01人员工时'!$C$7:$C$126,INT((ROW()-7)/4)+1),""))</f>
        <v/>
      </c>
      <c r="D250" s="27">
        <f>IF(INDEX('01人员工时'!$D$7:$D$126,INT((ROW()-7)/4)+1)&amp;""="","",INDEX('01人员工时'!$D$7:$D$126,INT((ROW()-7)/4)+1))</f>
        <v/>
      </c>
      <c r="E250" s="27">
        <f>IF($D250="","",INDEX('参数设置'!$K$6:$K$9,MOD(ROW()-7,4)+1))</f>
        <v/>
      </c>
      <c r="F250" s="28">
        <f>IF($D250="","",IF($V250&lt;&gt;"",$V250,IFERROR(INDEX('参数设置'!$D$17:$G$26,MATCH($D250,'参数设置'!$C$17:$C$26,0),MATCH($E250,'参数设置'!$D$16:$G$16,0)),0)))</f>
        <v/>
      </c>
      <c r="G250" s="29">
        <f>IF($D250="","",INDEX('01人员工时'!$E$7:$E$126,INT((ROW()-7)/4)+1))</f>
        <v/>
      </c>
      <c r="H250" s="29">
        <f>IF($D250="","",INDEX('01人员工时'!$O$7:$O$126,INT((ROW()-7)/4)+1))</f>
        <v/>
      </c>
      <c r="I250" s="30">
        <f>IF(OR($D250="",$G250=0),"",$H250/$G250)</f>
        <v/>
      </c>
      <c r="J250" s="31">
        <f>IF($D250="","",ROUND($F250,2)-$S250)</f>
        <v/>
      </c>
      <c r="K250" s="31">
        <f>IF(OR($D250="",$G250=0),"",ROUND($F250*INDEX('01人员工时'!G$7:G$126,INT((ROW()-7)/4)+1)/$G250,2))</f>
        <v/>
      </c>
      <c r="L250" s="31">
        <f>IF(OR($D250="",$G250=0),"",ROUND($F250*INDEX('01人员工时'!H$7:H$126,INT((ROW()-7)/4)+1)/$G250,2))</f>
        <v/>
      </c>
      <c r="M250" s="31">
        <f>IF(OR($D250="",$G250=0),"",ROUND($F250*INDEX('01人员工时'!I$7:I$126,INT((ROW()-7)/4)+1)/$G250,2))</f>
        <v/>
      </c>
      <c r="N250" s="31">
        <f>IF(OR($D250="",$G250=0),"",ROUND($F250*INDEX('01人员工时'!J$7:J$126,INT((ROW()-7)/4)+1)/$G250,2))</f>
        <v/>
      </c>
      <c r="O250" s="31">
        <f>IF(OR($D250="",$G250=0),"",ROUND($F250*INDEX('01人员工时'!K$7:K$126,INT((ROW()-7)/4)+1)/$G250,2))</f>
        <v/>
      </c>
      <c r="P250" s="31">
        <f>IF(OR($D250="",$G250=0),"",ROUND($F250*INDEX('01人员工时'!L$7:L$126,INT((ROW()-7)/4)+1)/$G250,2))</f>
        <v/>
      </c>
      <c r="Q250" s="31">
        <f>IF(OR($D250="",$G250=0),"",ROUND($F250*INDEX('01人员工时'!M$7:M$126,INT((ROW()-7)/4)+1)/$G250,2))</f>
        <v/>
      </c>
      <c r="R250" s="31">
        <f>IF(OR($D250="",$G250=0),"",ROUND($F250*INDEX('01人员工时'!N$7:N$126,INT((ROW()-7)/4)+1)/$G250,2))</f>
        <v/>
      </c>
      <c r="S250" s="31">
        <f>IF($D250="","",SUM(K250:R250))</f>
        <v/>
      </c>
      <c r="T250" s="31">
        <f>IF($D250="","",$J250+$S250)</f>
        <v/>
      </c>
      <c r="U250" s="32">
        <f>IF($D250="","",IF($F250=0,"未维护标准",IF(ROUND($T250-$F250,2)=0,"√","差异")))</f>
        <v/>
      </c>
      <c r="V250" s="33" t="n"/>
      <c r="W250" s="34" t="n"/>
    </row>
    <row r="251" ht="18" customHeight="1">
      <c r="B251" s="21">
        <f>IF(INDEX('01人员工时'!$D$7:$D$126,INT((ROW()-7)/4)+1)&amp;""="","",INDEX('01人员工时'!$B$7:$B$126,INT((ROW()-7)/4)+1))</f>
        <v/>
      </c>
      <c r="C251" s="22">
        <f>IF($D251="","",IF(MOD(ROW()-7,4)=0,INDEX('01人员工时'!$C$7:$C$126,INT((ROW()-7)/4)+1),""))</f>
        <v/>
      </c>
      <c r="D251" s="22">
        <f>IF(INDEX('01人员工时'!$D$7:$D$126,INT((ROW()-7)/4)+1)&amp;""="","",INDEX('01人员工时'!$D$7:$D$126,INT((ROW()-7)/4)+1))</f>
        <v/>
      </c>
      <c r="E251" s="22">
        <f>IF($D251="","",INDEX('参数设置'!$K$6:$K$9,MOD(ROW()-7,4)+1))</f>
        <v/>
      </c>
      <c r="F251" s="23">
        <f>IF($D251="","",IF($V251&lt;&gt;"",$V251,IFERROR(INDEX('参数设置'!$D$17:$G$26,MATCH($D251,'参数设置'!$C$17:$C$26,0),MATCH($E251,'参数设置'!$D$16:$G$16,0)),0)))</f>
        <v/>
      </c>
      <c r="G251" s="24">
        <f>IF($D251="","",INDEX('01人员工时'!$E$7:$E$126,INT((ROW()-7)/4)+1))</f>
        <v/>
      </c>
      <c r="H251" s="24">
        <f>IF($D251="","",INDEX('01人员工时'!$O$7:$O$126,INT((ROW()-7)/4)+1))</f>
        <v/>
      </c>
      <c r="I251" s="20">
        <f>IF(OR($D251="",$G251=0),"",$H251/$G251)</f>
        <v/>
      </c>
      <c r="J251" s="12">
        <f>IF($D251="","",ROUND($F251,2)-$S251)</f>
        <v/>
      </c>
      <c r="K251" s="12">
        <f>IF(OR($D251="",$G251=0),"",ROUND($F251*INDEX('01人员工时'!G$7:G$126,INT((ROW()-7)/4)+1)/$G251,2))</f>
        <v/>
      </c>
      <c r="L251" s="12">
        <f>IF(OR($D251="",$G251=0),"",ROUND($F251*INDEX('01人员工时'!H$7:H$126,INT((ROW()-7)/4)+1)/$G251,2))</f>
        <v/>
      </c>
      <c r="M251" s="12">
        <f>IF(OR($D251="",$G251=0),"",ROUND($F251*INDEX('01人员工时'!I$7:I$126,INT((ROW()-7)/4)+1)/$G251,2))</f>
        <v/>
      </c>
      <c r="N251" s="12">
        <f>IF(OR($D251="",$G251=0),"",ROUND($F251*INDEX('01人员工时'!J$7:J$126,INT((ROW()-7)/4)+1)/$G251,2))</f>
        <v/>
      </c>
      <c r="O251" s="12">
        <f>IF(OR($D251="",$G251=0),"",ROUND($F251*INDEX('01人员工时'!K$7:K$126,INT((ROW()-7)/4)+1)/$G251,2))</f>
        <v/>
      </c>
      <c r="P251" s="12">
        <f>IF(OR($D251="",$G251=0),"",ROUND($F251*INDEX('01人员工时'!L$7:L$126,INT((ROW()-7)/4)+1)/$G251,2))</f>
        <v/>
      </c>
      <c r="Q251" s="12">
        <f>IF(OR($D251="",$G251=0),"",ROUND($F251*INDEX('01人员工时'!M$7:M$126,INT((ROW()-7)/4)+1)/$G251,2))</f>
        <v/>
      </c>
      <c r="R251" s="12">
        <f>IF(OR($D251="",$G251=0),"",ROUND($F251*INDEX('01人员工时'!N$7:N$126,INT((ROW()-7)/4)+1)/$G251,2))</f>
        <v/>
      </c>
      <c r="S251" s="12">
        <f>IF($D251="","",SUM(K251:R251))</f>
        <v/>
      </c>
      <c r="T251" s="12">
        <f>IF($D251="","",$J251+$S251)</f>
        <v/>
      </c>
      <c r="U251" s="25">
        <f>IF($D251="","",IF($F251=0,"未维护标准",IF(ROUND($T251-$F251,2)=0,"√","差异")))</f>
        <v/>
      </c>
      <c r="V251" s="11" t="n"/>
      <c r="W251" s="9" t="n"/>
    </row>
    <row r="252" ht="18" customHeight="1">
      <c r="B252" s="21">
        <f>IF(INDEX('01人员工时'!$D$7:$D$126,INT((ROW()-7)/4)+1)&amp;""="","",INDEX('01人员工时'!$B$7:$B$126,INT((ROW()-7)/4)+1))</f>
        <v/>
      </c>
      <c r="C252" s="22">
        <f>IF($D252="","",IF(MOD(ROW()-7,4)=0,INDEX('01人员工时'!$C$7:$C$126,INT((ROW()-7)/4)+1),""))</f>
        <v/>
      </c>
      <c r="D252" s="22">
        <f>IF(INDEX('01人员工时'!$D$7:$D$126,INT((ROW()-7)/4)+1)&amp;""="","",INDEX('01人员工时'!$D$7:$D$126,INT((ROW()-7)/4)+1))</f>
        <v/>
      </c>
      <c r="E252" s="22">
        <f>IF($D252="","",INDEX('参数设置'!$K$6:$K$9,MOD(ROW()-7,4)+1))</f>
        <v/>
      </c>
      <c r="F252" s="23">
        <f>IF($D252="","",IF($V252&lt;&gt;"",$V252,IFERROR(INDEX('参数设置'!$D$17:$G$26,MATCH($D252,'参数设置'!$C$17:$C$26,0),MATCH($E252,'参数设置'!$D$16:$G$16,0)),0)))</f>
        <v/>
      </c>
      <c r="G252" s="24">
        <f>IF($D252="","",INDEX('01人员工时'!$E$7:$E$126,INT((ROW()-7)/4)+1))</f>
        <v/>
      </c>
      <c r="H252" s="24">
        <f>IF($D252="","",INDEX('01人员工时'!$O$7:$O$126,INT((ROW()-7)/4)+1))</f>
        <v/>
      </c>
      <c r="I252" s="20">
        <f>IF(OR($D252="",$G252=0),"",$H252/$G252)</f>
        <v/>
      </c>
      <c r="J252" s="12">
        <f>IF($D252="","",ROUND($F252,2)-$S252)</f>
        <v/>
      </c>
      <c r="K252" s="12">
        <f>IF(OR($D252="",$G252=0),"",ROUND($F252*INDEX('01人员工时'!G$7:G$126,INT((ROW()-7)/4)+1)/$G252,2))</f>
        <v/>
      </c>
      <c r="L252" s="12">
        <f>IF(OR($D252="",$G252=0),"",ROUND($F252*INDEX('01人员工时'!H$7:H$126,INT((ROW()-7)/4)+1)/$G252,2))</f>
        <v/>
      </c>
      <c r="M252" s="12">
        <f>IF(OR($D252="",$G252=0),"",ROUND($F252*INDEX('01人员工时'!I$7:I$126,INT((ROW()-7)/4)+1)/$G252,2))</f>
        <v/>
      </c>
      <c r="N252" s="12">
        <f>IF(OR($D252="",$G252=0),"",ROUND($F252*INDEX('01人员工时'!J$7:J$126,INT((ROW()-7)/4)+1)/$G252,2))</f>
        <v/>
      </c>
      <c r="O252" s="12">
        <f>IF(OR($D252="",$G252=0),"",ROUND($F252*INDEX('01人员工时'!K$7:K$126,INT((ROW()-7)/4)+1)/$G252,2))</f>
        <v/>
      </c>
      <c r="P252" s="12">
        <f>IF(OR($D252="",$G252=0),"",ROUND($F252*INDEX('01人员工时'!L$7:L$126,INT((ROW()-7)/4)+1)/$G252,2))</f>
        <v/>
      </c>
      <c r="Q252" s="12">
        <f>IF(OR($D252="",$G252=0),"",ROUND($F252*INDEX('01人员工时'!M$7:M$126,INT((ROW()-7)/4)+1)/$G252,2))</f>
        <v/>
      </c>
      <c r="R252" s="12">
        <f>IF(OR($D252="",$G252=0),"",ROUND($F252*INDEX('01人员工时'!N$7:N$126,INT((ROW()-7)/4)+1)/$G252,2))</f>
        <v/>
      </c>
      <c r="S252" s="12">
        <f>IF($D252="","",SUM(K252:R252))</f>
        <v/>
      </c>
      <c r="T252" s="12">
        <f>IF($D252="","",$J252+$S252)</f>
        <v/>
      </c>
      <c r="U252" s="25">
        <f>IF($D252="","",IF($F252=0,"未维护标准",IF(ROUND($T252-$F252,2)=0,"√","差异")))</f>
        <v/>
      </c>
      <c r="V252" s="11" t="n"/>
      <c r="W252" s="9" t="n"/>
    </row>
    <row r="253" ht="18" customHeight="1">
      <c r="B253" s="21">
        <f>IF(INDEX('01人员工时'!$D$7:$D$126,INT((ROW()-7)/4)+1)&amp;""="","",INDEX('01人员工时'!$B$7:$B$126,INT((ROW()-7)/4)+1))</f>
        <v/>
      </c>
      <c r="C253" s="22">
        <f>IF($D253="","",IF(MOD(ROW()-7,4)=0,INDEX('01人员工时'!$C$7:$C$126,INT((ROW()-7)/4)+1),""))</f>
        <v/>
      </c>
      <c r="D253" s="22">
        <f>IF(INDEX('01人员工时'!$D$7:$D$126,INT((ROW()-7)/4)+1)&amp;""="","",INDEX('01人员工时'!$D$7:$D$126,INT((ROW()-7)/4)+1))</f>
        <v/>
      </c>
      <c r="E253" s="22">
        <f>IF($D253="","",INDEX('参数设置'!$K$6:$K$9,MOD(ROW()-7,4)+1))</f>
        <v/>
      </c>
      <c r="F253" s="23">
        <f>IF($D253="","",IF($V253&lt;&gt;"",$V253,IFERROR(INDEX('参数设置'!$D$17:$G$26,MATCH($D253,'参数设置'!$C$17:$C$26,0),MATCH($E253,'参数设置'!$D$16:$G$16,0)),0)))</f>
        <v/>
      </c>
      <c r="G253" s="24">
        <f>IF($D253="","",INDEX('01人员工时'!$E$7:$E$126,INT((ROW()-7)/4)+1))</f>
        <v/>
      </c>
      <c r="H253" s="24">
        <f>IF($D253="","",INDEX('01人员工时'!$O$7:$O$126,INT((ROW()-7)/4)+1))</f>
        <v/>
      </c>
      <c r="I253" s="20">
        <f>IF(OR($D253="",$G253=0),"",$H253/$G253)</f>
        <v/>
      </c>
      <c r="J253" s="12">
        <f>IF($D253="","",ROUND($F253,2)-$S253)</f>
        <v/>
      </c>
      <c r="K253" s="12">
        <f>IF(OR($D253="",$G253=0),"",ROUND($F253*INDEX('01人员工时'!G$7:G$126,INT((ROW()-7)/4)+1)/$G253,2))</f>
        <v/>
      </c>
      <c r="L253" s="12">
        <f>IF(OR($D253="",$G253=0),"",ROUND($F253*INDEX('01人员工时'!H$7:H$126,INT((ROW()-7)/4)+1)/$G253,2))</f>
        <v/>
      </c>
      <c r="M253" s="12">
        <f>IF(OR($D253="",$G253=0),"",ROUND($F253*INDEX('01人员工时'!I$7:I$126,INT((ROW()-7)/4)+1)/$G253,2))</f>
        <v/>
      </c>
      <c r="N253" s="12">
        <f>IF(OR($D253="",$G253=0),"",ROUND($F253*INDEX('01人员工时'!J$7:J$126,INT((ROW()-7)/4)+1)/$G253,2))</f>
        <v/>
      </c>
      <c r="O253" s="12">
        <f>IF(OR($D253="",$G253=0),"",ROUND($F253*INDEX('01人员工时'!K$7:K$126,INT((ROW()-7)/4)+1)/$G253,2))</f>
        <v/>
      </c>
      <c r="P253" s="12">
        <f>IF(OR($D253="",$G253=0),"",ROUND($F253*INDEX('01人员工时'!L$7:L$126,INT((ROW()-7)/4)+1)/$G253,2))</f>
        <v/>
      </c>
      <c r="Q253" s="12">
        <f>IF(OR($D253="",$G253=0),"",ROUND($F253*INDEX('01人员工时'!M$7:M$126,INT((ROW()-7)/4)+1)/$G253,2))</f>
        <v/>
      </c>
      <c r="R253" s="12">
        <f>IF(OR($D253="",$G253=0),"",ROUND($F253*INDEX('01人员工时'!N$7:N$126,INT((ROW()-7)/4)+1)/$G253,2))</f>
        <v/>
      </c>
      <c r="S253" s="12">
        <f>IF($D253="","",SUM(K253:R253))</f>
        <v/>
      </c>
      <c r="T253" s="12">
        <f>IF($D253="","",$J253+$S253)</f>
        <v/>
      </c>
      <c r="U253" s="25">
        <f>IF($D253="","",IF($F253=0,"未维护标准",IF(ROUND($T253-$F253,2)=0,"√","差异")))</f>
        <v/>
      </c>
      <c r="V253" s="11" t="n"/>
      <c r="W253" s="9" t="n"/>
    </row>
    <row r="254" ht="18" customHeight="1">
      <c r="B254" s="26">
        <f>IF(INDEX('01人员工时'!$D$7:$D$126,INT((ROW()-7)/4)+1)&amp;""="","",INDEX('01人员工时'!$B$7:$B$126,INT((ROW()-7)/4)+1))</f>
        <v/>
      </c>
      <c r="C254" s="27">
        <f>IF($D254="","",IF(MOD(ROW()-7,4)=0,INDEX('01人员工时'!$C$7:$C$126,INT((ROW()-7)/4)+1),""))</f>
        <v/>
      </c>
      <c r="D254" s="27">
        <f>IF(INDEX('01人员工时'!$D$7:$D$126,INT((ROW()-7)/4)+1)&amp;""="","",INDEX('01人员工时'!$D$7:$D$126,INT((ROW()-7)/4)+1))</f>
        <v/>
      </c>
      <c r="E254" s="27">
        <f>IF($D254="","",INDEX('参数设置'!$K$6:$K$9,MOD(ROW()-7,4)+1))</f>
        <v/>
      </c>
      <c r="F254" s="28">
        <f>IF($D254="","",IF($V254&lt;&gt;"",$V254,IFERROR(INDEX('参数设置'!$D$17:$G$26,MATCH($D254,'参数设置'!$C$17:$C$26,0),MATCH($E254,'参数设置'!$D$16:$G$16,0)),0)))</f>
        <v/>
      </c>
      <c r="G254" s="29">
        <f>IF($D254="","",INDEX('01人员工时'!$E$7:$E$126,INT((ROW()-7)/4)+1))</f>
        <v/>
      </c>
      <c r="H254" s="29">
        <f>IF($D254="","",INDEX('01人员工时'!$O$7:$O$126,INT((ROW()-7)/4)+1))</f>
        <v/>
      </c>
      <c r="I254" s="30">
        <f>IF(OR($D254="",$G254=0),"",$H254/$G254)</f>
        <v/>
      </c>
      <c r="J254" s="31">
        <f>IF($D254="","",ROUND($F254,2)-$S254)</f>
        <v/>
      </c>
      <c r="K254" s="31">
        <f>IF(OR($D254="",$G254=0),"",ROUND($F254*INDEX('01人员工时'!G$7:G$126,INT((ROW()-7)/4)+1)/$G254,2))</f>
        <v/>
      </c>
      <c r="L254" s="31">
        <f>IF(OR($D254="",$G254=0),"",ROUND($F254*INDEX('01人员工时'!H$7:H$126,INT((ROW()-7)/4)+1)/$G254,2))</f>
        <v/>
      </c>
      <c r="M254" s="31">
        <f>IF(OR($D254="",$G254=0),"",ROUND($F254*INDEX('01人员工时'!I$7:I$126,INT((ROW()-7)/4)+1)/$G254,2))</f>
        <v/>
      </c>
      <c r="N254" s="31">
        <f>IF(OR($D254="",$G254=0),"",ROUND($F254*INDEX('01人员工时'!J$7:J$126,INT((ROW()-7)/4)+1)/$G254,2))</f>
        <v/>
      </c>
      <c r="O254" s="31">
        <f>IF(OR($D254="",$G254=0),"",ROUND($F254*INDEX('01人员工时'!K$7:K$126,INT((ROW()-7)/4)+1)/$G254,2))</f>
        <v/>
      </c>
      <c r="P254" s="31">
        <f>IF(OR($D254="",$G254=0),"",ROUND($F254*INDEX('01人员工时'!L$7:L$126,INT((ROW()-7)/4)+1)/$G254,2))</f>
        <v/>
      </c>
      <c r="Q254" s="31">
        <f>IF(OR($D254="",$G254=0),"",ROUND($F254*INDEX('01人员工时'!M$7:M$126,INT((ROW()-7)/4)+1)/$G254,2))</f>
        <v/>
      </c>
      <c r="R254" s="31">
        <f>IF(OR($D254="",$G254=0),"",ROUND($F254*INDEX('01人员工时'!N$7:N$126,INT((ROW()-7)/4)+1)/$G254,2))</f>
        <v/>
      </c>
      <c r="S254" s="31">
        <f>IF($D254="","",SUM(K254:R254))</f>
        <v/>
      </c>
      <c r="T254" s="31">
        <f>IF($D254="","",$J254+$S254)</f>
        <v/>
      </c>
      <c r="U254" s="32">
        <f>IF($D254="","",IF($F254=0,"未维护标准",IF(ROUND($T254-$F254,2)=0,"√","差异")))</f>
        <v/>
      </c>
      <c r="V254" s="33" t="n"/>
      <c r="W254" s="34" t="n"/>
    </row>
    <row r="255" ht="18" customHeight="1">
      <c r="B255" s="21">
        <f>IF(INDEX('01人员工时'!$D$7:$D$126,INT((ROW()-7)/4)+1)&amp;""="","",INDEX('01人员工时'!$B$7:$B$126,INT((ROW()-7)/4)+1))</f>
        <v/>
      </c>
      <c r="C255" s="22">
        <f>IF($D255="","",IF(MOD(ROW()-7,4)=0,INDEX('01人员工时'!$C$7:$C$126,INT((ROW()-7)/4)+1),""))</f>
        <v/>
      </c>
      <c r="D255" s="22">
        <f>IF(INDEX('01人员工时'!$D$7:$D$126,INT((ROW()-7)/4)+1)&amp;""="","",INDEX('01人员工时'!$D$7:$D$126,INT((ROW()-7)/4)+1))</f>
        <v/>
      </c>
      <c r="E255" s="22">
        <f>IF($D255="","",INDEX('参数设置'!$K$6:$K$9,MOD(ROW()-7,4)+1))</f>
        <v/>
      </c>
      <c r="F255" s="23">
        <f>IF($D255="","",IF($V255&lt;&gt;"",$V255,IFERROR(INDEX('参数设置'!$D$17:$G$26,MATCH($D255,'参数设置'!$C$17:$C$26,0),MATCH($E255,'参数设置'!$D$16:$G$16,0)),0)))</f>
        <v/>
      </c>
      <c r="G255" s="24">
        <f>IF($D255="","",INDEX('01人员工时'!$E$7:$E$126,INT((ROW()-7)/4)+1))</f>
        <v/>
      </c>
      <c r="H255" s="24">
        <f>IF($D255="","",INDEX('01人员工时'!$O$7:$O$126,INT((ROW()-7)/4)+1))</f>
        <v/>
      </c>
      <c r="I255" s="20">
        <f>IF(OR($D255="",$G255=0),"",$H255/$G255)</f>
        <v/>
      </c>
      <c r="J255" s="12">
        <f>IF($D255="","",ROUND($F255,2)-$S255)</f>
        <v/>
      </c>
      <c r="K255" s="12">
        <f>IF(OR($D255="",$G255=0),"",ROUND($F255*INDEX('01人员工时'!G$7:G$126,INT((ROW()-7)/4)+1)/$G255,2))</f>
        <v/>
      </c>
      <c r="L255" s="12">
        <f>IF(OR($D255="",$G255=0),"",ROUND($F255*INDEX('01人员工时'!H$7:H$126,INT((ROW()-7)/4)+1)/$G255,2))</f>
        <v/>
      </c>
      <c r="M255" s="12">
        <f>IF(OR($D255="",$G255=0),"",ROUND($F255*INDEX('01人员工时'!I$7:I$126,INT((ROW()-7)/4)+1)/$G255,2))</f>
        <v/>
      </c>
      <c r="N255" s="12">
        <f>IF(OR($D255="",$G255=0),"",ROUND($F255*INDEX('01人员工时'!J$7:J$126,INT((ROW()-7)/4)+1)/$G255,2))</f>
        <v/>
      </c>
      <c r="O255" s="12">
        <f>IF(OR($D255="",$G255=0),"",ROUND($F255*INDEX('01人员工时'!K$7:K$126,INT((ROW()-7)/4)+1)/$G255,2))</f>
        <v/>
      </c>
      <c r="P255" s="12">
        <f>IF(OR($D255="",$G255=0),"",ROUND($F255*INDEX('01人员工时'!L$7:L$126,INT((ROW()-7)/4)+1)/$G255,2))</f>
        <v/>
      </c>
      <c r="Q255" s="12">
        <f>IF(OR($D255="",$G255=0),"",ROUND($F255*INDEX('01人员工时'!M$7:M$126,INT((ROW()-7)/4)+1)/$G255,2))</f>
        <v/>
      </c>
      <c r="R255" s="12">
        <f>IF(OR($D255="",$G255=0),"",ROUND($F255*INDEX('01人员工时'!N$7:N$126,INT((ROW()-7)/4)+1)/$G255,2))</f>
        <v/>
      </c>
      <c r="S255" s="12">
        <f>IF($D255="","",SUM(K255:R255))</f>
        <v/>
      </c>
      <c r="T255" s="12">
        <f>IF($D255="","",$J255+$S255)</f>
        <v/>
      </c>
      <c r="U255" s="25">
        <f>IF($D255="","",IF($F255=0,"未维护标准",IF(ROUND($T255-$F255,2)=0,"√","差异")))</f>
        <v/>
      </c>
      <c r="V255" s="11" t="n"/>
      <c r="W255" s="9" t="n"/>
    </row>
    <row r="256" ht="18" customHeight="1">
      <c r="B256" s="21">
        <f>IF(INDEX('01人员工时'!$D$7:$D$126,INT((ROW()-7)/4)+1)&amp;""="","",INDEX('01人员工时'!$B$7:$B$126,INT((ROW()-7)/4)+1))</f>
        <v/>
      </c>
      <c r="C256" s="22">
        <f>IF($D256="","",IF(MOD(ROW()-7,4)=0,INDEX('01人员工时'!$C$7:$C$126,INT((ROW()-7)/4)+1),""))</f>
        <v/>
      </c>
      <c r="D256" s="22">
        <f>IF(INDEX('01人员工时'!$D$7:$D$126,INT((ROW()-7)/4)+1)&amp;""="","",INDEX('01人员工时'!$D$7:$D$126,INT((ROW()-7)/4)+1))</f>
        <v/>
      </c>
      <c r="E256" s="22">
        <f>IF($D256="","",INDEX('参数设置'!$K$6:$K$9,MOD(ROW()-7,4)+1))</f>
        <v/>
      </c>
      <c r="F256" s="23">
        <f>IF($D256="","",IF($V256&lt;&gt;"",$V256,IFERROR(INDEX('参数设置'!$D$17:$G$26,MATCH($D256,'参数设置'!$C$17:$C$26,0),MATCH($E256,'参数设置'!$D$16:$G$16,0)),0)))</f>
        <v/>
      </c>
      <c r="G256" s="24">
        <f>IF($D256="","",INDEX('01人员工时'!$E$7:$E$126,INT((ROW()-7)/4)+1))</f>
        <v/>
      </c>
      <c r="H256" s="24">
        <f>IF($D256="","",INDEX('01人员工时'!$O$7:$O$126,INT((ROW()-7)/4)+1))</f>
        <v/>
      </c>
      <c r="I256" s="20">
        <f>IF(OR($D256="",$G256=0),"",$H256/$G256)</f>
        <v/>
      </c>
      <c r="J256" s="12">
        <f>IF($D256="","",ROUND($F256,2)-$S256)</f>
        <v/>
      </c>
      <c r="K256" s="12">
        <f>IF(OR($D256="",$G256=0),"",ROUND($F256*INDEX('01人员工时'!G$7:G$126,INT((ROW()-7)/4)+1)/$G256,2))</f>
        <v/>
      </c>
      <c r="L256" s="12">
        <f>IF(OR($D256="",$G256=0),"",ROUND($F256*INDEX('01人员工时'!H$7:H$126,INT((ROW()-7)/4)+1)/$G256,2))</f>
        <v/>
      </c>
      <c r="M256" s="12">
        <f>IF(OR($D256="",$G256=0),"",ROUND($F256*INDEX('01人员工时'!I$7:I$126,INT((ROW()-7)/4)+1)/$G256,2))</f>
        <v/>
      </c>
      <c r="N256" s="12">
        <f>IF(OR($D256="",$G256=0),"",ROUND($F256*INDEX('01人员工时'!J$7:J$126,INT((ROW()-7)/4)+1)/$G256,2))</f>
        <v/>
      </c>
      <c r="O256" s="12">
        <f>IF(OR($D256="",$G256=0),"",ROUND($F256*INDEX('01人员工时'!K$7:K$126,INT((ROW()-7)/4)+1)/$G256,2))</f>
        <v/>
      </c>
      <c r="P256" s="12">
        <f>IF(OR($D256="",$G256=0),"",ROUND($F256*INDEX('01人员工时'!L$7:L$126,INT((ROW()-7)/4)+1)/$G256,2))</f>
        <v/>
      </c>
      <c r="Q256" s="12">
        <f>IF(OR($D256="",$G256=0),"",ROUND($F256*INDEX('01人员工时'!M$7:M$126,INT((ROW()-7)/4)+1)/$G256,2))</f>
        <v/>
      </c>
      <c r="R256" s="12">
        <f>IF(OR($D256="",$G256=0),"",ROUND($F256*INDEX('01人员工时'!N$7:N$126,INT((ROW()-7)/4)+1)/$G256,2))</f>
        <v/>
      </c>
      <c r="S256" s="12">
        <f>IF($D256="","",SUM(K256:R256))</f>
        <v/>
      </c>
      <c r="T256" s="12">
        <f>IF($D256="","",$J256+$S256)</f>
        <v/>
      </c>
      <c r="U256" s="25">
        <f>IF($D256="","",IF($F256=0,"未维护标准",IF(ROUND($T256-$F256,2)=0,"√","差异")))</f>
        <v/>
      </c>
      <c r="V256" s="11" t="n"/>
      <c r="W256" s="9" t="n"/>
    </row>
    <row r="257" ht="18" customHeight="1">
      <c r="B257" s="21">
        <f>IF(INDEX('01人员工时'!$D$7:$D$126,INT((ROW()-7)/4)+1)&amp;""="","",INDEX('01人员工时'!$B$7:$B$126,INT((ROW()-7)/4)+1))</f>
        <v/>
      </c>
      <c r="C257" s="22">
        <f>IF($D257="","",IF(MOD(ROW()-7,4)=0,INDEX('01人员工时'!$C$7:$C$126,INT((ROW()-7)/4)+1),""))</f>
        <v/>
      </c>
      <c r="D257" s="22">
        <f>IF(INDEX('01人员工时'!$D$7:$D$126,INT((ROW()-7)/4)+1)&amp;""="","",INDEX('01人员工时'!$D$7:$D$126,INT((ROW()-7)/4)+1))</f>
        <v/>
      </c>
      <c r="E257" s="22">
        <f>IF($D257="","",INDEX('参数设置'!$K$6:$K$9,MOD(ROW()-7,4)+1))</f>
        <v/>
      </c>
      <c r="F257" s="23">
        <f>IF($D257="","",IF($V257&lt;&gt;"",$V257,IFERROR(INDEX('参数设置'!$D$17:$G$26,MATCH($D257,'参数设置'!$C$17:$C$26,0),MATCH($E257,'参数设置'!$D$16:$G$16,0)),0)))</f>
        <v/>
      </c>
      <c r="G257" s="24">
        <f>IF($D257="","",INDEX('01人员工时'!$E$7:$E$126,INT((ROW()-7)/4)+1))</f>
        <v/>
      </c>
      <c r="H257" s="24">
        <f>IF($D257="","",INDEX('01人员工时'!$O$7:$O$126,INT((ROW()-7)/4)+1))</f>
        <v/>
      </c>
      <c r="I257" s="20">
        <f>IF(OR($D257="",$G257=0),"",$H257/$G257)</f>
        <v/>
      </c>
      <c r="J257" s="12">
        <f>IF($D257="","",ROUND($F257,2)-$S257)</f>
        <v/>
      </c>
      <c r="K257" s="12">
        <f>IF(OR($D257="",$G257=0),"",ROUND($F257*INDEX('01人员工时'!G$7:G$126,INT((ROW()-7)/4)+1)/$G257,2))</f>
        <v/>
      </c>
      <c r="L257" s="12">
        <f>IF(OR($D257="",$G257=0),"",ROUND($F257*INDEX('01人员工时'!H$7:H$126,INT((ROW()-7)/4)+1)/$G257,2))</f>
        <v/>
      </c>
      <c r="M257" s="12">
        <f>IF(OR($D257="",$G257=0),"",ROUND($F257*INDEX('01人员工时'!I$7:I$126,INT((ROW()-7)/4)+1)/$G257,2))</f>
        <v/>
      </c>
      <c r="N257" s="12">
        <f>IF(OR($D257="",$G257=0),"",ROUND($F257*INDEX('01人员工时'!J$7:J$126,INT((ROW()-7)/4)+1)/$G257,2))</f>
        <v/>
      </c>
      <c r="O257" s="12">
        <f>IF(OR($D257="",$G257=0),"",ROUND($F257*INDEX('01人员工时'!K$7:K$126,INT((ROW()-7)/4)+1)/$G257,2))</f>
        <v/>
      </c>
      <c r="P257" s="12">
        <f>IF(OR($D257="",$G257=0),"",ROUND($F257*INDEX('01人员工时'!L$7:L$126,INT((ROW()-7)/4)+1)/$G257,2))</f>
        <v/>
      </c>
      <c r="Q257" s="12">
        <f>IF(OR($D257="",$G257=0),"",ROUND($F257*INDEX('01人员工时'!M$7:M$126,INT((ROW()-7)/4)+1)/$G257,2))</f>
        <v/>
      </c>
      <c r="R257" s="12">
        <f>IF(OR($D257="",$G257=0),"",ROUND($F257*INDEX('01人员工时'!N$7:N$126,INT((ROW()-7)/4)+1)/$G257,2))</f>
        <v/>
      </c>
      <c r="S257" s="12">
        <f>IF($D257="","",SUM(K257:R257))</f>
        <v/>
      </c>
      <c r="T257" s="12">
        <f>IF($D257="","",$J257+$S257)</f>
        <v/>
      </c>
      <c r="U257" s="25">
        <f>IF($D257="","",IF($F257=0,"未维护标准",IF(ROUND($T257-$F257,2)=0,"√","差异")))</f>
        <v/>
      </c>
      <c r="V257" s="11" t="n"/>
      <c r="W257" s="9" t="n"/>
    </row>
    <row r="258" ht="18" customHeight="1">
      <c r="B258" s="26">
        <f>IF(INDEX('01人员工时'!$D$7:$D$126,INT((ROW()-7)/4)+1)&amp;""="","",INDEX('01人员工时'!$B$7:$B$126,INT((ROW()-7)/4)+1))</f>
        <v/>
      </c>
      <c r="C258" s="27">
        <f>IF($D258="","",IF(MOD(ROW()-7,4)=0,INDEX('01人员工时'!$C$7:$C$126,INT((ROW()-7)/4)+1),""))</f>
        <v/>
      </c>
      <c r="D258" s="27">
        <f>IF(INDEX('01人员工时'!$D$7:$D$126,INT((ROW()-7)/4)+1)&amp;""="","",INDEX('01人员工时'!$D$7:$D$126,INT((ROW()-7)/4)+1))</f>
        <v/>
      </c>
      <c r="E258" s="27">
        <f>IF($D258="","",INDEX('参数设置'!$K$6:$K$9,MOD(ROW()-7,4)+1))</f>
        <v/>
      </c>
      <c r="F258" s="28">
        <f>IF($D258="","",IF($V258&lt;&gt;"",$V258,IFERROR(INDEX('参数设置'!$D$17:$G$26,MATCH($D258,'参数设置'!$C$17:$C$26,0),MATCH($E258,'参数设置'!$D$16:$G$16,0)),0)))</f>
        <v/>
      </c>
      <c r="G258" s="29">
        <f>IF($D258="","",INDEX('01人员工时'!$E$7:$E$126,INT((ROW()-7)/4)+1))</f>
        <v/>
      </c>
      <c r="H258" s="29">
        <f>IF($D258="","",INDEX('01人员工时'!$O$7:$O$126,INT((ROW()-7)/4)+1))</f>
        <v/>
      </c>
      <c r="I258" s="30">
        <f>IF(OR($D258="",$G258=0),"",$H258/$G258)</f>
        <v/>
      </c>
      <c r="J258" s="31">
        <f>IF($D258="","",ROUND($F258,2)-$S258)</f>
        <v/>
      </c>
      <c r="K258" s="31">
        <f>IF(OR($D258="",$G258=0),"",ROUND($F258*INDEX('01人员工时'!G$7:G$126,INT((ROW()-7)/4)+1)/$G258,2))</f>
        <v/>
      </c>
      <c r="L258" s="31">
        <f>IF(OR($D258="",$G258=0),"",ROUND($F258*INDEX('01人员工时'!H$7:H$126,INT((ROW()-7)/4)+1)/$G258,2))</f>
        <v/>
      </c>
      <c r="M258" s="31">
        <f>IF(OR($D258="",$G258=0),"",ROUND($F258*INDEX('01人员工时'!I$7:I$126,INT((ROW()-7)/4)+1)/$G258,2))</f>
        <v/>
      </c>
      <c r="N258" s="31">
        <f>IF(OR($D258="",$G258=0),"",ROUND($F258*INDEX('01人员工时'!J$7:J$126,INT((ROW()-7)/4)+1)/$G258,2))</f>
        <v/>
      </c>
      <c r="O258" s="31">
        <f>IF(OR($D258="",$G258=0),"",ROUND($F258*INDEX('01人员工时'!K$7:K$126,INT((ROW()-7)/4)+1)/$G258,2))</f>
        <v/>
      </c>
      <c r="P258" s="31">
        <f>IF(OR($D258="",$G258=0),"",ROUND($F258*INDEX('01人员工时'!L$7:L$126,INT((ROW()-7)/4)+1)/$G258,2))</f>
        <v/>
      </c>
      <c r="Q258" s="31">
        <f>IF(OR($D258="",$G258=0),"",ROUND($F258*INDEX('01人员工时'!M$7:M$126,INT((ROW()-7)/4)+1)/$G258,2))</f>
        <v/>
      </c>
      <c r="R258" s="31">
        <f>IF(OR($D258="",$G258=0),"",ROUND($F258*INDEX('01人员工时'!N$7:N$126,INT((ROW()-7)/4)+1)/$G258,2))</f>
        <v/>
      </c>
      <c r="S258" s="31">
        <f>IF($D258="","",SUM(K258:R258))</f>
        <v/>
      </c>
      <c r="T258" s="31">
        <f>IF($D258="","",$J258+$S258)</f>
        <v/>
      </c>
      <c r="U258" s="32">
        <f>IF($D258="","",IF($F258=0,"未维护标准",IF(ROUND($T258-$F258,2)=0,"√","差异")))</f>
        <v/>
      </c>
      <c r="V258" s="33" t="n"/>
      <c r="W258" s="34" t="n"/>
    </row>
    <row r="259" ht="18" customHeight="1">
      <c r="B259" s="21">
        <f>IF(INDEX('01人员工时'!$D$7:$D$126,INT((ROW()-7)/4)+1)&amp;""="","",INDEX('01人员工时'!$B$7:$B$126,INT((ROW()-7)/4)+1))</f>
        <v/>
      </c>
      <c r="C259" s="22">
        <f>IF($D259="","",IF(MOD(ROW()-7,4)=0,INDEX('01人员工时'!$C$7:$C$126,INT((ROW()-7)/4)+1),""))</f>
        <v/>
      </c>
      <c r="D259" s="22">
        <f>IF(INDEX('01人员工时'!$D$7:$D$126,INT((ROW()-7)/4)+1)&amp;""="","",INDEX('01人员工时'!$D$7:$D$126,INT((ROW()-7)/4)+1))</f>
        <v/>
      </c>
      <c r="E259" s="22">
        <f>IF($D259="","",INDEX('参数设置'!$K$6:$K$9,MOD(ROW()-7,4)+1))</f>
        <v/>
      </c>
      <c r="F259" s="23">
        <f>IF($D259="","",IF($V259&lt;&gt;"",$V259,IFERROR(INDEX('参数设置'!$D$17:$G$26,MATCH($D259,'参数设置'!$C$17:$C$26,0),MATCH($E259,'参数设置'!$D$16:$G$16,0)),0)))</f>
        <v/>
      </c>
      <c r="G259" s="24">
        <f>IF($D259="","",INDEX('01人员工时'!$E$7:$E$126,INT((ROW()-7)/4)+1))</f>
        <v/>
      </c>
      <c r="H259" s="24">
        <f>IF($D259="","",INDEX('01人员工时'!$O$7:$O$126,INT((ROW()-7)/4)+1))</f>
        <v/>
      </c>
      <c r="I259" s="20">
        <f>IF(OR($D259="",$G259=0),"",$H259/$G259)</f>
        <v/>
      </c>
      <c r="J259" s="12">
        <f>IF($D259="","",ROUND($F259,2)-$S259)</f>
        <v/>
      </c>
      <c r="K259" s="12">
        <f>IF(OR($D259="",$G259=0),"",ROUND($F259*INDEX('01人员工时'!G$7:G$126,INT((ROW()-7)/4)+1)/$G259,2))</f>
        <v/>
      </c>
      <c r="L259" s="12">
        <f>IF(OR($D259="",$G259=0),"",ROUND($F259*INDEX('01人员工时'!H$7:H$126,INT((ROW()-7)/4)+1)/$G259,2))</f>
        <v/>
      </c>
      <c r="M259" s="12">
        <f>IF(OR($D259="",$G259=0),"",ROUND($F259*INDEX('01人员工时'!I$7:I$126,INT((ROW()-7)/4)+1)/$G259,2))</f>
        <v/>
      </c>
      <c r="N259" s="12">
        <f>IF(OR($D259="",$G259=0),"",ROUND($F259*INDEX('01人员工时'!J$7:J$126,INT((ROW()-7)/4)+1)/$G259,2))</f>
        <v/>
      </c>
      <c r="O259" s="12">
        <f>IF(OR($D259="",$G259=0),"",ROUND($F259*INDEX('01人员工时'!K$7:K$126,INT((ROW()-7)/4)+1)/$G259,2))</f>
        <v/>
      </c>
      <c r="P259" s="12">
        <f>IF(OR($D259="",$G259=0),"",ROUND($F259*INDEX('01人员工时'!L$7:L$126,INT((ROW()-7)/4)+1)/$G259,2))</f>
        <v/>
      </c>
      <c r="Q259" s="12">
        <f>IF(OR($D259="",$G259=0),"",ROUND($F259*INDEX('01人员工时'!M$7:M$126,INT((ROW()-7)/4)+1)/$G259,2))</f>
        <v/>
      </c>
      <c r="R259" s="12">
        <f>IF(OR($D259="",$G259=0),"",ROUND($F259*INDEX('01人员工时'!N$7:N$126,INT((ROW()-7)/4)+1)/$G259,2))</f>
        <v/>
      </c>
      <c r="S259" s="12">
        <f>IF($D259="","",SUM(K259:R259))</f>
        <v/>
      </c>
      <c r="T259" s="12">
        <f>IF($D259="","",$J259+$S259)</f>
        <v/>
      </c>
      <c r="U259" s="25">
        <f>IF($D259="","",IF($F259=0,"未维护标准",IF(ROUND($T259-$F259,2)=0,"√","差异")))</f>
        <v/>
      </c>
      <c r="V259" s="11" t="n"/>
      <c r="W259" s="9" t="n"/>
    </row>
    <row r="260" ht="18" customHeight="1">
      <c r="B260" s="21">
        <f>IF(INDEX('01人员工时'!$D$7:$D$126,INT((ROW()-7)/4)+1)&amp;""="","",INDEX('01人员工时'!$B$7:$B$126,INT((ROW()-7)/4)+1))</f>
        <v/>
      </c>
      <c r="C260" s="22">
        <f>IF($D260="","",IF(MOD(ROW()-7,4)=0,INDEX('01人员工时'!$C$7:$C$126,INT((ROW()-7)/4)+1),""))</f>
        <v/>
      </c>
      <c r="D260" s="22">
        <f>IF(INDEX('01人员工时'!$D$7:$D$126,INT((ROW()-7)/4)+1)&amp;""="","",INDEX('01人员工时'!$D$7:$D$126,INT((ROW()-7)/4)+1))</f>
        <v/>
      </c>
      <c r="E260" s="22">
        <f>IF($D260="","",INDEX('参数设置'!$K$6:$K$9,MOD(ROW()-7,4)+1))</f>
        <v/>
      </c>
      <c r="F260" s="23">
        <f>IF($D260="","",IF($V260&lt;&gt;"",$V260,IFERROR(INDEX('参数设置'!$D$17:$G$26,MATCH($D260,'参数设置'!$C$17:$C$26,0),MATCH($E260,'参数设置'!$D$16:$G$16,0)),0)))</f>
        <v/>
      </c>
      <c r="G260" s="24">
        <f>IF($D260="","",INDEX('01人员工时'!$E$7:$E$126,INT((ROW()-7)/4)+1))</f>
        <v/>
      </c>
      <c r="H260" s="24">
        <f>IF($D260="","",INDEX('01人员工时'!$O$7:$O$126,INT((ROW()-7)/4)+1))</f>
        <v/>
      </c>
      <c r="I260" s="20">
        <f>IF(OR($D260="",$G260=0),"",$H260/$G260)</f>
        <v/>
      </c>
      <c r="J260" s="12">
        <f>IF($D260="","",ROUND($F260,2)-$S260)</f>
        <v/>
      </c>
      <c r="K260" s="12">
        <f>IF(OR($D260="",$G260=0),"",ROUND($F260*INDEX('01人员工时'!G$7:G$126,INT((ROW()-7)/4)+1)/$G260,2))</f>
        <v/>
      </c>
      <c r="L260" s="12">
        <f>IF(OR($D260="",$G260=0),"",ROUND($F260*INDEX('01人员工时'!H$7:H$126,INT((ROW()-7)/4)+1)/$G260,2))</f>
        <v/>
      </c>
      <c r="M260" s="12">
        <f>IF(OR($D260="",$G260=0),"",ROUND($F260*INDEX('01人员工时'!I$7:I$126,INT((ROW()-7)/4)+1)/$G260,2))</f>
        <v/>
      </c>
      <c r="N260" s="12">
        <f>IF(OR($D260="",$G260=0),"",ROUND($F260*INDEX('01人员工时'!J$7:J$126,INT((ROW()-7)/4)+1)/$G260,2))</f>
        <v/>
      </c>
      <c r="O260" s="12">
        <f>IF(OR($D260="",$G260=0),"",ROUND($F260*INDEX('01人员工时'!K$7:K$126,INT((ROW()-7)/4)+1)/$G260,2))</f>
        <v/>
      </c>
      <c r="P260" s="12">
        <f>IF(OR($D260="",$G260=0),"",ROUND($F260*INDEX('01人员工时'!L$7:L$126,INT((ROW()-7)/4)+1)/$G260,2))</f>
        <v/>
      </c>
      <c r="Q260" s="12">
        <f>IF(OR($D260="",$G260=0),"",ROUND($F260*INDEX('01人员工时'!M$7:M$126,INT((ROW()-7)/4)+1)/$G260,2))</f>
        <v/>
      </c>
      <c r="R260" s="12">
        <f>IF(OR($D260="",$G260=0),"",ROUND($F260*INDEX('01人员工时'!N$7:N$126,INT((ROW()-7)/4)+1)/$G260,2))</f>
        <v/>
      </c>
      <c r="S260" s="12">
        <f>IF($D260="","",SUM(K260:R260))</f>
        <v/>
      </c>
      <c r="T260" s="12">
        <f>IF($D260="","",$J260+$S260)</f>
        <v/>
      </c>
      <c r="U260" s="25">
        <f>IF($D260="","",IF($F260=0,"未维护标准",IF(ROUND($T260-$F260,2)=0,"√","差异")))</f>
        <v/>
      </c>
      <c r="V260" s="11" t="n"/>
      <c r="W260" s="9" t="n"/>
    </row>
    <row r="261" ht="18" customHeight="1">
      <c r="B261" s="21">
        <f>IF(INDEX('01人员工时'!$D$7:$D$126,INT((ROW()-7)/4)+1)&amp;""="","",INDEX('01人员工时'!$B$7:$B$126,INT((ROW()-7)/4)+1))</f>
        <v/>
      </c>
      <c r="C261" s="22">
        <f>IF($D261="","",IF(MOD(ROW()-7,4)=0,INDEX('01人员工时'!$C$7:$C$126,INT((ROW()-7)/4)+1),""))</f>
        <v/>
      </c>
      <c r="D261" s="22">
        <f>IF(INDEX('01人员工时'!$D$7:$D$126,INT((ROW()-7)/4)+1)&amp;""="","",INDEX('01人员工时'!$D$7:$D$126,INT((ROW()-7)/4)+1))</f>
        <v/>
      </c>
      <c r="E261" s="22">
        <f>IF($D261="","",INDEX('参数设置'!$K$6:$K$9,MOD(ROW()-7,4)+1))</f>
        <v/>
      </c>
      <c r="F261" s="23">
        <f>IF($D261="","",IF($V261&lt;&gt;"",$V261,IFERROR(INDEX('参数设置'!$D$17:$G$26,MATCH($D261,'参数设置'!$C$17:$C$26,0),MATCH($E261,'参数设置'!$D$16:$G$16,0)),0)))</f>
        <v/>
      </c>
      <c r="G261" s="24">
        <f>IF($D261="","",INDEX('01人员工时'!$E$7:$E$126,INT((ROW()-7)/4)+1))</f>
        <v/>
      </c>
      <c r="H261" s="24">
        <f>IF($D261="","",INDEX('01人员工时'!$O$7:$O$126,INT((ROW()-7)/4)+1))</f>
        <v/>
      </c>
      <c r="I261" s="20">
        <f>IF(OR($D261="",$G261=0),"",$H261/$G261)</f>
        <v/>
      </c>
      <c r="J261" s="12">
        <f>IF($D261="","",ROUND($F261,2)-$S261)</f>
        <v/>
      </c>
      <c r="K261" s="12">
        <f>IF(OR($D261="",$G261=0),"",ROUND($F261*INDEX('01人员工时'!G$7:G$126,INT((ROW()-7)/4)+1)/$G261,2))</f>
        <v/>
      </c>
      <c r="L261" s="12">
        <f>IF(OR($D261="",$G261=0),"",ROUND($F261*INDEX('01人员工时'!H$7:H$126,INT((ROW()-7)/4)+1)/$G261,2))</f>
        <v/>
      </c>
      <c r="M261" s="12">
        <f>IF(OR($D261="",$G261=0),"",ROUND($F261*INDEX('01人员工时'!I$7:I$126,INT((ROW()-7)/4)+1)/$G261,2))</f>
        <v/>
      </c>
      <c r="N261" s="12">
        <f>IF(OR($D261="",$G261=0),"",ROUND($F261*INDEX('01人员工时'!J$7:J$126,INT((ROW()-7)/4)+1)/$G261,2))</f>
        <v/>
      </c>
      <c r="O261" s="12">
        <f>IF(OR($D261="",$G261=0),"",ROUND($F261*INDEX('01人员工时'!K$7:K$126,INT((ROW()-7)/4)+1)/$G261,2))</f>
        <v/>
      </c>
      <c r="P261" s="12">
        <f>IF(OR($D261="",$G261=0),"",ROUND($F261*INDEX('01人员工时'!L$7:L$126,INT((ROW()-7)/4)+1)/$G261,2))</f>
        <v/>
      </c>
      <c r="Q261" s="12">
        <f>IF(OR($D261="",$G261=0),"",ROUND($F261*INDEX('01人员工时'!M$7:M$126,INT((ROW()-7)/4)+1)/$G261,2))</f>
        <v/>
      </c>
      <c r="R261" s="12">
        <f>IF(OR($D261="",$G261=0),"",ROUND($F261*INDEX('01人员工时'!N$7:N$126,INT((ROW()-7)/4)+1)/$G261,2))</f>
        <v/>
      </c>
      <c r="S261" s="12">
        <f>IF($D261="","",SUM(K261:R261))</f>
        <v/>
      </c>
      <c r="T261" s="12">
        <f>IF($D261="","",$J261+$S261)</f>
        <v/>
      </c>
      <c r="U261" s="25">
        <f>IF($D261="","",IF($F261=0,"未维护标准",IF(ROUND($T261-$F261,2)=0,"√","差异")))</f>
        <v/>
      </c>
      <c r="V261" s="11" t="n"/>
      <c r="W261" s="9" t="n"/>
    </row>
    <row r="262" ht="18" customHeight="1">
      <c r="B262" s="26">
        <f>IF(INDEX('01人员工时'!$D$7:$D$126,INT((ROW()-7)/4)+1)&amp;""="","",INDEX('01人员工时'!$B$7:$B$126,INT((ROW()-7)/4)+1))</f>
        <v/>
      </c>
      <c r="C262" s="27">
        <f>IF($D262="","",IF(MOD(ROW()-7,4)=0,INDEX('01人员工时'!$C$7:$C$126,INT((ROW()-7)/4)+1),""))</f>
        <v/>
      </c>
      <c r="D262" s="27">
        <f>IF(INDEX('01人员工时'!$D$7:$D$126,INT((ROW()-7)/4)+1)&amp;""="","",INDEX('01人员工时'!$D$7:$D$126,INT((ROW()-7)/4)+1))</f>
        <v/>
      </c>
      <c r="E262" s="27">
        <f>IF($D262="","",INDEX('参数设置'!$K$6:$K$9,MOD(ROW()-7,4)+1))</f>
        <v/>
      </c>
      <c r="F262" s="28">
        <f>IF($D262="","",IF($V262&lt;&gt;"",$V262,IFERROR(INDEX('参数设置'!$D$17:$G$26,MATCH($D262,'参数设置'!$C$17:$C$26,0),MATCH($E262,'参数设置'!$D$16:$G$16,0)),0)))</f>
        <v/>
      </c>
      <c r="G262" s="29">
        <f>IF($D262="","",INDEX('01人员工时'!$E$7:$E$126,INT((ROW()-7)/4)+1))</f>
        <v/>
      </c>
      <c r="H262" s="29">
        <f>IF($D262="","",INDEX('01人员工时'!$O$7:$O$126,INT((ROW()-7)/4)+1))</f>
        <v/>
      </c>
      <c r="I262" s="30">
        <f>IF(OR($D262="",$G262=0),"",$H262/$G262)</f>
        <v/>
      </c>
      <c r="J262" s="31">
        <f>IF($D262="","",ROUND($F262,2)-$S262)</f>
        <v/>
      </c>
      <c r="K262" s="31">
        <f>IF(OR($D262="",$G262=0),"",ROUND($F262*INDEX('01人员工时'!G$7:G$126,INT((ROW()-7)/4)+1)/$G262,2))</f>
        <v/>
      </c>
      <c r="L262" s="31">
        <f>IF(OR($D262="",$G262=0),"",ROUND($F262*INDEX('01人员工时'!H$7:H$126,INT((ROW()-7)/4)+1)/$G262,2))</f>
        <v/>
      </c>
      <c r="M262" s="31">
        <f>IF(OR($D262="",$G262=0),"",ROUND($F262*INDEX('01人员工时'!I$7:I$126,INT((ROW()-7)/4)+1)/$G262,2))</f>
        <v/>
      </c>
      <c r="N262" s="31">
        <f>IF(OR($D262="",$G262=0),"",ROUND($F262*INDEX('01人员工时'!J$7:J$126,INT((ROW()-7)/4)+1)/$G262,2))</f>
        <v/>
      </c>
      <c r="O262" s="31">
        <f>IF(OR($D262="",$G262=0),"",ROUND($F262*INDEX('01人员工时'!K$7:K$126,INT((ROW()-7)/4)+1)/$G262,2))</f>
        <v/>
      </c>
      <c r="P262" s="31">
        <f>IF(OR($D262="",$G262=0),"",ROUND($F262*INDEX('01人员工时'!L$7:L$126,INT((ROW()-7)/4)+1)/$G262,2))</f>
        <v/>
      </c>
      <c r="Q262" s="31">
        <f>IF(OR($D262="",$G262=0),"",ROUND($F262*INDEX('01人员工时'!M$7:M$126,INT((ROW()-7)/4)+1)/$G262,2))</f>
        <v/>
      </c>
      <c r="R262" s="31">
        <f>IF(OR($D262="",$G262=0),"",ROUND($F262*INDEX('01人员工时'!N$7:N$126,INT((ROW()-7)/4)+1)/$G262,2))</f>
        <v/>
      </c>
      <c r="S262" s="31">
        <f>IF($D262="","",SUM(K262:R262))</f>
        <v/>
      </c>
      <c r="T262" s="31">
        <f>IF($D262="","",$J262+$S262)</f>
        <v/>
      </c>
      <c r="U262" s="32">
        <f>IF($D262="","",IF($F262=0,"未维护标准",IF(ROUND($T262-$F262,2)=0,"√","差异")))</f>
        <v/>
      </c>
      <c r="V262" s="33" t="n"/>
      <c r="W262" s="34" t="n"/>
    </row>
    <row r="263" ht="18" customHeight="1">
      <c r="B263" s="21">
        <f>IF(INDEX('01人员工时'!$D$7:$D$126,INT((ROW()-7)/4)+1)&amp;""="","",INDEX('01人员工时'!$B$7:$B$126,INT((ROW()-7)/4)+1))</f>
        <v/>
      </c>
      <c r="C263" s="22">
        <f>IF($D263="","",IF(MOD(ROW()-7,4)=0,INDEX('01人员工时'!$C$7:$C$126,INT((ROW()-7)/4)+1),""))</f>
        <v/>
      </c>
      <c r="D263" s="22">
        <f>IF(INDEX('01人员工时'!$D$7:$D$126,INT((ROW()-7)/4)+1)&amp;""="","",INDEX('01人员工时'!$D$7:$D$126,INT((ROW()-7)/4)+1))</f>
        <v/>
      </c>
      <c r="E263" s="22">
        <f>IF($D263="","",INDEX('参数设置'!$K$6:$K$9,MOD(ROW()-7,4)+1))</f>
        <v/>
      </c>
      <c r="F263" s="23">
        <f>IF($D263="","",IF($V263&lt;&gt;"",$V263,IFERROR(INDEX('参数设置'!$D$17:$G$26,MATCH($D263,'参数设置'!$C$17:$C$26,0),MATCH($E263,'参数设置'!$D$16:$G$16,0)),0)))</f>
        <v/>
      </c>
      <c r="G263" s="24">
        <f>IF($D263="","",INDEX('01人员工时'!$E$7:$E$126,INT((ROW()-7)/4)+1))</f>
        <v/>
      </c>
      <c r="H263" s="24">
        <f>IF($D263="","",INDEX('01人员工时'!$O$7:$O$126,INT((ROW()-7)/4)+1))</f>
        <v/>
      </c>
      <c r="I263" s="20">
        <f>IF(OR($D263="",$G263=0),"",$H263/$G263)</f>
        <v/>
      </c>
      <c r="J263" s="12">
        <f>IF($D263="","",ROUND($F263,2)-$S263)</f>
        <v/>
      </c>
      <c r="K263" s="12">
        <f>IF(OR($D263="",$G263=0),"",ROUND($F263*INDEX('01人员工时'!G$7:G$126,INT((ROW()-7)/4)+1)/$G263,2))</f>
        <v/>
      </c>
      <c r="L263" s="12">
        <f>IF(OR($D263="",$G263=0),"",ROUND($F263*INDEX('01人员工时'!H$7:H$126,INT((ROW()-7)/4)+1)/$G263,2))</f>
        <v/>
      </c>
      <c r="M263" s="12">
        <f>IF(OR($D263="",$G263=0),"",ROUND($F263*INDEX('01人员工时'!I$7:I$126,INT((ROW()-7)/4)+1)/$G263,2))</f>
        <v/>
      </c>
      <c r="N263" s="12">
        <f>IF(OR($D263="",$G263=0),"",ROUND($F263*INDEX('01人员工时'!J$7:J$126,INT((ROW()-7)/4)+1)/$G263,2))</f>
        <v/>
      </c>
      <c r="O263" s="12">
        <f>IF(OR($D263="",$G263=0),"",ROUND($F263*INDEX('01人员工时'!K$7:K$126,INT((ROW()-7)/4)+1)/$G263,2))</f>
        <v/>
      </c>
      <c r="P263" s="12">
        <f>IF(OR($D263="",$G263=0),"",ROUND($F263*INDEX('01人员工时'!L$7:L$126,INT((ROW()-7)/4)+1)/$G263,2))</f>
        <v/>
      </c>
      <c r="Q263" s="12">
        <f>IF(OR($D263="",$G263=0),"",ROUND($F263*INDEX('01人员工时'!M$7:M$126,INT((ROW()-7)/4)+1)/$G263,2))</f>
        <v/>
      </c>
      <c r="R263" s="12">
        <f>IF(OR($D263="",$G263=0),"",ROUND($F263*INDEX('01人员工时'!N$7:N$126,INT((ROW()-7)/4)+1)/$G263,2))</f>
        <v/>
      </c>
      <c r="S263" s="12">
        <f>IF($D263="","",SUM(K263:R263))</f>
        <v/>
      </c>
      <c r="T263" s="12">
        <f>IF($D263="","",$J263+$S263)</f>
        <v/>
      </c>
      <c r="U263" s="25">
        <f>IF($D263="","",IF($F263=0,"未维护标准",IF(ROUND($T263-$F263,2)=0,"√","差异")))</f>
        <v/>
      </c>
      <c r="V263" s="11" t="n"/>
      <c r="W263" s="9" t="n"/>
    </row>
    <row r="264" ht="18" customHeight="1">
      <c r="B264" s="21">
        <f>IF(INDEX('01人员工时'!$D$7:$D$126,INT((ROW()-7)/4)+1)&amp;""="","",INDEX('01人员工时'!$B$7:$B$126,INT((ROW()-7)/4)+1))</f>
        <v/>
      </c>
      <c r="C264" s="22">
        <f>IF($D264="","",IF(MOD(ROW()-7,4)=0,INDEX('01人员工时'!$C$7:$C$126,INT((ROW()-7)/4)+1),""))</f>
        <v/>
      </c>
      <c r="D264" s="22">
        <f>IF(INDEX('01人员工时'!$D$7:$D$126,INT((ROW()-7)/4)+1)&amp;""="","",INDEX('01人员工时'!$D$7:$D$126,INT((ROW()-7)/4)+1))</f>
        <v/>
      </c>
      <c r="E264" s="22">
        <f>IF($D264="","",INDEX('参数设置'!$K$6:$K$9,MOD(ROW()-7,4)+1))</f>
        <v/>
      </c>
      <c r="F264" s="23">
        <f>IF($D264="","",IF($V264&lt;&gt;"",$V264,IFERROR(INDEX('参数设置'!$D$17:$G$26,MATCH($D264,'参数设置'!$C$17:$C$26,0),MATCH($E264,'参数设置'!$D$16:$G$16,0)),0)))</f>
        <v/>
      </c>
      <c r="G264" s="24">
        <f>IF($D264="","",INDEX('01人员工时'!$E$7:$E$126,INT((ROW()-7)/4)+1))</f>
        <v/>
      </c>
      <c r="H264" s="24">
        <f>IF($D264="","",INDEX('01人员工时'!$O$7:$O$126,INT((ROW()-7)/4)+1))</f>
        <v/>
      </c>
      <c r="I264" s="20">
        <f>IF(OR($D264="",$G264=0),"",$H264/$G264)</f>
        <v/>
      </c>
      <c r="J264" s="12">
        <f>IF($D264="","",ROUND($F264,2)-$S264)</f>
        <v/>
      </c>
      <c r="K264" s="12">
        <f>IF(OR($D264="",$G264=0),"",ROUND($F264*INDEX('01人员工时'!G$7:G$126,INT((ROW()-7)/4)+1)/$G264,2))</f>
        <v/>
      </c>
      <c r="L264" s="12">
        <f>IF(OR($D264="",$G264=0),"",ROUND($F264*INDEX('01人员工时'!H$7:H$126,INT((ROW()-7)/4)+1)/$G264,2))</f>
        <v/>
      </c>
      <c r="M264" s="12">
        <f>IF(OR($D264="",$G264=0),"",ROUND($F264*INDEX('01人员工时'!I$7:I$126,INT((ROW()-7)/4)+1)/$G264,2))</f>
        <v/>
      </c>
      <c r="N264" s="12">
        <f>IF(OR($D264="",$G264=0),"",ROUND($F264*INDEX('01人员工时'!J$7:J$126,INT((ROW()-7)/4)+1)/$G264,2))</f>
        <v/>
      </c>
      <c r="O264" s="12">
        <f>IF(OR($D264="",$G264=0),"",ROUND($F264*INDEX('01人员工时'!K$7:K$126,INT((ROW()-7)/4)+1)/$G264,2))</f>
        <v/>
      </c>
      <c r="P264" s="12">
        <f>IF(OR($D264="",$G264=0),"",ROUND($F264*INDEX('01人员工时'!L$7:L$126,INT((ROW()-7)/4)+1)/$G264,2))</f>
        <v/>
      </c>
      <c r="Q264" s="12">
        <f>IF(OR($D264="",$G264=0),"",ROUND($F264*INDEX('01人员工时'!M$7:M$126,INT((ROW()-7)/4)+1)/$G264,2))</f>
        <v/>
      </c>
      <c r="R264" s="12">
        <f>IF(OR($D264="",$G264=0),"",ROUND($F264*INDEX('01人员工时'!N$7:N$126,INT((ROW()-7)/4)+1)/$G264,2))</f>
        <v/>
      </c>
      <c r="S264" s="12">
        <f>IF($D264="","",SUM(K264:R264))</f>
        <v/>
      </c>
      <c r="T264" s="12">
        <f>IF($D264="","",$J264+$S264)</f>
        <v/>
      </c>
      <c r="U264" s="25">
        <f>IF($D264="","",IF($F264=0,"未维护标准",IF(ROUND($T264-$F264,2)=0,"√","差异")))</f>
        <v/>
      </c>
      <c r="V264" s="11" t="n"/>
      <c r="W264" s="9" t="n"/>
    </row>
    <row r="265" ht="18" customHeight="1">
      <c r="B265" s="21">
        <f>IF(INDEX('01人员工时'!$D$7:$D$126,INT((ROW()-7)/4)+1)&amp;""="","",INDEX('01人员工时'!$B$7:$B$126,INT((ROW()-7)/4)+1))</f>
        <v/>
      </c>
      <c r="C265" s="22">
        <f>IF($D265="","",IF(MOD(ROW()-7,4)=0,INDEX('01人员工时'!$C$7:$C$126,INT((ROW()-7)/4)+1),""))</f>
        <v/>
      </c>
      <c r="D265" s="22">
        <f>IF(INDEX('01人员工时'!$D$7:$D$126,INT((ROW()-7)/4)+1)&amp;""="","",INDEX('01人员工时'!$D$7:$D$126,INT((ROW()-7)/4)+1))</f>
        <v/>
      </c>
      <c r="E265" s="22">
        <f>IF($D265="","",INDEX('参数设置'!$K$6:$K$9,MOD(ROW()-7,4)+1))</f>
        <v/>
      </c>
      <c r="F265" s="23">
        <f>IF($D265="","",IF($V265&lt;&gt;"",$V265,IFERROR(INDEX('参数设置'!$D$17:$G$26,MATCH($D265,'参数设置'!$C$17:$C$26,0),MATCH($E265,'参数设置'!$D$16:$G$16,0)),0)))</f>
        <v/>
      </c>
      <c r="G265" s="24">
        <f>IF($D265="","",INDEX('01人员工时'!$E$7:$E$126,INT((ROW()-7)/4)+1))</f>
        <v/>
      </c>
      <c r="H265" s="24">
        <f>IF($D265="","",INDEX('01人员工时'!$O$7:$O$126,INT((ROW()-7)/4)+1))</f>
        <v/>
      </c>
      <c r="I265" s="20">
        <f>IF(OR($D265="",$G265=0),"",$H265/$G265)</f>
        <v/>
      </c>
      <c r="J265" s="12">
        <f>IF($D265="","",ROUND($F265,2)-$S265)</f>
        <v/>
      </c>
      <c r="K265" s="12">
        <f>IF(OR($D265="",$G265=0),"",ROUND($F265*INDEX('01人员工时'!G$7:G$126,INT((ROW()-7)/4)+1)/$G265,2))</f>
        <v/>
      </c>
      <c r="L265" s="12">
        <f>IF(OR($D265="",$G265=0),"",ROUND($F265*INDEX('01人员工时'!H$7:H$126,INT((ROW()-7)/4)+1)/$G265,2))</f>
        <v/>
      </c>
      <c r="M265" s="12">
        <f>IF(OR($D265="",$G265=0),"",ROUND($F265*INDEX('01人员工时'!I$7:I$126,INT((ROW()-7)/4)+1)/$G265,2))</f>
        <v/>
      </c>
      <c r="N265" s="12">
        <f>IF(OR($D265="",$G265=0),"",ROUND($F265*INDEX('01人员工时'!J$7:J$126,INT((ROW()-7)/4)+1)/$G265,2))</f>
        <v/>
      </c>
      <c r="O265" s="12">
        <f>IF(OR($D265="",$G265=0),"",ROUND($F265*INDEX('01人员工时'!K$7:K$126,INT((ROW()-7)/4)+1)/$G265,2))</f>
        <v/>
      </c>
      <c r="P265" s="12">
        <f>IF(OR($D265="",$G265=0),"",ROUND($F265*INDEX('01人员工时'!L$7:L$126,INT((ROW()-7)/4)+1)/$G265,2))</f>
        <v/>
      </c>
      <c r="Q265" s="12">
        <f>IF(OR($D265="",$G265=0),"",ROUND($F265*INDEX('01人员工时'!M$7:M$126,INT((ROW()-7)/4)+1)/$G265,2))</f>
        <v/>
      </c>
      <c r="R265" s="12">
        <f>IF(OR($D265="",$G265=0),"",ROUND($F265*INDEX('01人员工时'!N$7:N$126,INT((ROW()-7)/4)+1)/$G265,2))</f>
        <v/>
      </c>
      <c r="S265" s="12">
        <f>IF($D265="","",SUM(K265:R265))</f>
        <v/>
      </c>
      <c r="T265" s="12">
        <f>IF($D265="","",$J265+$S265)</f>
        <v/>
      </c>
      <c r="U265" s="25">
        <f>IF($D265="","",IF($F265=0,"未维护标准",IF(ROUND($T265-$F265,2)=0,"√","差异")))</f>
        <v/>
      </c>
      <c r="V265" s="11" t="n"/>
      <c r="W265" s="9" t="n"/>
    </row>
    <row r="266" ht="18" customHeight="1">
      <c r="B266" s="26">
        <f>IF(INDEX('01人员工时'!$D$7:$D$126,INT((ROW()-7)/4)+1)&amp;""="","",INDEX('01人员工时'!$B$7:$B$126,INT((ROW()-7)/4)+1))</f>
        <v/>
      </c>
      <c r="C266" s="27">
        <f>IF($D266="","",IF(MOD(ROW()-7,4)=0,INDEX('01人员工时'!$C$7:$C$126,INT((ROW()-7)/4)+1),""))</f>
        <v/>
      </c>
      <c r="D266" s="27">
        <f>IF(INDEX('01人员工时'!$D$7:$D$126,INT((ROW()-7)/4)+1)&amp;""="","",INDEX('01人员工时'!$D$7:$D$126,INT((ROW()-7)/4)+1))</f>
        <v/>
      </c>
      <c r="E266" s="27">
        <f>IF($D266="","",INDEX('参数设置'!$K$6:$K$9,MOD(ROW()-7,4)+1))</f>
        <v/>
      </c>
      <c r="F266" s="28">
        <f>IF($D266="","",IF($V266&lt;&gt;"",$V266,IFERROR(INDEX('参数设置'!$D$17:$G$26,MATCH($D266,'参数设置'!$C$17:$C$26,0),MATCH($E266,'参数设置'!$D$16:$G$16,0)),0)))</f>
        <v/>
      </c>
      <c r="G266" s="29">
        <f>IF($D266="","",INDEX('01人员工时'!$E$7:$E$126,INT((ROW()-7)/4)+1))</f>
        <v/>
      </c>
      <c r="H266" s="29">
        <f>IF($D266="","",INDEX('01人员工时'!$O$7:$O$126,INT((ROW()-7)/4)+1))</f>
        <v/>
      </c>
      <c r="I266" s="30">
        <f>IF(OR($D266="",$G266=0),"",$H266/$G266)</f>
        <v/>
      </c>
      <c r="J266" s="31">
        <f>IF($D266="","",ROUND($F266,2)-$S266)</f>
        <v/>
      </c>
      <c r="K266" s="31">
        <f>IF(OR($D266="",$G266=0),"",ROUND($F266*INDEX('01人员工时'!G$7:G$126,INT((ROW()-7)/4)+1)/$G266,2))</f>
        <v/>
      </c>
      <c r="L266" s="31">
        <f>IF(OR($D266="",$G266=0),"",ROUND($F266*INDEX('01人员工时'!H$7:H$126,INT((ROW()-7)/4)+1)/$G266,2))</f>
        <v/>
      </c>
      <c r="M266" s="31">
        <f>IF(OR($D266="",$G266=0),"",ROUND($F266*INDEX('01人员工时'!I$7:I$126,INT((ROW()-7)/4)+1)/$G266,2))</f>
        <v/>
      </c>
      <c r="N266" s="31">
        <f>IF(OR($D266="",$G266=0),"",ROUND($F266*INDEX('01人员工时'!J$7:J$126,INT((ROW()-7)/4)+1)/$G266,2))</f>
        <v/>
      </c>
      <c r="O266" s="31">
        <f>IF(OR($D266="",$G266=0),"",ROUND($F266*INDEX('01人员工时'!K$7:K$126,INT((ROW()-7)/4)+1)/$G266,2))</f>
        <v/>
      </c>
      <c r="P266" s="31">
        <f>IF(OR($D266="",$G266=0),"",ROUND($F266*INDEX('01人员工时'!L$7:L$126,INT((ROW()-7)/4)+1)/$G266,2))</f>
        <v/>
      </c>
      <c r="Q266" s="31">
        <f>IF(OR($D266="",$G266=0),"",ROUND($F266*INDEX('01人员工时'!M$7:M$126,INT((ROW()-7)/4)+1)/$G266,2))</f>
        <v/>
      </c>
      <c r="R266" s="31">
        <f>IF(OR($D266="",$G266=0),"",ROUND($F266*INDEX('01人员工时'!N$7:N$126,INT((ROW()-7)/4)+1)/$G266,2))</f>
        <v/>
      </c>
      <c r="S266" s="31">
        <f>IF($D266="","",SUM(K266:R266))</f>
        <v/>
      </c>
      <c r="T266" s="31">
        <f>IF($D266="","",$J266+$S266)</f>
        <v/>
      </c>
      <c r="U266" s="32">
        <f>IF($D266="","",IF($F266=0,"未维护标准",IF(ROUND($T266-$F266,2)=0,"√","差异")))</f>
        <v/>
      </c>
      <c r="V266" s="33" t="n"/>
      <c r="W266" s="34" t="n"/>
    </row>
    <row r="267" ht="18" customHeight="1">
      <c r="B267" s="21">
        <f>IF(INDEX('01人员工时'!$D$7:$D$126,INT((ROW()-7)/4)+1)&amp;""="","",INDEX('01人员工时'!$B$7:$B$126,INT((ROW()-7)/4)+1))</f>
        <v/>
      </c>
      <c r="C267" s="22">
        <f>IF($D267="","",IF(MOD(ROW()-7,4)=0,INDEX('01人员工时'!$C$7:$C$126,INT((ROW()-7)/4)+1),""))</f>
        <v/>
      </c>
      <c r="D267" s="22">
        <f>IF(INDEX('01人员工时'!$D$7:$D$126,INT((ROW()-7)/4)+1)&amp;""="","",INDEX('01人员工时'!$D$7:$D$126,INT((ROW()-7)/4)+1))</f>
        <v/>
      </c>
      <c r="E267" s="22">
        <f>IF($D267="","",INDEX('参数设置'!$K$6:$K$9,MOD(ROW()-7,4)+1))</f>
        <v/>
      </c>
      <c r="F267" s="23">
        <f>IF($D267="","",IF($V267&lt;&gt;"",$V267,IFERROR(INDEX('参数设置'!$D$17:$G$26,MATCH($D267,'参数设置'!$C$17:$C$26,0),MATCH($E267,'参数设置'!$D$16:$G$16,0)),0)))</f>
        <v/>
      </c>
      <c r="G267" s="24">
        <f>IF($D267="","",INDEX('01人员工时'!$E$7:$E$126,INT((ROW()-7)/4)+1))</f>
        <v/>
      </c>
      <c r="H267" s="24">
        <f>IF($D267="","",INDEX('01人员工时'!$O$7:$O$126,INT((ROW()-7)/4)+1))</f>
        <v/>
      </c>
      <c r="I267" s="20">
        <f>IF(OR($D267="",$G267=0),"",$H267/$G267)</f>
        <v/>
      </c>
      <c r="J267" s="12">
        <f>IF($D267="","",ROUND($F267,2)-$S267)</f>
        <v/>
      </c>
      <c r="K267" s="12">
        <f>IF(OR($D267="",$G267=0),"",ROUND($F267*INDEX('01人员工时'!G$7:G$126,INT((ROW()-7)/4)+1)/$G267,2))</f>
        <v/>
      </c>
      <c r="L267" s="12">
        <f>IF(OR($D267="",$G267=0),"",ROUND($F267*INDEX('01人员工时'!H$7:H$126,INT((ROW()-7)/4)+1)/$G267,2))</f>
        <v/>
      </c>
      <c r="M267" s="12">
        <f>IF(OR($D267="",$G267=0),"",ROUND($F267*INDEX('01人员工时'!I$7:I$126,INT((ROW()-7)/4)+1)/$G267,2))</f>
        <v/>
      </c>
      <c r="N267" s="12">
        <f>IF(OR($D267="",$G267=0),"",ROUND($F267*INDEX('01人员工时'!J$7:J$126,INT((ROW()-7)/4)+1)/$G267,2))</f>
        <v/>
      </c>
      <c r="O267" s="12">
        <f>IF(OR($D267="",$G267=0),"",ROUND($F267*INDEX('01人员工时'!K$7:K$126,INT((ROW()-7)/4)+1)/$G267,2))</f>
        <v/>
      </c>
      <c r="P267" s="12">
        <f>IF(OR($D267="",$G267=0),"",ROUND($F267*INDEX('01人员工时'!L$7:L$126,INT((ROW()-7)/4)+1)/$G267,2))</f>
        <v/>
      </c>
      <c r="Q267" s="12">
        <f>IF(OR($D267="",$G267=0),"",ROUND($F267*INDEX('01人员工时'!M$7:M$126,INT((ROW()-7)/4)+1)/$G267,2))</f>
        <v/>
      </c>
      <c r="R267" s="12">
        <f>IF(OR($D267="",$G267=0),"",ROUND($F267*INDEX('01人员工时'!N$7:N$126,INT((ROW()-7)/4)+1)/$G267,2))</f>
        <v/>
      </c>
      <c r="S267" s="12">
        <f>IF($D267="","",SUM(K267:R267))</f>
        <v/>
      </c>
      <c r="T267" s="12">
        <f>IF($D267="","",$J267+$S267)</f>
        <v/>
      </c>
      <c r="U267" s="25">
        <f>IF($D267="","",IF($F267=0,"未维护标准",IF(ROUND($T267-$F267,2)=0,"√","差异")))</f>
        <v/>
      </c>
      <c r="V267" s="11" t="n"/>
      <c r="W267" s="9" t="n"/>
    </row>
    <row r="268" ht="18" customHeight="1">
      <c r="B268" s="21">
        <f>IF(INDEX('01人员工时'!$D$7:$D$126,INT((ROW()-7)/4)+1)&amp;""="","",INDEX('01人员工时'!$B$7:$B$126,INT((ROW()-7)/4)+1))</f>
        <v/>
      </c>
      <c r="C268" s="22">
        <f>IF($D268="","",IF(MOD(ROW()-7,4)=0,INDEX('01人员工时'!$C$7:$C$126,INT((ROW()-7)/4)+1),""))</f>
        <v/>
      </c>
      <c r="D268" s="22">
        <f>IF(INDEX('01人员工时'!$D$7:$D$126,INT((ROW()-7)/4)+1)&amp;""="","",INDEX('01人员工时'!$D$7:$D$126,INT((ROW()-7)/4)+1))</f>
        <v/>
      </c>
      <c r="E268" s="22">
        <f>IF($D268="","",INDEX('参数设置'!$K$6:$K$9,MOD(ROW()-7,4)+1))</f>
        <v/>
      </c>
      <c r="F268" s="23">
        <f>IF($D268="","",IF($V268&lt;&gt;"",$V268,IFERROR(INDEX('参数设置'!$D$17:$G$26,MATCH($D268,'参数设置'!$C$17:$C$26,0),MATCH($E268,'参数设置'!$D$16:$G$16,0)),0)))</f>
        <v/>
      </c>
      <c r="G268" s="24">
        <f>IF($D268="","",INDEX('01人员工时'!$E$7:$E$126,INT((ROW()-7)/4)+1))</f>
        <v/>
      </c>
      <c r="H268" s="24">
        <f>IF($D268="","",INDEX('01人员工时'!$O$7:$O$126,INT((ROW()-7)/4)+1))</f>
        <v/>
      </c>
      <c r="I268" s="20">
        <f>IF(OR($D268="",$G268=0),"",$H268/$G268)</f>
        <v/>
      </c>
      <c r="J268" s="12">
        <f>IF($D268="","",ROUND($F268,2)-$S268)</f>
        <v/>
      </c>
      <c r="K268" s="12">
        <f>IF(OR($D268="",$G268=0),"",ROUND($F268*INDEX('01人员工时'!G$7:G$126,INT((ROW()-7)/4)+1)/$G268,2))</f>
        <v/>
      </c>
      <c r="L268" s="12">
        <f>IF(OR($D268="",$G268=0),"",ROUND($F268*INDEX('01人员工时'!H$7:H$126,INT((ROW()-7)/4)+1)/$G268,2))</f>
        <v/>
      </c>
      <c r="M268" s="12">
        <f>IF(OR($D268="",$G268=0),"",ROUND($F268*INDEX('01人员工时'!I$7:I$126,INT((ROW()-7)/4)+1)/$G268,2))</f>
        <v/>
      </c>
      <c r="N268" s="12">
        <f>IF(OR($D268="",$G268=0),"",ROUND($F268*INDEX('01人员工时'!J$7:J$126,INT((ROW()-7)/4)+1)/$G268,2))</f>
        <v/>
      </c>
      <c r="O268" s="12">
        <f>IF(OR($D268="",$G268=0),"",ROUND($F268*INDEX('01人员工时'!K$7:K$126,INT((ROW()-7)/4)+1)/$G268,2))</f>
        <v/>
      </c>
      <c r="P268" s="12">
        <f>IF(OR($D268="",$G268=0),"",ROUND($F268*INDEX('01人员工时'!L$7:L$126,INT((ROW()-7)/4)+1)/$G268,2))</f>
        <v/>
      </c>
      <c r="Q268" s="12">
        <f>IF(OR($D268="",$G268=0),"",ROUND($F268*INDEX('01人员工时'!M$7:M$126,INT((ROW()-7)/4)+1)/$G268,2))</f>
        <v/>
      </c>
      <c r="R268" s="12">
        <f>IF(OR($D268="",$G268=0),"",ROUND($F268*INDEX('01人员工时'!N$7:N$126,INT((ROW()-7)/4)+1)/$G268,2))</f>
        <v/>
      </c>
      <c r="S268" s="12">
        <f>IF($D268="","",SUM(K268:R268))</f>
        <v/>
      </c>
      <c r="T268" s="12">
        <f>IF($D268="","",$J268+$S268)</f>
        <v/>
      </c>
      <c r="U268" s="25">
        <f>IF($D268="","",IF($F268=0,"未维护标准",IF(ROUND($T268-$F268,2)=0,"√","差异")))</f>
        <v/>
      </c>
      <c r="V268" s="11" t="n"/>
      <c r="W268" s="9" t="n"/>
    </row>
    <row r="269" ht="18" customHeight="1">
      <c r="B269" s="21">
        <f>IF(INDEX('01人员工时'!$D$7:$D$126,INT((ROW()-7)/4)+1)&amp;""="","",INDEX('01人员工时'!$B$7:$B$126,INT((ROW()-7)/4)+1))</f>
        <v/>
      </c>
      <c r="C269" s="22">
        <f>IF($D269="","",IF(MOD(ROW()-7,4)=0,INDEX('01人员工时'!$C$7:$C$126,INT((ROW()-7)/4)+1),""))</f>
        <v/>
      </c>
      <c r="D269" s="22">
        <f>IF(INDEX('01人员工时'!$D$7:$D$126,INT((ROW()-7)/4)+1)&amp;""="","",INDEX('01人员工时'!$D$7:$D$126,INT((ROW()-7)/4)+1))</f>
        <v/>
      </c>
      <c r="E269" s="22">
        <f>IF($D269="","",INDEX('参数设置'!$K$6:$K$9,MOD(ROW()-7,4)+1))</f>
        <v/>
      </c>
      <c r="F269" s="23">
        <f>IF($D269="","",IF($V269&lt;&gt;"",$V269,IFERROR(INDEX('参数设置'!$D$17:$G$26,MATCH($D269,'参数设置'!$C$17:$C$26,0),MATCH($E269,'参数设置'!$D$16:$G$16,0)),0)))</f>
        <v/>
      </c>
      <c r="G269" s="24">
        <f>IF($D269="","",INDEX('01人员工时'!$E$7:$E$126,INT((ROW()-7)/4)+1))</f>
        <v/>
      </c>
      <c r="H269" s="24">
        <f>IF($D269="","",INDEX('01人员工时'!$O$7:$O$126,INT((ROW()-7)/4)+1))</f>
        <v/>
      </c>
      <c r="I269" s="20">
        <f>IF(OR($D269="",$G269=0),"",$H269/$G269)</f>
        <v/>
      </c>
      <c r="J269" s="12">
        <f>IF($D269="","",ROUND($F269,2)-$S269)</f>
        <v/>
      </c>
      <c r="K269" s="12">
        <f>IF(OR($D269="",$G269=0),"",ROUND($F269*INDEX('01人员工时'!G$7:G$126,INT((ROW()-7)/4)+1)/$G269,2))</f>
        <v/>
      </c>
      <c r="L269" s="12">
        <f>IF(OR($D269="",$G269=0),"",ROUND($F269*INDEX('01人员工时'!H$7:H$126,INT((ROW()-7)/4)+1)/$G269,2))</f>
        <v/>
      </c>
      <c r="M269" s="12">
        <f>IF(OR($D269="",$G269=0),"",ROUND($F269*INDEX('01人员工时'!I$7:I$126,INT((ROW()-7)/4)+1)/$G269,2))</f>
        <v/>
      </c>
      <c r="N269" s="12">
        <f>IF(OR($D269="",$G269=0),"",ROUND($F269*INDEX('01人员工时'!J$7:J$126,INT((ROW()-7)/4)+1)/$G269,2))</f>
        <v/>
      </c>
      <c r="O269" s="12">
        <f>IF(OR($D269="",$G269=0),"",ROUND($F269*INDEX('01人员工时'!K$7:K$126,INT((ROW()-7)/4)+1)/$G269,2))</f>
        <v/>
      </c>
      <c r="P269" s="12">
        <f>IF(OR($D269="",$G269=0),"",ROUND($F269*INDEX('01人员工时'!L$7:L$126,INT((ROW()-7)/4)+1)/$G269,2))</f>
        <v/>
      </c>
      <c r="Q269" s="12">
        <f>IF(OR($D269="",$G269=0),"",ROUND($F269*INDEX('01人员工时'!M$7:M$126,INT((ROW()-7)/4)+1)/$G269,2))</f>
        <v/>
      </c>
      <c r="R269" s="12">
        <f>IF(OR($D269="",$G269=0),"",ROUND($F269*INDEX('01人员工时'!N$7:N$126,INT((ROW()-7)/4)+1)/$G269,2))</f>
        <v/>
      </c>
      <c r="S269" s="12">
        <f>IF($D269="","",SUM(K269:R269))</f>
        <v/>
      </c>
      <c r="T269" s="12">
        <f>IF($D269="","",$J269+$S269)</f>
        <v/>
      </c>
      <c r="U269" s="25">
        <f>IF($D269="","",IF($F269=0,"未维护标准",IF(ROUND($T269-$F269,2)=0,"√","差异")))</f>
        <v/>
      </c>
      <c r="V269" s="11" t="n"/>
      <c r="W269" s="9" t="n"/>
    </row>
    <row r="270" ht="18" customHeight="1">
      <c r="B270" s="26">
        <f>IF(INDEX('01人员工时'!$D$7:$D$126,INT((ROW()-7)/4)+1)&amp;""="","",INDEX('01人员工时'!$B$7:$B$126,INT((ROW()-7)/4)+1))</f>
        <v/>
      </c>
      <c r="C270" s="27">
        <f>IF($D270="","",IF(MOD(ROW()-7,4)=0,INDEX('01人员工时'!$C$7:$C$126,INT((ROW()-7)/4)+1),""))</f>
        <v/>
      </c>
      <c r="D270" s="27">
        <f>IF(INDEX('01人员工时'!$D$7:$D$126,INT((ROW()-7)/4)+1)&amp;""="","",INDEX('01人员工时'!$D$7:$D$126,INT((ROW()-7)/4)+1))</f>
        <v/>
      </c>
      <c r="E270" s="27">
        <f>IF($D270="","",INDEX('参数设置'!$K$6:$K$9,MOD(ROW()-7,4)+1))</f>
        <v/>
      </c>
      <c r="F270" s="28">
        <f>IF($D270="","",IF($V270&lt;&gt;"",$V270,IFERROR(INDEX('参数设置'!$D$17:$G$26,MATCH($D270,'参数设置'!$C$17:$C$26,0),MATCH($E270,'参数设置'!$D$16:$G$16,0)),0)))</f>
        <v/>
      </c>
      <c r="G270" s="29">
        <f>IF($D270="","",INDEX('01人员工时'!$E$7:$E$126,INT((ROW()-7)/4)+1))</f>
        <v/>
      </c>
      <c r="H270" s="29">
        <f>IF($D270="","",INDEX('01人员工时'!$O$7:$O$126,INT((ROW()-7)/4)+1))</f>
        <v/>
      </c>
      <c r="I270" s="30">
        <f>IF(OR($D270="",$G270=0),"",$H270/$G270)</f>
        <v/>
      </c>
      <c r="J270" s="31">
        <f>IF($D270="","",ROUND($F270,2)-$S270)</f>
        <v/>
      </c>
      <c r="K270" s="31">
        <f>IF(OR($D270="",$G270=0),"",ROUND($F270*INDEX('01人员工时'!G$7:G$126,INT((ROW()-7)/4)+1)/$G270,2))</f>
        <v/>
      </c>
      <c r="L270" s="31">
        <f>IF(OR($D270="",$G270=0),"",ROUND($F270*INDEX('01人员工时'!H$7:H$126,INT((ROW()-7)/4)+1)/$G270,2))</f>
        <v/>
      </c>
      <c r="M270" s="31">
        <f>IF(OR($D270="",$G270=0),"",ROUND($F270*INDEX('01人员工时'!I$7:I$126,INT((ROW()-7)/4)+1)/$G270,2))</f>
        <v/>
      </c>
      <c r="N270" s="31">
        <f>IF(OR($D270="",$G270=0),"",ROUND($F270*INDEX('01人员工时'!J$7:J$126,INT((ROW()-7)/4)+1)/$G270,2))</f>
        <v/>
      </c>
      <c r="O270" s="31">
        <f>IF(OR($D270="",$G270=0),"",ROUND($F270*INDEX('01人员工时'!K$7:K$126,INT((ROW()-7)/4)+1)/$G270,2))</f>
        <v/>
      </c>
      <c r="P270" s="31">
        <f>IF(OR($D270="",$G270=0),"",ROUND($F270*INDEX('01人员工时'!L$7:L$126,INT((ROW()-7)/4)+1)/$G270,2))</f>
        <v/>
      </c>
      <c r="Q270" s="31">
        <f>IF(OR($D270="",$G270=0),"",ROUND($F270*INDEX('01人员工时'!M$7:M$126,INT((ROW()-7)/4)+1)/$G270,2))</f>
        <v/>
      </c>
      <c r="R270" s="31">
        <f>IF(OR($D270="",$G270=0),"",ROUND($F270*INDEX('01人员工时'!N$7:N$126,INT((ROW()-7)/4)+1)/$G270,2))</f>
        <v/>
      </c>
      <c r="S270" s="31">
        <f>IF($D270="","",SUM(K270:R270))</f>
        <v/>
      </c>
      <c r="T270" s="31">
        <f>IF($D270="","",$J270+$S270)</f>
        <v/>
      </c>
      <c r="U270" s="32">
        <f>IF($D270="","",IF($F270=0,"未维护标准",IF(ROUND($T270-$F270,2)=0,"√","差异")))</f>
        <v/>
      </c>
      <c r="V270" s="33" t="n"/>
      <c r="W270" s="34" t="n"/>
    </row>
    <row r="271" ht="18" customHeight="1">
      <c r="B271" s="21">
        <f>IF(INDEX('01人员工时'!$D$7:$D$126,INT((ROW()-7)/4)+1)&amp;""="","",INDEX('01人员工时'!$B$7:$B$126,INT((ROW()-7)/4)+1))</f>
        <v/>
      </c>
      <c r="C271" s="22">
        <f>IF($D271="","",IF(MOD(ROW()-7,4)=0,INDEX('01人员工时'!$C$7:$C$126,INT((ROW()-7)/4)+1),""))</f>
        <v/>
      </c>
      <c r="D271" s="22">
        <f>IF(INDEX('01人员工时'!$D$7:$D$126,INT((ROW()-7)/4)+1)&amp;""="","",INDEX('01人员工时'!$D$7:$D$126,INT((ROW()-7)/4)+1))</f>
        <v/>
      </c>
      <c r="E271" s="22">
        <f>IF($D271="","",INDEX('参数设置'!$K$6:$K$9,MOD(ROW()-7,4)+1))</f>
        <v/>
      </c>
      <c r="F271" s="23">
        <f>IF($D271="","",IF($V271&lt;&gt;"",$V271,IFERROR(INDEX('参数设置'!$D$17:$G$26,MATCH($D271,'参数设置'!$C$17:$C$26,0),MATCH($E271,'参数设置'!$D$16:$G$16,0)),0)))</f>
        <v/>
      </c>
      <c r="G271" s="24">
        <f>IF($D271="","",INDEX('01人员工时'!$E$7:$E$126,INT((ROW()-7)/4)+1))</f>
        <v/>
      </c>
      <c r="H271" s="24">
        <f>IF($D271="","",INDEX('01人员工时'!$O$7:$O$126,INT((ROW()-7)/4)+1))</f>
        <v/>
      </c>
      <c r="I271" s="20">
        <f>IF(OR($D271="",$G271=0),"",$H271/$G271)</f>
        <v/>
      </c>
      <c r="J271" s="12">
        <f>IF($D271="","",ROUND($F271,2)-$S271)</f>
        <v/>
      </c>
      <c r="K271" s="12">
        <f>IF(OR($D271="",$G271=0),"",ROUND($F271*INDEX('01人员工时'!G$7:G$126,INT((ROW()-7)/4)+1)/$G271,2))</f>
        <v/>
      </c>
      <c r="L271" s="12">
        <f>IF(OR($D271="",$G271=0),"",ROUND($F271*INDEX('01人员工时'!H$7:H$126,INT((ROW()-7)/4)+1)/$G271,2))</f>
        <v/>
      </c>
      <c r="M271" s="12">
        <f>IF(OR($D271="",$G271=0),"",ROUND($F271*INDEX('01人员工时'!I$7:I$126,INT((ROW()-7)/4)+1)/$G271,2))</f>
        <v/>
      </c>
      <c r="N271" s="12">
        <f>IF(OR($D271="",$G271=0),"",ROUND($F271*INDEX('01人员工时'!J$7:J$126,INT((ROW()-7)/4)+1)/$G271,2))</f>
        <v/>
      </c>
      <c r="O271" s="12">
        <f>IF(OR($D271="",$G271=0),"",ROUND($F271*INDEX('01人员工时'!K$7:K$126,INT((ROW()-7)/4)+1)/$G271,2))</f>
        <v/>
      </c>
      <c r="P271" s="12">
        <f>IF(OR($D271="",$G271=0),"",ROUND($F271*INDEX('01人员工时'!L$7:L$126,INT((ROW()-7)/4)+1)/$G271,2))</f>
        <v/>
      </c>
      <c r="Q271" s="12">
        <f>IF(OR($D271="",$G271=0),"",ROUND($F271*INDEX('01人员工时'!M$7:M$126,INT((ROW()-7)/4)+1)/$G271,2))</f>
        <v/>
      </c>
      <c r="R271" s="12">
        <f>IF(OR($D271="",$G271=0),"",ROUND($F271*INDEX('01人员工时'!N$7:N$126,INT((ROW()-7)/4)+1)/$G271,2))</f>
        <v/>
      </c>
      <c r="S271" s="12">
        <f>IF($D271="","",SUM(K271:R271))</f>
        <v/>
      </c>
      <c r="T271" s="12">
        <f>IF($D271="","",$J271+$S271)</f>
        <v/>
      </c>
      <c r="U271" s="25">
        <f>IF($D271="","",IF($F271=0,"未维护标准",IF(ROUND($T271-$F271,2)=0,"√","差异")))</f>
        <v/>
      </c>
      <c r="V271" s="11" t="n"/>
      <c r="W271" s="9" t="n"/>
    </row>
    <row r="272" ht="18" customHeight="1">
      <c r="B272" s="21">
        <f>IF(INDEX('01人员工时'!$D$7:$D$126,INT((ROW()-7)/4)+1)&amp;""="","",INDEX('01人员工时'!$B$7:$B$126,INT((ROW()-7)/4)+1))</f>
        <v/>
      </c>
      <c r="C272" s="22">
        <f>IF($D272="","",IF(MOD(ROW()-7,4)=0,INDEX('01人员工时'!$C$7:$C$126,INT((ROW()-7)/4)+1),""))</f>
        <v/>
      </c>
      <c r="D272" s="22">
        <f>IF(INDEX('01人员工时'!$D$7:$D$126,INT((ROW()-7)/4)+1)&amp;""="","",INDEX('01人员工时'!$D$7:$D$126,INT((ROW()-7)/4)+1))</f>
        <v/>
      </c>
      <c r="E272" s="22">
        <f>IF($D272="","",INDEX('参数设置'!$K$6:$K$9,MOD(ROW()-7,4)+1))</f>
        <v/>
      </c>
      <c r="F272" s="23">
        <f>IF($D272="","",IF($V272&lt;&gt;"",$V272,IFERROR(INDEX('参数设置'!$D$17:$G$26,MATCH($D272,'参数设置'!$C$17:$C$26,0),MATCH($E272,'参数设置'!$D$16:$G$16,0)),0)))</f>
        <v/>
      </c>
      <c r="G272" s="24">
        <f>IF($D272="","",INDEX('01人员工时'!$E$7:$E$126,INT((ROW()-7)/4)+1))</f>
        <v/>
      </c>
      <c r="H272" s="24">
        <f>IF($D272="","",INDEX('01人员工时'!$O$7:$O$126,INT((ROW()-7)/4)+1))</f>
        <v/>
      </c>
      <c r="I272" s="20">
        <f>IF(OR($D272="",$G272=0),"",$H272/$G272)</f>
        <v/>
      </c>
      <c r="J272" s="12">
        <f>IF($D272="","",ROUND($F272,2)-$S272)</f>
        <v/>
      </c>
      <c r="K272" s="12">
        <f>IF(OR($D272="",$G272=0),"",ROUND($F272*INDEX('01人员工时'!G$7:G$126,INT((ROW()-7)/4)+1)/$G272,2))</f>
        <v/>
      </c>
      <c r="L272" s="12">
        <f>IF(OR($D272="",$G272=0),"",ROUND($F272*INDEX('01人员工时'!H$7:H$126,INT((ROW()-7)/4)+1)/$G272,2))</f>
        <v/>
      </c>
      <c r="M272" s="12">
        <f>IF(OR($D272="",$G272=0),"",ROUND($F272*INDEX('01人员工时'!I$7:I$126,INT((ROW()-7)/4)+1)/$G272,2))</f>
        <v/>
      </c>
      <c r="N272" s="12">
        <f>IF(OR($D272="",$G272=0),"",ROUND($F272*INDEX('01人员工时'!J$7:J$126,INT((ROW()-7)/4)+1)/$G272,2))</f>
        <v/>
      </c>
      <c r="O272" s="12">
        <f>IF(OR($D272="",$G272=0),"",ROUND($F272*INDEX('01人员工时'!K$7:K$126,INT((ROW()-7)/4)+1)/$G272,2))</f>
        <v/>
      </c>
      <c r="P272" s="12">
        <f>IF(OR($D272="",$G272=0),"",ROUND($F272*INDEX('01人员工时'!L$7:L$126,INT((ROW()-7)/4)+1)/$G272,2))</f>
        <v/>
      </c>
      <c r="Q272" s="12">
        <f>IF(OR($D272="",$G272=0),"",ROUND($F272*INDEX('01人员工时'!M$7:M$126,INT((ROW()-7)/4)+1)/$G272,2))</f>
        <v/>
      </c>
      <c r="R272" s="12">
        <f>IF(OR($D272="",$G272=0),"",ROUND($F272*INDEX('01人员工时'!N$7:N$126,INT((ROW()-7)/4)+1)/$G272,2))</f>
        <v/>
      </c>
      <c r="S272" s="12">
        <f>IF($D272="","",SUM(K272:R272))</f>
        <v/>
      </c>
      <c r="T272" s="12">
        <f>IF($D272="","",$J272+$S272)</f>
        <v/>
      </c>
      <c r="U272" s="25">
        <f>IF($D272="","",IF($F272=0,"未维护标准",IF(ROUND($T272-$F272,2)=0,"√","差异")))</f>
        <v/>
      </c>
      <c r="V272" s="11" t="n"/>
      <c r="W272" s="9" t="n"/>
    </row>
    <row r="273" ht="18" customHeight="1">
      <c r="B273" s="21">
        <f>IF(INDEX('01人员工时'!$D$7:$D$126,INT((ROW()-7)/4)+1)&amp;""="","",INDEX('01人员工时'!$B$7:$B$126,INT((ROW()-7)/4)+1))</f>
        <v/>
      </c>
      <c r="C273" s="22">
        <f>IF($D273="","",IF(MOD(ROW()-7,4)=0,INDEX('01人员工时'!$C$7:$C$126,INT((ROW()-7)/4)+1),""))</f>
        <v/>
      </c>
      <c r="D273" s="22">
        <f>IF(INDEX('01人员工时'!$D$7:$D$126,INT((ROW()-7)/4)+1)&amp;""="","",INDEX('01人员工时'!$D$7:$D$126,INT((ROW()-7)/4)+1))</f>
        <v/>
      </c>
      <c r="E273" s="22">
        <f>IF($D273="","",INDEX('参数设置'!$K$6:$K$9,MOD(ROW()-7,4)+1))</f>
        <v/>
      </c>
      <c r="F273" s="23">
        <f>IF($D273="","",IF($V273&lt;&gt;"",$V273,IFERROR(INDEX('参数设置'!$D$17:$G$26,MATCH($D273,'参数设置'!$C$17:$C$26,0),MATCH($E273,'参数设置'!$D$16:$G$16,0)),0)))</f>
        <v/>
      </c>
      <c r="G273" s="24">
        <f>IF($D273="","",INDEX('01人员工时'!$E$7:$E$126,INT((ROW()-7)/4)+1))</f>
        <v/>
      </c>
      <c r="H273" s="24">
        <f>IF($D273="","",INDEX('01人员工时'!$O$7:$O$126,INT((ROW()-7)/4)+1))</f>
        <v/>
      </c>
      <c r="I273" s="20">
        <f>IF(OR($D273="",$G273=0),"",$H273/$G273)</f>
        <v/>
      </c>
      <c r="J273" s="12">
        <f>IF($D273="","",ROUND($F273,2)-$S273)</f>
        <v/>
      </c>
      <c r="K273" s="12">
        <f>IF(OR($D273="",$G273=0),"",ROUND($F273*INDEX('01人员工时'!G$7:G$126,INT((ROW()-7)/4)+1)/$G273,2))</f>
        <v/>
      </c>
      <c r="L273" s="12">
        <f>IF(OR($D273="",$G273=0),"",ROUND($F273*INDEX('01人员工时'!H$7:H$126,INT((ROW()-7)/4)+1)/$G273,2))</f>
        <v/>
      </c>
      <c r="M273" s="12">
        <f>IF(OR($D273="",$G273=0),"",ROUND($F273*INDEX('01人员工时'!I$7:I$126,INT((ROW()-7)/4)+1)/$G273,2))</f>
        <v/>
      </c>
      <c r="N273" s="12">
        <f>IF(OR($D273="",$G273=0),"",ROUND($F273*INDEX('01人员工时'!J$7:J$126,INT((ROW()-7)/4)+1)/$G273,2))</f>
        <v/>
      </c>
      <c r="O273" s="12">
        <f>IF(OR($D273="",$G273=0),"",ROUND($F273*INDEX('01人员工时'!K$7:K$126,INT((ROW()-7)/4)+1)/$G273,2))</f>
        <v/>
      </c>
      <c r="P273" s="12">
        <f>IF(OR($D273="",$G273=0),"",ROUND($F273*INDEX('01人员工时'!L$7:L$126,INT((ROW()-7)/4)+1)/$G273,2))</f>
        <v/>
      </c>
      <c r="Q273" s="12">
        <f>IF(OR($D273="",$G273=0),"",ROUND($F273*INDEX('01人员工时'!M$7:M$126,INT((ROW()-7)/4)+1)/$G273,2))</f>
        <v/>
      </c>
      <c r="R273" s="12">
        <f>IF(OR($D273="",$G273=0),"",ROUND($F273*INDEX('01人员工时'!N$7:N$126,INT((ROW()-7)/4)+1)/$G273,2))</f>
        <v/>
      </c>
      <c r="S273" s="12">
        <f>IF($D273="","",SUM(K273:R273))</f>
        <v/>
      </c>
      <c r="T273" s="12">
        <f>IF($D273="","",$J273+$S273)</f>
        <v/>
      </c>
      <c r="U273" s="25">
        <f>IF($D273="","",IF($F273=0,"未维护标准",IF(ROUND($T273-$F273,2)=0,"√","差异")))</f>
        <v/>
      </c>
      <c r="V273" s="11" t="n"/>
      <c r="W273" s="9" t="n"/>
    </row>
    <row r="274" ht="18" customHeight="1">
      <c r="B274" s="26">
        <f>IF(INDEX('01人员工时'!$D$7:$D$126,INT((ROW()-7)/4)+1)&amp;""="","",INDEX('01人员工时'!$B$7:$B$126,INT((ROW()-7)/4)+1))</f>
        <v/>
      </c>
      <c r="C274" s="27">
        <f>IF($D274="","",IF(MOD(ROW()-7,4)=0,INDEX('01人员工时'!$C$7:$C$126,INT((ROW()-7)/4)+1),""))</f>
        <v/>
      </c>
      <c r="D274" s="27">
        <f>IF(INDEX('01人员工时'!$D$7:$D$126,INT((ROW()-7)/4)+1)&amp;""="","",INDEX('01人员工时'!$D$7:$D$126,INT((ROW()-7)/4)+1))</f>
        <v/>
      </c>
      <c r="E274" s="27">
        <f>IF($D274="","",INDEX('参数设置'!$K$6:$K$9,MOD(ROW()-7,4)+1))</f>
        <v/>
      </c>
      <c r="F274" s="28">
        <f>IF($D274="","",IF($V274&lt;&gt;"",$V274,IFERROR(INDEX('参数设置'!$D$17:$G$26,MATCH($D274,'参数设置'!$C$17:$C$26,0),MATCH($E274,'参数设置'!$D$16:$G$16,0)),0)))</f>
        <v/>
      </c>
      <c r="G274" s="29">
        <f>IF($D274="","",INDEX('01人员工时'!$E$7:$E$126,INT((ROW()-7)/4)+1))</f>
        <v/>
      </c>
      <c r="H274" s="29">
        <f>IF($D274="","",INDEX('01人员工时'!$O$7:$O$126,INT((ROW()-7)/4)+1))</f>
        <v/>
      </c>
      <c r="I274" s="30">
        <f>IF(OR($D274="",$G274=0),"",$H274/$G274)</f>
        <v/>
      </c>
      <c r="J274" s="31">
        <f>IF($D274="","",ROUND($F274,2)-$S274)</f>
        <v/>
      </c>
      <c r="K274" s="31">
        <f>IF(OR($D274="",$G274=0),"",ROUND($F274*INDEX('01人员工时'!G$7:G$126,INT((ROW()-7)/4)+1)/$G274,2))</f>
        <v/>
      </c>
      <c r="L274" s="31">
        <f>IF(OR($D274="",$G274=0),"",ROUND($F274*INDEX('01人员工时'!H$7:H$126,INT((ROW()-7)/4)+1)/$G274,2))</f>
        <v/>
      </c>
      <c r="M274" s="31">
        <f>IF(OR($D274="",$G274=0),"",ROUND($F274*INDEX('01人员工时'!I$7:I$126,INT((ROW()-7)/4)+1)/$G274,2))</f>
        <v/>
      </c>
      <c r="N274" s="31">
        <f>IF(OR($D274="",$G274=0),"",ROUND($F274*INDEX('01人员工时'!J$7:J$126,INT((ROW()-7)/4)+1)/$G274,2))</f>
        <v/>
      </c>
      <c r="O274" s="31">
        <f>IF(OR($D274="",$G274=0),"",ROUND($F274*INDEX('01人员工时'!K$7:K$126,INT((ROW()-7)/4)+1)/$G274,2))</f>
        <v/>
      </c>
      <c r="P274" s="31">
        <f>IF(OR($D274="",$G274=0),"",ROUND($F274*INDEX('01人员工时'!L$7:L$126,INT((ROW()-7)/4)+1)/$G274,2))</f>
        <v/>
      </c>
      <c r="Q274" s="31">
        <f>IF(OR($D274="",$G274=0),"",ROUND($F274*INDEX('01人员工时'!M$7:M$126,INT((ROW()-7)/4)+1)/$G274,2))</f>
        <v/>
      </c>
      <c r="R274" s="31">
        <f>IF(OR($D274="",$G274=0),"",ROUND($F274*INDEX('01人员工时'!N$7:N$126,INT((ROW()-7)/4)+1)/$G274,2))</f>
        <v/>
      </c>
      <c r="S274" s="31">
        <f>IF($D274="","",SUM(K274:R274))</f>
        <v/>
      </c>
      <c r="T274" s="31">
        <f>IF($D274="","",$J274+$S274)</f>
        <v/>
      </c>
      <c r="U274" s="32">
        <f>IF($D274="","",IF($F274=0,"未维护标准",IF(ROUND($T274-$F274,2)=0,"√","差异")))</f>
        <v/>
      </c>
      <c r="V274" s="33" t="n"/>
      <c r="W274" s="34" t="n"/>
    </row>
    <row r="275" ht="18" customHeight="1">
      <c r="B275" s="21">
        <f>IF(INDEX('01人员工时'!$D$7:$D$126,INT((ROW()-7)/4)+1)&amp;""="","",INDEX('01人员工时'!$B$7:$B$126,INT((ROW()-7)/4)+1))</f>
        <v/>
      </c>
      <c r="C275" s="22">
        <f>IF($D275="","",IF(MOD(ROW()-7,4)=0,INDEX('01人员工时'!$C$7:$C$126,INT((ROW()-7)/4)+1),""))</f>
        <v/>
      </c>
      <c r="D275" s="22">
        <f>IF(INDEX('01人员工时'!$D$7:$D$126,INT((ROW()-7)/4)+1)&amp;""="","",INDEX('01人员工时'!$D$7:$D$126,INT((ROW()-7)/4)+1))</f>
        <v/>
      </c>
      <c r="E275" s="22">
        <f>IF($D275="","",INDEX('参数设置'!$K$6:$K$9,MOD(ROW()-7,4)+1))</f>
        <v/>
      </c>
      <c r="F275" s="23">
        <f>IF($D275="","",IF($V275&lt;&gt;"",$V275,IFERROR(INDEX('参数设置'!$D$17:$G$26,MATCH($D275,'参数设置'!$C$17:$C$26,0),MATCH($E275,'参数设置'!$D$16:$G$16,0)),0)))</f>
        <v/>
      </c>
      <c r="G275" s="24">
        <f>IF($D275="","",INDEX('01人员工时'!$E$7:$E$126,INT((ROW()-7)/4)+1))</f>
        <v/>
      </c>
      <c r="H275" s="24">
        <f>IF($D275="","",INDEX('01人员工时'!$O$7:$O$126,INT((ROW()-7)/4)+1))</f>
        <v/>
      </c>
      <c r="I275" s="20">
        <f>IF(OR($D275="",$G275=0),"",$H275/$G275)</f>
        <v/>
      </c>
      <c r="J275" s="12">
        <f>IF($D275="","",ROUND($F275,2)-$S275)</f>
        <v/>
      </c>
      <c r="K275" s="12">
        <f>IF(OR($D275="",$G275=0),"",ROUND($F275*INDEX('01人员工时'!G$7:G$126,INT((ROW()-7)/4)+1)/$G275,2))</f>
        <v/>
      </c>
      <c r="L275" s="12">
        <f>IF(OR($D275="",$G275=0),"",ROUND($F275*INDEX('01人员工时'!H$7:H$126,INT((ROW()-7)/4)+1)/$G275,2))</f>
        <v/>
      </c>
      <c r="M275" s="12">
        <f>IF(OR($D275="",$G275=0),"",ROUND($F275*INDEX('01人员工时'!I$7:I$126,INT((ROW()-7)/4)+1)/$G275,2))</f>
        <v/>
      </c>
      <c r="N275" s="12">
        <f>IF(OR($D275="",$G275=0),"",ROUND($F275*INDEX('01人员工时'!J$7:J$126,INT((ROW()-7)/4)+1)/$G275,2))</f>
        <v/>
      </c>
      <c r="O275" s="12">
        <f>IF(OR($D275="",$G275=0),"",ROUND($F275*INDEX('01人员工时'!K$7:K$126,INT((ROW()-7)/4)+1)/$G275,2))</f>
        <v/>
      </c>
      <c r="P275" s="12">
        <f>IF(OR($D275="",$G275=0),"",ROUND($F275*INDEX('01人员工时'!L$7:L$126,INT((ROW()-7)/4)+1)/$G275,2))</f>
        <v/>
      </c>
      <c r="Q275" s="12">
        <f>IF(OR($D275="",$G275=0),"",ROUND($F275*INDEX('01人员工时'!M$7:M$126,INT((ROW()-7)/4)+1)/$G275,2))</f>
        <v/>
      </c>
      <c r="R275" s="12">
        <f>IF(OR($D275="",$G275=0),"",ROUND($F275*INDEX('01人员工时'!N$7:N$126,INT((ROW()-7)/4)+1)/$G275,2))</f>
        <v/>
      </c>
      <c r="S275" s="12">
        <f>IF($D275="","",SUM(K275:R275))</f>
        <v/>
      </c>
      <c r="T275" s="12">
        <f>IF($D275="","",$J275+$S275)</f>
        <v/>
      </c>
      <c r="U275" s="25">
        <f>IF($D275="","",IF($F275=0,"未维护标准",IF(ROUND($T275-$F275,2)=0,"√","差异")))</f>
        <v/>
      </c>
      <c r="V275" s="11" t="n"/>
      <c r="W275" s="9" t="n"/>
    </row>
    <row r="276" ht="18" customHeight="1">
      <c r="B276" s="21">
        <f>IF(INDEX('01人员工时'!$D$7:$D$126,INT((ROW()-7)/4)+1)&amp;""="","",INDEX('01人员工时'!$B$7:$B$126,INT((ROW()-7)/4)+1))</f>
        <v/>
      </c>
      <c r="C276" s="22">
        <f>IF($D276="","",IF(MOD(ROW()-7,4)=0,INDEX('01人员工时'!$C$7:$C$126,INT((ROW()-7)/4)+1),""))</f>
        <v/>
      </c>
      <c r="D276" s="22">
        <f>IF(INDEX('01人员工时'!$D$7:$D$126,INT((ROW()-7)/4)+1)&amp;""="","",INDEX('01人员工时'!$D$7:$D$126,INT((ROW()-7)/4)+1))</f>
        <v/>
      </c>
      <c r="E276" s="22">
        <f>IF($D276="","",INDEX('参数设置'!$K$6:$K$9,MOD(ROW()-7,4)+1))</f>
        <v/>
      </c>
      <c r="F276" s="23">
        <f>IF($D276="","",IF($V276&lt;&gt;"",$V276,IFERROR(INDEX('参数设置'!$D$17:$G$26,MATCH($D276,'参数设置'!$C$17:$C$26,0),MATCH($E276,'参数设置'!$D$16:$G$16,0)),0)))</f>
        <v/>
      </c>
      <c r="G276" s="24">
        <f>IF($D276="","",INDEX('01人员工时'!$E$7:$E$126,INT((ROW()-7)/4)+1))</f>
        <v/>
      </c>
      <c r="H276" s="24">
        <f>IF($D276="","",INDEX('01人员工时'!$O$7:$O$126,INT((ROW()-7)/4)+1))</f>
        <v/>
      </c>
      <c r="I276" s="20">
        <f>IF(OR($D276="",$G276=0),"",$H276/$G276)</f>
        <v/>
      </c>
      <c r="J276" s="12">
        <f>IF($D276="","",ROUND($F276,2)-$S276)</f>
        <v/>
      </c>
      <c r="K276" s="12">
        <f>IF(OR($D276="",$G276=0),"",ROUND($F276*INDEX('01人员工时'!G$7:G$126,INT((ROW()-7)/4)+1)/$G276,2))</f>
        <v/>
      </c>
      <c r="L276" s="12">
        <f>IF(OR($D276="",$G276=0),"",ROUND($F276*INDEX('01人员工时'!H$7:H$126,INT((ROW()-7)/4)+1)/$G276,2))</f>
        <v/>
      </c>
      <c r="M276" s="12">
        <f>IF(OR($D276="",$G276=0),"",ROUND($F276*INDEX('01人员工时'!I$7:I$126,INT((ROW()-7)/4)+1)/$G276,2))</f>
        <v/>
      </c>
      <c r="N276" s="12">
        <f>IF(OR($D276="",$G276=0),"",ROUND($F276*INDEX('01人员工时'!J$7:J$126,INT((ROW()-7)/4)+1)/$G276,2))</f>
        <v/>
      </c>
      <c r="O276" s="12">
        <f>IF(OR($D276="",$G276=0),"",ROUND($F276*INDEX('01人员工时'!K$7:K$126,INT((ROW()-7)/4)+1)/$G276,2))</f>
        <v/>
      </c>
      <c r="P276" s="12">
        <f>IF(OR($D276="",$G276=0),"",ROUND($F276*INDEX('01人员工时'!L$7:L$126,INT((ROW()-7)/4)+1)/$G276,2))</f>
        <v/>
      </c>
      <c r="Q276" s="12">
        <f>IF(OR($D276="",$G276=0),"",ROUND($F276*INDEX('01人员工时'!M$7:M$126,INT((ROW()-7)/4)+1)/$G276,2))</f>
        <v/>
      </c>
      <c r="R276" s="12">
        <f>IF(OR($D276="",$G276=0),"",ROUND($F276*INDEX('01人员工时'!N$7:N$126,INT((ROW()-7)/4)+1)/$G276,2))</f>
        <v/>
      </c>
      <c r="S276" s="12">
        <f>IF($D276="","",SUM(K276:R276))</f>
        <v/>
      </c>
      <c r="T276" s="12">
        <f>IF($D276="","",$J276+$S276)</f>
        <v/>
      </c>
      <c r="U276" s="25">
        <f>IF($D276="","",IF($F276=0,"未维护标准",IF(ROUND($T276-$F276,2)=0,"√","差异")))</f>
        <v/>
      </c>
      <c r="V276" s="11" t="n"/>
      <c r="W276" s="9" t="n"/>
    </row>
    <row r="277" ht="18" customHeight="1">
      <c r="B277" s="21">
        <f>IF(INDEX('01人员工时'!$D$7:$D$126,INT((ROW()-7)/4)+1)&amp;""="","",INDEX('01人员工时'!$B$7:$B$126,INT((ROW()-7)/4)+1))</f>
        <v/>
      </c>
      <c r="C277" s="22">
        <f>IF($D277="","",IF(MOD(ROW()-7,4)=0,INDEX('01人员工时'!$C$7:$C$126,INT((ROW()-7)/4)+1),""))</f>
        <v/>
      </c>
      <c r="D277" s="22">
        <f>IF(INDEX('01人员工时'!$D$7:$D$126,INT((ROW()-7)/4)+1)&amp;""="","",INDEX('01人员工时'!$D$7:$D$126,INT((ROW()-7)/4)+1))</f>
        <v/>
      </c>
      <c r="E277" s="22">
        <f>IF($D277="","",INDEX('参数设置'!$K$6:$K$9,MOD(ROW()-7,4)+1))</f>
        <v/>
      </c>
      <c r="F277" s="23">
        <f>IF($D277="","",IF($V277&lt;&gt;"",$V277,IFERROR(INDEX('参数设置'!$D$17:$G$26,MATCH($D277,'参数设置'!$C$17:$C$26,0),MATCH($E277,'参数设置'!$D$16:$G$16,0)),0)))</f>
        <v/>
      </c>
      <c r="G277" s="24">
        <f>IF($D277="","",INDEX('01人员工时'!$E$7:$E$126,INT((ROW()-7)/4)+1))</f>
        <v/>
      </c>
      <c r="H277" s="24">
        <f>IF($D277="","",INDEX('01人员工时'!$O$7:$O$126,INT((ROW()-7)/4)+1))</f>
        <v/>
      </c>
      <c r="I277" s="20">
        <f>IF(OR($D277="",$G277=0),"",$H277/$G277)</f>
        <v/>
      </c>
      <c r="J277" s="12">
        <f>IF($D277="","",ROUND($F277,2)-$S277)</f>
        <v/>
      </c>
      <c r="K277" s="12">
        <f>IF(OR($D277="",$G277=0),"",ROUND($F277*INDEX('01人员工时'!G$7:G$126,INT((ROW()-7)/4)+1)/$G277,2))</f>
        <v/>
      </c>
      <c r="L277" s="12">
        <f>IF(OR($D277="",$G277=0),"",ROUND($F277*INDEX('01人员工时'!H$7:H$126,INT((ROW()-7)/4)+1)/$G277,2))</f>
        <v/>
      </c>
      <c r="M277" s="12">
        <f>IF(OR($D277="",$G277=0),"",ROUND($F277*INDEX('01人员工时'!I$7:I$126,INT((ROW()-7)/4)+1)/$G277,2))</f>
        <v/>
      </c>
      <c r="N277" s="12">
        <f>IF(OR($D277="",$G277=0),"",ROUND($F277*INDEX('01人员工时'!J$7:J$126,INT((ROW()-7)/4)+1)/$G277,2))</f>
        <v/>
      </c>
      <c r="O277" s="12">
        <f>IF(OR($D277="",$G277=0),"",ROUND($F277*INDEX('01人员工时'!K$7:K$126,INT((ROW()-7)/4)+1)/$G277,2))</f>
        <v/>
      </c>
      <c r="P277" s="12">
        <f>IF(OR($D277="",$G277=0),"",ROUND($F277*INDEX('01人员工时'!L$7:L$126,INT((ROW()-7)/4)+1)/$G277,2))</f>
        <v/>
      </c>
      <c r="Q277" s="12">
        <f>IF(OR($D277="",$G277=0),"",ROUND($F277*INDEX('01人员工时'!M$7:M$126,INT((ROW()-7)/4)+1)/$G277,2))</f>
        <v/>
      </c>
      <c r="R277" s="12">
        <f>IF(OR($D277="",$G277=0),"",ROUND($F277*INDEX('01人员工时'!N$7:N$126,INT((ROW()-7)/4)+1)/$G277,2))</f>
        <v/>
      </c>
      <c r="S277" s="12">
        <f>IF($D277="","",SUM(K277:R277))</f>
        <v/>
      </c>
      <c r="T277" s="12">
        <f>IF($D277="","",$J277+$S277)</f>
        <v/>
      </c>
      <c r="U277" s="25">
        <f>IF($D277="","",IF($F277=0,"未维护标准",IF(ROUND($T277-$F277,2)=0,"√","差异")))</f>
        <v/>
      </c>
      <c r="V277" s="11" t="n"/>
      <c r="W277" s="9" t="n"/>
    </row>
    <row r="278" ht="18" customHeight="1">
      <c r="B278" s="26">
        <f>IF(INDEX('01人员工时'!$D$7:$D$126,INT((ROW()-7)/4)+1)&amp;""="","",INDEX('01人员工时'!$B$7:$B$126,INT((ROW()-7)/4)+1))</f>
        <v/>
      </c>
      <c r="C278" s="27">
        <f>IF($D278="","",IF(MOD(ROW()-7,4)=0,INDEX('01人员工时'!$C$7:$C$126,INT((ROW()-7)/4)+1),""))</f>
        <v/>
      </c>
      <c r="D278" s="27">
        <f>IF(INDEX('01人员工时'!$D$7:$D$126,INT((ROW()-7)/4)+1)&amp;""="","",INDEX('01人员工时'!$D$7:$D$126,INT((ROW()-7)/4)+1))</f>
        <v/>
      </c>
      <c r="E278" s="27">
        <f>IF($D278="","",INDEX('参数设置'!$K$6:$K$9,MOD(ROW()-7,4)+1))</f>
        <v/>
      </c>
      <c r="F278" s="28">
        <f>IF($D278="","",IF($V278&lt;&gt;"",$V278,IFERROR(INDEX('参数设置'!$D$17:$G$26,MATCH($D278,'参数设置'!$C$17:$C$26,0),MATCH($E278,'参数设置'!$D$16:$G$16,0)),0)))</f>
        <v/>
      </c>
      <c r="G278" s="29">
        <f>IF($D278="","",INDEX('01人员工时'!$E$7:$E$126,INT((ROW()-7)/4)+1))</f>
        <v/>
      </c>
      <c r="H278" s="29">
        <f>IF($D278="","",INDEX('01人员工时'!$O$7:$O$126,INT((ROW()-7)/4)+1))</f>
        <v/>
      </c>
      <c r="I278" s="30">
        <f>IF(OR($D278="",$G278=0),"",$H278/$G278)</f>
        <v/>
      </c>
      <c r="J278" s="31">
        <f>IF($D278="","",ROUND($F278,2)-$S278)</f>
        <v/>
      </c>
      <c r="K278" s="31">
        <f>IF(OR($D278="",$G278=0),"",ROUND($F278*INDEX('01人员工时'!G$7:G$126,INT((ROW()-7)/4)+1)/$G278,2))</f>
        <v/>
      </c>
      <c r="L278" s="31">
        <f>IF(OR($D278="",$G278=0),"",ROUND($F278*INDEX('01人员工时'!H$7:H$126,INT((ROW()-7)/4)+1)/$G278,2))</f>
        <v/>
      </c>
      <c r="M278" s="31">
        <f>IF(OR($D278="",$G278=0),"",ROUND($F278*INDEX('01人员工时'!I$7:I$126,INT((ROW()-7)/4)+1)/$G278,2))</f>
        <v/>
      </c>
      <c r="N278" s="31">
        <f>IF(OR($D278="",$G278=0),"",ROUND($F278*INDEX('01人员工时'!J$7:J$126,INT((ROW()-7)/4)+1)/$G278,2))</f>
        <v/>
      </c>
      <c r="O278" s="31">
        <f>IF(OR($D278="",$G278=0),"",ROUND($F278*INDEX('01人员工时'!K$7:K$126,INT((ROW()-7)/4)+1)/$G278,2))</f>
        <v/>
      </c>
      <c r="P278" s="31">
        <f>IF(OR($D278="",$G278=0),"",ROUND($F278*INDEX('01人员工时'!L$7:L$126,INT((ROW()-7)/4)+1)/$G278,2))</f>
        <v/>
      </c>
      <c r="Q278" s="31">
        <f>IF(OR($D278="",$G278=0),"",ROUND($F278*INDEX('01人员工时'!M$7:M$126,INT((ROW()-7)/4)+1)/$G278,2))</f>
        <v/>
      </c>
      <c r="R278" s="31">
        <f>IF(OR($D278="",$G278=0),"",ROUND($F278*INDEX('01人员工时'!N$7:N$126,INT((ROW()-7)/4)+1)/$G278,2))</f>
        <v/>
      </c>
      <c r="S278" s="31">
        <f>IF($D278="","",SUM(K278:R278))</f>
        <v/>
      </c>
      <c r="T278" s="31">
        <f>IF($D278="","",$J278+$S278)</f>
        <v/>
      </c>
      <c r="U278" s="32">
        <f>IF($D278="","",IF($F278=0,"未维护标准",IF(ROUND($T278-$F278,2)=0,"√","差异")))</f>
        <v/>
      </c>
      <c r="V278" s="33" t="n"/>
      <c r="W278" s="34" t="n"/>
    </row>
    <row r="279" ht="18" customHeight="1">
      <c r="B279" s="21">
        <f>IF(INDEX('01人员工时'!$D$7:$D$126,INT((ROW()-7)/4)+1)&amp;""="","",INDEX('01人员工时'!$B$7:$B$126,INT((ROW()-7)/4)+1))</f>
        <v/>
      </c>
      <c r="C279" s="22">
        <f>IF($D279="","",IF(MOD(ROW()-7,4)=0,INDEX('01人员工时'!$C$7:$C$126,INT((ROW()-7)/4)+1),""))</f>
        <v/>
      </c>
      <c r="D279" s="22">
        <f>IF(INDEX('01人员工时'!$D$7:$D$126,INT((ROW()-7)/4)+1)&amp;""="","",INDEX('01人员工时'!$D$7:$D$126,INT((ROW()-7)/4)+1))</f>
        <v/>
      </c>
      <c r="E279" s="22">
        <f>IF($D279="","",INDEX('参数设置'!$K$6:$K$9,MOD(ROW()-7,4)+1))</f>
        <v/>
      </c>
      <c r="F279" s="23">
        <f>IF($D279="","",IF($V279&lt;&gt;"",$V279,IFERROR(INDEX('参数设置'!$D$17:$G$26,MATCH($D279,'参数设置'!$C$17:$C$26,0),MATCH($E279,'参数设置'!$D$16:$G$16,0)),0)))</f>
        <v/>
      </c>
      <c r="G279" s="24">
        <f>IF($D279="","",INDEX('01人员工时'!$E$7:$E$126,INT((ROW()-7)/4)+1))</f>
        <v/>
      </c>
      <c r="H279" s="24">
        <f>IF($D279="","",INDEX('01人员工时'!$O$7:$O$126,INT((ROW()-7)/4)+1))</f>
        <v/>
      </c>
      <c r="I279" s="20">
        <f>IF(OR($D279="",$G279=0),"",$H279/$G279)</f>
        <v/>
      </c>
      <c r="J279" s="12">
        <f>IF($D279="","",ROUND($F279,2)-$S279)</f>
        <v/>
      </c>
      <c r="K279" s="12">
        <f>IF(OR($D279="",$G279=0),"",ROUND($F279*INDEX('01人员工时'!G$7:G$126,INT((ROW()-7)/4)+1)/$G279,2))</f>
        <v/>
      </c>
      <c r="L279" s="12">
        <f>IF(OR($D279="",$G279=0),"",ROUND($F279*INDEX('01人员工时'!H$7:H$126,INT((ROW()-7)/4)+1)/$G279,2))</f>
        <v/>
      </c>
      <c r="M279" s="12">
        <f>IF(OR($D279="",$G279=0),"",ROUND($F279*INDEX('01人员工时'!I$7:I$126,INT((ROW()-7)/4)+1)/$G279,2))</f>
        <v/>
      </c>
      <c r="N279" s="12">
        <f>IF(OR($D279="",$G279=0),"",ROUND($F279*INDEX('01人员工时'!J$7:J$126,INT((ROW()-7)/4)+1)/$G279,2))</f>
        <v/>
      </c>
      <c r="O279" s="12">
        <f>IF(OR($D279="",$G279=0),"",ROUND($F279*INDEX('01人员工时'!K$7:K$126,INT((ROW()-7)/4)+1)/$G279,2))</f>
        <v/>
      </c>
      <c r="P279" s="12">
        <f>IF(OR($D279="",$G279=0),"",ROUND($F279*INDEX('01人员工时'!L$7:L$126,INT((ROW()-7)/4)+1)/$G279,2))</f>
        <v/>
      </c>
      <c r="Q279" s="12">
        <f>IF(OR($D279="",$G279=0),"",ROUND($F279*INDEX('01人员工时'!M$7:M$126,INT((ROW()-7)/4)+1)/$G279,2))</f>
        <v/>
      </c>
      <c r="R279" s="12">
        <f>IF(OR($D279="",$G279=0),"",ROUND($F279*INDEX('01人员工时'!N$7:N$126,INT((ROW()-7)/4)+1)/$G279,2))</f>
        <v/>
      </c>
      <c r="S279" s="12">
        <f>IF($D279="","",SUM(K279:R279))</f>
        <v/>
      </c>
      <c r="T279" s="12">
        <f>IF($D279="","",$J279+$S279)</f>
        <v/>
      </c>
      <c r="U279" s="25">
        <f>IF($D279="","",IF($F279=0,"未维护标准",IF(ROUND($T279-$F279,2)=0,"√","差异")))</f>
        <v/>
      </c>
      <c r="V279" s="11" t="n"/>
      <c r="W279" s="9" t="n"/>
    </row>
    <row r="280" ht="18" customHeight="1">
      <c r="B280" s="21">
        <f>IF(INDEX('01人员工时'!$D$7:$D$126,INT((ROW()-7)/4)+1)&amp;""="","",INDEX('01人员工时'!$B$7:$B$126,INT((ROW()-7)/4)+1))</f>
        <v/>
      </c>
      <c r="C280" s="22">
        <f>IF($D280="","",IF(MOD(ROW()-7,4)=0,INDEX('01人员工时'!$C$7:$C$126,INT((ROW()-7)/4)+1),""))</f>
        <v/>
      </c>
      <c r="D280" s="22">
        <f>IF(INDEX('01人员工时'!$D$7:$D$126,INT((ROW()-7)/4)+1)&amp;""="","",INDEX('01人员工时'!$D$7:$D$126,INT((ROW()-7)/4)+1))</f>
        <v/>
      </c>
      <c r="E280" s="22">
        <f>IF($D280="","",INDEX('参数设置'!$K$6:$K$9,MOD(ROW()-7,4)+1))</f>
        <v/>
      </c>
      <c r="F280" s="23">
        <f>IF($D280="","",IF($V280&lt;&gt;"",$V280,IFERROR(INDEX('参数设置'!$D$17:$G$26,MATCH($D280,'参数设置'!$C$17:$C$26,0),MATCH($E280,'参数设置'!$D$16:$G$16,0)),0)))</f>
        <v/>
      </c>
      <c r="G280" s="24">
        <f>IF($D280="","",INDEX('01人员工时'!$E$7:$E$126,INT((ROW()-7)/4)+1))</f>
        <v/>
      </c>
      <c r="H280" s="24">
        <f>IF($D280="","",INDEX('01人员工时'!$O$7:$O$126,INT((ROW()-7)/4)+1))</f>
        <v/>
      </c>
      <c r="I280" s="20">
        <f>IF(OR($D280="",$G280=0),"",$H280/$G280)</f>
        <v/>
      </c>
      <c r="J280" s="12">
        <f>IF($D280="","",ROUND($F280,2)-$S280)</f>
        <v/>
      </c>
      <c r="K280" s="12">
        <f>IF(OR($D280="",$G280=0),"",ROUND($F280*INDEX('01人员工时'!G$7:G$126,INT((ROW()-7)/4)+1)/$G280,2))</f>
        <v/>
      </c>
      <c r="L280" s="12">
        <f>IF(OR($D280="",$G280=0),"",ROUND($F280*INDEX('01人员工时'!H$7:H$126,INT((ROW()-7)/4)+1)/$G280,2))</f>
        <v/>
      </c>
      <c r="M280" s="12">
        <f>IF(OR($D280="",$G280=0),"",ROUND($F280*INDEX('01人员工时'!I$7:I$126,INT((ROW()-7)/4)+1)/$G280,2))</f>
        <v/>
      </c>
      <c r="N280" s="12">
        <f>IF(OR($D280="",$G280=0),"",ROUND($F280*INDEX('01人员工时'!J$7:J$126,INT((ROW()-7)/4)+1)/$G280,2))</f>
        <v/>
      </c>
      <c r="O280" s="12">
        <f>IF(OR($D280="",$G280=0),"",ROUND($F280*INDEX('01人员工时'!K$7:K$126,INT((ROW()-7)/4)+1)/$G280,2))</f>
        <v/>
      </c>
      <c r="P280" s="12">
        <f>IF(OR($D280="",$G280=0),"",ROUND($F280*INDEX('01人员工时'!L$7:L$126,INT((ROW()-7)/4)+1)/$G280,2))</f>
        <v/>
      </c>
      <c r="Q280" s="12">
        <f>IF(OR($D280="",$G280=0),"",ROUND($F280*INDEX('01人员工时'!M$7:M$126,INT((ROW()-7)/4)+1)/$G280,2))</f>
        <v/>
      </c>
      <c r="R280" s="12">
        <f>IF(OR($D280="",$G280=0),"",ROUND($F280*INDEX('01人员工时'!N$7:N$126,INT((ROW()-7)/4)+1)/$G280,2))</f>
        <v/>
      </c>
      <c r="S280" s="12">
        <f>IF($D280="","",SUM(K280:R280))</f>
        <v/>
      </c>
      <c r="T280" s="12">
        <f>IF($D280="","",$J280+$S280)</f>
        <v/>
      </c>
      <c r="U280" s="25">
        <f>IF($D280="","",IF($F280=0,"未维护标准",IF(ROUND($T280-$F280,2)=0,"√","差异")))</f>
        <v/>
      </c>
      <c r="V280" s="11" t="n"/>
      <c r="W280" s="9" t="n"/>
    </row>
    <row r="281" ht="18" customHeight="1">
      <c r="B281" s="21">
        <f>IF(INDEX('01人员工时'!$D$7:$D$126,INT((ROW()-7)/4)+1)&amp;""="","",INDEX('01人员工时'!$B$7:$B$126,INT((ROW()-7)/4)+1))</f>
        <v/>
      </c>
      <c r="C281" s="22">
        <f>IF($D281="","",IF(MOD(ROW()-7,4)=0,INDEX('01人员工时'!$C$7:$C$126,INT((ROW()-7)/4)+1),""))</f>
        <v/>
      </c>
      <c r="D281" s="22">
        <f>IF(INDEX('01人员工时'!$D$7:$D$126,INT((ROW()-7)/4)+1)&amp;""="","",INDEX('01人员工时'!$D$7:$D$126,INT((ROW()-7)/4)+1))</f>
        <v/>
      </c>
      <c r="E281" s="22">
        <f>IF($D281="","",INDEX('参数设置'!$K$6:$K$9,MOD(ROW()-7,4)+1))</f>
        <v/>
      </c>
      <c r="F281" s="23">
        <f>IF($D281="","",IF($V281&lt;&gt;"",$V281,IFERROR(INDEX('参数设置'!$D$17:$G$26,MATCH($D281,'参数设置'!$C$17:$C$26,0),MATCH($E281,'参数设置'!$D$16:$G$16,0)),0)))</f>
        <v/>
      </c>
      <c r="G281" s="24">
        <f>IF($D281="","",INDEX('01人员工时'!$E$7:$E$126,INT((ROW()-7)/4)+1))</f>
        <v/>
      </c>
      <c r="H281" s="24">
        <f>IF($D281="","",INDEX('01人员工时'!$O$7:$O$126,INT((ROW()-7)/4)+1))</f>
        <v/>
      </c>
      <c r="I281" s="20">
        <f>IF(OR($D281="",$G281=0),"",$H281/$G281)</f>
        <v/>
      </c>
      <c r="J281" s="12">
        <f>IF($D281="","",ROUND($F281,2)-$S281)</f>
        <v/>
      </c>
      <c r="K281" s="12">
        <f>IF(OR($D281="",$G281=0),"",ROUND($F281*INDEX('01人员工时'!G$7:G$126,INT((ROW()-7)/4)+1)/$G281,2))</f>
        <v/>
      </c>
      <c r="L281" s="12">
        <f>IF(OR($D281="",$G281=0),"",ROUND($F281*INDEX('01人员工时'!H$7:H$126,INT((ROW()-7)/4)+1)/$G281,2))</f>
        <v/>
      </c>
      <c r="M281" s="12">
        <f>IF(OR($D281="",$G281=0),"",ROUND($F281*INDEX('01人员工时'!I$7:I$126,INT((ROW()-7)/4)+1)/$G281,2))</f>
        <v/>
      </c>
      <c r="N281" s="12">
        <f>IF(OR($D281="",$G281=0),"",ROUND($F281*INDEX('01人员工时'!J$7:J$126,INT((ROW()-7)/4)+1)/$G281,2))</f>
        <v/>
      </c>
      <c r="O281" s="12">
        <f>IF(OR($D281="",$G281=0),"",ROUND($F281*INDEX('01人员工时'!K$7:K$126,INT((ROW()-7)/4)+1)/$G281,2))</f>
        <v/>
      </c>
      <c r="P281" s="12">
        <f>IF(OR($D281="",$G281=0),"",ROUND($F281*INDEX('01人员工时'!L$7:L$126,INT((ROW()-7)/4)+1)/$G281,2))</f>
        <v/>
      </c>
      <c r="Q281" s="12">
        <f>IF(OR($D281="",$G281=0),"",ROUND($F281*INDEX('01人员工时'!M$7:M$126,INT((ROW()-7)/4)+1)/$G281,2))</f>
        <v/>
      </c>
      <c r="R281" s="12">
        <f>IF(OR($D281="",$G281=0),"",ROUND($F281*INDEX('01人员工时'!N$7:N$126,INT((ROW()-7)/4)+1)/$G281,2))</f>
        <v/>
      </c>
      <c r="S281" s="12">
        <f>IF($D281="","",SUM(K281:R281))</f>
        <v/>
      </c>
      <c r="T281" s="12">
        <f>IF($D281="","",$J281+$S281)</f>
        <v/>
      </c>
      <c r="U281" s="25">
        <f>IF($D281="","",IF($F281=0,"未维护标准",IF(ROUND($T281-$F281,2)=0,"√","差异")))</f>
        <v/>
      </c>
      <c r="V281" s="11" t="n"/>
      <c r="W281" s="9" t="n"/>
    </row>
    <row r="282" ht="18" customHeight="1">
      <c r="B282" s="26">
        <f>IF(INDEX('01人员工时'!$D$7:$D$126,INT((ROW()-7)/4)+1)&amp;""="","",INDEX('01人员工时'!$B$7:$B$126,INT((ROW()-7)/4)+1))</f>
        <v/>
      </c>
      <c r="C282" s="27">
        <f>IF($D282="","",IF(MOD(ROW()-7,4)=0,INDEX('01人员工时'!$C$7:$C$126,INT((ROW()-7)/4)+1),""))</f>
        <v/>
      </c>
      <c r="D282" s="27">
        <f>IF(INDEX('01人员工时'!$D$7:$D$126,INT((ROW()-7)/4)+1)&amp;""="","",INDEX('01人员工时'!$D$7:$D$126,INT((ROW()-7)/4)+1))</f>
        <v/>
      </c>
      <c r="E282" s="27">
        <f>IF($D282="","",INDEX('参数设置'!$K$6:$K$9,MOD(ROW()-7,4)+1))</f>
        <v/>
      </c>
      <c r="F282" s="28">
        <f>IF($D282="","",IF($V282&lt;&gt;"",$V282,IFERROR(INDEX('参数设置'!$D$17:$G$26,MATCH($D282,'参数设置'!$C$17:$C$26,0),MATCH($E282,'参数设置'!$D$16:$G$16,0)),0)))</f>
        <v/>
      </c>
      <c r="G282" s="29">
        <f>IF($D282="","",INDEX('01人员工时'!$E$7:$E$126,INT((ROW()-7)/4)+1))</f>
        <v/>
      </c>
      <c r="H282" s="29">
        <f>IF($D282="","",INDEX('01人员工时'!$O$7:$O$126,INT((ROW()-7)/4)+1))</f>
        <v/>
      </c>
      <c r="I282" s="30">
        <f>IF(OR($D282="",$G282=0),"",$H282/$G282)</f>
        <v/>
      </c>
      <c r="J282" s="31">
        <f>IF($D282="","",ROUND($F282,2)-$S282)</f>
        <v/>
      </c>
      <c r="K282" s="31">
        <f>IF(OR($D282="",$G282=0),"",ROUND($F282*INDEX('01人员工时'!G$7:G$126,INT((ROW()-7)/4)+1)/$G282,2))</f>
        <v/>
      </c>
      <c r="L282" s="31">
        <f>IF(OR($D282="",$G282=0),"",ROUND($F282*INDEX('01人员工时'!H$7:H$126,INT((ROW()-7)/4)+1)/$G282,2))</f>
        <v/>
      </c>
      <c r="M282" s="31">
        <f>IF(OR($D282="",$G282=0),"",ROUND($F282*INDEX('01人员工时'!I$7:I$126,INT((ROW()-7)/4)+1)/$G282,2))</f>
        <v/>
      </c>
      <c r="N282" s="31">
        <f>IF(OR($D282="",$G282=0),"",ROUND($F282*INDEX('01人员工时'!J$7:J$126,INT((ROW()-7)/4)+1)/$G282,2))</f>
        <v/>
      </c>
      <c r="O282" s="31">
        <f>IF(OR($D282="",$G282=0),"",ROUND($F282*INDEX('01人员工时'!K$7:K$126,INT((ROW()-7)/4)+1)/$G282,2))</f>
        <v/>
      </c>
      <c r="P282" s="31">
        <f>IF(OR($D282="",$G282=0),"",ROUND($F282*INDEX('01人员工时'!L$7:L$126,INT((ROW()-7)/4)+1)/$G282,2))</f>
        <v/>
      </c>
      <c r="Q282" s="31">
        <f>IF(OR($D282="",$G282=0),"",ROUND($F282*INDEX('01人员工时'!M$7:M$126,INT((ROW()-7)/4)+1)/$G282,2))</f>
        <v/>
      </c>
      <c r="R282" s="31">
        <f>IF(OR($D282="",$G282=0),"",ROUND($F282*INDEX('01人员工时'!N$7:N$126,INT((ROW()-7)/4)+1)/$G282,2))</f>
        <v/>
      </c>
      <c r="S282" s="31">
        <f>IF($D282="","",SUM(K282:R282))</f>
        <v/>
      </c>
      <c r="T282" s="31">
        <f>IF($D282="","",$J282+$S282)</f>
        <v/>
      </c>
      <c r="U282" s="32">
        <f>IF($D282="","",IF($F282=0,"未维护标准",IF(ROUND($T282-$F282,2)=0,"√","差异")))</f>
        <v/>
      </c>
      <c r="V282" s="33" t="n"/>
      <c r="W282" s="34" t="n"/>
    </row>
    <row r="283" ht="18" customHeight="1">
      <c r="B283" s="21">
        <f>IF(INDEX('01人员工时'!$D$7:$D$126,INT((ROW()-7)/4)+1)&amp;""="","",INDEX('01人员工时'!$B$7:$B$126,INT((ROW()-7)/4)+1))</f>
        <v/>
      </c>
      <c r="C283" s="22">
        <f>IF($D283="","",IF(MOD(ROW()-7,4)=0,INDEX('01人员工时'!$C$7:$C$126,INT((ROW()-7)/4)+1),""))</f>
        <v/>
      </c>
      <c r="D283" s="22">
        <f>IF(INDEX('01人员工时'!$D$7:$D$126,INT((ROW()-7)/4)+1)&amp;""="","",INDEX('01人员工时'!$D$7:$D$126,INT((ROW()-7)/4)+1))</f>
        <v/>
      </c>
      <c r="E283" s="22">
        <f>IF($D283="","",INDEX('参数设置'!$K$6:$K$9,MOD(ROW()-7,4)+1))</f>
        <v/>
      </c>
      <c r="F283" s="23">
        <f>IF($D283="","",IF($V283&lt;&gt;"",$V283,IFERROR(INDEX('参数设置'!$D$17:$G$26,MATCH($D283,'参数设置'!$C$17:$C$26,0),MATCH($E283,'参数设置'!$D$16:$G$16,0)),0)))</f>
        <v/>
      </c>
      <c r="G283" s="24">
        <f>IF($D283="","",INDEX('01人员工时'!$E$7:$E$126,INT((ROW()-7)/4)+1))</f>
        <v/>
      </c>
      <c r="H283" s="24">
        <f>IF($D283="","",INDEX('01人员工时'!$O$7:$O$126,INT((ROW()-7)/4)+1))</f>
        <v/>
      </c>
      <c r="I283" s="20">
        <f>IF(OR($D283="",$G283=0),"",$H283/$G283)</f>
        <v/>
      </c>
      <c r="J283" s="12">
        <f>IF($D283="","",ROUND($F283,2)-$S283)</f>
        <v/>
      </c>
      <c r="K283" s="12">
        <f>IF(OR($D283="",$G283=0),"",ROUND($F283*INDEX('01人员工时'!G$7:G$126,INT((ROW()-7)/4)+1)/$G283,2))</f>
        <v/>
      </c>
      <c r="L283" s="12">
        <f>IF(OR($D283="",$G283=0),"",ROUND($F283*INDEX('01人员工时'!H$7:H$126,INT((ROW()-7)/4)+1)/$G283,2))</f>
        <v/>
      </c>
      <c r="M283" s="12">
        <f>IF(OR($D283="",$G283=0),"",ROUND($F283*INDEX('01人员工时'!I$7:I$126,INT((ROW()-7)/4)+1)/$G283,2))</f>
        <v/>
      </c>
      <c r="N283" s="12">
        <f>IF(OR($D283="",$G283=0),"",ROUND($F283*INDEX('01人员工时'!J$7:J$126,INT((ROW()-7)/4)+1)/$G283,2))</f>
        <v/>
      </c>
      <c r="O283" s="12">
        <f>IF(OR($D283="",$G283=0),"",ROUND($F283*INDEX('01人员工时'!K$7:K$126,INT((ROW()-7)/4)+1)/$G283,2))</f>
        <v/>
      </c>
      <c r="P283" s="12">
        <f>IF(OR($D283="",$G283=0),"",ROUND($F283*INDEX('01人员工时'!L$7:L$126,INT((ROW()-7)/4)+1)/$G283,2))</f>
        <v/>
      </c>
      <c r="Q283" s="12">
        <f>IF(OR($D283="",$G283=0),"",ROUND($F283*INDEX('01人员工时'!M$7:M$126,INT((ROW()-7)/4)+1)/$G283,2))</f>
        <v/>
      </c>
      <c r="R283" s="12">
        <f>IF(OR($D283="",$G283=0),"",ROUND($F283*INDEX('01人员工时'!N$7:N$126,INT((ROW()-7)/4)+1)/$G283,2))</f>
        <v/>
      </c>
      <c r="S283" s="12">
        <f>IF($D283="","",SUM(K283:R283))</f>
        <v/>
      </c>
      <c r="T283" s="12">
        <f>IF($D283="","",$J283+$S283)</f>
        <v/>
      </c>
      <c r="U283" s="25">
        <f>IF($D283="","",IF($F283=0,"未维护标准",IF(ROUND($T283-$F283,2)=0,"√","差异")))</f>
        <v/>
      </c>
      <c r="V283" s="11" t="n"/>
      <c r="W283" s="9" t="n"/>
    </row>
    <row r="284" ht="18" customHeight="1">
      <c r="B284" s="21">
        <f>IF(INDEX('01人员工时'!$D$7:$D$126,INT((ROW()-7)/4)+1)&amp;""="","",INDEX('01人员工时'!$B$7:$B$126,INT((ROW()-7)/4)+1))</f>
        <v/>
      </c>
      <c r="C284" s="22">
        <f>IF($D284="","",IF(MOD(ROW()-7,4)=0,INDEX('01人员工时'!$C$7:$C$126,INT((ROW()-7)/4)+1),""))</f>
        <v/>
      </c>
      <c r="D284" s="22">
        <f>IF(INDEX('01人员工时'!$D$7:$D$126,INT((ROW()-7)/4)+1)&amp;""="","",INDEX('01人员工时'!$D$7:$D$126,INT((ROW()-7)/4)+1))</f>
        <v/>
      </c>
      <c r="E284" s="22">
        <f>IF($D284="","",INDEX('参数设置'!$K$6:$K$9,MOD(ROW()-7,4)+1))</f>
        <v/>
      </c>
      <c r="F284" s="23">
        <f>IF($D284="","",IF($V284&lt;&gt;"",$V284,IFERROR(INDEX('参数设置'!$D$17:$G$26,MATCH($D284,'参数设置'!$C$17:$C$26,0),MATCH($E284,'参数设置'!$D$16:$G$16,0)),0)))</f>
        <v/>
      </c>
      <c r="G284" s="24">
        <f>IF($D284="","",INDEX('01人员工时'!$E$7:$E$126,INT((ROW()-7)/4)+1))</f>
        <v/>
      </c>
      <c r="H284" s="24">
        <f>IF($D284="","",INDEX('01人员工时'!$O$7:$O$126,INT((ROW()-7)/4)+1))</f>
        <v/>
      </c>
      <c r="I284" s="20">
        <f>IF(OR($D284="",$G284=0),"",$H284/$G284)</f>
        <v/>
      </c>
      <c r="J284" s="12">
        <f>IF($D284="","",ROUND($F284,2)-$S284)</f>
        <v/>
      </c>
      <c r="K284" s="12">
        <f>IF(OR($D284="",$G284=0),"",ROUND($F284*INDEX('01人员工时'!G$7:G$126,INT((ROW()-7)/4)+1)/$G284,2))</f>
        <v/>
      </c>
      <c r="L284" s="12">
        <f>IF(OR($D284="",$G284=0),"",ROUND($F284*INDEX('01人员工时'!H$7:H$126,INT((ROW()-7)/4)+1)/$G284,2))</f>
        <v/>
      </c>
      <c r="M284" s="12">
        <f>IF(OR($D284="",$G284=0),"",ROUND($F284*INDEX('01人员工时'!I$7:I$126,INT((ROW()-7)/4)+1)/$G284,2))</f>
        <v/>
      </c>
      <c r="N284" s="12">
        <f>IF(OR($D284="",$G284=0),"",ROUND($F284*INDEX('01人员工时'!J$7:J$126,INT((ROW()-7)/4)+1)/$G284,2))</f>
        <v/>
      </c>
      <c r="O284" s="12">
        <f>IF(OR($D284="",$G284=0),"",ROUND($F284*INDEX('01人员工时'!K$7:K$126,INT((ROW()-7)/4)+1)/$G284,2))</f>
        <v/>
      </c>
      <c r="P284" s="12">
        <f>IF(OR($D284="",$G284=0),"",ROUND($F284*INDEX('01人员工时'!L$7:L$126,INT((ROW()-7)/4)+1)/$G284,2))</f>
        <v/>
      </c>
      <c r="Q284" s="12">
        <f>IF(OR($D284="",$G284=0),"",ROUND($F284*INDEX('01人员工时'!M$7:M$126,INT((ROW()-7)/4)+1)/$G284,2))</f>
        <v/>
      </c>
      <c r="R284" s="12">
        <f>IF(OR($D284="",$G284=0),"",ROUND($F284*INDEX('01人员工时'!N$7:N$126,INT((ROW()-7)/4)+1)/$G284,2))</f>
        <v/>
      </c>
      <c r="S284" s="12">
        <f>IF($D284="","",SUM(K284:R284))</f>
        <v/>
      </c>
      <c r="T284" s="12">
        <f>IF($D284="","",$J284+$S284)</f>
        <v/>
      </c>
      <c r="U284" s="25">
        <f>IF($D284="","",IF($F284=0,"未维护标准",IF(ROUND($T284-$F284,2)=0,"√","差异")))</f>
        <v/>
      </c>
      <c r="V284" s="11" t="n"/>
      <c r="W284" s="9" t="n"/>
    </row>
    <row r="285" ht="18" customHeight="1">
      <c r="B285" s="21">
        <f>IF(INDEX('01人员工时'!$D$7:$D$126,INT((ROW()-7)/4)+1)&amp;""="","",INDEX('01人员工时'!$B$7:$B$126,INT((ROW()-7)/4)+1))</f>
        <v/>
      </c>
      <c r="C285" s="22">
        <f>IF($D285="","",IF(MOD(ROW()-7,4)=0,INDEX('01人员工时'!$C$7:$C$126,INT((ROW()-7)/4)+1),""))</f>
        <v/>
      </c>
      <c r="D285" s="22">
        <f>IF(INDEX('01人员工时'!$D$7:$D$126,INT((ROW()-7)/4)+1)&amp;""="","",INDEX('01人员工时'!$D$7:$D$126,INT((ROW()-7)/4)+1))</f>
        <v/>
      </c>
      <c r="E285" s="22">
        <f>IF($D285="","",INDEX('参数设置'!$K$6:$K$9,MOD(ROW()-7,4)+1))</f>
        <v/>
      </c>
      <c r="F285" s="23">
        <f>IF($D285="","",IF($V285&lt;&gt;"",$V285,IFERROR(INDEX('参数设置'!$D$17:$G$26,MATCH($D285,'参数设置'!$C$17:$C$26,0),MATCH($E285,'参数设置'!$D$16:$G$16,0)),0)))</f>
        <v/>
      </c>
      <c r="G285" s="24">
        <f>IF($D285="","",INDEX('01人员工时'!$E$7:$E$126,INT((ROW()-7)/4)+1))</f>
        <v/>
      </c>
      <c r="H285" s="24">
        <f>IF($D285="","",INDEX('01人员工时'!$O$7:$O$126,INT((ROW()-7)/4)+1))</f>
        <v/>
      </c>
      <c r="I285" s="20">
        <f>IF(OR($D285="",$G285=0),"",$H285/$G285)</f>
        <v/>
      </c>
      <c r="J285" s="12">
        <f>IF($D285="","",ROUND($F285,2)-$S285)</f>
        <v/>
      </c>
      <c r="K285" s="12">
        <f>IF(OR($D285="",$G285=0),"",ROUND($F285*INDEX('01人员工时'!G$7:G$126,INT((ROW()-7)/4)+1)/$G285,2))</f>
        <v/>
      </c>
      <c r="L285" s="12">
        <f>IF(OR($D285="",$G285=0),"",ROUND($F285*INDEX('01人员工时'!H$7:H$126,INT((ROW()-7)/4)+1)/$G285,2))</f>
        <v/>
      </c>
      <c r="M285" s="12">
        <f>IF(OR($D285="",$G285=0),"",ROUND($F285*INDEX('01人员工时'!I$7:I$126,INT((ROW()-7)/4)+1)/$G285,2))</f>
        <v/>
      </c>
      <c r="N285" s="12">
        <f>IF(OR($D285="",$G285=0),"",ROUND($F285*INDEX('01人员工时'!J$7:J$126,INT((ROW()-7)/4)+1)/$G285,2))</f>
        <v/>
      </c>
      <c r="O285" s="12">
        <f>IF(OR($D285="",$G285=0),"",ROUND($F285*INDEX('01人员工时'!K$7:K$126,INT((ROW()-7)/4)+1)/$G285,2))</f>
        <v/>
      </c>
      <c r="P285" s="12">
        <f>IF(OR($D285="",$G285=0),"",ROUND($F285*INDEX('01人员工时'!L$7:L$126,INT((ROW()-7)/4)+1)/$G285,2))</f>
        <v/>
      </c>
      <c r="Q285" s="12">
        <f>IF(OR($D285="",$G285=0),"",ROUND($F285*INDEX('01人员工时'!M$7:M$126,INT((ROW()-7)/4)+1)/$G285,2))</f>
        <v/>
      </c>
      <c r="R285" s="12">
        <f>IF(OR($D285="",$G285=0),"",ROUND($F285*INDEX('01人员工时'!N$7:N$126,INT((ROW()-7)/4)+1)/$G285,2))</f>
        <v/>
      </c>
      <c r="S285" s="12">
        <f>IF($D285="","",SUM(K285:R285))</f>
        <v/>
      </c>
      <c r="T285" s="12">
        <f>IF($D285="","",$J285+$S285)</f>
        <v/>
      </c>
      <c r="U285" s="25">
        <f>IF($D285="","",IF($F285=0,"未维护标准",IF(ROUND($T285-$F285,2)=0,"√","差异")))</f>
        <v/>
      </c>
      <c r="V285" s="11" t="n"/>
      <c r="W285" s="9" t="n"/>
    </row>
    <row r="286" ht="18" customHeight="1">
      <c r="B286" s="26">
        <f>IF(INDEX('01人员工时'!$D$7:$D$126,INT((ROW()-7)/4)+1)&amp;""="","",INDEX('01人员工时'!$B$7:$B$126,INT((ROW()-7)/4)+1))</f>
        <v/>
      </c>
      <c r="C286" s="27">
        <f>IF($D286="","",IF(MOD(ROW()-7,4)=0,INDEX('01人员工时'!$C$7:$C$126,INT((ROW()-7)/4)+1),""))</f>
        <v/>
      </c>
      <c r="D286" s="27">
        <f>IF(INDEX('01人员工时'!$D$7:$D$126,INT((ROW()-7)/4)+1)&amp;""="","",INDEX('01人员工时'!$D$7:$D$126,INT((ROW()-7)/4)+1))</f>
        <v/>
      </c>
      <c r="E286" s="27">
        <f>IF($D286="","",INDEX('参数设置'!$K$6:$K$9,MOD(ROW()-7,4)+1))</f>
        <v/>
      </c>
      <c r="F286" s="28">
        <f>IF($D286="","",IF($V286&lt;&gt;"",$V286,IFERROR(INDEX('参数设置'!$D$17:$G$26,MATCH($D286,'参数设置'!$C$17:$C$26,0),MATCH($E286,'参数设置'!$D$16:$G$16,0)),0)))</f>
        <v/>
      </c>
      <c r="G286" s="29">
        <f>IF($D286="","",INDEX('01人员工时'!$E$7:$E$126,INT((ROW()-7)/4)+1))</f>
        <v/>
      </c>
      <c r="H286" s="29">
        <f>IF($D286="","",INDEX('01人员工时'!$O$7:$O$126,INT((ROW()-7)/4)+1))</f>
        <v/>
      </c>
      <c r="I286" s="30">
        <f>IF(OR($D286="",$G286=0),"",$H286/$G286)</f>
        <v/>
      </c>
      <c r="J286" s="31">
        <f>IF($D286="","",ROUND($F286,2)-$S286)</f>
        <v/>
      </c>
      <c r="K286" s="31">
        <f>IF(OR($D286="",$G286=0),"",ROUND($F286*INDEX('01人员工时'!G$7:G$126,INT((ROW()-7)/4)+1)/$G286,2))</f>
        <v/>
      </c>
      <c r="L286" s="31">
        <f>IF(OR($D286="",$G286=0),"",ROUND($F286*INDEX('01人员工时'!H$7:H$126,INT((ROW()-7)/4)+1)/$G286,2))</f>
        <v/>
      </c>
      <c r="M286" s="31">
        <f>IF(OR($D286="",$G286=0),"",ROUND($F286*INDEX('01人员工时'!I$7:I$126,INT((ROW()-7)/4)+1)/$G286,2))</f>
        <v/>
      </c>
      <c r="N286" s="31">
        <f>IF(OR($D286="",$G286=0),"",ROUND($F286*INDEX('01人员工时'!J$7:J$126,INT((ROW()-7)/4)+1)/$G286,2))</f>
        <v/>
      </c>
      <c r="O286" s="31">
        <f>IF(OR($D286="",$G286=0),"",ROUND($F286*INDEX('01人员工时'!K$7:K$126,INT((ROW()-7)/4)+1)/$G286,2))</f>
        <v/>
      </c>
      <c r="P286" s="31">
        <f>IF(OR($D286="",$G286=0),"",ROUND($F286*INDEX('01人员工时'!L$7:L$126,INT((ROW()-7)/4)+1)/$G286,2))</f>
        <v/>
      </c>
      <c r="Q286" s="31">
        <f>IF(OR($D286="",$G286=0),"",ROUND($F286*INDEX('01人员工时'!M$7:M$126,INT((ROW()-7)/4)+1)/$G286,2))</f>
        <v/>
      </c>
      <c r="R286" s="31">
        <f>IF(OR($D286="",$G286=0),"",ROUND($F286*INDEX('01人员工时'!N$7:N$126,INT((ROW()-7)/4)+1)/$G286,2))</f>
        <v/>
      </c>
      <c r="S286" s="31">
        <f>IF($D286="","",SUM(K286:R286))</f>
        <v/>
      </c>
      <c r="T286" s="31">
        <f>IF($D286="","",$J286+$S286)</f>
        <v/>
      </c>
      <c r="U286" s="32">
        <f>IF($D286="","",IF($F286=0,"未维护标准",IF(ROUND($T286-$F286,2)=0,"√","差异")))</f>
        <v/>
      </c>
      <c r="V286" s="33" t="n"/>
      <c r="W286" s="34" t="n"/>
    </row>
    <row r="287" ht="18" customHeight="1">
      <c r="B287" s="21">
        <f>IF(INDEX('01人员工时'!$D$7:$D$126,INT((ROW()-7)/4)+1)&amp;""="","",INDEX('01人员工时'!$B$7:$B$126,INT((ROW()-7)/4)+1))</f>
        <v/>
      </c>
      <c r="C287" s="22">
        <f>IF($D287="","",IF(MOD(ROW()-7,4)=0,INDEX('01人员工时'!$C$7:$C$126,INT((ROW()-7)/4)+1),""))</f>
        <v/>
      </c>
      <c r="D287" s="22">
        <f>IF(INDEX('01人员工时'!$D$7:$D$126,INT((ROW()-7)/4)+1)&amp;""="","",INDEX('01人员工时'!$D$7:$D$126,INT((ROW()-7)/4)+1))</f>
        <v/>
      </c>
      <c r="E287" s="22">
        <f>IF($D287="","",INDEX('参数设置'!$K$6:$K$9,MOD(ROW()-7,4)+1))</f>
        <v/>
      </c>
      <c r="F287" s="23">
        <f>IF($D287="","",IF($V287&lt;&gt;"",$V287,IFERROR(INDEX('参数设置'!$D$17:$G$26,MATCH($D287,'参数设置'!$C$17:$C$26,0),MATCH($E287,'参数设置'!$D$16:$G$16,0)),0)))</f>
        <v/>
      </c>
      <c r="G287" s="24">
        <f>IF($D287="","",INDEX('01人员工时'!$E$7:$E$126,INT((ROW()-7)/4)+1))</f>
        <v/>
      </c>
      <c r="H287" s="24">
        <f>IF($D287="","",INDEX('01人员工时'!$O$7:$O$126,INT((ROW()-7)/4)+1))</f>
        <v/>
      </c>
      <c r="I287" s="20">
        <f>IF(OR($D287="",$G287=0),"",$H287/$G287)</f>
        <v/>
      </c>
      <c r="J287" s="12">
        <f>IF($D287="","",ROUND($F287,2)-$S287)</f>
        <v/>
      </c>
      <c r="K287" s="12">
        <f>IF(OR($D287="",$G287=0),"",ROUND($F287*INDEX('01人员工时'!G$7:G$126,INT((ROW()-7)/4)+1)/$G287,2))</f>
        <v/>
      </c>
      <c r="L287" s="12">
        <f>IF(OR($D287="",$G287=0),"",ROUND($F287*INDEX('01人员工时'!H$7:H$126,INT((ROW()-7)/4)+1)/$G287,2))</f>
        <v/>
      </c>
      <c r="M287" s="12">
        <f>IF(OR($D287="",$G287=0),"",ROUND($F287*INDEX('01人员工时'!I$7:I$126,INT((ROW()-7)/4)+1)/$G287,2))</f>
        <v/>
      </c>
      <c r="N287" s="12">
        <f>IF(OR($D287="",$G287=0),"",ROUND($F287*INDEX('01人员工时'!J$7:J$126,INT((ROW()-7)/4)+1)/$G287,2))</f>
        <v/>
      </c>
      <c r="O287" s="12">
        <f>IF(OR($D287="",$G287=0),"",ROUND($F287*INDEX('01人员工时'!K$7:K$126,INT((ROW()-7)/4)+1)/$G287,2))</f>
        <v/>
      </c>
      <c r="P287" s="12">
        <f>IF(OR($D287="",$G287=0),"",ROUND($F287*INDEX('01人员工时'!L$7:L$126,INT((ROW()-7)/4)+1)/$G287,2))</f>
        <v/>
      </c>
      <c r="Q287" s="12">
        <f>IF(OR($D287="",$G287=0),"",ROUND($F287*INDEX('01人员工时'!M$7:M$126,INT((ROW()-7)/4)+1)/$G287,2))</f>
        <v/>
      </c>
      <c r="R287" s="12">
        <f>IF(OR($D287="",$G287=0),"",ROUND($F287*INDEX('01人员工时'!N$7:N$126,INT((ROW()-7)/4)+1)/$G287,2))</f>
        <v/>
      </c>
      <c r="S287" s="12">
        <f>IF($D287="","",SUM(K287:R287))</f>
        <v/>
      </c>
      <c r="T287" s="12">
        <f>IF($D287="","",$J287+$S287)</f>
        <v/>
      </c>
      <c r="U287" s="25">
        <f>IF($D287="","",IF($F287=0,"未维护标准",IF(ROUND($T287-$F287,2)=0,"√","差异")))</f>
        <v/>
      </c>
      <c r="V287" s="11" t="n"/>
      <c r="W287" s="9" t="n"/>
    </row>
    <row r="288" ht="18" customHeight="1">
      <c r="B288" s="21">
        <f>IF(INDEX('01人员工时'!$D$7:$D$126,INT((ROW()-7)/4)+1)&amp;""="","",INDEX('01人员工时'!$B$7:$B$126,INT((ROW()-7)/4)+1))</f>
        <v/>
      </c>
      <c r="C288" s="22">
        <f>IF($D288="","",IF(MOD(ROW()-7,4)=0,INDEX('01人员工时'!$C$7:$C$126,INT((ROW()-7)/4)+1),""))</f>
        <v/>
      </c>
      <c r="D288" s="22">
        <f>IF(INDEX('01人员工时'!$D$7:$D$126,INT((ROW()-7)/4)+1)&amp;""="","",INDEX('01人员工时'!$D$7:$D$126,INT((ROW()-7)/4)+1))</f>
        <v/>
      </c>
      <c r="E288" s="22">
        <f>IF($D288="","",INDEX('参数设置'!$K$6:$K$9,MOD(ROW()-7,4)+1))</f>
        <v/>
      </c>
      <c r="F288" s="23">
        <f>IF($D288="","",IF($V288&lt;&gt;"",$V288,IFERROR(INDEX('参数设置'!$D$17:$G$26,MATCH($D288,'参数设置'!$C$17:$C$26,0),MATCH($E288,'参数设置'!$D$16:$G$16,0)),0)))</f>
        <v/>
      </c>
      <c r="G288" s="24">
        <f>IF($D288="","",INDEX('01人员工时'!$E$7:$E$126,INT((ROW()-7)/4)+1))</f>
        <v/>
      </c>
      <c r="H288" s="24">
        <f>IF($D288="","",INDEX('01人员工时'!$O$7:$O$126,INT((ROW()-7)/4)+1))</f>
        <v/>
      </c>
      <c r="I288" s="20">
        <f>IF(OR($D288="",$G288=0),"",$H288/$G288)</f>
        <v/>
      </c>
      <c r="J288" s="12">
        <f>IF($D288="","",ROUND($F288,2)-$S288)</f>
        <v/>
      </c>
      <c r="K288" s="12">
        <f>IF(OR($D288="",$G288=0),"",ROUND($F288*INDEX('01人员工时'!G$7:G$126,INT((ROW()-7)/4)+1)/$G288,2))</f>
        <v/>
      </c>
      <c r="L288" s="12">
        <f>IF(OR($D288="",$G288=0),"",ROUND($F288*INDEX('01人员工时'!H$7:H$126,INT((ROW()-7)/4)+1)/$G288,2))</f>
        <v/>
      </c>
      <c r="M288" s="12">
        <f>IF(OR($D288="",$G288=0),"",ROUND($F288*INDEX('01人员工时'!I$7:I$126,INT((ROW()-7)/4)+1)/$G288,2))</f>
        <v/>
      </c>
      <c r="N288" s="12">
        <f>IF(OR($D288="",$G288=0),"",ROUND($F288*INDEX('01人员工时'!J$7:J$126,INT((ROW()-7)/4)+1)/$G288,2))</f>
        <v/>
      </c>
      <c r="O288" s="12">
        <f>IF(OR($D288="",$G288=0),"",ROUND($F288*INDEX('01人员工时'!K$7:K$126,INT((ROW()-7)/4)+1)/$G288,2))</f>
        <v/>
      </c>
      <c r="P288" s="12">
        <f>IF(OR($D288="",$G288=0),"",ROUND($F288*INDEX('01人员工时'!L$7:L$126,INT((ROW()-7)/4)+1)/$G288,2))</f>
        <v/>
      </c>
      <c r="Q288" s="12">
        <f>IF(OR($D288="",$G288=0),"",ROUND($F288*INDEX('01人员工时'!M$7:M$126,INT((ROW()-7)/4)+1)/$G288,2))</f>
        <v/>
      </c>
      <c r="R288" s="12">
        <f>IF(OR($D288="",$G288=0),"",ROUND($F288*INDEX('01人员工时'!N$7:N$126,INT((ROW()-7)/4)+1)/$G288,2))</f>
        <v/>
      </c>
      <c r="S288" s="12">
        <f>IF($D288="","",SUM(K288:R288))</f>
        <v/>
      </c>
      <c r="T288" s="12">
        <f>IF($D288="","",$J288+$S288)</f>
        <v/>
      </c>
      <c r="U288" s="25">
        <f>IF($D288="","",IF($F288=0,"未维护标准",IF(ROUND($T288-$F288,2)=0,"√","差异")))</f>
        <v/>
      </c>
      <c r="V288" s="11" t="n"/>
      <c r="W288" s="9" t="n"/>
    </row>
    <row r="289" ht="18" customHeight="1">
      <c r="B289" s="21">
        <f>IF(INDEX('01人员工时'!$D$7:$D$126,INT((ROW()-7)/4)+1)&amp;""="","",INDEX('01人员工时'!$B$7:$B$126,INT((ROW()-7)/4)+1))</f>
        <v/>
      </c>
      <c r="C289" s="22">
        <f>IF($D289="","",IF(MOD(ROW()-7,4)=0,INDEX('01人员工时'!$C$7:$C$126,INT((ROW()-7)/4)+1),""))</f>
        <v/>
      </c>
      <c r="D289" s="22">
        <f>IF(INDEX('01人员工时'!$D$7:$D$126,INT((ROW()-7)/4)+1)&amp;""="","",INDEX('01人员工时'!$D$7:$D$126,INT((ROW()-7)/4)+1))</f>
        <v/>
      </c>
      <c r="E289" s="22">
        <f>IF($D289="","",INDEX('参数设置'!$K$6:$K$9,MOD(ROW()-7,4)+1))</f>
        <v/>
      </c>
      <c r="F289" s="23">
        <f>IF($D289="","",IF($V289&lt;&gt;"",$V289,IFERROR(INDEX('参数设置'!$D$17:$G$26,MATCH($D289,'参数设置'!$C$17:$C$26,0),MATCH($E289,'参数设置'!$D$16:$G$16,0)),0)))</f>
        <v/>
      </c>
      <c r="G289" s="24">
        <f>IF($D289="","",INDEX('01人员工时'!$E$7:$E$126,INT((ROW()-7)/4)+1))</f>
        <v/>
      </c>
      <c r="H289" s="24">
        <f>IF($D289="","",INDEX('01人员工时'!$O$7:$O$126,INT((ROW()-7)/4)+1))</f>
        <v/>
      </c>
      <c r="I289" s="20">
        <f>IF(OR($D289="",$G289=0),"",$H289/$G289)</f>
        <v/>
      </c>
      <c r="J289" s="12">
        <f>IF($D289="","",ROUND($F289,2)-$S289)</f>
        <v/>
      </c>
      <c r="K289" s="12">
        <f>IF(OR($D289="",$G289=0),"",ROUND($F289*INDEX('01人员工时'!G$7:G$126,INT((ROW()-7)/4)+1)/$G289,2))</f>
        <v/>
      </c>
      <c r="L289" s="12">
        <f>IF(OR($D289="",$G289=0),"",ROUND($F289*INDEX('01人员工时'!H$7:H$126,INT((ROW()-7)/4)+1)/$G289,2))</f>
        <v/>
      </c>
      <c r="M289" s="12">
        <f>IF(OR($D289="",$G289=0),"",ROUND($F289*INDEX('01人员工时'!I$7:I$126,INT((ROW()-7)/4)+1)/$G289,2))</f>
        <v/>
      </c>
      <c r="N289" s="12">
        <f>IF(OR($D289="",$G289=0),"",ROUND($F289*INDEX('01人员工时'!J$7:J$126,INT((ROW()-7)/4)+1)/$G289,2))</f>
        <v/>
      </c>
      <c r="O289" s="12">
        <f>IF(OR($D289="",$G289=0),"",ROUND($F289*INDEX('01人员工时'!K$7:K$126,INT((ROW()-7)/4)+1)/$G289,2))</f>
        <v/>
      </c>
      <c r="P289" s="12">
        <f>IF(OR($D289="",$G289=0),"",ROUND($F289*INDEX('01人员工时'!L$7:L$126,INT((ROW()-7)/4)+1)/$G289,2))</f>
        <v/>
      </c>
      <c r="Q289" s="12">
        <f>IF(OR($D289="",$G289=0),"",ROUND($F289*INDEX('01人员工时'!M$7:M$126,INT((ROW()-7)/4)+1)/$G289,2))</f>
        <v/>
      </c>
      <c r="R289" s="12">
        <f>IF(OR($D289="",$G289=0),"",ROUND($F289*INDEX('01人员工时'!N$7:N$126,INT((ROW()-7)/4)+1)/$G289,2))</f>
        <v/>
      </c>
      <c r="S289" s="12">
        <f>IF($D289="","",SUM(K289:R289))</f>
        <v/>
      </c>
      <c r="T289" s="12">
        <f>IF($D289="","",$J289+$S289)</f>
        <v/>
      </c>
      <c r="U289" s="25">
        <f>IF($D289="","",IF($F289=0,"未维护标准",IF(ROUND($T289-$F289,2)=0,"√","差异")))</f>
        <v/>
      </c>
      <c r="V289" s="11" t="n"/>
      <c r="W289" s="9" t="n"/>
    </row>
    <row r="290" ht="18" customHeight="1">
      <c r="B290" s="26">
        <f>IF(INDEX('01人员工时'!$D$7:$D$126,INT((ROW()-7)/4)+1)&amp;""="","",INDEX('01人员工时'!$B$7:$B$126,INT((ROW()-7)/4)+1))</f>
        <v/>
      </c>
      <c r="C290" s="27">
        <f>IF($D290="","",IF(MOD(ROW()-7,4)=0,INDEX('01人员工时'!$C$7:$C$126,INT((ROW()-7)/4)+1),""))</f>
        <v/>
      </c>
      <c r="D290" s="27">
        <f>IF(INDEX('01人员工时'!$D$7:$D$126,INT((ROW()-7)/4)+1)&amp;""="","",INDEX('01人员工时'!$D$7:$D$126,INT((ROW()-7)/4)+1))</f>
        <v/>
      </c>
      <c r="E290" s="27">
        <f>IF($D290="","",INDEX('参数设置'!$K$6:$K$9,MOD(ROW()-7,4)+1))</f>
        <v/>
      </c>
      <c r="F290" s="28">
        <f>IF($D290="","",IF($V290&lt;&gt;"",$V290,IFERROR(INDEX('参数设置'!$D$17:$G$26,MATCH($D290,'参数设置'!$C$17:$C$26,0),MATCH($E290,'参数设置'!$D$16:$G$16,0)),0)))</f>
        <v/>
      </c>
      <c r="G290" s="29">
        <f>IF($D290="","",INDEX('01人员工时'!$E$7:$E$126,INT((ROW()-7)/4)+1))</f>
        <v/>
      </c>
      <c r="H290" s="29">
        <f>IF($D290="","",INDEX('01人员工时'!$O$7:$O$126,INT((ROW()-7)/4)+1))</f>
        <v/>
      </c>
      <c r="I290" s="30">
        <f>IF(OR($D290="",$G290=0),"",$H290/$G290)</f>
        <v/>
      </c>
      <c r="J290" s="31">
        <f>IF($D290="","",ROUND($F290,2)-$S290)</f>
        <v/>
      </c>
      <c r="K290" s="31">
        <f>IF(OR($D290="",$G290=0),"",ROUND($F290*INDEX('01人员工时'!G$7:G$126,INT((ROW()-7)/4)+1)/$G290,2))</f>
        <v/>
      </c>
      <c r="L290" s="31">
        <f>IF(OR($D290="",$G290=0),"",ROUND($F290*INDEX('01人员工时'!H$7:H$126,INT((ROW()-7)/4)+1)/$G290,2))</f>
        <v/>
      </c>
      <c r="M290" s="31">
        <f>IF(OR($D290="",$G290=0),"",ROUND($F290*INDEX('01人员工时'!I$7:I$126,INT((ROW()-7)/4)+1)/$G290,2))</f>
        <v/>
      </c>
      <c r="N290" s="31">
        <f>IF(OR($D290="",$G290=0),"",ROUND($F290*INDEX('01人员工时'!J$7:J$126,INT((ROW()-7)/4)+1)/$G290,2))</f>
        <v/>
      </c>
      <c r="O290" s="31">
        <f>IF(OR($D290="",$G290=0),"",ROUND($F290*INDEX('01人员工时'!K$7:K$126,INT((ROW()-7)/4)+1)/$G290,2))</f>
        <v/>
      </c>
      <c r="P290" s="31">
        <f>IF(OR($D290="",$G290=0),"",ROUND($F290*INDEX('01人员工时'!L$7:L$126,INT((ROW()-7)/4)+1)/$G290,2))</f>
        <v/>
      </c>
      <c r="Q290" s="31">
        <f>IF(OR($D290="",$G290=0),"",ROUND($F290*INDEX('01人员工时'!M$7:M$126,INT((ROW()-7)/4)+1)/$G290,2))</f>
        <v/>
      </c>
      <c r="R290" s="31">
        <f>IF(OR($D290="",$G290=0),"",ROUND($F290*INDEX('01人员工时'!N$7:N$126,INT((ROW()-7)/4)+1)/$G290,2))</f>
        <v/>
      </c>
      <c r="S290" s="31">
        <f>IF($D290="","",SUM(K290:R290))</f>
        <v/>
      </c>
      <c r="T290" s="31">
        <f>IF($D290="","",$J290+$S290)</f>
        <v/>
      </c>
      <c r="U290" s="32">
        <f>IF($D290="","",IF($F290=0,"未维护标准",IF(ROUND($T290-$F290,2)=0,"√","差异")))</f>
        <v/>
      </c>
      <c r="V290" s="33" t="n"/>
      <c r="W290" s="34" t="n"/>
    </row>
    <row r="291" ht="18" customHeight="1">
      <c r="B291" s="21">
        <f>IF(INDEX('01人员工时'!$D$7:$D$126,INT((ROW()-7)/4)+1)&amp;""="","",INDEX('01人员工时'!$B$7:$B$126,INT((ROW()-7)/4)+1))</f>
        <v/>
      </c>
      <c r="C291" s="22">
        <f>IF($D291="","",IF(MOD(ROW()-7,4)=0,INDEX('01人员工时'!$C$7:$C$126,INT((ROW()-7)/4)+1),""))</f>
        <v/>
      </c>
      <c r="D291" s="22">
        <f>IF(INDEX('01人员工时'!$D$7:$D$126,INT((ROW()-7)/4)+1)&amp;""="","",INDEX('01人员工时'!$D$7:$D$126,INT((ROW()-7)/4)+1))</f>
        <v/>
      </c>
      <c r="E291" s="22">
        <f>IF($D291="","",INDEX('参数设置'!$K$6:$K$9,MOD(ROW()-7,4)+1))</f>
        <v/>
      </c>
      <c r="F291" s="23">
        <f>IF($D291="","",IF($V291&lt;&gt;"",$V291,IFERROR(INDEX('参数设置'!$D$17:$G$26,MATCH($D291,'参数设置'!$C$17:$C$26,0),MATCH($E291,'参数设置'!$D$16:$G$16,0)),0)))</f>
        <v/>
      </c>
      <c r="G291" s="24">
        <f>IF($D291="","",INDEX('01人员工时'!$E$7:$E$126,INT((ROW()-7)/4)+1))</f>
        <v/>
      </c>
      <c r="H291" s="24">
        <f>IF($D291="","",INDEX('01人员工时'!$O$7:$O$126,INT((ROW()-7)/4)+1))</f>
        <v/>
      </c>
      <c r="I291" s="20">
        <f>IF(OR($D291="",$G291=0),"",$H291/$G291)</f>
        <v/>
      </c>
      <c r="J291" s="12">
        <f>IF($D291="","",ROUND($F291,2)-$S291)</f>
        <v/>
      </c>
      <c r="K291" s="12">
        <f>IF(OR($D291="",$G291=0),"",ROUND($F291*INDEX('01人员工时'!G$7:G$126,INT((ROW()-7)/4)+1)/$G291,2))</f>
        <v/>
      </c>
      <c r="L291" s="12">
        <f>IF(OR($D291="",$G291=0),"",ROUND($F291*INDEX('01人员工时'!H$7:H$126,INT((ROW()-7)/4)+1)/$G291,2))</f>
        <v/>
      </c>
      <c r="M291" s="12">
        <f>IF(OR($D291="",$G291=0),"",ROUND($F291*INDEX('01人员工时'!I$7:I$126,INT((ROW()-7)/4)+1)/$G291,2))</f>
        <v/>
      </c>
      <c r="N291" s="12">
        <f>IF(OR($D291="",$G291=0),"",ROUND($F291*INDEX('01人员工时'!J$7:J$126,INT((ROW()-7)/4)+1)/$G291,2))</f>
        <v/>
      </c>
      <c r="O291" s="12">
        <f>IF(OR($D291="",$G291=0),"",ROUND($F291*INDEX('01人员工时'!K$7:K$126,INT((ROW()-7)/4)+1)/$G291,2))</f>
        <v/>
      </c>
      <c r="P291" s="12">
        <f>IF(OR($D291="",$G291=0),"",ROUND($F291*INDEX('01人员工时'!L$7:L$126,INT((ROW()-7)/4)+1)/$G291,2))</f>
        <v/>
      </c>
      <c r="Q291" s="12">
        <f>IF(OR($D291="",$G291=0),"",ROUND($F291*INDEX('01人员工时'!M$7:M$126,INT((ROW()-7)/4)+1)/$G291,2))</f>
        <v/>
      </c>
      <c r="R291" s="12">
        <f>IF(OR($D291="",$G291=0),"",ROUND($F291*INDEX('01人员工时'!N$7:N$126,INT((ROW()-7)/4)+1)/$G291,2))</f>
        <v/>
      </c>
      <c r="S291" s="12">
        <f>IF($D291="","",SUM(K291:R291))</f>
        <v/>
      </c>
      <c r="T291" s="12">
        <f>IF($D291="","",$J291+$S291)</f>
        <v/>
      </c>
      <c r="U291" s="25">
        <f>IF($D291="","",IF($F291=0,"未维护标准",IF(ROUND($T291-$F291,2)=0,"√","差异")))</f>
        <v/>
      </c>
      <c r="V291" s="11" t="n"/>
      <c r="W291" s="9" t="n"/>
    </row>
    <row r="292" ht="18" customHeight="1">
      <c r="B292" s="21">
        <f>IF(INDEX('01人员工时'!$D$7:$D$126,INT((ROW()-7)/4)+1)&amp;""="","",INDEX('01人员工时'!$B$7:$B$126,INT((ROW()-7)/4)+1))</f>
        <v/>
      </c>
      <c r="C292" s="22">
        <f>IF($D292="","",IF(MOD(ROW()-7,4)=0,INDEX('01人员工时'!$C$7:$C$126,INT((ROW()-7)/4)+1),""))</f>
        <v/>
      </c>
      <c r="D292" s="22">
        <f>IF(INDEX('01人员工时'!$D$7:$D$126,INT((ROW()-7)/4)+1)&amp;""="","",INDEX('01人员工时'!$D$7:$D$126,INT((ROW()-7)/4)+1))</f>
        <v/>
      </c>
      <c r="E292" s="22">
        <f>IF($D292="","",INDEX('参数设置'!$K$6:$K$9,MOD(ROW()-7,4)+1))</f>
        <v/>
      </c>
      <c r="F292" s="23">
        <f>IF($D292="","",IF($V292&lt;&gt;"",$V292,IFERROR(INDEX('参数设置'!$D$17:$G$26,MATCH($D292,'参数设置'!$C$17:$C$26,0),MATCH($E292,'参数设置'!$D$16:$G$16,0)),0)))</f>
        <v/>
      </c>
      <c r="G292" s="24">
        <f>IF($D292="","",INDEX('01人员工时'!$E$7:$E$126,INT((ROW()-7)/4)+1))</f>
        <v/>
      </c>
      <c r="H292" s="24">
        <f>IF($D292="","",INDEX('01人员工时'!$O$7:$O$126,INT((ROW()-7)/4)+1))</f>
        <v/>
      </c>
      <c r="I292" s="20">
        <f>IF(OR($D292="",$G292=0),"",$H292/$G292)</f>
        <v/>
      </c>
      <c r="J292" s="12">
        <f>IF($D292="","",ROUND($F292,2)-$S292)</f>
        <v/>
      </c>
      <c r="K292" s="12">
        <f>IF(OR($D292="",$G292=0),"",ROUND($F292*INDEX('01人员工时'!G$7:G$126,INT((ROW()-7)/4)+1)/$G292,2))</f>
        <v/>
      </c>
      <c r="L292" s="12">
        <f>IF(OR($D292="",$G292=0),"",ROUND($F292*INDEX('01人员工时'!H$7:H$126,INT((ROW()-7)/4)+1)/$G292,2))</f>
        <v/>
      </c>
      <c r="M292" s="12">
        <f>IF(OR($D292="",$G292=0),"",ROUND($F292*INDEX('01人员工时'!I$7:I$126,INT((ROW()-7)/4)+1)/$G292,2))</f>
        <v/>
      </c>
      <c r="N292" s="12">
        <f>IF(OR($D292="",$G292=0),"",ROUND($F292*INDEX('01人员工时'!J$7:J$126,INT((ROW()-7)/4)+1)/$G292,2))</f>
        <v/>
      </c>
      <c r="O292" s="12">
        <f>IF(OR($D292="",$G292=0),"",ROUND($F292*INDEX('01人员工时'!K$7:K$126,INT((ROW()-7)/4)+1)/$G292,2))</f>
        <v/>
      </c>
      <c r="P292" s="12">
        <f>IF(OR($D292="",$G292=0),"",ROUND($F292*INDEX('01人员工时'!L$7:L$126,INT((ROW()-7)/4)+1)/$G292,2))</f>
        <v/>
      </c>
      <c r="Q292" s="12">
        <f>IF(OR($D292="",$G292=0),"",ROUND($F292*INDEX('01人员工时'!M$7:M$126,INT((ROW()-7)/4)+1)/$G292,2))</f>
        <v/>
      </c>
      <c r="R292" s="12">
        <f>IF(OR($D292="",$G292=0),"",ROUND($F292*INDEX('01人员工时'!N$7:N$126,INT((ROW()-7)/4)+1)/$G292,2))</f>
        <v/>
      </c>
      <c r="S292" s="12">
        <f>IF($D292="","",SUM(K292:R292))</f>
        <v/>
      </c>
      <c r="T292" s="12">
        <f>IF($D292="","",$J292+$S292)</f>
        <v/>
      </c>
      <c r="U292" s="25">
        <f>IF($D292="","",IF($F292=0,"未维护标准",IF(ROUND($T292-$F292,2)=0,"√","差异")))</f>
        <v/>
      </c>
      <c r="V292" s="11" t="n"/>
      <c r="W292" s="9" t="n"/>
    </row>
    <row r="293" ht="18" customHeight="1">
      <c r="B293" s="21">
        <f>IF(INDEX('01人员工时'!$D$7:$D$126,INT((ROW()-7)/4)+1)&amp;""="","",INDEX('01人员工时'!$B$7:$B$126,INT((ROW()-7)/4)+1))</f>
        <v/>
      </c>
      <c r="C293" s="22">
        <f>IF($D293="","",IF(MOD(ROW()-7,4)=0,INDEX('01人员工时'!$C$7:$C$126,INT((ROW()-7)/4)+1),""))</f>
        <v/>
      </c>
      <c r="D293" s="22">
        <f>IF(INDEX('01人员工时'!$D$7:$D$126,INT((ROW()-7)/4)+1)&amp;""="","",INDEX('01人员工时'!$D$7:$D$126,INT((ROW()-7)/4)+1))</f>
        <v/>
      </c>
      <c r="E293" s="22">
        <f>IF($D293="","",INDEX('参数设置'!$K$6:$K$9,MOD(ROW()-7,4)+1))</f>
        <v/>
      </c>
      <c r="F293" s="23">
        <f>IF($D293="","",IF($V293&lt;&gt;"",$V293,IFERROR(INDEX('参数设置'!$D$17:$G$26,MATCH($D293,'参数设置'!$C$17:$C$26,0),MATCH($E293,'参数设置'!$D$16:$G$16,0)),0)))</f>
        <v/>
      </c>
      <c r="G293" s="24">
        <f>IF($D293="","",INDEX('01人员工时'!$E$7:$E$126,INT((ROW()-7)/4)+1))</f>
        <v/>
      </c>
      <c r="H293" s="24">
        <f>IF($D293="","",INDEX('01人员工时'!$O$7:$O$126,INT((ROW()-7)/4)+1))</f>
        <v/>
      </c>
      <c r="I293" s="20">
        <f>IF(OR($D293="",$G293=0),"",$H293/$G293)</f>
        <v/>
      </c>
      <c r="J293" s="12">
        <f>IF($D293="","",ROUND($F293,2)-$S293)</f>
        <v/>
      </c>
      <c r="K293" s="12">
        <f>IF(OR($D293="",$G293=0),"",ROUND($F293*INDEX('01人员工时'!G$7:G$126,INT((ROW()-7)/4)+1)/$G293,2))</f>
        <v/>
      </c>
      <c r="L293" s="12">
        <f>IF(OR($D293="",$G293=0),"",ROUND($F293*INDEX('01人员工时'!H$7:H$126,INT((ROW()-7)/4)+1)/$G293,2))</f>
        <v/>
      </c>
      <c r="M293" s="12">
        <f>IF(OR($D293="",$G293=0),"",ROUND($F293*INDEX('01人员工时'!I$7:I$126,INT((ROW()-7)/4)+1)/$G293,2))</f>
        <v/>
      </c>
      <c r="N293" s="12">
        <f>IF(OR($D293="",$G293=0),"",ROUND($F293*INDEX('01人员工时'!J$7:J$126,INT((ROW()-7)/4)+1)/$G293,2))</f>
        <v/>
      </c>
      <c r="O293" s="12">
        <f>IF(OR($D293="",$G293=0),"",ROUND($F293*INDEX('01人员工时'!K$7:K$126,INT((ROW()-7)/4)+1)/$G293,2))</f>
        <v/>
      </c>
      <c r="P293" s="12">
        <f>IF(OR($D293="",$G293=0),"",ROUND($F293*INDEX('01人员工时'!L$7:L$126,INT((ROW()-7)/4)+1)/$G293,2))</f>
        <v/>
      </c>
      <c r="Q293" s="12">
        <f>IF(OR($D293="",$G293=0),"",ROUND($F293*INDEX('01人员工时'!M$7:M$126,INT((ROW()-7)/4)+1)/$G293,2))</f>
        <v/>
      </c>
      <c r="R293" s="12">
        <f>IF(OR($D293="",$G293=0),"",ROUND($F293*INDEX('01人员工时'!N$7:N$126,INT((ROW()-7)/4)+1)/$G293,2))</f>
        <v/>
      </c>
      <c r="S293" s="12">
        <f>IF($D293="","",SUM(K293:R293))</f>
        <v/>
      </c>
      <c r="T293" s="12">
        <f>IF($D293="","",$J293+$S293)</f>
        <v/>
      </c>
      <c r="U293" s="25">
        <f>IF($D293="","",IF($F293=0,"未维护标准",IF(ROUND($T293-$F293,2)=0,"√","差异")))</f>
        <v/>
      </c>
      <c r="V293" s="11" t="n"/>
      <c r="W293" s="9" t="n"/>
    </row>
    <row r="294" ht="18" customHeight="1">
      <c r="B294" s="26">
        <f>IF(INDEX('01人员工时'!$D$7:$D$126,INT((ROW()-7)/4)+1)&amp;""="","",INDEX('01人员工时'!$B$7:$B$126,INT((ROW()-7)/4)+1))</f>
        <v/>
      </c>
      <c r="C294" s="27">
        <f>IF($D294="","",IF(MOD(ROW()-7,4)=0,INDEX('01人员工时'!$C$7:$C$126,INT((ROW()-7)/4)+1),""))</f>
        <v/>
      </c>
      <c r="D294" s="27">
        <f>IF(INDEX('01人员工时'!$D$7:$D$126,INT((ROW()-7)/4)+1)&amp;""="","",INDEX('01人员工时'!$D$7:$D$126,INT((ROW()-7)/4)+1))</f>
        <v/>
      </c>
      <c r="E294" s="27">
        <f>IF($D294="","",INDEX('参数设置'!$K$6:$K$9,MOD(ROW()-7,4)+1))</f>
        <v/>
      </c>
      <c r="F294" s="28">
        <f>IF($D294="","",IF($V294&lt;&gt;"",$V294,IFERROR(INDEX('参数设置'!$D$17:$G$26,MATCH($D294,'参数设置'!$C$17:$C$26,0),MATCH($E294,'参数设置'!$D$16:$G$16,0)),0)))</f>
        <v/>
      </c>
      <c r="G294" s="29">
        <f>IF($D294="","",INDEX('01人员工时'!$E$7:$E$126,INT((ROW()-7)/4)+1))</f>
        <v/>
      </c>
      <c r="H294" s="29">
        <f>IF($D294="","",INDEX('01人员工时'!$O$7:$O$126,INT((ROW()-7)/4)+1))</f>
        <v/>
      </c>
      <c r="I294" s="30">
        <f>IF(OR($D294="",$G294=0),"",$H294/$G294)</f>
        <v/>
      </c>
      <c r="J294" s="31">
        <f>IF($D294="","",ROUND($F294,2)-$S294)</f>
        <v/>
      </c>
      <c r="K294" s="31">
        <f>IF(OR($D294="",$G294=0),"",ROUND($F294*INDEX('01人员工时'!G$7:G$126,INT((ROW()-7)/4)+1)/$G294,2))</f>
        <v/>
      </c>
      <c r="L294" s="31">
        <f>IF(OR($D294="",$G294=0),"",ROUND($F294*INDEX('01人员工时'!H$7:H$126,INT((ROW()-7)/4)+1)/$G294,2))</f>
        <v/>
      </c>
      <c r="M294" s="31">
        <f>IF(OR($D294="",$G294=0),"",ROUND($F294*INDEX('01人员工时'!I$7:I$126,INT((ROW()-7)/4)+1)/$G294,2))</f>
        <v/>
      </c>
      <c r="N294" s="31">
        <f>IF(OR($D294="",$G294=0),"",ROUND($F294*INDEX('01人员工时'!J$7:J$126,INT((ROW()-7)/4)+1)/$G294,2))</f>
        <v/>
      </c>
      <c r="O294" s="31">
        <f>IF(OR($D294="",$G294=0),"",ROUND($F294*INDEX('01人员工时'!K$7:K$126,INT((ROW()-7)/4)+1)/$G294,2))</f>
        <v/>
      </c>
      <c r="P294" s="31">
        <f>IF(OR($D294="",$G294=0),"",ROUND($F294*INDEX('01人员工时'!L$7:L$126,INT((ROW()-7)/4)+1)/$G294,2))</f>
        <v/>
      </c>
      <c r="Q294" s="31">
        <f>IF(OR($D294="",$G294=0),"",ROUND($F294*INDEX('01人员工时'!M$7:M$126,INT((ROW()-7)/4)+1)/$G294,2))</f>
        <v/>
      </c>
      <c r="R294" s="31">
        <f>IF(OR($D294="",$G294=0),"",ROUND($F294*INDEX('01人员工时'!N$7:N$126,INT((ROW()-7)/4)+1)/$G294,2))</f>
        <v/>
      </c>
      <c r="S294" s="31">
        <f>IF($D294="","",SUM(K294:R294))</f>
        <v/>
      </c>
      <c r="T294" s="31">
        <f>IF($D294="","",$J294+$S294)</f>
        <v/>
      </c>
      <c r="U294" s="32">
        <f>IF($D294="","",IF($F294=0,"未维护标准",IF(ROUND($T294-$F294,2)=0,"√","差异")))</f>
        <v/>
      </c>
      <c r="V294" s="33" t="n"/>
      <c r="W294" s="34" t="n"/>
    </row>
    <row r="295" ht="18" customHeight="1">
      <c r="B295" s="21">
        <f>IF(INDEX('01人员工时'!$D$7:$D$126,INT((ROW()-7)/4)+1)&amp;""="","",INDEX('01人员工时'!$B$7:$B$126,INT((ROW()-7)/4)+1))</f>
        <v/>
      </c>
      <c r="C295" s="22">
        <f>IF($D295="","",IF(MOD(ROW()-7,4)=0,INDEX('01人员工时'!$C$7:$C$126,INT((ROW()-7)/4)+1),""))</f>
        <v/>
      </c>
      <c r="D295" s="22">
        <f>IF(INDEX('01人员工时'!$D$7:$D$126,INT((ROW()-7)/4)+1)&amp;""="","",INDEX('01人员工时'!$D$7:$D$126,INT((ROW()-7)/4)+1))</f>
        <v/>
      </c>
      <c r="E295" s="22">
        <f>IF($D295="","",INDEX('参数设置'!$K$6:$K$9,MOD(ROW()-7,4)+1))</f>
        <v/>
      </c>
      <c r="F295" s="23">
        <f>IF($D295="","",IF($V295&lt;&gt;"",$V295,IFERROR(INDEX('参数设置'!$D$17:$G$26,MATCH($D295,'参数设置'!$C$17:$C$26,0),MATCH($E295,'参数设置'!$D$16:$G$16,0)),0)))</f>
        <v/>
      </c>
      <c r="G295" s="24">
        <f>IF($D295="","",INDEX('01人员工时'!$E$7:$E$126,INT((ROW()-7)/4)+1))</f>
        <v/>
      </c>
      <c r="H295" s="24">
        <f>IF($D295="","",INDEX('01人员工时'!$O$7:$O$126,INT((ROW()-7)/4)+1))</f>
        <v/>
      </c>
      <c r="I295" s="20">
        <f>IF(OR($D295="",$G295=0),"",$H295/$G295)</f>
        <v/>
      </c>
      <c r="J295" s="12">
        <f>IF($D295="","",ROUND($F295,2)-$S295)</f>
        <v/>
      </c>
      <c r="K295" s="12">
        <f>IF(OR($D295="",$G295=0),"",ROUND($F295*INDEX('01人员工时'!G$7:G$126,INT((ROW()-7)/4)+1)/$G295,2))</f>
        <v/>
      </c>
      <c r="L295" s="12">
        <f>IF(OR($D295="",$G295=0),"",ROUND($F295*INDEX('01人员工时'!H$7:H$126,INT((ROW()-7)/4)+1)/$G295,2))</f>
        <v/>
      </c>
      <c r="M295" s="12">
        <f>IF(OR($D295="",$G295=0),"",ROUND($F295*INDEX('01人员工时'!I$7:I$126,INT((ROW()-7)/4)+1)/$G295,2))</f>
        <v/>
      </c>
      <c r="N295" s="12">
        <f>IF(OR($D295="",$G295=0),"",ROUND($F295*INDEX('01人员工时'!J$7:J$126,INT((ROW()-7)/4)+1)/$G295,2))</f>
        <v/>
      </c>
      <c r="O295" s="12">
        <f>IF(OR($D295="",$G295=0),"",ROUND($F295*INDEX('01人员工时'!K$7:K$126,INT((ROW()-7)/4)+1)/$G295,2))</f>
        <v/>
      </c>
      <c r="P295" s="12">
        <f>IF(OR($D295="",$G295=0),"",ROUND($F295*INDEX('01人员工时'!L$7:L$126,INT((ROW()-7)/4)+1)/$G295,2))</f>
        <v/>
      </c>
      <c r="Q295" s="12">
        <f>IF(OR($D295="",$G295=0),"",ROUND($F295*INDEX('01人员工时'!M$7:M$126,INT((ROW()-7)/4)+1)/$G295,2))</f>
        <v/>
      </c>
      <c r="R295" s="12">
        <f>IF(OR($D295="",$G295=0),"",ROUND($F295*INDEX('01人员工时'!N$7:N$126,INT((ROW()-7)/4)+1)/$G295,2))</f>
        <v/>
      </c>
      <c r="S295" s="12">
        <f>IF($D295="","",SUM(K295:R295))</f>
        <v/>
      </c>
      <c r="T295" s="12">
        <f>IF($D295="","",$J295+$S295)</f>
        <v/>
      </c>
      <c r="U295" s="25">
        <f>IF($D295="","",IF($F295=0,"未维护标准",IF(ROUND($T295-$F295,2)=0,"√","差异")))</f>
        <v/>
      </c>
      <c r="V295" s="11" t="n"/>
      <c r="W295" s="9" t="n"/>
    </row>
    <row r="296" ht="18" customHeight="1">
      <c r="B296" s="21">
        <f>IF(INDEX('01人员工时'!$D$7:$D$126,INT((ROW()-7)/4)+1)&amp;""="","",INDEX('01人员工时'!$B$7:$B$126,INT((ROW()-7)/4)+1))</f>
        <v/>
      </c>
      <c r="C296" s="22">
        <f>IF($D296="","",IF(MOD(ROW()-7,4)=0,INDEX('01人员工时'!$C$7:$C$126,INT((ROW()-7)/4)+1),""))</f>
        <v/>
      </c>
      <c r="D296" s="22">
        <f>IF(INDEX('01人员工时'!$D$7:$D$126,INT((ROW()-7)/4)+1)&amp;""="","",INDEX('01人员工时'!$D$7:$D$126,INT((ROW()-7)/4)+1))</f>
        <v/>
      </c>
      <c r="E296" s="22">
        <f>IF($D296="","",INDEX('参数设置'!$K$6:$K$9,MOD(ROW()-7,4)+1))</f>
        <v/>
      </c>
      <c r="F296" s="23">
        <f>IF($D296="","",IF($V296&lt;&gt;"",$V296,IFERROR(INDEX('参数设置'!$D$17:$G$26,MATCH($D296,'参数设置'!$C$17:$C$26,0),MATCH($E296,'参数设置'!$D$16:$G$16,0)),0)))</f>
        <v/>
      </c>
      <c r="G296" s="24">
        <f>IF($D296="","",INDEX('01人员工时'!$E$7:$E$126,INT((ROW()-7)/4)+1))</f>
        <v/>
      </c>
      <c r="H296" s="24">
        <f>IF($D296="","",INDEX('01人员工时'!$O$7:$O$126,INT((ROW()-7)/4)+1))</f>
        <v/>
      </c>
      <c r="I296" s="20">
        <f>IF(OR($D296="",$G296=0),"",$H296/$G296)</f>
        <v/>
      </c>
      <c r="J296" s="12">
        <f>IF($D296="","",ROUND($F296,2)-$S296)</f>
        <v/>
      </c>
      <c r="K296" s="12">
        <f>IF(OR($D296="",$G296=0),"",ROUND($F296*INDEX('01人员工时'!G$7:G$126,INT((ROW()-7)/4)+1)/$G296,2))</f>
        <v/>
      </c>
      <c r="L296" s="12">
        <f>IF(OR($D296="",$G296=0),"",ROUND($F296*INDEX('01人员工时'!H$7:H$126,INT((ROW()-7)/4)+1)/$G296,2))</f>
        <v/>
      </c>
      <c r="M296" s="12">
        <f>IF(OR($D296="",$G296=0),"",ROUND($F296*INDEX('01人员工时'!I$7:I$126,INT((ROW()-7)/4)+1)/$G296,2))</f>
        <v/>
      </c>
      <c r="N296" s="12">
        <f>IF(OR($D296="",$G296=0),"",ROUND($F296*INDEX('01人员工时'!J$7:J$126,INT((ROW()-7)/4)+1)/$G296,2))</f>
        <v/>
      </c>
      <c r="O296" s="12">
        <f>IF(OR($D296="",$G296=0),"",ROUND($F296*INDEX('01人员工时'!K$7:K$126,INT((ROW()-7)/4)+1)/$G296,2))</f>
        <v/>
      </c>
      <c r="P296" s="12">
        <f>IF(OR($D296="",$G296=0),"",ROUND($F296*INDEX('01人员工时'!L$7:L$126,INT((ROW()-7)/4)+1)/$G296,2))</f>
        <v/>
      </c>
      <c r="Q296" s="12">
        <f>IF(OR($D296="",$G296=0),"",ROUND($F296*INDEX('01人员工时'!M$7:M$126,INT((ROW()-7)/4)+1)/$G296,2))</f>
        <v/>
      </c>
      <c r="R296" s="12">
        <f>IF(OR($D296="",$G296=0),"",ROUND($F296*INDEX('01人员工时'!N$7:N$126,INT((ROW()-7)/4)+1)/$G296,2))</f>
        <v/>
      </c>
      <c r="S296" s="12">
        <f>IF($D296="","",SUM(K296:R296))</f>
        <v/>
      </c>
      <c r="T296" s="12">
        <f>IF($D296="","",$J296+$S296)</f>
        <v/>
      </c>
      <c r="U296" s="25">
        <f>IF($D296="","",IF($F296=0,"未维护标准",IF(ROUND($T296-$F296,2)=0,"√","差异")))</f>
        <v/>
      </c>
      <c r="V296" s="11" t="n"/>
      <c r="W296" s="9" t="n"/>
    </row>
    <row r="297" ht="18" customHeight="1">
      <c r="B297" s="21">
        <f>IF(INDEX('01人员工时'!$D$7:$D$126,INT((ROW()-7)/4)+1)&amp;""="","",INDEX('01人员工时'!$B$7:$B$126,INT((ROW()-7)/4)+1))</f>
        <v/>
      </c>
      <c r="C297" s="22">
        <f>IF($D297="","",IF(MOD(ROW()-7,4)=0,INDEX('01人员工时'!$C$7:$C$126,INT((ROW()-7)/4)+1),""))</f>
        <v/>
      </c>
      <c r="D297" s="22">
        <f>IF(INDEX('01人员工时'!$D$7:$D$126,INT((ROW()-7)/4)+1)&amp;""="","",INDEX('01人员工时'!$D$7:$D$126,INT((ROW()-7)/4)+1))</f>
        <v/>
      </c>
      <c r="E297" s="22">
        <f>IF($D297="","",INDEX('参数设置'!$K$6:$K$9,MOD(ROW()-7,4)+1))</f>
        <v/>
      </c>
      <c r="F297" s="23">
        <f>IF($D297="","",IF($V297&lt;&gt;"",$V297,IFERROR(INDEX('参数设置'!$D$17:$G$26,MATCH($D297,'参数设置'!$C$17:$C$26,0),MATCH($E297,'参数设置'!$D$16:$G$16,0)),0)))</f>
        <v/>
      </c>
      <c r="G297" s="24">
        <f>IF($D297="","",INDEX('01人员工时'!$E$7:$E$126,INT((ROW()-7)/4)+1))</f>
        <v/>
      </c>
      <c r="H297" s="24">
        <f>IF($D297="","",INDEX('01人员工时'!$O$7:$O$126,INT((ROW()-7)/4)+1))</f>
        <v/>
      </c>
      <c r="I297" s="20">
        <f>IF(OR($D297="",$G297=0),"",$H297/$G297)</f>
        <v/>
      </c>
      <c r="J297" s="12">
        <f>IF($D297="","",ROUND($F297,2)-$S297)</f>
        <v/>
      </c>
      <c r="K297" s="12">
        <f>IF(OR($D297="",$G297=0),"",ROUND($F297*INDEX('01人员工时'!G$7:G$126,INT((ROW()-7)/4)+1)/$G297,2))</f>
        <v/>
      </c>
      <c r="L297" s="12">
        <f>IF(OR($D297="",$G297=0),"",ROUND($F297*INDEX('01人员工时'!H$7:H$126,INT((ROW()-7)/4)+1)/$G297,2))</f>
        <v/>
      </c>
      <c r="M297" s="12">
        <f>IF(OR($D297="",$G297=0),"",ROUND($F297*INDEX('01人员工时'!I$7:I$126,INT((ROW()-7)/4)+1)/$G297,2))</f>
        <v/>
      </c>
      <c r="N297" s="12">
        <f>IF(OR($D297="",$G297=0),"",ROUND($F297*INDEX('01人员工时'!J$7:J$126,INT((ROW()-7)/4)+1)/$G297,2))</f>
        <v/>
      </c>
      <c r="O297" s="12">
        <f>IF(OR($D297="",$G297=0),"",ROUND($F297*INDEX('01人员工时'!K$7:K$126,INT((ROW()-7)/4)+1)/$G297,2))</f>
        <v/>
      </c>
      <c r="P297" s="12">
        <f>IF(OR($D297="",$G297=0),"",ROUND($F297*INDEX('01人员工时'!L$7:L$126,INT((ROW()-7)/4)+1)/$G297,2))</f>
        <v/>
      </c>
      <c r="Q297" s="12">
        <f>IF(OR($D297="",$G297=0),"",ROUND($F297*INDEX('01人员工时'!M$7:M$126,INT((ROW()-7)/4)+1)/$G297,2))</f>
        <v/>
      </c>
      <c r="R297" s="12">
        <f>IF(OR($D297="",$G297=0),"",ROUND($F297*INDEX('01人员工时'!N$7:N$126,INT((ROW()-7)/4)+1)/$G297,2))</f>
        <v/>
      </c>
      <c r="S297" s="12">
        <f>IF($D297="","",SUM(K297:R297))</f>
        <v/>
      </c>
      <c r="T297" s="12">
        <f>IF($D297="","",$J297+$S297)</f>
        <v/>
      </c>
      <c r="U297" s="25">
        <f>IF($D297="","",IF($F297=0,"未维护标准",IF(ROUND($T297-$F297,2)=0,"√","差异")))</f>
        <v/>
      </c>
      <c r="V297" s="11" t="n"/>
      <c r="W297" s="9" t="n"/>
    </row>
    <row r="298" ht="18" customHeight="1">
      <c r="B298" s="26">
        <f>IF(INDEX('01人员工时'!$D$7:$D$126,INT((ROW()-7)/4)+1)&amp;""="","",INDEX('01人员工时'!$B$7:$B$126,INT((ROW()-7)/4)+1))</f>
        <v/>
      </c>
      <c r="C298" s="27">
        <f>IF($D298="","",IF(MOD(ROW()-7,4)=0,INDEX('01人员工时'!$C$7:$C$126,INT((ROW()-7)/4)+1),""))</f>
        <v/>
      </c>
      <c r="D298" s="27">
        <f>IF(INDEX('01人员工时'!$D$7:$D$126,INT((ROW()-7)/4)+1)&amp;""="","",INDEX('01人员工时'!$D$7:$D$126,INT((ROW()-7)/4)+1))</f>
        <v/>
      </c>
      <c r="E298" s="27">
        <f>IF($D298="","",INDEX('参数设置'!$K$6:$K$9,MOD(ROW()-7,4)+1))</f>
        <v/>
      </c>
      <c r="F298" s="28">
        <f>IF($D298="","",IF($V298&lt;&gt;"",$V298,IFERROR(INDEX('参数设置'!$D$17:$G$26,MATCH($D298,'参数设置'!$C$17:$C$26,0),MATCH($E298,'参数设置'!$D$16:$G$16,0)),0)))</f>
        <v/>
      </c>
      <c r="G298" s="29">
        <f>IF($D298="","",INDEX('01人员工时'!$E$7:$E$126,INT((ROW()-7)/4)+1))</f>
        <v/>
      </c>
      <c r="H298" s="29">
        <f>IF($D298="","",INDEX('01人员工时'!$O$7:$O$126,INT((ROW()-7)/4)+1))</f>
        <v/>
      </c>
      <c r="I298" s="30">
        <f>IF(OR($D298="",$G298=0),"",$H298/$G298)</f>
        <v/>
      </c>
      <c r="J298" s="31">
        <f>IF($D298="","",ROUND($F298,2)-$S298)</f>
        <v/>
      </c>
      <c r="K298" s="31">
        <f>IF(OR($D298="",$G298=0),"",ROUND($F298*INDEX('01人员工时'!G$7:G$126,INT((ROW()-7)/4)+1)/$G298,2))</f>
        <v/>
      </c>
      <c r="L298" s="31">
        <f>IF(OR($D298="",$G298=0),"",ROUND($F298*INDEX('01人员工时'!H$7:H$126,INT((ROW()-7)/4)+1)/$G298,2))</f>
        <v/>
      </c>
      <c r="M298" s="31">
        <f>IF(OR($D298="",$G298=0),"",ROUND($F298*INDEX('01人员工时'!I$7:I$126,INT((ROW()-7)/4)+1)/$G298,2))</f>
        <v/>
      </c>
      <c r="N298" s="31">
        <f>IF(OR($D298="",$G298=0),"",ROUND($F298*INDEX('01人员工时'!J$7:J$126,INT((ROW()-7)/4)+1)/$G298,2))</f>
        <v/>
      </c>
      <c r="O298" s="31">
        <f>IF(OR($D298="",$G298=0),"",ROUND($F298*INDEX('01人员工时'!K$7:K$126,INT((ROW()-7)/4)+1)/$G298,2))</f>
        <v/>
      </c>
      <c r="P298" s="31">
        <f>IF(OR($D298="",$G298=0),"",ROUND($F298*INDEX('01人员工时'!L$7:L$126,INT((ROW()-7)/4)+1)/$G298,2))</f>
        <v/>
      </c>
      <c r="Q298" s="31">
        <f>IF(OR($D298="",$G298=0),"",ROUND($F298*INDEX('01人员工时'!M$7:M$126,INT((ROW()-7)/4)+1)/$G298,2))</f>
        <v/>
      </c>
      <c r="R298" s="31">
        <f>IF(OR($D298="",$G298=0),"",ROUND($F298*INDEX('01人员工时'!N$7:N$126,INT((ROW()-7)/4)+1)/$G298,2))</f>
        <v/>
      </c>
      <c r="S298" s="31">
        <f>IF($D298="","",SUM(K298:R298))</f>
        <v/>
      </c>
      <c r="T298" s="31">
        <f>IF($D298="","",$J298+$S298)</f>
        <v/>
      </c>
      <c r="U298" s="32">
        <f>IF($D298="","",IF($F298=0,"未维护标准",IF(ROUND($T298-$F298,2)=0,"√","差异")))</f>
        <v/>
      </c>
      <c r="V298" s="33" t="n"/>
      <c r="W298" s="34" t="n"/>
    </row>
    <row r="299" ht="18" customHeight="1">
      <c r="B299" s="21">
        <f>IF(INDEX('01人员工时'!$D$7:$D$126,INT((ROW()-7)/4)+1)&amp;""="","",INDEX('01人员工时'!$B$7:$B$126,INT((ROW()-7)/4)+1))</f>
        <v/>
      </c>
      <c r="C299" s="22">
        <f>IF($D299="","",IF(MOD(ROW()-7,4)=0,INDEX('01人员工时'!$C$7:$C$126,INT((ROW()-7)/4)+1),""))</f>
        <v/>
      </c>
      <c r="D299" s="22">
        <f>IF(INDEX('01人员工时'!$D$7:$D$126,INT((ROW()-7)/4)+1)&amp;""="","",INDEX('01人员工时'!$D$7:$D$126,INT((ROW()-7)/4)+1))</f>
        <v/>
      </c>
      <c r="E299" s="22">
        <f>IF($D299="","",INDEX('参数设置'!$K$6:$K$9,MOD(ROW()-7,4)+1))</f>
        <v/>
      </c>
      <c r="F299" s="23">
        <f>IF($D299="","",IF($V299&lt;&gt;"",$V299,IFERROR(INDEX('参数设置'!$D$17:$G$26,MATCH($D299,'参数设置'!$C$17:$C$26,0),MATCH($E299,'参数设置'!$D$16:$G$16,0)),0)))</f>
        <v/>
      </c>
      <c r="G299" s="24">
        <f>IF($D299="","",INDEX('01人员工时'!$E$7:$E$126,INT((ROW()-7)/4)+1))</f>
        <v/>
      </c>
      <c r="H299" s="24">
        <f>IF($D299="","",INDEX('01人员工时'!$O$7:$O$126,INT((ROW()-7)/4)+1))</f>
        <v/>
      </c>
      <c r="I299" s="20">
        <f>IF(OR($D299="",$G299=0),"",$H299/$G299)</f>
        <v/>
      </c>
      <c r="J299" s="12">
        <f>IF($D299="","",ROUND($F299,2)-$S299)</f>
        <v/>
      </c>
      <c r="K299" s="12">
        <f>IF(OR($D299="",$G299=0),"",ROUND($F299*INDEX('01人员工时'!G$7:G$126,INT((ROW()-7)/4)+1)/$G299,2))</f>
        <v/>
      </c>
      <c r="L299" s="12">
        <f>IF(OR($D299="",$G299=0),"",ROUND($F299*INDEX('01人员工时'!H$7:H$126,INT((ROW()-7)/4)+1)/$G299,2))</f>
        <v/>
      </c>
      <c r="M299" s="12">
        <f>IF(OR($D299="",$G299=0),"",ROUND($F299*INDEX('01人员工时'!I$7:I$126,INT((ROW()-7)/4)+1)/$G299,2))</f>
        <v/>
      </c>
      <c r="N299" s="12">
        <f>IF(OR($D299="",$G299=0),"",ROUND($F299*INDEX('01人员工时'!J$7:J$126,INT((ROW()-7)/4)+1)/$G299,2))</f>
        <v/>
      </c>
      <c r="O299" s="12">
        <f>IF(OR($D299="",$G299=0),"",ROUND($F299*INDEX('01人员工时'!K$7:K$126,INT((ROW()-7)/4)+1)/$G299,2))</f>
        <v/>
      </c>
      <c r="P299" s="12">
        <f>IF(OR($D299="",$G299=0),"",ROUND($F299*INDEX('01人员工时'!L$7:L$126,INT((ROW()-7)/4)+1)/$G299,2))</f>
        <v/>
      </c>
      <c r="Q299" s="12">
        <f>IF(OR($D299="",$G299=0),"",ROUND($F299*INDEX('01人员工时'!M$7:M$126,INT((ROW()-7)/4)+1)/$G299,2))</f>
        <v/>
      </c>
      <c r="R299" s="12">
        <f>IF(OR($D299="",$G299=0),"",ROUND($F299*INDEX('01人员工时'!N$7:N$126,INT((ROW()-7)/4)+1)/$G299,2))</f>
        <v/>
      </c>
      <c r="S299" s="12">
        <f>IF($D299="","",SUM(K299:R299))</f>
        <v/>
      </c>
      <c r="T299" s="12">
        <f>IF($D299="","",$J299+$S299)</f>
        <v/>
      </c>
      <c r="U299" s="25">
        <f>IF($D299="","",IF($F299=0,"未维护标准",IF(ROUND($T299-$F299,2)=0,"√","差异")))</f>
        <v/>
      </c>
      <c r="V299" s="11" t="n"/>
      <c r="W299" s="9" t="n"/>
    </row>
    <row r="300" ht="18" customHeight="1">
      <c r="B300" s="21">
        <f>IF(INDEX('01人员工时'!$D$7:$D$126,INT((ROW()-7)/4)+1)&amp;""="","",INDEX('01人员工时'!$B$7:$B$126,INT((ROW()-7)/4)+1))</f>
        <v/>
      </c>
      <c r="C300" s="22">
        <f>IF($D300="","",IF(MOD(ROW()-7,4)=0,INDEX('01人员工时'!$C$7:$C$126,INT((ROW()-7)/4)+1),""))</f>
        <v/>
      </c>
      <c r="D300" s="22">
        <f>IF(INDEX('01人员工时'!$D$7:$D$126,INT((ROW()-7)/4)+1)&amp;""="","",INDEX('01人员工时'!$D$7:$D$126,INT((ROW()-7)/4)+1))</f>
        <v/>
      </c>
      <c r="E300" s="22">
        <f>IF($D300="","",INDEX('参数设置'!$K$6:$K$9,MOD(ROW()-7,4)+1))</f>
        <v/>
      </c>
      <c r="F300" s="23">
        <f>IF($D300="","",IF($V300&lt;&gt;"",$V300,IFERROR(INDEX('参数设置'!$D$17:$G$26,MATCH($D300,'参数设置'!$C$17:$C$26,0),MATCH($E300,'参数设置'!$D$16:$G$16,0)),0)))</f>
        <v/>
      </c>
      <c r="G300" s="24">
        <f>IF($D300="","",INDEX('01人员工时'!$E$7:$E$126,INT((ROW()-7)/4)+1))</f>
        <v/>
      </c>
      <c r="H300" s="24">
        <f>IF($D300="","",INDEX('01人员工时'!$O$7:$O$126,INT((ROW()-7)/4)+1))</f>
        <v/>
      </c>
      <c r="I300" s="20">
        <f>IF(OR($D300="",$G300=0),"",$H300/$G300)</f>
        <v/>
      </c>
      <c r="J300" s="12">
        <f>IF($D300="","",ROUND($F300,2)-$S300)</f>
        <v/>
      </c>
      <c r="K300" s="12">
        <f>IF(OR($D300="",$G300=0),"",ROUND($F300*INDEX('01人员工时'!G$7:G$126,INT((ROW()-7)/4)+1)/$G300,2))</f>
        <v/>
      </c>
      <c r="L300" s="12">
        <f>IF(OR($D300="",$G300=0),"",ROUND($F300*INDEX('01人员工时'!H$7:H$126,INT((ROW()-7)/4)+1)/$G300,2))</f>
        <v/>
      </c>
      <c r="M300" s="12">
        <f>IF(OR($D300="",$G300=0),"",ROUND($F300*INDEX('01人员工时'!I$7:I$126,INT((ROW()-7)/4)+1)/$G300,2))</f>
        <v/>
      </c>
      <c r="N300" s="12">
        <f>IF(OR($D300="",$G300=0),"",ROUND($F300*INDEX('01人员工时'!J$7:J$126,INT((ROW()-7)/4)+1)/$G300,2))</f>
        <v/>
      </c>
      <c r="O300" s="12">
        <f>IF(OR($D300="",$G300=0),"",ROUND($F300*INDEX('01人员工时'!K$7:K$126,INT((ROW()-7)/4)+1)/$G300,2))</f>
        <v/>
      </c>
      <c r="P300" s="12">
        <f>IF(OR($D300="",$G300=0),"",ROUND($F300*INDEX('01人员工时'!L$7:L$126,INT((ROW()-7)/4)+1)/$G300,2))</f>
        <v/>
      </c>
      <c r="Q300" s="12">
        <f>IF(OR($D300="",$G300=0),"",ROUND($F300*INDEX('01人员工时'!M$7:M$126,INT((ROW()-7)/4)+1)/$G300,2))</f>
        <v/>
      </c>
      <c r="R300" s="12">
        <f>IF(OR($D300="",$G300=0),"",ROUND($F300*INDEX('01人员工时'!N$7:N$126,INT((ROW()-7)/4)+1)/$G300,2))</f>
        <v/>
      </c>
      <c r="S300" s="12">
        <f>IF($D300="","",SUM(K300:R300))</f>
        <v/>
      </c>
      <c r="T300" s="12">
        <f>IF($D300="","",$J300+$S300)</f>
        <v/>
      </c>
      <c r="U300" s="25">
        <f>IF($D300="","",IF($F300=0,"未维护标准",IF(ROUND($T300-$F300,2)=0,"√","差异")))</f>
        <v/>
      </c>
      <c r="V300" s="11" t="n"/>
      <c r="W300" s="9" t="n"/>
    </row>
    <row r="301" ht="18" customHeight="1">
      <c r="B301" s="21">
        <f>IF(INDEX('01人员工时'!$D$7:$D$126,INT((ROW()-7)/4)+1)&amp;""="","",INDEX('01人员工时'!$B$7:$B$126,INT((ROW()-7)/4)+1))</f>
        <v/>
      </c>
      <c r="C301" s="22">
        <f>IF($D301="","",IF(MOD(ROW()-7,4)=0,INDEX('01人员工时'!$C$7:$C$126,INT((ROW()-7)/4)+1),""))</f>
        <v/>
      </c>
      <c r="D301" s="22">
        <f>IF(INDEX('01人员工时'!$D$7:$D$126,INT((ROW()-7)/4)+1)&amp;""="","",INDEX('01人员工时'!$D$7:$D$126,INT((ROW()-7)/4)+1))</f>
        <v/>
      </c>
      <c r="E301" s="22">
        <f>IF($D301="","",INDEX('参数设置'!$K$6:$K$9,MOD(ROW()-7,4)+1))</f>
        <v/>
      </c>
      <c r="F301" s="23">
        <f>IF($D301="","",IF($V301&lt;&gt;"",$V301,IFERROR(INDEX('参数设置'!$D$17:$G$26,MATCH($D301,'参数设置'!$C$17:$C$26,0),MATCH($E301,'参数设置'!$D$16:$G$16,0)),0)))</f>
        <v/>
      </c>
      <c r="G301" s="24">
        <f>IF($D301="","",INDEX('01人员工时'!$E$7:$E$126,INT((ROW()-7)/4)+1))</f>
        <v/>
      </c>
      <c r="H301" s="24">
        <f>IF($D301="","",INDEX('01人员工时'!$O$7:$O$126,INT((ROW()-7)/4)+1))</f>
        <v/>
      </c>
      <c r="I301" s="20">
        <f>IF(OR($D301="",$G301=0),"",$H301/$G301)</f>
        <v/>
      </c>
      <c r="J301" s="12">
        <f>IF($D301="","",ROUND($F301,2)-$S301)</f>
        <v/>
      </c>
      <c r="K301" s="12">
        <f>IF(OR($D301="",$G301=0),"",ROUND($F301*INDEX('01人员工时'!G$7:G$126,INT((ROW()-7)/4)+1)/$G301,2))</f>
        <v/>
      </c>
      <c r="L301" s="12">
        <f>IF(OR($D301="",$G301=0),"",ROUND($F301*INDEX('01人员工时'!H$7:H$126,INT((ROW()-7)/4)+1)/$G301,2))</f>
        <v/>
      </c>
      <c r="M301" s="12">
        <f>IF(OR($D301="",$G301=0),"",ROUND($F301*INDEX('01人员工时'!I$7:I$126,INT((ROW()-7)/4)+1)/$G301,2))</f>
        <v/>
      </c>
      <c r="N301" s="12">
        <f>IF(OR($D301="",$G301=0),"",ROUND($F301*INDEX('01人员工时'!J$7:J$126,INT((ROW()-7)/4)+1)/$G301,2))</f>
        <v/>
      </c>
      <c r="O301" s="12">
        <f>IF(OR($D301="",$G301=0),"",ROUND($F301*INDEX('01人员工时'!K$7:K$126,INT((ROW()-7)/4)+1)/$G301,2))</f>
        <v/>
      </c>
      <c r="P301" s="12">
        <f>IF(OR($D301="",$G301=0),"",ROUND($F301*INDEX('01人员工时'!L$7:L$126,INT((ROW()-7)/4)+1)/$G301,2))</f>
        <v/>
      </c>
      <c r="Q301" s="12">
        <f>IF(OR($D301="",$G301=0),"",ROUND($F301*INDEX('01人员工时'!M$7:M$126,INT((ROW()-7)/4)+1)/$G301,2))</f>
        <v/>
      </c>
      <c r="R301" s="12">
        <f>IF(OR($D301="",$G301=0),"",ROUND($F301*INDEX('01人员工时'!N$7:N$126,INT((ROW()-7)/4)+1)/$G301,2))</f>
        <v/>
      </c>
      <c r="S301" s="12">
        <f>IF($D301="","",SUM(K301:R301))</f>
        <v/>
      </c>
      <c r="T301" s="12">
        <f>IF($D301="","",$J301+$S301)</f>
        <v/>
      </c>
      <c r="U301" s="25">
        <f>IF($D301="","",IF($F301=0,"未维护标准",IF(ROUND($T301-$F301,2)=0,"√","差异")))</f>
        <v/>
      </c>
      <c r="V301" s="11" t="n"/>
      <c r="W301" s="9" t="n"/>
    </row>
    <row r="302" ht="18" customHeight="1">
      <c r="B302" s="26">
        <f>IF(INDEX('01人员工时'!$D$7:$D$126,INT((ROW()-7)/4)+1)&amp;""="","",INDEX('01人员工时'!$B$7:$B$126,INT((ROW()-7)/4)+1))</f>
        <v/>
      </c>
      <c r="C302" s="27">
        <f>IF($D302="","",IF(MOD(ROW()-7,4)=0,INDEX('01人员工时'!$C$7:$C$126,INT((ROW()-7)/4)+1),""))</f>
        <v/>
      </c>
      <c r="D302" s="27">
        <f>IF(INDEX('01人员工时'!$D$7:$D$126,INT((ROW()-7)/4)+1)&amp;""="","",INDEX('01人员工时'!$D$7:$D$126,INT((ROW()-7)/4)+1))</f>
        <v/>
      </c>
      <c r="E302" s="27">
        <f>IF($D302="","",INDEX('参数设置'!$K$6:$K$9,MOD(ROW()-7,4)+1))</f>
        <v/>
      </c>
      <c r="F302" s="28">
        <f>IF($D302="","",IF($V302&lt;&gt;"",$V302,IFERROR(INDEX('参数设置'!$D$17:$G$26,MATCH($D302,'参数设置'!$C$17:$C$26,0),MATCH($E302,'参数设置'!$D$16:$G$16,0)),0)))</f>
        <v/>
      </c>
      <c r="G302" s="29">
        <f>IF($D302="","",INDEX('01人员工时'!$E$7:$E$126,INT((ROW()-7)/4)+1))</f>
        <v/>
      </c>
      <c r="H302" s="29">
        <f>IF($D302="","",INDEX('01人员工时'!$O$7:$O$126,INT((ROW()-7)/4)+1))</f>
        <v/>
      </c>
      <c r="I302" s="30">
        <f>IF(OR($D302="",$G302=0),"",$H302/$G302)</f>
        <v/>
      </c>
      <c r="J302" s="31">
        <f>IF($D302="","",ROUND($F302,2)-$S302)</f>
        <v/>
      </c>
      <c r="K302" s="31">
        <f>IF(OR($D302="",$G302=0),"",ROUND($F302*INDEX('01人员工时'!G$7:G$126,INT((ROW()-7)/4)+1)/$G302,2))</f>
        <v/>
      </c>
      <c r="L302" s="31">
        <f>IF(OR($D302="",$G302=0),"",ROUND($F302*INDEX('01人员工时'!H$7:H$126,INT((ROW()-7)/4)+1)/$G302,2))</f>
        <v/>
      </c>
      <c r="M302" s="31">
        <f>IF(OR($D302="",$G302=0),"",ROUND($F302*INDEX('01人员工时'!I$7:I$126,INT((ROW()-7)/4)+1)/$G302,2))</f>
        <v/>
      </c>
      <c r="N302" s="31">
        <f>IF(OR($D302="",$G302=0),"",ROUND($F302*INDEX('01人员工时'!J$7:J$126,INT((ROW()-7)/4)+1)/$G302,2))</f>
        <v/>
      </c>
      <c r="O302" s="31">
        <f>IF(OR($D302="",$G302=0),"",ROUND($F302*INDEX('01人员工时'!K$7:K$126,INT((ROW()-7)/4)+1)/$G302,2))</f>
        <v/>
      </c>
      <c r="P302" s="31">
        <f>IF(OR($D302="",$G302=0),"",ROUND($F302*INDEX('01人员工时'!L$7:L$126,INT((ROW()-7)/4)+1)/$G302,2))</f>
        <v/>
      </c>
      <c r="Q302" s="31">
        <f>IF(OR($D302="",$G302=0),"",ROUND($F302*INDEX('01人员工时'!M$7:M$126,INT((ROW()-7)/4)+1)/$G302,2))</f>
        <v/>
      </c>
      <c r="R302" s="31">
        <f>IF(OR($D302="",$G302=0),"",ROUND($F302*INDEX('01人员工时'!N$7:N$126,INT((ROW()-7)/4)+1)/$G302,2))</f>
        <v/>
      </c>
      <c r="S302" s="31">
        <f>IF($D302="","",SUM(K302:R302))</f>
        <v/>
      </c>
      <c r="T302" s="31">
        <f>IF($D302="","",$J302+$S302)</f>
        <v/>
      </c>
      <c r="U302" s="32">
        <f>IF($D302="","",IF($F302=0,"未维护标准",IF(ROUND($T302-$F302,2)=0,"√","差异")))</f>
        <v/>
      </c>
      <c r="V302" s="33" t="n"/>
      <c r="W302" s="34" t="n"/>
    </row>
    <row r="303" ht="18" customHeight="1">
      <c r="B303" s="21">
        <f>IF(INDEX('01人员工时'!$D$7:$D$126,INT((ROW()-7)/4)+1)&amp;""="","",INDEX('01人员工时'!$B$7:$B$126,INT((ROW()-7)/4)+1))</f>
        <v/>
      </c>
      <c r="C303" s="22">
        <f>IF($D303="","",IF(MOD(ROW()-7,4)=0,INDEX('01人员工时'!$C$7:$C$126,INT((ROW()-7)/4)+1),""))</f>
        <v/>
      </c>
      <c r="D303" s="22">
        <f>IF(INDEX('01人员工时'!$D$7:$D$126,INT((ROW()-7)/4)+1)&amp;""="","",INDEX('01人员工时'!$D$7:$D$126,INT((ROW()-7)/4)+1))</f>
        <v/>
      </c>
      <c r="E303" s="22">
        <f>IF($D303="","",INDEX('参数设置'!$K$6:$K$9,MOD(ROW()-7,4)+1))</f>
        <v/>
      </c>
      <c r="F303" s="23">
        <f>IF($D303="","",IF($V303&lt;&gt;"",$V303,IFERROR(INDEX('参数设置'!$D$17:$G$26,MATCH($D303,'参数设置'!$C$17:$C$26,0),MATCH($E303,'参数设置'!$D$16:$G$16,0)),0)))</f>
        <v/>
      </c>
      <c r="G303" s="24">
        <f>IF($D303="","",INDEX('01人员工时'!$E$7:$E$126,INT((ROW()-7)/4)+1))</f>
        <v/>
      </c>
      <c r="H303" s="24">
        <f>IF($D303="","",INDEX('01人员工时'!$O$7:$O$126,INT((ROW()-7)/4)+1))</f>
        <v/>
      </c>
      <c r="I303" s="20">
        <f>IF(OR($D303="",$G303=0),"",$H303/$G303)</f>
        <v/>
      </c>
      <c r="J303" s="12">
        <f>IF($D303="","",ROUND($F303,2)-$S303)</f>
        <v/>
      </c>
      <c r="K303" s="12">
        <f>IF(OR($D303="",$G303=0),"",ROUND($F303*INDEX('01人员工时'!G$7:G$126,INT((ROW()-7)/4)+1)/$G303,2))</f>
        <v/>
      </c>
      <c r="L303" s="12">
        <f>IF(OR($D303="",$G303=0),"",ROUND($F303*INDEX('01人员工时'!H$7:H$126,INT((ROW()-7)/4)+1)/$G303,2))</f>
        <v/>
      </c>
      <c r="M303" s="12">
        <f>IF(OR($D303="",$G303=0),"",ROUND($F303*INDEX('01人员工时'!I$7:I$126,INT((ROW()-7)/4)+1)/$G303,2))</f>
        <v/>
      </c>
      <c r="N303" s="12">
        <f>IF(OR($D303="",$G303=0),"",ROUND($F303*INDEX('01人员工时'!J$7:J$126,INT((ROW()-7)/4)+1)/$G303,2))</f>
        <v/>
      </c>
      <c r="O303" s="12">
        <f>IF(OR($D303="",$G303=0),"",ROUND($F303*INDEX('01人员工时'!K$7:K$126,INT((ROW()-7)/4)+1)/$G303,2))</f>
        <v/>
      </c>
      <c r="P303" s="12">
        <f>IF(OR($D303="",$G303=0),"",ROUND($F303*INDEX('01人员工时'!L$7:L$126,INT((ROW()-7)/4)+1)/$G303,2))</f>
        <v/>
      </c>
      <c r="Q303" s="12">
        <f>IF(OR($D303="",$G303=0),"",ROUND($F303*INDEX('01人员工时'!M$7:M$126,INT((ROW()-7)/4)+1)/$G303,2))</f>
        <v/>
      </c>
      <c r="R303" s="12">
        <f>IF(OR($D303="",$G303=0),"",ROUND($F303*INDEX('01人员工时'!N$7:N$126,INT((ROW()-7)/4)+1)/$G303,2))</f>
        <v/>
      </c>
      <c r="S303" s="12">
        <f>IF($D303="","",SUM(K303:R303))</f>
        <v/>
      </c>
      <c r="T303" s="12">
        <f>IF($D303="","",$J303+$S303)</f>
        <v/>
      </c>
      <c r="U303" s="25">
        <f>IF($D303="","",IF($F303=0,"未维护标准",IF(ROUND($T303-$F303,2)=0,"√","差异")))</f>
        <v/>
      </c>
      <c r="V303" s="11" t="n"/>
      <c r="W303" s="9" t="n"/>
    </row>
    <row r="304" ht="18" customHeight="1">
      <c r="B304" s="21">
        <f>IF(INDEX('01人员工时'!$D$7:$D$126,INT((ROW()-7)/4)+1)&amp;""="","",INDEX('01人员工时'!$B$7:$B$126,INT((ROW()-7)/4)+1))</f>
        <v/>
      </c>
      <c r="C304" s="22">
        <f>IF($D304="","",IF(MOD(ROW()-7,4)=0,INDEX('01人员工时'!$C$7:$C$126,INT((ROW()-7)/4)+1),""))</f>
        <v/>
      </c>
      <c r="D304" s="22">
        <f>IF(INDEX('01人员工时'!$D$7:$D$126,INT((ROW()-7)/4)+1)&amp;""="","",INDEX('01人员工时'!$D$7:$D$126,INT((ROW()-7)/4)+1))</f>
        <v/>
      </c>
      <c r="E304" s="22">
        <f>IF($D304="","",INDEX('参数设置'!$K$6:$K$9,MOD(ROW()-7,4)+1))</f>
        <v/>
      </c>
      <c r="F304" s="23">
        <f>IF($D304="","",IF($V304&lt;&gt;"",$V304,IFERROR(INDEX('参数设置'!$D$17:$G$26,MATCH($D304,'参数设置'!$C$17:$C$26,0),MATCH($E304,'参数设置'!$D$16:$G$16,0)),0)))</f>
        <v/>
      </c>
      <c r="G304" s="24">
        <f>IF($D304="","",INDEX('01人员工时'!$E$7:$E$126,INT((ROW()-7)/4)+1))</f>
        <v/>
      </c>
      <c r="H304" s="24">
        <f>IF($D304="","",INDEX('01人员工时'!$O$7:$O$126,INT((ROW()-7)/4)+1))</f>
        <v/>
      </c>
      <c r="I304" s="20">
        <f>IF(OR($D304="",$G304=0),"",$H304/$G304)</f>
        <v/>
      </c>
      <c r="J304" s="12">
        <f>IF($D304="","",ROUND($F304,2)-$S304)</f>
        <v/>
      </c>
      <c r="K304" s="12">
        <f>IF(OR($D304="",$G304=0),"",ROUND($F304*INDEX('01人员工时'!G$7:G$126,INT((ROW()-7)/4)+1)/$G304,2))</f>
        <v/>
      </c>
      <c r="L304" s="12">
        <f>IF(OR($D304="",$G304=0),"",ROUND($F304*INDEX('01人员工时'!H$7:H$126,INT((ROW()-7)/4)+1)/$G304,2))</f>
        <v/>
      </c>
      <c r="M304" s="12">
        <f>IF(OR($D304="",$G304=0),"",ROUND($F304*INDEX('01人员工时'!I$7:I$126,INT((ROW()-7)/4)+1)/$G304,2))</f>
        <v/>
      </c>
      <c r="N304" s="12">
        <f>IF(OR($D304="",$G304=0),"",ROUND($F304*INDEX('01人员工时'!J$7:J$126,INT((ROW()-7)/4)+1)/$G304,2))</f>
        <v/>
      </c>
      <c r="O304" s="12">
        <f>IF(OR($D304="",$G304=0),"",ROUND($F304*INDEX('01人员工时'!K$7:K$126,INT((ROW()-7)/4)+1)/$G304,2))</f>
        <v/>
      </c>
      <c r="P304" s="12">
        <f>IF(OR($D304="",$G304=0),"",ROUND($F304*INDEX('01人员工时'!L$7:L$126,INT((ROW()-7)/4)+1)/$G304,2))</f>
        <v/>
      </c>
      <c r="Q304" s="12">
        <f>IF(OR($D304="",$G304=0),"",ROUND($F304*INDEX('01人员工时'!M$7:M$126,INT((ROW()-7)/4)+1)/$G304,2))</f>
        <v/>
      </c>
      <c r="R304" s="12">
        <f>IF(OR($D304="",$G304=0),"",ROUND($F304*INDEX('01人员工时'!N$7:N$126,INT((ROW()-7)/4)+1)/$G304,2))</f>
        <v/>
      </c>
      <c r="S304" s="12">
        <f>IF($D304="","",SUM(K304:R304))</f>
        <v/>
      </c>
      <c r="T304" s="12">
        <f>IF($D304="","",$J304+$S304)</f>
        <v/>
      </c>
      <c r="U304" s="25">
        <f>IF($D304="","",IF($F304=0,"未维护标准",IF(ROUND($T304-$F304,2)=0,"√","差异")))</f>
        <v/>
      </c>
      <c r="V304" s="11" t="n"/>
      <c r="W304" s="9" t="n"/>
    </row>
    <row r="305" ht="18" customHeight="1">
      <c r="B305" s="21">
        <f>IF(INDEX('01人员工时'!$D$7:$D$126,INT((ROW()-7)/4)+1)&amp;""="","",INDEX('01人员工时'!$B$7:$B$126,INT((ROW()-7)/4)+1))</f>
        <v/>
      </c>
      <c r="C305" s="22">
        <f>IF($D305="","",IF(MOD(ROW()-7,4)=0,INDEX('01人员工时'!$C$7:$C$126,INT((ROW()-7)/4)+1),""))</f>
        <v/>
      </c>
      <c r="D305" s="22">
        <f>IF(INDEX('01人员工时'!$D$7:$D$126,INT((ROW()-7)/4)+1)&amp;""="","",INDEX('01人员工时'!$D$7:$D$126,INT((ROW()-7)/4)+1))</f>
        <v/>
      </c>
      <c r="E305" s="22">
        <f>IF($D305="","",INDEX('参数设置'!$K$6:$K$9,MOD(ROW()-7,4)+1))</f>
        <v/>
      </c>
      <c r="F305" s="23">
        <f>IF($D305="","",IF($V305&lt;&gt;"",$V305,IFERROR(INDEX('参数设置'!$D$17:$G$26,MATCH($D305,'参数设置'!$C$17:$C$26,0),MATCH($E305,'参数设置'!$D$16:$G$16,0)),0)))</f>
        <v/>
      </c>
      <c r="G305" s="24">
        <f>IF($D305="","",INDEX('01人员工时'!$E$7:$E$126,INT((ROW()-7)/4)+1))</f>
        <v/>
      </c>
      <c r="H305" s="24">
        <f>IF($D305="","",INDEX('01人员工时'!$O$7:$O$126,INT((ROW()-7)/4)+1))</f>
        <v/>
      </c>
      <c r="I305" s="20">
        <f>IF(OR($D305="",$G305=0),"",$H305/$G305)</f>
        <v/>
      </c>
      <c r="J305" s="12">
        <f>IF($D305="","",ROUND($F305,2)-$S305)</f>
        <v/>
      </c>
      <c r="K305" s="12">
        <f>IF(OR($D305="",$G305=0),"",ROUND($F305*INDEX('01人员工时'!G$7:G$126,INT((ROW()-7)/4)+1)/$G305,2))</f>
        <v/>
      </c>
      <c r="L305" s="12">
        <f>IF(OR($D305="",$G305=0),"",ROUND($F305*INDEX('01人员工时'!H$7:H$126,INT((ROW()-7)/4)+1)/$G305,2))</f>
        <v/>
      </c>
      <c r="M305" s="12">
        <f>IF(OR($D305="",$G305=0),"",ROUND($F305*INDEX('01人员工时'!I$7:I$126,INT((ROW()-7)/4)+1)/$G305,2))</f>
        <v/>
      </c>
      <c r="N305" s="12">
        <f>IF(OR($D305="",$G305=0),"",ROUND($F305*INDEX('01人员工时'!J$7:J$126,INT((ROW()-7)/4)+1)/$G305,2))</f>
        <v/>
      </c>
      <c r="O305" s="12">
        <f>IF(OR($D305="",$G305=0),"",ROUND($F305*INDEX('01人员工时'!K$7:K$126,INT((ROW()-7)/4)+1)/$G305,2))</f>
        <v/>
      </c>
      <c r="P305" s="12">
        <f>IF(OR($D305="",$G305=0),"",ROUND($F305*INDEX('01人员工时'!L$7:L$126,INT((ROW()-7)/4)+1)/$G305,2))</f>
        <v/>
      </c>
      <c r="Q305" s="12">
        <f>IF(OR($D305="",$G305=0),"",ROUND($F305*INDEX('01人员工时'!M$7:M$126,INT((ROW()-7)/4)+1)/$G305,2))</f>
        <v/>
      </c>
      <c r="R305" s="12">
        <f>IF(OR($D305="",$G305=0),"",ROUND($F305*INDEX('01人员工时'!N$7:N$126,INT((ROW()-7)/4)+1)/$G305,2))</f>
        <v/>
      </c>
      <c r="S305" s="12">
        <f>IF($D305="","",SUM(K305:R305))</f>
        <v/>
      </c>
      <c r="T305" s="12">
        <f>IF($D305="","",$J305+$S305)</f>
        <v/>
      </c>
      <c r="U305" s="25">
        <f>IF($D305="","",IF($F305=0,"未维护标准",IF(ROUND($T305-$F305,2)=0,"√","差异")))</f>
        <v/>
      </c>
      <c r="V305" s="11" t="n"/>
      <c r="W305" s="9" t="n"/>
    </row>
    <row r="306" ht="18" customHeight="1">
      <c r="B306" s="26">
        <f>IF(INDEX('01人员工时'!$D$7:$D$126,INT((ROW()-7)/4)+1)&amp;""="","",INDEX('01人员工时'!$B$7:$B$126,INT((ROW()-7)/4)+1))</f>
        <v/>
      </c>
      <c r="C306" s="27">
        <f>IF($D306="","",IF(MOD(ROW()-7,4)=0,INDEX('01人员工时'!$C$7:$C$126,INT((ROW()-7)/4)+1),""))</f>
        <v/>
      </c>
      <c r="D306" s="27">
        <f>IF(INDEX('01人员工时'!$D$7:$D$126,INT((ROW()-7)/4)+1)&amp;""="","",INDEX('01人员工时'!$D$7:$D$126,INT((ROW()-7)/4)+1))</f>
        <v/>
      </c>
      <c r="E306" s="27">
        <f>IF($D306="","",INDEX('参数设置'!$K$6:$K$9,MOD(ROW()-7,4)+1))</f>
        <v/>
      </c>
      <c r="F306" s="28">
        <f>IF($D306="","",IF($V306&lt;&gt;"",$V306,IFERROR(INDEX('参数设置'!$D$17:$G$26,MATCH($D306,'参数设置'!$C$17:$C$26,0),MATCH($E306,'参数设置'!$D$16:$G$16,0)),0)))</f>
        <v/>
      </c>
      <c r="G306" s="29">
        <f>IF($D306="","",INDEX('01人员工时'!$E$7:$E$126,INT((ROW()-7)/4)+1))</f>
        <v/>
      </c>
      <c r="H306" s="29">
        <f>IF($D306="","",INDEX('01人员工时'!$O$7:$O$126,INT((ROW()-7)/4)+1))</f>
        <v/>
      </c>
      <c r="I306" s="30">
        <f>IF(OR($D306="",$G306=0),"",$H306/$G306)</f>
        <v/>
      </c>
      <c r="J306" s="31">
        <f>IF($D306="","",ROUND($F306,2)-$S306)</f>
        <v/>
      </c>
      <c r="K306" s="31">
        <f>IF(OR($D306="",$G306=0),"",ROUND($F306*INDEX('01人员工时'!G$7:G$126,INT((ROW()-7)/4)+1)/$G306,2))</f>
        <v/>
      </c>
      <c r="L306" s="31">
        <f>IF(OR($D306="",$G306=0),"",ROUND($F306*INDEX('01人员工时'!H$7:H$126,INT((ROW()-7)/4)+1)/$G306,2))</f>
        <v/>
      </c>
      <c r="M306" s="31">
        <f>IF(OR($D306="",$G306=0),"",ROUND($F306*INDEX('01人员工时'!I$7:I$126,INT((ROW()-7)/4)+1)/$G306,2))</f>
        <v/>
      </c>
      <c r="N306" s="31">
        <f>IF(OR($D306="",$G306=0),"",ROUND($F306*INDEX('01人员工时'!J$7:J$126,INT((ROW()-7)/4)+1)/$G306,2))</f>
        <v/>
      </c>
      <c r="O306" s="31">
        <f>IF(OR($D306="",$G306=0),"",ROUND($F306*INDEX('01人员工时'!K$7:K$126,INT((ROW()-7)/4)+1)/$G306,2))</f>
        <v/>
      </c>
      <c r="P306" s="31">
        <f>IF(OR($D306="",$G306=0),"",ROUND($F306*INDEX('01人员工时'!L$7:L$126,INT((ROW()-7)/4)+1)/$G306,2))</f>
        <v/>
      </c>
      <c r="Q306" s="31">
        <f>IF(OR($D306="",$G306=0),"",ROUND($F306*INDEX('01人员工时'!M$7:M$126,INT((ROW()-7)/4)+1)/$G306,2))</f>
        <v/>
      </c>
      <c r="R306" s="31">
        <f>IF(OR($D306="",$G306=0),"",ROUND($F306*INDEX('01人员工时'!N$7:N$126,INT((ROW()-7)/4)+1)/$G306,2))</f>
        <v/>
      </c>
      <c r="S306" s="31">
        <f>IF($D306="","",SUM(K306:R306))</f>
        <v/>
      </c>
      <c r="T306" s="31">
        <f>IF($D306="","",$J306+$S306)</f>
        <v/>
      </c>
      <c r="U306" s="32">
        <f>IF($D306="","",IF($F306=0,"未维护标准",IF(ROUND($T306-$F306,2)=0,"√","差异")))</f>
        <v/>
      </c>
      <c r="V306" s="33" t="n"/>
      <c r="W306" s="34" t="n"/>
    </row>
    <row r="307" ht="18" customHeight="1">
      <c r="B307" s="21">
        <f>IF(INDEX('01人员工时'!$D$7:$D$126,INT((ROW()-7)/4)+1)&amp;""="","",INDEX('01人员工时'!$B$7:$B$126,INT((ROW()-7)/4)+1))</f>
        <v/>
      </c>
      <c r="C307" s="22">
        <f>IF($D307="","",IF(MOD(ROW()-7,4)=0,INDEX('01人员工时'!$C$7:$C$126,INT((ROW()-7)/4)+1),""))</f>
        <v/>
      </c>
      <c r="D307" s="22">
        <f>IF(INDEX('01人员工时'!$D$7:$D$126,INT((ROW()-7)/4)+1)&amp;""="","",INDEX('01人员工时'!$D$7:$D$126,INT((ROW()-7)/4)+1))</f>
        <v/>
      </c>
      <c r="E307" s="22">
        <f>IF($D307="","",INDEX('参数设置'!$K$6:$K$9,MOD(ROW()-7,4)+1))</f>
        <v/>
      </c>
      <c r="F307" s="23">
        <f>IF($D307="","",IF($V307&lt;&gt;"",$V307,IFERROR(INDEX('参数设置'!$D$17:$G$26,MATCH($D307,'参数设置'!$C$17:$C$26,0),MATCH($E307,'参数设置'!$D$16:$G$16,0)),0)))</f>
        <v/>
      </c>
      <c r="G307" s="24">
        <f>IF($D307="","",INDEX('01人员工时'!$E$7:$E$126,INT((ROW()-7)/4)+1))</f>
        <v/>
      </c>
      <c r="H307" s="24">
        <f>IF($D307="","",INDEX('01人员工时'!$O$7:$O$126,INT((ROW()-7)/4)+1))</f>
        <v/>
      </c>
      <c r="I307" s="20">
        <f>IF(OR($D307="",$G307=0),"",$H307/$G307)</f>
        <v/>
      </c>
      <c r="J307" s="12">
        <f>IF($D307="","",ROUND($F307,2)-$S307)</f>
        <v/>
      </c>
      <c r="K307" s="12">
        <f>IF(OR($D307="",$G307=0),"",ROUND($F307*INDEX('01人员工时'!G$7:G$126,INT((ROW()-7)/4)+1)/$G307,2))</f>
        <v/>
      </c>
      <c r="L307" s="12">
        <f>IF(OR($D307="",$G307=0),"",ROUND($F307*INDEX('01人员工时'!H$7:H$126,INT((ROW()-7)/4)+1)/$G307,2))</f>
        <v/>
      </c>
      <c r="M307" s="12">
        <f>IF(OR($D307="",$G307=0),"",ROUND($F307*INDEX('01人员工时'!I$7:I$126,INT((ROW()-7)/4)+1)/$G307,2))</f>
        <v/>
      </c>
      <c r="N307" s="12">
        <f>IF(OR($D307="",$G307=0),"",ROUND($F307*INDEX('01人员工时'!J$7:J$126,INT((ROW()-7)/4)+1)/$G307,2))</f>
        <v/>
      </c>
      <c r="O307" s="12">
        <f>IF(OR($D307="",$G307=0),"",ROUND($F307*INDEX('01人员工时'!K$7:K$126,INT((ROW()-7)/4)+1)/$G307,2))</f>
        <v/>
      </c>
      <c r="P307" s="12">
        <f>IF(OR($D307="",$G307=0),"",ROUND($F307*INDEX('01人员工时'!L$7:L$126,INT((ROW()-7)/4)+1)/$G307,2))</f>
        <v/>
      </c>
      <c r="Q307" s="12">
        <f>IF(OR($D307="",$G307=0),"",ROUND($F307*INDEX('01人员工时'!M$7:M$126,INT((ROW()-7)/4)+1)/$G307,2))</f>
        <v/>
      </c>
      <c r="R307" s="12">
        <f>IF(OR($D307="",$G307=0),"",ROUND($F307*INDEX('01人员工时'!N$7:N$126,INT((ROW()-7)/4)+1)/$G307,2))</f>
        <v/>
      </c>
      <c r="S307" s="12">
        <f>IF($D307="","",SUM(K307:R307))</f>
        <v/>
      </c>
      <c r="T307" s="12">
        <f>IF($D307="","",$J307+$S307)</f>
        <v/>
      </c>
      <c r="U307" s="25">
        <f>IF($D307="","",IF($F307=0,"未维护标准",IF(ROUND($T307-$F307,2)=0,"√","差异")))</f>
        <v/>
      </c>
      <c r="V307" s="11" t="n"/>
      <c r="W307" s="9" t="n"/>
    </row>
    <row r="308" ht="18" customHeight="1">
      <c r="B308" s="21">
        <f>IF(INDEX('01人员工时'!$D$7:$D$126,INT((ROW()-7)/4)+1)&amp;""="","",INDEX('01人员工时'!$B$7:$B$126,INT((ROW()-7)/4)+1))</f>
        <v/>
      </c>
      <c r="C308" s="22">
        <f>IF($D308="","",IF(MOD(ROW()-7,4)=0,INDEX('01人员工时'!$C$7:$C$126,INT((ROW()-7)/4)+1),""))</f>
        <v/>
      </c>
      <c r="D308" s="22">
        <f>IF(INDEX('01人员工时'!$D$7:$D$126,INT((ROW()-7)/4)+1)&amp;""="","",INDEX('01人员工时'!$D$7:$D$126,INT((ROW()-7)/4)+1))</f>
        <v/>
      </c>
      <c r="E308" s="22">
        <f>IF($D308="","",INDEX('参数设置'!$K$6:$K$9,MOD(ROW()-7,4)+1))</f>
        <v/>
      </c>
      <c r="F308" s="23">
        <f>IF($D308="","",IF($V308&lt;&gt;"",$V308,IFERROR(INDEX('参数设置'!$D$17:$G$26,MATCH($D308,'参数设置'!$C$17:$C$26,0),MATCH($E308,'参数设置'!$D$16:$G$16,0)),0)))</f>
        <v/>
      </c>
      <c r="G308" s="24">
        <f>IF($D308="","",INDEX('01人员工时'!$E$7:$E$126,INT((ROW()-7)/4)+1))</f>
        <v/>
      </c>
      <c r="H308" s="24">
        <f>IF($D308="","",INDEX('01人员工时'!$O$7:$O$126,INT((ROW()-7)/4)+1))</f>
        <v/>
      </c>
      <c r="I308" s="20">
        <f>IF(OR($D308="",$G308=0),"",$H308/$G308)</f>
        <v/>
      </c>
      <c r="J308" s="12">
        <f>IF($D308="","",ROUND($F308,2)-$S308)</f>
        <v/>
      </c>
      <c r="K308" s="12">
        <f>IF(OR($D308="",$G308=0),"",ROUND($F308*INDEX('01人员工时'!G$7:G$126,INT((ROW()-7)/4)+1)/$G308,2))</f>
        <v/>
      </c>
      <c r="L308" s="12">
        <f>IF(OR($D308="",$G308=0),"",ROUND($F308*INDEX('01人员工时'!H$7:H$126,INT((ROW()-7)/4)+1)/$G308,2))</f>
        <v/>
      </c>
      <c r="M308" s="12">
        <f>IF(OR($D308="",$G308=0),"",ROUND($F308*INDEX('01人员工时'!I$7:I$126,INT((ROW()-7)/4)+1)/$G308,2))</f>
        <v/>
      </c>
      <c r="N308" s="12">
        <f>IF(OR($D308="",$G308=0),"",ROUND($F308*INDEX('01人员工时'!J$7:J$126,INT((ROW()-7)/4)+1)/$G308,2))</f>
        <v/>
      </c>
      <c r="O308" s="12">
        <f>IF(OR($D308="",$G308=0),"",ROUND($F308*INDEX('01人员工时'!K$7:K$126,INT((ROW()-7)/4)+1)/$G308,2))</f>
        <v/>
      </c>
      <c r="P308" s="12">
        <f>IF(OR($D308="",$G308=0),"",ROUND($F308*INDEX('01人员工时'!L$7:L$126,INT((ROW()-7)/4)+1)/$G308,2))</f>
        <v/>
      </c>
      <c r="Q308" s="12">
        <f>IF(OR($D308="",$G308=0),"",ROUND($F308*INDEX('01人员工时'!M$7:M$126,INT((ROW()-7)/4)+1)/$G308,2))</f>
        <v/>
      </c>
      <c r="R308" s="12">
        <f>IF(OR($D308="",$G308=0),"",ROUND($F308*INDEX('01人员工时'!N$7:N$126,INT((ROW()-7)/4)+1)/$G308,2))</f>
        <v/>
      </c>
      <c r="S308" s="12">
        <f>IF($D308="","",SUM(K308:R308))</f>
        <v/>
      </c>
      <c r="T308" s="12">
        <f>IF($D308="","",$J308+$S308)</f>
        <v/>
      </c>
      <c r="U308" s="25">
        <f>IF($D308="","",IF($F308=0,"未维护标准",IF(ROUND($T308-$F308,2)=0,"√","差异")))</f>
        <v/>
      </c>
      <c r="V308" s="11" t="n"/>
      <c r="W308" s="9" t="n"/>
    </row>
    <row r="309" ht="18" customHeight="1">
      <c r="B309" s="21">
        <f>IF(INDEX('01人员工时'!$D$7:$D$126,INT((ROW()-7)/4)+1)&amp;""="","",INDEX('01人员工时'!$B$7:$B$126,INT((ROW()-7)/4)+1))</f>
        <v/>
      </c>
      <c r="C309" s="22">
        <f>IF($D309="","",IF(MOD(ROW()-7,4)=0,INDEX('01人员工时'!$C$7:$C$126,INT((ROW()-7)/4)+1),""))</f>
        <v/>
      </c>
      <c r="D309" s="22">
        <f>IF(INDEX('01人员工时'!$D$7:$D$126,INT((ROW()-7)/4)+1)&amp;""="","",INDEX('01人员工时'!$D$7:$D$126,INT((ROW()-7)/4)+1))</f>
        <v/>
      </c>
      <c r="E309" s="22">
        <f>IF($D309="","",INDEX('参数设置'!$K$6:$K$9,MOD(ROW()-7,4)+1))</f>
        <v/>
      </c>
      <c r="F309" s="23">
        <f>IF($D309="","",IF($V309&lt;&gt;"",$V309,IFERROR(INDEX('参数设置'!$D$17:$G$26,MATCH($D309,'参数设置'!$C$17:$C$26,0),MATCH($E309,'参数设置'!$D$16:$G$16,0)),0)))</f>
        <v/>
      </c>
      <c r="G309" s="24">
        <f>IF($D309="","",INDEX('01人员工时'!$E$7:$E$126,INT((ROW()-7)/4)+1))</f>
        <v/>
      </c>
      <c r="H309" s="24">
        <f>IF($D309="","",INDEX('01人员工时'!$O$7:$O$126,INT((ROW()-7)/4)+1))</f>
        <v/>
      </c>
      <c r="I309" s="20">
        <f>IF(OR($D309="",$G309=0),"",$H309/$G309)</f>
        <v/>
      </c>
      <c r="J309" s="12">
        <f>IF($D309="","",ROUND($F309,2)-$S309)</f>
        <v/>
      </c>
      <c r="K309" s="12">
        <f>IF(OR($D309="",$G309=0),"",ROUND($F309*INDEX('01人员工时'!G$7:G$126,INT((ROW()-7)/4)+1)/$G309,2))</f>
        <v/>
      </c>
      <c r="L309" s="12">
        <f>IF(OR($D309="",$G309=0),"",ROUND($F309*INDEX('01人员工时'!H$7:H$126,INT((ROW()-7)/4)+1)/$G309,2))</f>
        <v/>
      </c>
      <c r="M309" s="12">
        <f>IF(OR($D309="",$G309=0),"",ROUND($F309*INDEX('01人员工时'!I$7:I$126,INT((ROW()-7)/4)+1)/$G309,2))</f>
        <v/>
      </c>
      <c r="N309" s="12">
        <f>IF(OR($D309="",$G309=0),"",ROUND($F309*INDEX('01人员工时'!J$7:J$126,INT((ROW()-7)/4)+1)/$G309,2))</f>
        <v/>
      </c>
      <c r="O309" s="12">
        <f>IF(OR($D309="",$G309=0),"",ROUND($F309*INDEX('01人员工时'!K$7:K$126,INT((ROW()-7)/4)+1)/$G309,2))</f>
        <v/>
      </c>
      <c r="P309" s="12">
        <f>IF(OR($D309="",$G309=0),"",ROUND($F309*INDEX('01人员工时'!L$7:L$126,INT((ROW()-7)/4)+1)/$G309,2))</f>
        <v/>
      </c>
      <c r="Q309" s="12">
        <f>IF(OR($D309="",$G309=0),"",ROUND($F309*INDEX('01人员工时'!M$7:M$126,INT((ROW()-7)/4)+1)/$G309,2))</f>
        <v/>
      </c>
      <c r="R309" s="12">
        <f>IF(OR($D309="",$G309=0),"",ROUND($F309*INDEX('01人员工时'!N$7:N$126,INT((ROW()-7)/4)+1)/$G309,2))</f>
        <v/>
      </c>
      <c r="S309" s="12">
        <f>IF($D309="","",SUM(K309:R309))</f>
        <v/>
      </c>
      <c r="T309" s="12">
        <f>IF($D309="","",$J309+$S309)</f>
        <v/>
      </c>
      <c r="U309" s="25">
        <f>IF($D309="","",IF($F309=0,"未维护标准",IF(ROUND($T309-$F309,2)=0,"√","差异")))</f>
        <v/>
      </c>
      <c r="V309" s="11" t="n"/>
      <c r="W309" s="9" t="n"/>
    </row>
    <row r="310" ht="18" customHeight="1">
      <c r="B310" s="26">
        <f>IF(INDEX('01人员工时'!$D$7:$D$126,INT((ROW()-7)/4)+1)&amp;""="","",INDEX('01人员工时'!$B$7:$B$126,INT((ROW()-7)/4)+1))</f>
        <v/>
      </c>
      <c r="C310" s="27">
        <f>IF($D310="","",IF(MOD(ROW()-7,4)=0,INDEX('01人员工时'!$C$7:$C$126,INT((ROW()-7)/4)+1),""))</f>
        <v/>
      </c>
      <c r="D310" s="27">
        <f>IF(INDEX('01人员工时'!$D$7:$D$126,INT((ROW()-7)/4)+1)&amp;""="","",INDEX('01人员工时'!$D$7:$D$126,INT((ROW()-7)/4)+1))</f>
        <v/>
      </c>
      <c r="E310" s="27">
        <f>IF($D310="","",INDEX('参数设置'!$K$6:$K$9,MOD(ROW()-7,4)+1))</f>
        <v/>
      </c>
      <c r="F310" s="28">
        <f>IF($D310="","",IF($V310&lt;&gt;"",$V310,IFERROR(INDEX('参数设置'!$D$17:$G$26,MATCH($D310,'参数设置'!$C$17:$C$26,0),MATCH($E310,'参数设置'!$D$16:$G$16,0)),0)))</f>
        <v/>
      </c>
      <c r="G310" s="29">
        <f>IF($D310="","",INDEX('01人员工时'!$E$7:$E$126,INT((ROW()-7)/4)+1))</f>
        <v/>
      </c>
      <c r="H310" s="29">
        <f>IF($D310="","",INDEX('01人员工时'!$O$7:$O$126,INT((ROW()-7)/4)+1))</f>
        <v/>
      </c>
      <c r="I310" s="30">
        <f>IF(OR($D310="",$G310=0),"",$H310/$G310)</f>
        <v/>
      </c>
      <c r="J310" s="31">
        <f>IF($D310="","",ROUND($F310,2)-$S310)</f>
        <v/>
      </c>
      <c r="K310" s="31">
        <f>IF(OR($D310="",$G310=0),"",ROUND($F310*INDEX('01人员工时'!G$7:G$126,INT((ROW()-7)/4)+1)/$G310,2))</f>
        <v/>
      </c>
      <c r="L310" s="31">
        <f>IF(OR($D310="",$G310=0),"",ROUND($F310*INDEX('01人员工时'!H$7:H$126,INT((ROW()-7)/4)+1)/$G310,2))</f>
        <v/>
      </c>
      <c r="M310" s="31">
        <f>IF(OR($D310="",$G310=0),"",ROUND($F310*INDEX('01人员工时'!I$7:I$126,INT((ROW()-7)/4)+1)/$G310,2))</f>
        <v/>
      </c>
      <c r="N310" s="31">
        <f>IF(OR($D310="",$G310=0),"",ROUND($F310*INDEX('01人员工时'!J$7:J$126,INT((ROW()-7)/4)+1)/$G310,2))</f>
        <v/>
      </c>
      <c r="O310" s="31">
        <f>IF(OR($D310="",$G310=0),"",ROUND($F310*INDEX('01人员工时'!K$7:K$126,INT((ROW()-7)/4)+1)/$G310,2))</f>
        <v/>
      </c>
      <c r="P310" s="31">
        <f>IF(OR($D310="",$G310=0),"",ROUND($F310*INDEX('01人员工时'!L$7:L$126,INT((ROW()-7)/4)+1)/$G310,2))</f>
        <v/>
      </c>
      <c r="Q310" s="31">
        <f>IF(OR($D310="",$G310=0),"",ROUND($F310*INDEX('01人员工时'!M$7:M$126,INT((ROW()-7)/4)+1)/$G310,2))</f>
        <v/>
      </c>
      <c r="R310" s="31">
        <f>IF(OR($D310="",$G310=0),"",ROUND($F310*INDEX('01人员工时'!N$7:N$126,INT((ROW()-7)/4)+1)/$G310,2))</f>
        <v/>
      </c>
      <c r="S310" s="31">
        <f>IF($D310="","",SUM(K310:R310))</f>
        <v/>
      </c>
      <c r="T310" s="31">
        <f>IF($D310="","",$J310+$S310)</f>
        <v/>
      </c>
      <c r="U310" s="32">
        <f>IF($D310="","",IF($F310=0,"未维护标准",IF(ROUND($T310-$F310,2)=0,"√","差异")))</f>
        <v/>
      </c>
      <c r="V310" s="33" t="n"/>
      <c r="W310" s="34" t="n"/>
    </row>
    <row r="311" ht="18" customHeight="1">
      <c r="B311" s="21">
        <f>IF(INDEX('01人员工时'!$D$7:$D$126,INT((ROW()-7)/4)+1)&amp;""="","",INDEX('01人员工时'!$B$7:$B$126,INT((ROW()-7)/4)+1))</f>
        <v/>
      </c>
      <c r="C311" s="22">
        <f>IF($D311="","",IF(MOD(ROW()-7,4)=0,INDEX('01人员工时'!$C$7:$C$126,INT((ROW()-7)/4)+1),""))</f>
        <v/>
      </c>
      <c r="D311" s="22">
        <f>IF(INDEX('01人员工时'!$D$7:$D$126,INT((ROW()-7)/4)+1)&amp;""="","",INDEX('01人员工时'!$D$7:$D$126,INT((ROW()-7)/4)+1))</f>
        <v/>
      </c>
      <c r="E311" s="22">
        <f>IF($D311="","",INDEX('参数设置'!$K$6:$K$9,MOD(ROW()-7,4)+1))</f>
        <v/>
      </c>
      <c r="F311" s="23">
        <f>IF($D311="","",IF($V311&lt;&gt;"",$V311,IFERROR(INDEX('参数设置'!$D$17:$G$26,MATCH($D311,'参数设置'!$C$17:$C$26,0),MATCH($E311,'参数设置'!$D$16:$G$16,0)),0)))</f>
        <v/>
      </c>
      <c r="G311" s="24">
        <f>IF($D311="","",INDEX('01人员工时'!$E$7:$E$126,INT((ROW()-7)/4)+1))</f>
        <v/>
      </c>
      <c r="H311" s="24">
        <f>IF($D311="","",INDEX('01人员工时'!$O$7:$O$126,INT((ROW()-7)/4)+1))</f>
        <v/>
      </c>
      <c r="I311" s="20">
        <f>IF(OR($D311="",$G311=0),"",$H311/$G311)</f>
        <v/>
      </c>
      <c r="J311" s="12">
        <f>IF($D311="","",ROUND($F311,2)-$S311)</f>
        <v/>
      </c>
      <c r="K311" s="12">
        <f>IF(OR($D311="",$G311=0),"",ROUND($F311*INDEX('01人员工时'!G$7:G$126,INT((ROW()-7)/4)+1)/$G311,2))</f>
        <v/>
      </c>
      <c r="L311" s="12">
        <f>IF(OR($D311="",$G311=0),"",ROUND($F311*INDEX('01人员工时'!H$7:H$126,INT((ROW()-7)/4)+1)/$G311,2))</f>
        <v/>
      </c>
      <c r="M311" s="12">
        <f>IF(OR($D311="",$G311=0),"",ROUND($F311*INDEX('01人员工时'!I$7:I$126,INT((ROW()-7)/4)+1)/$G311,2))</f>
        <v/>
      </c>
      <c r="N311" s="12">
        <f>IF(OR($D311="",$G311=0),"",ROUND($F311*INDEX('01人员工时'!J$7:J$126,INT((ROW()-7)/4)+1)/$G311,2))</f>
        <v/>
      </c>
      <c r="O311" s="12">
        <f>IF(OR($D311="",$G311=0),"",ROUND($F311*INDEX('01人员工时'!K$7:K$126,INT((ROW()-7)/4)+1)/$G311,2))</f>
        <v/>
      </c>
      <c r="P311" s="12">
        <f>IF(OR($D311="",$G311=0),"",ROUND($F311*INDEX('01人员工时'!L$7:L$126,INT((ROW()-7)/4)+1)/$G311,2))</f>
        <v/>
      </c>
      <c r="Q311" s="12">
        <f>IF(OR($D311="",$G311=0),"",ROUND($F311*INDEX('01人员工时'!M$7:M$126,INT((ROW()-7)/4)+1)/$G311,2))</f>
        <v/>
      </c>
      <c r="R311" s="12">
        <f>IF(OR($D311="",$G311=0),"",ROUND($F311*INDEX('01人员工时'!N$7:N$126,INT((ROW()-7)/4)+1)/$G311,2))</f>
        <v/>
      </c>
      <c r="S311" s="12">
        <f>IF($D311="","",SUM(K311:R311))</f>
        <v/>
      </c>
      <c r="T311" s="12">
        <f>IF($D311="","",$J311+$S311)</f>
        <v/>
      </c>
      <c r="U311" s="25">
        <f>IF($D311="","",IF($F311=0,"未维护标准",IF(ROUND($T311-$F311,2)=0,"√","差异")))</f>
        <v/>
      </c>
      <c r="V311" s="11" t="n"/>
      <c r="W311" s="9" t="n"/>
    </row>
    <row r="312" ht="18" customHeight="1">
      <c r="B312" s="21">
        <f>IF(INDEX('01人员工时'!$D$7:$D$126,INT((ROW()-7)/4)+1)&amp;""="","",INDEX('01人员工时'!$B$7:$B$126,INT((ROW()-7)/4)+1))</f>
        <v/>
      </c>
      <c r="C312" s="22">
        <f>IF($D312="","",IF(MOD(ROW()-7,4)=0,INDEX('01人员工时'!$C$7:$C$126,INT((ROW()-7)/4)+1),""))</f>
        <v/>
      </c>
      <c r="D312" s="22">
        <f>IF(INDEX('01人员工时'!$D$7:$D$126,INT((ROW()-7)/4)+1)&amp;""="","",INDEX('01人员工时'!$D$7:$D$126,INT((ROW()-7)/4)+1))</f>
        <v/>
      </c>
      <c r="E312" s="22">
        <f>IF($D312="","",INDEX('参数设置'!$K$6:$K$9,MOD(ROW()-7,4)+1))</f>
        <v/>
      </c>
      <c r="F312" s="23">
        <f>IF($D312="","",IF($V312&lt;&gt;"",$V312,IFERROR(INDEX('参数设置'!$D$17:$G$26,MATCH($D312,'参数设置'!$C$17:$C$26,0),MATCH($E312,'参数设置'!$D$16:$G$16,0)),0)))</f>
        <v/>
      </c>
      <c r="G312" s="24">
        <f>IF($D312="","",INDEX('01人员工时'!$E$7:$E$126,INT((ROW()-7)/4)+1))</f>
        <v/>
      </c>
      <c r="H312" s="24">
        <f>IF($D312="","",INDEX('01人员工时'!$O$7:$O$126,INT((ROW()-7)/4)+1))</f>
        <v/>
      </c>
      <c r="I312" s="20">
        <f>IF(OR($D312="",$G312=0),"",$H312/$G312)</f>
        <v/>
      </c>
      <c r="J312" s="12">
        <f>IF($D312="","",ROUND($F312,2)-$S312)</f>
        <v/>
      </c>
      <c r="K312" s="12">
        <f>IF(OR($D312="",$G312=0),"",ROUND($F312*INDEX('01人员工时'!G$7:G$126,INT((ROW()-7)/4)+1)/$G312,2))</f>
        <v/>
      </c>
      <c r="L312" s="12">
        <f>IF(OR($D312="",$G312=0),"",ROUND($F312*INDEX('01人员工时'!H$7:H$126,INT((ROW()-7)/4)+1)/$G312,2))</f>
        <v/>
      </c>
      <c r="M312" s="12">
        <f>IF(OR($D312="",$G312=0),"",ROUND($F312*INDEX('01人员工时'!I$7:I$126,INT((ROW()-7)/4)+1)/$G312,2))</f>
        <v/>
      </c>
      <c r="N312" s="12">
        <f>IF(OR($D312="",$G312=0),"",ROUND($F312*INDEX('01人员工时'!J$7:J$126,INT((ROW()-7)/4)+1)/$G312,2))</f>
        <v/>
      </c>
      <c r="O312" s="12">
        <f>IF(OR($D312="",$G312=0),"",ROUND($F312*INDEX('01人员工时'!K$7:K$126,INT((ROW()-7)/4)+1)/$G312,2))</f>
        <v/>
      </c>
      <c r="P312" s="12">
        <f>IF(OR($D312="",$G312=0),"",ROUND($F312*INDEX('01人员工时'!L$7:L$126,INT((ROW()-7)/4)+1)/$G312,2))</f>
        <v/>
      </c>
      <c r="Q312" s="12">
        <f>IF(OR($D312="",$G312=0),"",ROUND($F312*INDEX('01人员工时'!M$7:M$126,INT((ROW()-7)/4)+1)/$G312,2))</f>
        <v/>
      </c>
      <c r="R312" s="12">
        <f>IF(OR($D312="",$G312=0),"",ROUND($F312*INDEX('01人员工时'!N$7:N$126,INT((ROW()-7)/4)+1)/$G312,2))</f>
        <v/>
      </c>
      <c r="S312" s="12">
        <f>IF($D312="","",SUM(K312:R312))</f>
        <v/>
      </c>
      <c r="T312" s="12">
        <f>IF($D312="","",$J312+$S312)</f>
        <v/>
      </c>
      <c r="U312" s="25">
        <f>IF($D312="","",IF($F312=0,"未维护标准",IF(ROUND($T312-$F312,2)=0,"√","差异")))</f>
        <v/>
      </c>
      <c r="V312" s="11" t="n"/>
      <c r="W312" s="9" t="n"/>
    </row>
    <row r="313" ht="18" customHeight="1">
      <c r="B313" s="21">
        <f>IF(INDEX('01人员工时'!$D$7:$D$126,INT((ROW()-7)/4)+1)&amp;""="","",INDEX('01人员工时'!$B$7:$B$126,INT((ROW()-7)/4)+1))</f>
        <v/>
      </c>
      <c r="C313" s="22">
        <f>IF($D313="","",IF(MOD(ROW()-7,4)=0,INDEX('01人员工时'!$C$7:$C$126,INT((ROW()-7)/4)+1),""))</f>
        <v/>
      </c>
      <c r="D313" s="22">
        <f>IF(INDEX('01人员工时'!$D$7:$D$126,INT((ROW()-7)/4)+1)&amp;""="","",INDEX('01人员工时'!$D$7:$D$126,INT((ROW()-7)/4)+1))</f>
        <v/>
      </c>
      <c r="E313" s="22">
        <f>IF($D313="","",INDEX('参数设置'!$K$6:$K$9,MOD(ROW()-7,4)+1))</f>
        <v/>
      </c>
      <c r="F313" s="23">
        <f>IF($D313="","",IF($V313&lt;&gt;"",$V313,IFERROR(INDEX('参数设置'!$D$17:$G$26,MATCH($D313,'参数设置'!$C$17:$C$26,0),MATCH($E313,'参数设置'!$D$16:$G$16,0)),0)))</f>
        <v/>
      </c>
      <c r="G313" s="24">
        <f>IF($D313="","",INDEX('01人员工时'!$E$7:$E$126,INT((ROW()-7)/4)+1))</f>
        <v/>
      </c>
      <c r="H313" s="24">
        <f>IF($D313="","",INDEX('01人员工时'!$O$7:$O$126,INT((ROW()-7)/4)+1))</f>
        <v/>
      </c>
      <c r="I313" s="20">
        <f>IF(OR($D313="",$G313=0),"",$H313/$G313)</f>
        <v/>
      </c>
      <c r="J313" s="12">
        <f>IF($D313="","",ROUND($F313,2)-$S313)</f>
        <v/>
      </c>
      <c r="K313" s="12">
        <f>IF(OR($D313="",$G313=0),"",ROUND($F313*INDEX('01人员工时'!G$7:G$126,INT((ROW()-7)/4)+1)/$G313,2))</f>
        <v/>
      </c>
      <c r="L313" s="12">
        <f>IF(OR($D313="",$G313=0),"",ROUND($F313*INDEX('01人员工时'!H$7:H$126,INT((ROW()-7)/4)+1)/$G313,2))</f>
        <v/>
      </c>
      <c r="M313" s="12">
        <f>IF(OR($D313="",$G313=0),"",ROUND($F313*INDEX('01人员工时'!I$7:I$126,INT((ROW()-7)/4)+1)/$G313,2))</f>
        <v/>
      </c>
      <c r="N313" s="12">
        <f>IF(OR($D313="",$G313=0),"",ROUND($F313*INDEX('01人员工时'!J$7:J$126,INT((ROW()-7)/4)+1)/$G313,2))</f>
        <v/>
      </c>
      <c r="O313" s="12">
        <f>IF(OR($D313="",$G313=0),"",ROUND($F313*INDEX('01人员工时'!K$7:K$126,INT((ROW()-7)/4)+1)/$G313,2))</f>
        <v/>
      </c>
      <c r="P313" s="12">
        <f>IF(OR($D313="",$G313=0),"",ROUND($F313*INDEX('01人员工时'!L$7:L$126,INT((ROW()-7)/4)+1)/$G313,2))</f>
        <v/>
      </c>
      <c r="Q313" s="12">
        <f>IF(OR($D313="",$G313=0),"",ROUND($F313*INDEX('01人员工时'!M$7:M$126,INT((ROW()-7)/4)+1)/$G313,2))</f>
        <v/>
      </c>
      <c r="R313" s="12">
        <f>IF(OR($D313="",$G313=0),"",ROUND($F313*INDEX('01人员工时'!N$7:N$126,INT((ROW()-7)/4)+1)/$G313,2))</f>
        <v/>
      </c>
      <c r="S313" s="12">
        <f>IF($D313="","",SUM(K313:R313))</f>
        <v/>
      </c>
      <c r="T313" s="12">
        <f>IF($D313="","",$J313+$S313)</f>
        <v/>
      </c>
      <c r="U313" s="25">
        <f>IF($D313="","",IF($F313=0,"未维护标准",IF(ROUND($T313-$F313,2)=0,"√","差异")))</f>
        <v/>
      </c>
      <c r="V313" s="11" t="n"/>
      <c r="W313" s="9" t="n"/>
    </row>
    <row r="314" ht="18" customHeight="1">
      <c r="B314" s="26">
        <f>IF(INDEX('01人员工时'!$D$7:$D$126,INT((ROW()-7)/4)+1)&amp;""="","",INDEX('01人员工时'!$B$7:$B$126,INT((ROW()-7)/4)+1))</f>
        <v/>
      </c>
      <c r="C314" s="27">
        <f>IF($D314="","",IF(MOD(ROW()-7,4)=0,INDEX('01人员工时'!$C$7:$C$126,INT((ROW()-7)/4)+1),""))</f>
        <v/>
      </c>
      <c r="D314" s="27">
        <f>IF(INDEX('01人员工时'!$D$7:$D$126,INT((ROW()-7)/4)+1)&amp;""="","",INDEX('01人员工时'!$D$7:$D$126,INT((ROW()-7)/4)+1))</f>
        <v/>
      </c>
      <c r="E314" s="27">
        <f>IF($D314="","",INDEX('参数设置'!$K$6:$K$9,MOD(ROW()-7,4)+1))</f>
        <v/>
      </c>
      <c r="F314" s="28">
        <f>IF($D314="","",IF($V314&lt;&gt;"",$V314,IFERROR(INDEX('参数设置'!$D$17:$G$26,MATCH($D314,'参数设置'!$C$17:$C$26,0),MATCH($E314,'参数设置'!$D$16:$G$16,0)),0)))</f>
        <v/>
      </c>
      <c r="G314" s="29">
        <f>IF($D314="","",INDEX('01人员工时'!$E$7:$E$126,INT((ROW()-7)/4)+1))</f>
        <v/>
      </c>
      <c r="H314" s="29">
        <f>IF($D314="","",INDEX('01人员工时'!$O$7:$O$126,INT((ROW()-7)/4)+1))</f>
        <v/>
      </c>
      <c r="I314" s="30">
        <f>IF(OR($D314="",$G314=0),"",$H314/$G314)</f>
        <v/>
      </c>
      <c r="J314" s="31">
        <f>IF($D314="","",ROUND($F314,2)-$S314)</f>
        <v/>
      </c>
      <c r="K314" s="31">
        <f>IF(OR($D314="",$G314=0),"",ROUND($F314*INDEX('01人员工时'!G$7:G$126,INT((ROW()-7)/4)+1)/$G314,2))</f>
        <v/>
      </c>
      <c r="L314" s="31">
        <f>IF(OR($D314="",$G314=0),"",ROUND($F314*INDEX('01人员工时'!H$7:H$126,INT((ROW()-7)/4)+1)/$G314,2))</f>
        <v/>
      </c>
      <c r="M314" s="31">
        <f>IF(OR($D314="",$G314=0),"",ROUND($F314*INDEX('01人员工时'!I$7:I$126,INT((ROW()-7)/4)+1)/$G314,2))</f>
        <v/>
      </c>
      <c r="N314" s="31">
        <f>IF(OR($D314="",$G314=0),"",ROUND($F314*INDEX('01人员工时'!J$7:J$126,INT((ROW()-7)/4)+1)/$G314,2))</f>
        <v/>
      </c>
      <c r="O314" s="31">
        <f>IF(OR($D314="",$G314=0),"",ROUND($F314*INDEX('01人员工时'!K$7:K$126,INT((ROW()-7)/4)+1)/$G314,2))</f>
        <v/>
      </c>
      <c r="P314" s="31">
        <f>IF(OR($D314="",$G314=0),"",ROUND($F314*INDEX('01人员工时'!L$7:L$126,INT((ROW()-7)/4)+1)/$G314,2))</f>
        <v/>
      </c>
      <c r="Q314" s="31">
        <f>IF(OR($D314="",$G314=0),"",ROUND($F314*INDEX('01人员工时'!M$7:M$126,INT((ROW()-7)/4)+1)/$G314,2))</f>
        <v/>
      </c>
      <c r="R314" s="31">
        <f>IF(OR($D314="",$G314=0),"",ROUND($F314*INDEX('01人员工时'!N$7:N$126,INT((ROW()-7)/4)+1)/$G314,2))</f>
        <v/>
      </c>
      <c r="S314" s="31">
        <f>IF($D314="","",SUM(K314:R314))</f>
        <v/>
      </c>
      <c r="T314" s="31">
        <f>IF($D314="","",$J314+$S314)</f>
        <v/>
      </c>
      <c r="U314" s="32">
        <f>IF($D314="","",IF($F314=0,"未维护标准",IF(ROUND($T314-$F314,2)=0,"√","差异")))</f>
        <v/>
      </c>
      <c r="V314" s="33" t="n"/>
      <c r="W314" s="34" t="n"/>
    </row>
    <row r="315" ht="18" customHeight="1">
      <c r="B315" s="21">
        <f>IF(INDEX('01人员工时'!$D$7:$D$126,INT((ROW()-7)/4)+1)&amp;""="","",INDEX('01人员工时'!$B$7:$B$126,INT((ROW()-7)/4)+1))</f>
        <v/>
      </c>
      <c r="C315" s="22">
        <f>IF($D315="","",IF(MOD(ROW()-7,4)=0,INDEX('01人员工时'!$C$7:$C$126,INT((ROW()-7)/4)+1),""))</f>
        <v/>
      </c>
      <c r="D315" s="22">
        <f>IF(INDEX('01人员工时'!$D$7:$D$126,INT((ROW()-7)/4)+1)&amp;""="","",INDEX('01人员工时'!$D$7:$D$126,INT((ROW()-7)/4)+1))</f>
        <v/>
      </c>
      <c r="E315" s="22">
        <f>IF($D315="","",INDEX('参数设置'!$K$6:$K$9,MOD(ROW()-7,4)+1))</f>
        <v/>
      </c>
      <c r="F315" s="23">
        <f>IF($D315="","",IF($V315&lt;&gt;"",$V315,IFERROR(INDEX('参数设置'!$D$17:$G$26,MATCH($D315,'参数设置'!$C$17:$C$26,0),MATCH($E315,'参数设置'!$D$16:$G$16,0)),0)))</f>
        <v/>
      </c>
      <c r="G315" s="24">
        <f>IF($D315="","",INDEX('01人员工时'!$E$7:$E$126,INT((ROW()-7)/4)+1))</f>
        <v/>
      </c>
      <c r="H315" s="24">
        <f>IF($D315="","",INDEX('01人员工时'!$O$7:$O$126,INT((ROW()-7)/4)+1))</f>
        <v/>
      </c>
      <c r="I315" s="20">
        <f>IF(OR($D315="",$G315=0),"",$H315/$G315)</f>
        <v/>
      </c>
      <c r="J315" s="12">
        <f>IF($D315="","",ROUND($F315,2)-$S315)</f>
        <v/>
      </c>
      <c r="K315" s="12">
        <f>IF(OR($D315="",$G315=0),"",ROUND($F315*INDEX('01人员工时'!G$7:G$126,INT((ROW()-7)/4)+1)/$G315,2))</f>
        <v/>
      </c>
      <c r="L315" s="12">
        <f>IF(OR($D315="",$G315=0),"",ROUND($F315*INDEX('01人员工时'!H$7:H$126,INT((ROW()-7)/4)+1)/$G315,2))</f>
        <v/>
      </c>
      <c r="M315" s="12">
        <f>IF(OR($D315="",$G315=0),"",ROUND($F315*INDEX('01人员工时'!I$7:I$126,INT((ROW()-7)/4)+1)/$G315,2))</f>
        <v/>
      </c>
      <c r="N315" s="12">
        <f>IF(OR($D315="",$G315=0),"",ROUND($F315*INDEX('01人员工时'!J$7:J$126,INT((ROW()-7)/4)+1)/$G315,2))</f>
        <v/>
      </c>
      <c r="O315" s="12">
        <f>IF(OR($D315="",$G315=0),"",ROUND($F315*INDEX('01人员工时'!K$7:K$126,INT((ROW()-7)/4)+1)/$G315,2))</f>
        <v/>
      </c>
      <c r="P315" s="12">
        <f>IF(OR($D315="",$G315=0),"",ROUND($F315*INDEX('01人员工时'!L$7:L$126,INT((ROW()-7)/4)+1)/$G315,2))</f>
        <v/>
      </c>
      <c r="Q315" s="12">
        <f>IF(OR($D315="",$G315=0),"",ROUND($F315*INDEX('01人员工时'!M$7:M$126,INT((ROW()-7)/4)+1)/$G315,2))</f>
        <v/>
      </c>
      <c r="R315" s="12">
        <f>IF(OR($D315="",$G315=0),"",ROUND($F315*INDEX('01人员工时'!N$7:N$126,INT((ROW()-7)/4)+1)/$G315,2))</f>
        <v/>
      </c>
      <c r="S315" s="12">
        <f>IF($D315="","",SUM(K315:R315))</f>
        <v/>
      </c>
      <c r="T315" s="12">
        <f>IF($D315="","",$J315+$S315)</f>
        <v/>
      </c>
      <c r="U315" s="25">
        <f>IF($D315="","",IF($F315=0,"未维护标准",IF(ROUND($T315-$F315,2)=0,"√","差异")))</f>
        <v/>
      </c>
      <c r="V315" s="11" t="n"/>
      <c r="W315" s="9" t="n"/>
    </row>
    <row r="316" ht="18" customHeight="1">
      <c r="B316" s="21">
        <f>IF(INDEX('01人员工时'!$D$7:$D$126,INT((ROW()-7)/4)+1)&amp;""="","",INDEX('01人员工时'!$B$7:$B$126,INT((ROW()-7)/4)+1))</f>
        <v/>
      </c>
      <c r="C316" s="22">
        <f>IF($D316="","",IF(MOD(ROW()-7,4)=0,INDEX('01人员工时'!$C$7:$C$126,INT((ROW()-7)/4)+1),""))</f>
        <v/>
      </c>
      <c r="D316" s="22">
        <f>IF(INDEX('01人员工时'!$D$7:$D$126,INT((ROW()-7)/4)+1)&amp;""="","",INDEX('01人员工时'!$D$7:$D$126,INT((ROW()-7)/4)+1))</f>
        <v/>
      </c>
      <c r="E316" s="22">
        <f>IF($D316="","",INDEX('参数设置'!$K$6:$K$9,MOD(ROW()-7,4)+1))</f>
        <v/>
      </c>
      <c r="F316" s="23">
        <f>IF($D316="","",IF($V316&lt;&gt;"",$V316,IFERROR(INDEX('参数设置'!$D$17:$G$26,MATCH($D316,'参数设置'!$C$17:$C$26,0),MATCH($E316,'参数设置'!$D$16:$G$16,0)),0)))</f>
        <v/>
      </c>
      <c r="G316" s="24">
        <f>IF($D316="","",INDEX('01人员工时'!$E$7:$E$126,INT((ROW()-7)/4)+1))</f>
        <v/>
      </c>
      <c r="H316" s="24">
        <f>IF($D316="","",INDEX('01人员工时'!$O$7:$O$126,INT((ROW()-7)/4)+1))</f>
        <v/>
      </c>
      <c r="I316" s="20">
        <f>IF(OR($D316="",$G316=0),"",$H316/$G316)</f>
        <v/>
      </c>
      <c r="J316" s="12">
        <f>IF($D316="","",ROUND($F316,2)-$S316)</f>
        <v/>
      </c>
      <c r="K316" s="12">
        <f>IF(OR($D316="",$G316=0),"",ROUND($F316*INDEX('01人员工时'!G$7:G$126,INT((ROW()-7)/4)+1)/$G316,2))</f>
        <v/>
      </c>
      <c r="L316" s="12">
        <f>IF(OR($D316="",$G316=0),"",ROUND($F316*INDEX('01人员工时'!H$7:H$126,INT((ROW()-7)/4)+1)/$G316,2))</f>
        <v/>
      </c>
      <c r="M316" s="12">
        <f>IF(OR($D316="",$G316=0),"",ROUND($F316*INDEX('01人员工时'!I$7:I$126,INT((ROW()-7)/4)+1)/$G316,2))</f>
        <v/>
      </c>
      <c r="N316" s="12">
        <f>IF(OR($D316="",$G316=0),"",ROUND($F316*INDEX('01人员工时'!J$7:J$126,INT((ROW()-7)/4)+1)/$G316,2))</f>
        <v/>
      </c>
      <c r="O316" s="12">
        <f>IF(OR($D316="",$G316=0),"",ROUND($F316*INDEX('01人员工时'!K$7:K$126,INT((ROW()-7)/4)+1)/$G316,2))</f>
        <v/>
      </c>
      <c r="P316" s="12">
        <f>IF(OR($D316="",$G316=0),"",ROUND($F316*INDEX('01人员工时'!L$7:L$126,INT((ROW()-7)/4)+1)/$G316,2))</f>
        <v/>
      </c>
      <c r="Q316" s="12">
        <f>IF(OR($D316="",$G316=0),"",ROUND($F316*INDEX('01人员工时'!M$7:M$126,INT((ROW()-7)/4)+1)/$G316,2))</f>
        <v/>
      </c>
      <c r="R316" s="12">
        <f>IF(OR($D316="",$G316=0),"",ROUND($F316*INDEX('01人员工时'!N$7:N$126,INT((ROW()-7)/4)+1)/$G316,2))</f>
        <v/>
      </c>
      <c r="S316" s="12">
        <f>IF($D316="","",SUM(K316:R316))</f>
        <v/>
      </c>
      <c r="T316" s="12">
        <f>IF($D316="","",$J316+$S316)</f>
        <v/>
      </c>
      <c r="U316" s="25">
        <f>IF($D316="","",IF($F316=0,"未维护标准",IF(ROUND($T316-$F316,2)=0,"√","差异")))</f>
        <v/>
      </c>
      <c r="V316" s="11" t="n"/>
      <c r="W316" s="9" t="n"/>
    </row>
    <row r="317" ht="18" customHeight="1">
      <c r="B317" s="21">
        <f>IF(INDEX('01人员工时'!$D$7:$D$126,INT((ROW()-7)/4)+1)&amp;""="","",INDEX('01人员工时'!$B$7:$B$126,INT((ROW()-7)/4)+1))</f>
        <v/>
      </c>
      <c r="C317" s="22">
        <f>IF($D317="","",IF(MOD(ROW()-7,4)=0,INDEX('01人员工时'!$C$7:$C$126,INT((ROW()-7)/4)+1),""))</f>
        <v/>
      </c>
      <c r="D317" s="22">
        <f>IF(INDEX('01人员工时'!$D$7:$D$126,INT((ROW()-7)/4)+1)&amp;""="","",INDEX('01人员工时'!$D$7:$D$126,INT((ROW()-7)/4)+1))</f>
        <v/>
      </c>
      <c r="E317" s="22">
        <f>IF($D317="","",INDEX('参数设置'!$K$6:$K$9,MOD(ROW()-7,4)+1))</f>
        <v/>
      </c>
      <c r="F317" s="23">
        <f>IF($D317="","",IF($V317&lt;&gt;"",$V317,IFERROR(INDEX('参数设置'!$D$17:$G$26,MATCH($D317,'参数设置'!$C$17:$C$26,0),MATCH($E317,'参数设置'!$D$16:$G$16,0)),0)))</f>
        <v/>
      </c>
      <c r="G317" s="24">
        <f>IF($D317="","",INDEX('01人员工时'!$E$7:$E$126,INT((ROW()-7)/4)+1))</f>
        <v/>
      </c>
      <c r="H317" s="24">
        <f>IF($D317="","",INDEX('01人员工时'!$O$7:$O$126,INT((ROW()-7)/4)+1))</f>
        <v/>
      </c>
      <c r="I317" s="20">
        <f>IF(OR($D317="",$G317=0),"",$H317/$G317)</f>
        <v/>
      </c>
      <c r="J317" s="12">
        <f>IF($D317="","",ROUND($F317,2)-$S317)</f>
        <v/>
      </c>
      <c r="K317" s="12">
        <f>IF(OR($D317="",$G317=0),"",ROUND($F317*INDEX('01人员工时'!G$7:G$126,INT((ROW()-7)/4)+1)/$G317,2))</f>
        <v/>
      </c>
      <c r="L317" s="12">
        <f>IF(OR($D317="",$G317=0),"",ROUND($F317*INDEX('01人员工时'!H$7:H$126,INT((ROW()-7)/4)+1)/$G317,2))</f>
        <v/>
      </c>
      <c r="M317" s="12">
        <f>IF(OR($D317="",$G317=0),"",ROUND($F317*INDEX('01人员工时'!I$7:I$126,INT((ROW()-7)/4)+1)/$G317,2))</f>
        <v/>
      </c>
      <c r="N317" s="12">
        <f>IF(OR($D317="",$G317=0),"",ROUND($F317*INDEX('01人员工时'!J$7:J$126,INT((ROW()-7)/4)+1)/$G317,2))</f>
        <v/>
      </c>
      <c r="O317" s="12">
        <f>IF(OR($D317="",$G317=0),"",ROUND($F317*INDEX('01人员工时'!K$7:K$126,INT((ROW()-7)/4)+1)/$G317,2))</f>
        <v/>
      </c>
      <c r="P317" s="12">
        <f>IF(OR($D317="",$G317=0),"",ROUND($F317*INDEX('01人员工时'!L$7:L$126,INT((ROW()-7)/4)+1)/$G317,2))</f>
        <v/>
      </c>
      <c r="Q317" s="12">
        <f>IF(OR($D317="",$G317=0),"",ROUND($F317*INDEX('01人员工时'!M$7:M$126,INT((ROW()-7)/4)+1)/$G317,2))</f>
        <v/>
      </c>
      <c r="R317" s="12">
        <f>IF(OR($D317="",$G317=0),"",ROUND($F317*INDEX('01人员工时'!N$7:N$126,INT((ROW()-7)/4)+1)/$G317,2))</f>
        <v/>
      </c>
      <c r="S317" s="12">
        <f>IF($D317="","",SUM(K317:R317))</f>
        <v/>
      </c>
      <c r="T317" s="12">
        <f>IF($D317="","",$J317+$S317)</f>
        <v/>
      </c>
      <c r="U317" s="25">
        <f>IF($D317="","",IF($F317=0,"未维护标准",IF(ROUND($T317-$F317,2)=0,"√","差异")))</f>
        <v/>
      </c>
      <c r="V317" s="11" t="n"/>
      <c r="W317" s="9" t="n"/>
    </row>
    <row r="318" ht="18" customHeight="1">
      <c r="B318" s="26">
        <f>IF(INDEX('01人员工时'!$D$7:$D$126,INT((ROW()-7)/4)+1)&amp;""="","",INDEX('01人员工时'!$B$7:$B$126,INT((ROW()-7)/4)+1))</f>
        <v/>
      </c>
      <c r="C318" s="27">
        <f>IF($D318="","",IF(MOD(ROW()-7,4)=0,INDEX('01人员工时'!$C$7:$C$126,INT((ROW()-7)/4)+1),""))</f>
        <v/>
      </c>
      <c r="D318" s="27">
        <f>IF(INDEX('01人员工时'!$D$7:$D$126,INT((ROW()-7)/4)+1)&amp;""="","",INDEX('01人员工时'!$D$7:$D$126,INT((ROW()-7)/4)+1))</f>
        <v/>
      </c>
      <c r="E318" s="27">
        <f>IF($D318="","",INDEX('参数设置'!$K$6:$K$9,MOD(ROW()-7,4)+1))</f>
        <v/>
      </c>
      <c r="F318" s="28">
        <f>IF($D318="","",IF($V318&lt;&gt;"",$V318,IFERROR(INDEX('参数设置'!$D$17:$G$26,MATCH($D318,'参数设置'!$C$17:$C$26,0),MATCH($E318,'参数设置'!$D$16:$G$16,0)),0)))</f>
        <v/>
      </c>
      <c r="G318" s="29">
        <f>IF($D318="","",INDEX('01人员工时'!$E$7:$E$126,INT((ROW()-7)/4)+1))</f>
        <v/>
      </c>
      <c r="H318" s="29">
        <f>IF($D318="","",INDEX('01人员工时'!$O$7:$O$126,INT((ROW()-7)/4)+1))</f>
        <v/>
      </c>
      <c r="I318" s="30">
        <f>IF(OR($D318="",$G318=0),"",$H318/$G318)</f>
        <v/>
      </c>
      <c r="J318" s="31">
        <f>IF($D318="","",ROUND($F318,2)-$S318)</f>
        <v/>
      </c>
      <c r="K318" s="31">
        <f>IF(OR($D318="",$G318=0),"",ROUND($F318*INDEX('01人员工时'!G$7:G$126,INT((ROW()-7)/4)+1)/$G318,2))</f>
        <v/>
      </c>
      <c r="L318" s="31">
        <f>IF(OR($D318="",$G318=0),"",ROUND($F318*INDEX('01人员工时'!H$7:H$126,INT((ROW()-7)/4)+1)/$G318,2))</f>
        <v/>
      </c>
      <c r="M318" s="31">
        <f>IF(OR($D318="",$G318=0),"",ROUND($F318*INDEX('01人员工时'!I$7:I$126,INT((ROW()-7)/4)+1)/$G318,2))</f>
        <v/>
      </c>
      <c r="N318" s="31">
        <f>IF(OR($D318="",$G318=0),"",ROUND($F318*INDEX('01人员工时'!J$7:J$126,INT((ROW()-7)/4)+1)/$G318,2))</f>
        <v/>
      </c>
      <c r="O318" s="31">
        <f>IF(OR($D318="",$G318=0),"",ROUND($F318*INDEX('01人员工时'!K$7:K$126,INT((ROW()-7)/4)+1)/$G318,2))</f>
        <v/>
      </c>
      <c r="P318" s="31">
        <f>IF(OR($D318="",$G318=0),"",ROUND($F318*INDEX('01人员工时'!L$7:L$126,INT((ROW()-7)/4)+1)/$G318,2))</f>
        <v/>
      </c>
      <c r="Q318" s="31">
        <f>IF(OR($D318="",$G318=0),"",ROUND($F318*INDEX('01人员工时'!M$7:M$126,INT((ROW()-7)/4)+1)/$G318,2))</f>
        <v/>
      </c>
      <c r="R318" s="31">
        <f>IF(OR($D318="",$G318=0),"",ROUND($F318*INDEX('01人员工时'!N$7:N$126,INT((ROW()-7)/4)+1)/$G318,2))</f>
        <v/>
      </c>
      <c r="S318" s="31">
        <f>IF($D318="","",SUM(K318:R318))</f>
        <v/>
      </c>
      <c r="T318" s="31">
        <f>IF($D318="","",$J318+$S318)</f>
        <v/>
      </c>
      <c r="U318" s="32">
        <f>IF($D318="","",IF($F318=0,"未维护标准",IF(ROUND($T318-$F318,2)=0,"√","差异")))</f>
        <v/>
      </c>
      <c r="V318" s="33" t="n"/>
      <c r="W318" s="34" t="n"/>
    </row>
    <row r="319" ht="18" customHeight="1">
      <c r="B319" s="21">
        <f>IF(INDEX('01人员工时'!$D$7:$D$126,INT((ROW()-7)/4)+1)&amp;""="","",INDEX('01人员工时'!$B$7:$B$126,INT((ROW()-7)/4)+1))</f>
        <v/>
      </c>
      <c r="C319" s="22">
        <f>IF($D319="","",IF(MOD(ROW()-7,4)=0,INDEX('01人员工时'!$C$7:$C$126,INT((ROW()-7)/4)+1),""))</f>
        <v/>
      </c>
      <c r="D319" s="22">
        <f>IF(INDEX('01人员工时'!$D$7:$D$126,INT((ROW()-7)/4)+1)&amp;""="","",INDEX('01人员工时'!$D$7:$D$126,INT((ROW()-7)/4)+1))</f>
        <v/>
      </c>
      <c r="E319" s="22">
        <f>IF($D319="","",INDEX('参数设置'!$K$6:$K$9,MOD(ROW()-7,4)+1))</f>
        <v/>
      </c>
      <c r="F319" s="23">
        <f>IF($D319="","",IF($V319&lt;&gt;"",$V319,IFERROR(INDEX('参数设置'!$D$17:$G$26,MATCH($D319,'参数设置'!$C$17:$C$26,0),MATCH($E319,'参数设置'!$D$16:$G$16,0)),0)))</f>
        <v/>
      </c>
      <c r="G319" s="24">
        <f>IF($D319="","",INDEX('01人员工时'!$E$7:$E$126,INT((ROW()-7)/4)+1))</f>
        <v/>
      </c>
      <c r="H319" s="24">
        <f>IF($D319="","",INDEX('01人员工时'!$O$7:$O$126,INT((ROW()-7)/4)+1))</f>
        <v/>
      </c>
      <c r="I319" s="20">
        <f>IF(OR($D319="",$G319=0),"",$H319/$G319)</f>
        <v/>
      </c>
      <c r="J319" s="12">
        <f>IF($D319="","",ROUND($F319,2)-$S319)</f>
        <v/>
      </c>
      <c r="K319" s="12">
        <f>IF(OR($D319="",$G319=0),"",ROUND($F319*INDEX('01人员工时'!G$7:G$126,INT((ROW()-7)/4)+1)/$G319,2))</f>
        <v/>
      </c>
      <c r="L319" s="12">
        <f>IF(OR($D319="",$G319=0),"",ROUND($F319*INDEX('01人员工时'!H$7:H$126,INT((ROW()-7)/4)+1)/$G319,2))</f>
        <v/>
      </c>
      <c r="M319" s="12">
        <f>IF(OR($D319="",$G319=0),"",ROUND($F319*INDEX('01人员工时'!I$7:I$126,INT((ROW()-7)/4)+1)/$G319,2))</f>
        <v/>
      </c>
      <c r="N319" s="12">
        <f>IF(OR($D319="",$G319=0),"",ROUND($F319*INDEX('01人员工时'!J$7:J$126,INT((ROW()-7)/4)+1)/$G319,2))</f>
        <v/>
      </c>
      <c r="O319" s="12">
        <f>IF(OR($D319="",$G319=0),"",ROUND($F319*INDEX('01人员工时'!K$7:K$126,INT((ROW()-7)/4)+1)/$G319,2))</f>
        <v/>
      </c>
      <c r="P319" s="12">
        <f>IF(OR($D319="",$G319=0),"",ROUND($F319*INDEX('01人员工时'!L$7:L$126,INT((ROW()-7)/4)+1)/$G319,2))</f>
        <v/>
      </c>
      <c r="Q319" s="12">
        <f>IF(OR($D319="",$G319=0),"",ROUND($F319*INDEX('01人员工时'!M$7:M$126,INT((ROW()-7)/4)+1)/$G319,2))</f>
        <v/>
      </c>
      <c r="R319" s="12">
        <f>IF(OR($D319="",$G319=0),"",ROUND($F319*INDEX('01人员工时'!N$7:N$126,INT((ROW()-7)/4)+1)/$G319,2))</f>
        <v/>
      </c>
      <c r="S319" s="12">
        <f>IF($D319="","",SUM(K319:R319))</f>
        <v/>
      </c>
      <c r="T319" s="12">
        <f>IF($D319="","",$J319+$S319)</f>
        <v/>
      </c>
      <c r="U319" s="25">
        <f>IF($D319="","",IF($F319=0,"未维护标准",IF(ROUND($T319-$F319,2)=0,"√","差异")))</f>
        <v/>
      </c>
      <c r="V319" s="11" t="n"/>
      <c r="W319" s="9" t="n"/>
    </row>
    <row r="320" ht="18" customHeight="1">
      <c r="B320" s="21">
        <f>IF(INDEX('01人员工时'!$D$7:$D$126,INT((ROW()-7)/4)+1)&amp;""="","",INDEX('01人员工时'!$B$7:$B$126,INT((ROW()-7)/4)+1))</f>
        <v/>
      </c>
      <c r="C320" s="22">
        <f>IF($D320="","",IF(MOD(ROW()-7,4)=0,INDEX('01人员工时'!$C$7:$C$126,INT((ROW()-7)/4)+1),""))</f>
        <v/>
      </c>
      <c r="D320" s="22">
        <f>IF(INDEX('01人员工时'!$D$7:$D$126,INT((ROW()-7)/4)+1)&amp;""="","",INDEX('01人员工时'!$D$7:$D$126,INT((ROW()-7)/4)+1))</f>
        <v/>
      </c>
      <c r="E320" s="22">
        <f>IF($D320="","",INDEX('参数设置'!$K$6:$K$9,MOD(ROW()-7,4)+1))</f>
        <v/>
      </c>
      <c r="F320" s="23">
        <f>IF($D320="","",IF($V320&lt;&gt;"",$V320,IFERROR(INDEX('参数设置'!$D$17:$G$26,MATCH($D320,'参数设置'!$C$17:$C$26,0),MATCH($E320,'参数设置'!$D$16:$G$16,0)),0)))</f>
        <v/>
      </c>
      <c r="G320" s="24">
        <f>IF($D320="","",INDEX('01人员工时'!$E$7:$E$126,INT((ROW()-7)/4)+1))</f>
        <v/>
      </c>
      <c r="H320" s="24">
        <f>IF($D320="","",INDEX('01人员工时'!$O$7:$O$126,INT((ROW()-7)/4)+1))</f>
        <v/>
      </c>
      <c r="I320" s="20">
        <f>IF(OR($D320="",$G320=0),"",$H320/$G320)</f>
        <v/>
      </c>
      <c r="J320" s="12">
        <f>IF($D320="","",ROUND($F320,2)-$S320)</f>
        <v/>
      </c>
      <c r="K320" s="12">
        <f>IF(OR($D320="",$G320=0),"",ROUND($F320*INDEX('01人员工时'!G$7:G$126,INT((ROW()-7)/4)+1)/$G320,2))</f>
        <v/>
      </c>
      <c r="L320" s="12">
        <f>IF(OR($D320="",$G320=0),"",ROUND($F320*INDEX('01人员工时'!H$7:H$126,INT((ROW()-7)/4)+1)/$G320,2))</f>
        <v/>
      </c>
      <c r="M320" s="12">
        <f>IF(OR($D320="",$G320=0),"",ROUND($F320*INDEX('01人员工时'!I$7:I$126,INT((ROW()-7)/4)+1)/$G320,2))</f>
        <v/>
      </c>
      <c r="N320" s="12">
        <f>IF(OR($D320="",$G320=0),"",ROUND($F320*INDEX('01人员工时'!J$7:J$126,INT((ROW()-7)/4)+1)/$G320,2))</f>
        <v/>
      </c>
      <c r="O320" s="12">
        <f>IF(OR($D320="",$G320=0),"",ROUND($F320*INDEX('01人员工时'!K$7:K$126,INT((ROW()-7)/4)+1)/$G320,2))</f>
        <v/>
      </c>
      <c r="P320" s="12">
        <f>IF(OR($D320="",$G320=0),"",ROUND($F320*INDEX('01人员工时'!L$7:L$126,INT((ROW()-7)/4)+1)/$G320,2))</f>
        <v/>
      </c>
      <c r="Q320" s="12">
        <f>IF(OR($D320="",$G320=0),"",ROUND($F320*INDEX('01人员工时'!M$7:M$126,INT((ROW()-7)/4)+1)/$G320,2))</f>
        <v/>
      </c>
      <c r="R320" s="12">
        <f>IF(OR($D320="",$G320=0),"",ROUND($F320*INDEX('01人员工时'!N$7:N$126,INT((ROW()-7)/4)+1)/$G320,2))</f>
        <v/>
      </c>
      <c r="S320" s="12">
        <f>IF($D320="","",SUM(K320:R320))</f>
        <v/>
      </c>
      <c r="T320" s="12">
        <f>IF($D320="","",$J320+$S320)</f>
        <v/>
      </c>
      <c r="U320" s="25">
        <f>IF($D320="","",IF($F320=0,"未维护标准",IF(ROUND($T320-$F320,2)=0,"√","差异")))</f>
        <v/>
      </c>
      <c r="V320" s="11" t="n"/>
      <c r="W320" s="9" t="n"/>
    </row>
    <row r="321" ht="18" customHeight="1">
      <c r="B321" s="21">
        <f>IF(INDEX('01人员工时'!$D$7:$D$126,INT((ROW()-7)/4)+1)&amp;""="","",INDEX('01人员工时'!$B$7:$B$126,INT((ROW()-7)/4)+1))</f>
        <v/>
      </c>
      <c r="C321" s="22">
        <f>IF($D321="","",IF(MOD(ROW()-7,4)=0,INDEX('01人员工时'!$C$7:$C$126,INT((ROW()-7)/4)+1),""))</f>
        <v/>
      </c>
      <c r="D321" s="22">
        <f>IF(INDEX('01人员工时'!$D$7:$D$126,INT((ROW()-7)/4)+1)&amp;""="","",INDEX('01人员工时'!$D$7:$D$126,INT((ROW()-7)/4)+1))</f>
        <v/>
      </c>
      <c r="E321" s="22">
        <f>IF($D321="","",INDEX('参数设置'!$K$6:$K$9,MOD(ROW()-7,4)+1))</f>
        <v/>
      </c>
      <c r="F321" s="23">
        <f>IF($D321="","",IF($V321&lt;&gt;"",$V321,IFERROR(INDEX('参数设置'!$D$17:$G$26,MATCH($D321,'参数设置'!$C$17:$C$26,0),MATCH($E321,'参数设置'!$D$16:$G$16,0)),0)))</f>
        <v/>
      </c>
      <c r="G321" s="24">
        <f>IF($D321="","",INDEX('01人员工时'!$E$7:$E$126,INT((ROW()-7)/4)+1))</f>
        <v/>
      </c>
      <c r="H321" s="24">
        <f>IF($D321="","",INDEX('01人员工时'!$O$7:$O$126,INT((ROW()-7)/4)+1))</f>
        <v/>
      </c>
      <c r="I321" s="20">
        <f>IF(OR($D321="",$G321=0),"",$H321/$G321)</f>
        <v/>
      </c>
      <c r="J321" s="12">
        <f>IF($D321="","",ROUND($F321,2)-$S321)</f>
        <v/>
      </c>
      <c r="K321" s="12">
        <f>IF(OR($D321="",$G321=0),"",ROUND($F321*INDEX('01人员工时'!G$7:G$126,INT((ROW()-7)/4)+1)/$G321,2))</f>
        <v/>
      </c>
      <c r="L321" s="12">
        <f>IF(OR($D321="",$G321=0),"",ROUND($F321*INDEX('01人员工时'!H$7:H$126,INT((ROW()-7)/4)+1)/$G321,2))</f>
        <v/>
      </c>
      <c r="M321" s="12">
        <f>IF(OR($D321="",$G321=0),"",ROUND($F321*INDEX('01人员工时'!I$7:I$126,INT((ROW()-7)/4)+1)/$G321,2))</f>
        <v/>
      </c>
      <c r="N321" s="12">
        <f>IF(OR($D321="",$G321=0),"",ROUND($F321*INDEX('01人员工时'!J$7:J$126,INT((ROW()-7)/4)+1)/$G321,2))</f>
        <v/>
      </c>
      <c r="O321" s="12">
        <f>IF(OR($D321="",$G321=0),"",ROUND($F321*INDEX('01人员工时'!K$7:K$126,INT((ROW()-7)/4)+1)/$G321,2))</f>
        <v/>
      </c>
      <c r="P321" s="12">
        <f>IF(OR($D321="",$G321=0),"",ROUND($F321*INDEX('01人员工时'!L$7:L$126,INT((ROW()-7)/4)+1)/$G321,2))</f>
        <v/>
      </c>
      <c r="Q321" s="12">
        <f>IF(OR($D321="",$G321=0),"",ROUND($F321*INDEX('01人员工时'!M$7:M$126,INT((ROW()-7)/4)+1)/$G321,2))</f>
        <v/>
      </c>
      <c r="R321" s="12">
        <f>IF(OR($D321="",$G321=0),"",ROUND($F321*INDEX('01人员工时'!N$7:N$126,INT((ROW()-7)/4)+1)/$G321,2))</f>
        <v/>
      </c>
      <c r="S321" s="12">
        <f>IF($D321="","",SUM(K321:R321))</f>
        <v/>
      </c>
      <c r="T321" s="12">
        <f>IF($D321="","",$J321+$S321)</f>
        <v/>
      </c>
      <c r="U321" s="25">
        <f>IF($D321="","",IF($F321=0,"未维护标准",IF(ROUND($T321-$F321,2)=0,"√","差异")))</f>
        <v/>
      </c>
      <c r="V321" s="11" t="n"/>
      <c r="W321" s="9" t="n"/>
    </row>
    <row r="322" ht="18" customHeight="1">
      <c r="B322" s="26">
        <f>IF(INDEX('01人员工时'!$D$7:$D$126,INT((ROW()-7)/4)+1)&amp;""="","",INDEX('01人员工时'!$B$7:$B$126,INT((ROW()-7)/4)+1))</f>
        <v/>
      </c>
      <c r="C322" s="27">
        <f>IF($D322="","",IF(MOD(ROW()-7,4)=0,INDEX('01人员工时'!$C$7:$C$126,INT((ROW()-7)/4)+1),""))</f>
        <v/>
      </c>
      <c r="D322" s="27">
        <f>IF(INDEX('01人员工时'!$D$7:$D$126,INT((ROW()-7)/4)+1)&amp;""="","",INDEX('01人员工时'!$D$7:$D$126,INT((ROW()-7)/4)+1))</f>
        <v/>
      </c>
      <c r="E322" s="27">
        <f>IF($D322="","",INDEX('参数设置'!$K$6:$K$9,MOD(ROW()-7,4)+1))</f>
        <v/>
      </c>
      <c r="F322" s="28">
        <f>IF($D322="","",IF($V322&lt;&gt;"",$V322,IFERROR(INDEX('参数设置'!$D$17:$G$26,MATCH($D322,'参数设置'!$C$17:$C$26,0),MATCH($E322,'参数设置'!$D$16:$G$16,0)),0)))</f>
        <v/>
      </c>
      <c r="G322" s="29">
        <f>IF($D322="","",INDEX('01人员工时'!$E$7:$E$126,INT((ROW()-7)/4)+1))</f>
        <v/>
      </c>
      <c r="H322" s="29">
        <f>IF($D322="","",INDEX('01人员工时'!$O$7:$O$126,INT((ROW()-7)/4)+1))</f>
        <v/>
      </c>
      <c r="I322" s="30">
        <f>IF(OR($D322="",$G322=0),"",$H322/$G322)</f>
        <v/>
      </c>
      <c r="J322" s="31">
        <f>IF($D322="","",ROUND($F322,2)-$S322)</f>
        <v/>
      </c>
      <c r="K322" s="31">
        <f>IF(OR($D322="",$G322=0),"",ROUND($F322*INDEX('01人员工时'!G$7:G$126,INT((ROW()-7)/4)+1)/$G322,2))</f>
        <v/>
      </c>
      <c r="L322" s="31">
        <f>IF(OR($D322="",$G322=0),"",ROUND($F322*INDEX('01人员工时'!H$7:H$126,INT((ROW()-7)/4)+1)/$G322,2))</f>
        <v/>
      </c>
      <c r="M322" s="31">
        <f>IF(OR($D322="",$G322=0),"",ROUND($F322*INDEX('01人员工时'!I$7:I$126,INT((ROW()-7)/4)+1)/$G322,2))</f>
        <v/>
      </c>
      <c r="N322" s="31">
        <f>IF(OR($D322="",$G322=0),"",ROUND($F322*INDEX('01人员工时'!J$7:J$126,INT((ROW()-7)/4)+1)/$G322,2))</f>
        <v/>
      </c>
      <c r="O322" s="31">
        <f>IF(OR($D322="",$G322=0),"",ROUND($F322*INDEX('01人员工时'!K$7:K$126,INT((ROW()-7)/4)+1)/$G322,2))</f>
        <v/>
      </c>
      <c r="P322" s="31">
        <f>IF(OR($D322="",$G322=0),"",ROUND($F322*INDEX('01人员工时'!L$7:L$126,INT((ROW()-7)/4)+1)/$G322,2))</f>
        <v/>
      </c>
      <c r="Q322" s="31">
        <f>IF(OR($D322="",$G322=0),"",ROUND($F322*INDEX('01人员工时'!M$7:M$126,INT((ROW()-7)/4)+1)/$G322,2))</f>
        <v/>
      </c>
      <c r="R322" s="31">
        <f>IF(OR($D322="",$G322=0),"",ROUND($F322*INDEX('01人员工时'!N$7:N$126,INT((ROW()-7)/4)+1)/$G322,2))</f>
        <v/>
      </c>
      <c r="S322" s="31">
        <f>IF($D322="","",SUM(K322:R322))</f>
        <v/>
      </c>
      <c r="T322" s="31">
        <f>IF($D322="","",$J322+$S322)</f>
        <v/>
      </c>
      <c r="U322" s="32">
        <f>IF($D322="","",IF($F322=0,"未维护标准",IF(ROUND($T322-$F322,2)=0,"√","差异")))</f>
        <v/>
      </c>
      <c r="V322" s="33" t="n"/>
      <c r="W322" s="34" t="n"/>
    </row>
    <row r="323" ht="18" customHeight="1">
      <c r="B323" s="21">
        <f>IF(INDEX('01人员工时'!$D$7:$D$126,INT((ROW()-7)/4)+1)&amp;""="","",INDEX('01人员工时'!$B$7:$B$126,INT((ROW()-7)/4)+1))</f>
        <v/>
      </c>
      <c r="C323" s="22">
        <f>IF($D323="","",IF(MOD(ROW()-7,4)=0,INDEX('01人员工时'!$C$7:$C$126,INT((ROW()-7)/4)+1),""))</f>
        <v/>
      </c>
      <c r="D323" s="22">
        <f>IF(INDEX('01人员工时'!$D$7:$D$126,INT((ROW()-7)/4)+1)&amp;""="","",INDEX('01人员工时'!$D$7:$D$126,INT((ROW()-7)/4)+1))</f>
        <v/>
      </c>
      <c r="E323" s="22">
        <f>IF($D323="","",INDEX('参数设置'!$K$6:$K$9,MOD(ROW()-7,4)+1))</f>
        <v/>
      </c>
      <c r="F323" s="23">
        <f>IF($D323="","",IF($V323&lt;&gt;"",$V323,IFERROR(INDEX('参数设置'!$D$17:$G$26,MATCH($D323,'参数设置'!$C$17:$C$26,0),MATCH($E323,'参数设置'!$D$16:$G$16,0)),0)))</f>
        <v/>
      </c>
      <c r="G323" s="24">
        <f>IF($D323="","",INDEX('01人员工时'!$E$7:$E$126,INT((ROW()-7)/4)+1))</f>
        <v/>
      </c>
      <c r="H323" s="24">
        <f>IF($D323="","",INDEX('01人员工时'!$O$7:$O$126,INT((ROW()-7)/4)+1))</f>
        <v/>
      </c>
      <c r="I323" s="20">
        <f>IF(OR($D323="",$G323=0),"",$H323/$G323)</f>
        <v/>
      </c>
      <c r="J323" s="12">
        <f>IF($D323="","",ROUND($F323,2)-$S323)</f>
        <v/>
      </c>
      <c r="K323" s="12">
        <f>IF(OR($D323="",$G323=0),"",ROUND($F323*INDEX('01人员工时'!G$7:G$126,INT((ROW()-7)/4)+1)/$G323,2))</f>
        <v/>
      </c>
      <c r="L323" s="12">
        <f>IF(OR($D323="",$G323=0),"",ROUND($F323*INDEX('01人员工时'!H$7:H$126,INT((ROW()-7)/4)+1)/$G323,2))</f>
        <v/>
      </c>
      <c r="M323" s="12">
        <f>IF(OR($D323="",$G323=0),"",ROUND($F323*INDEX('01人员工时'!I$7:I$126,INT((ROW()-7)/4)+1)/$G323,2))</f>
        <v/>
      </c>
      <c r="N323" s="12">
        <f>IF(OR($D323="",$G323=0),"",ROUND($F323*INDEX('01人员工时'!J$7:J$126,INT((ROW()-7)/4)+1)/$G323,2))</f>
        <v/>
      </c>
      <c r="O323" s="12">
        <f>IF(OR($D323="",$G323=0),"",ROUND($F323*INDEX('01人员工时'!K$7:K$126,INT((ROW()-7)/4)+1)/$G323,2))</f>
        <v/>
      </c>
      <c r="P323" s="12">
        <f>IF(OR($D323="",$G323=0),"",ROUND($F323*INDEX('01人员工时'!L$7:L$126,INT((ROW()-7)/4)+1)/$G323,2))</f>
        <v/>
      </c>
      <c r="Q323" s="12">
        <f>IF(OR($D323="",$G323=0),"",ROUND($F323*INDEX('01人员工时'!M$7:M$126,INT((ROW()-7)/4)+1)/$G323,2))</f>
        <v/>
      </c>
      <c r="R323" s="12">
        <f>IF(OR($D323="",$G323=0),"",ROUND($F323*INDEX('01人员工时'!N$7:N$126,INT((ROW()-7)/4)+1)/$G323,2))</f>
        <v/>
      </c>
      <c r="S323" s="12">
        <f>IF($D323="","",SUM(K323:R323))</f>
        <v/>
      </c>
      <c r="T323" s="12">
        <f>IF($D323="","",$J323+$S323)</f>
        <v/>
      </c>
      <c r="U323" s="25">
        <f>IF($D323="","",IF($F323=0,"未维护标准",IF(ROUND($T323-$F323,2)=0,"√","差异")))</f>
        <v/>
      </c>
      <c r="V323" s="11" t="n"/>
      <c r="W323" s="9" t="n"/>
    </row>
    <row r="324" ht="18" customHeight="1">
      <c r="B324" s="21">
        <f>IF(INDEX('01人员工时'!$D$7:$D$126,INT((ROW()-7)/4)+1)&amp;""="","",INDEX('01人员工时'!$B$7:$B$126,INT((ROW()-7)/4)+1))</f>
        <v/>
      </c>
      <c r="C324" s="22">
        <f>IF($D324="","",IF(MOD(ROW()-7,4)=0,INDEX('01人员工时'!$C$7:$C$126,INT((ROW()-7)/4)+1),""))</f>
        <v/>
      </c>
      <c r="D324" s="22">
        <f>IF(INDEX('01人员工时'!$D$7:$D$126,INT((ROW()-7)/4)+1)&amp;""="","",INDEX('01人员工时'!$D$7:$D$126,INT((ROW()-7)/4)+1))</f>
        <v/>
      </c>
      <c r="E324" s="22">
        <f>IF($D324="","",INDEX('参数设置'!$K$6:$K$9,MOD(ROW()-7,4)+1))</f>
        <v/>
      </c>
      <c r="F324" s="23">
        <f>IF($D324="","",IF($V324&lt;&gt;"",$V324,IFERROR(INDEX('参数设置'!$D$17:$G$26,MATCH($D324,'参数设置'!$C$17:$C$26,0),MATCH($E324,'参数设置'!$D$16:$G$16,0)),0)))</f>
        <v/>
      </c>
      <c r="G324" s="24">
        <f>IF($D324="","",INDEX('01人员工时'!$E$7:$E$126,INT((ROW()-7)/4)+1))</f>
        <v/>
      </c>
      <c r="H324" s="24">
        <f>IF($D324="","",INDEX('01人员工时'!$O$7:$O$126,INT((ROW()-7)/4)+1))</f>
        <v/>
      </c>
      <c r="I324" s="20">
        <f>IF(OR($D324="",$G324=0),"",$H324/$G324)</f>
        <v/>
      </c>
      <c r="J324" s="12">
        <f>IF($D324="","",ROUND($F324,2)-$S324)</f>
        <v/>
      </c>
      <c r="K324" s="12">
        <f>IF(OR($D324="",$G324=0),"",ROUND($F324*INDEX('01人员工时'!G$7:G$126,INT((ROW()-7)/4)+1)/$G324,2))</f>
        <v/>
      </c>
      <c r="L324" s="12">
        <f>IF(OR($D324="",$G324=0),"",ROUND($F324*INDEX('01人员工时'!H$7:H$126,INT((ROW()-7)/4)+1)/$G324,2))</f>
        <v/>
      </c>
      <c r="M324" s="12">
        <f>IF(OR($D324="",$G324=0),"",ROUND($F324*INDEX('01人员工时'!I$7:I$126,INT((ROW()-7)/4)+1)/$G324,2))</f>
        <v/>
      </c>
      <c r="N324" s="12">
        <f>IF(OR($D324="",$G324=0),"",ROUND($F324*INDEX('01人员工时'!J$7:J$126,INT((ROW()-7)/4)+1)/$G324,2))</f>
        <v/>
      </c>
      <c r="O324" s="12">
        <f>IF(OR($D324="",$G324=0),"",ROUND($F324*INDEX('01人员工时'!K$7:K$126,INT((ROW()-7)/4)+1)/$G324,2))</f>
        <v/>
      </c>
      <c r="P324" s="12">
        <f>IF(OR($D324="",$G324=0),"",ROUND($F324*INDEX('01人员工时'!L$7:L$126,INT((ROW()-7)/4)+1)/$G324,2))</f>
        <v/>
      </c>
      <c r="Q324" s="12">
        <f>IF(OR($D324="",$G324=0),"",ROUND($F324*INDEX('01人员工时'!M$7:M$126,INT((ROW()-7)/4)+1)/$G324,2))</f>
        <v/>
      </c>
      <c r="R324" s="12">
        <f>IF(OR($D324="",$G324=0),"",ROUND($F324*INDEX('01人员工时'!N$7:N$126,INT((ROW()-7)/4)+1)/$G324,2))</f>
        <v/>
      </c>
      <c r="S324" s="12">
        <f>IF($D324="","",SUM(K324:R324))</f>
        <v/>
      </c>
      <c r="T324" s="12">
        <f>IF($D324="","",$J324+$S324)</f>
        <v/>
      </c>
      <c r="U324" s="25">
        <f>IF($D324="","",IF($F324=0,"未维护标准",IF(ROUND($T324-$F324,2)=0,"√","差异")))</f>
        <v/>
      </c>
      <c r="V324" s="11" t="n"/>
      <c r="W324" s="9" t="n"/>
    </row>
    <row r="325" ht="18" customHeight="1">
      <c r="B325" s="21">
        <f>IF(INDEX('01人员工时'!$D$7:$D$126,INT((ROW()-7)/4)+1)&amp;""="","",INDEX('01人员工时'!$B$7:$B$126,INT((ROW()-7)/4)+1))</f>
        <v/>
      </c>
      <c r="C325" s="22">
        <f>IF($D325="","",IF(MOD(ROW()-7,4)=0,INDEX('01人员工时'!$C$7:$C$126,INT((ROW()-7)/4)+1),""))</f>
        <v/>
      </c>
      <c r="D325" s="22">
        <f>IF(INDEX('01人员工时'!$D$7:$D$126,INT((ROW()-7)/4)+1)&amp;""="","",INDEX('01人员工时'!$D$7:$D$126,INT((ROW()-7)/4)+1))</f>
        <v/>
      </c>
      <c r="E325" s="22">
        <f>IF($D325="","",INDEX('参数设置'!$K$6:$K$9,MOD(ROW()-7,4)+1))</f>
        <v/>
      </c>
      <c r="F325" s="23">
        <f>IF($D325="","",IF($V325&lt;&gt;"",$V325,IFERROR(INDEX('参数设置'!$D$17:$G$26,MATCH($D325,'参数设置'!$C$17:$C$26,0),MATCH($E325,'参数设置'!$D$16:$G$16,0)),0)))</f>
        <v/>
      </c>
      <c r="G325" s="24">
        <f>IF($D325="","",INDEX('01人员工时'!$E$7:$E$126,INT((ROW()-7)/4)+1))</f>
        <v/>
      </c>
      <c r="H325" s="24">
        <f>IF($D325="","",INDEX('01人员工时'!$O$7:$O$126,INT((ROW()-7)/4)+1))</f>
        <v/>
      </c>
      <c r="I325" s="20">
        <f>IF(OR($D325="",$G325=0),"",$H325/$G325)</f>
        <v/>
      </c>
      <c r="J325" s="12">
        <f>IF($D325="","",ROUND($F325,2)-$S325)</f>
        <v/>
      </c>
      <c r="K325" s="12">
        <f>IF(OR($D325="",$G325=0),"",ROUND($F325*INDEX('01人员工时'!G$7:G$126,INT((ROW()-7)/4)+1)/$G325,2))</f>
        <v/>
      </c>
      <c r="L325" s="12">
        <f>IF(OR($D325="",$G325=0),"",ROUND($F325*INDEX('01人员工时'!H$7:H$126,INT((ROW()-7)/4)+1)/$G325,2))</f>
        <v/>
      </c>
      <c r="M325" s="12">
        <f>IF(OR($D325="",$G325=0),"",ROUND($F325*INDEX('01人员工时'!I$7:I$126,INT((ROW()-7)/4)+1)/$G325,2))</f>
        <v/>
      </c>
      <c r="N325" s="12">
        <f>IF(OR($D325="",$G325=0),"",ROUND($F325*INDEX('01人员工时'!J$7:J$126,INT((ROW()-7)/4)+1)/$G325,2))</f>
        <v/>
      </c>
      <c r="O325" s="12">
        <f>IF(OR($D325="",$G325=0),"",ROUND($F325*INDEX('01人员工时'!K$7:K$126,INT((ROW()-7)/4)+1)/$G325,2))</f>
        <v/>
      </c>
      <c r="P325" s="12">
        <f>IF(OR($D325="",$G325=0),"",ROUND($F325*INDEX('01人员工时'!L$7:L$126,INT((ROW()-7)/4)+1)/$G325,2))</f>
        <v/>
      </c>
      <c r="Q325" s="12">
        <f>IF(OR($D325="",$G325=0),"",ROUND($F325*INDEX('01人员工时'!M$7:M$126,INT((ROW()-7)/4)+1)/$G325,2))</f>
        <v/>
      </c>
      <c r="R325" s="12">
        <f>IF(OR($D325="",$G325=0),"",ROUND($F325*INDEX('01人员工时'!N$7:N$126,INT((ROW()-7)/4)+1)/$G325,2))</f>
        <v/>
      </c>
      <c r="S325" s="12">
        <f>IF($D325="","",SUM(K325:R325))</f>
        <v/>
      </c>
      <c r="T325" s="12">
        <f>IF($D325="","",$J325+$S325)</f>
        <v/>
      </c>
      <c r="U325" s="25">
        <f>IF($D325="","",IF($F325=0,"未维护标准",IF(ROUND($T325-$F325,2)=0,"√","差异")))</f>
        <v/>
      </c>
      <c r="V325" s="11" t="n"/>
      <c r="W325" s="9" t="n"/>
    </row>
    <row r="326" ht="18" customHeight="1">
      <c r="B326" s="26">
        <f>IF(INDEX('01人员工时'!$D$7:$D$126,INT((ROW()-7)/4)+1)&amp;""="","",INDEX('01人员工时'!$B$7:$B$126,INT((ROW()-7)/4)+1))</f>
        <v/>
      </c>
      <c r="C326" s="27">
        <f>IF($D326="","",IF(MOD(ROW()-7,4)=0,INDEX('01人员工时'!$C$7:$C$126,INT((ROW()-7)/4)+1),""))</f>
        <v/>
      </c>
      <c r="D326" s="27">
        <f>IF(INDEX('01人员工时'!$D$7:$D$126,INT((ROW()-7)/4)+1)&amp;""="","",INDEX('01人员工时'!$D$7:$D$126,INT((ROW()-7)/4)+1))</f>
        <v/>
      </c>
      <c r="E326" s="27">
        <f>IF($D326="","",INDEX('参数设置'!$K$6:$K$9,MOD(ROW()-7,4)+1))</f>
        <v/>
      </c>
      <c r="F326" s="28">
        <f>IF($D326="","",IF($V326&lt;&gt;"",$V326,IFERROR(INDEX('参数设置'!$D$17:$G$26,MATCH($D326,'参数设置'!$C$17:$C$26,0),MATCH($E326,'参数设置'!$D$16:$G$16,0)),0)))</f>
        <v/>
      </c>
      <c r="G326" s="29">
        <f>IF($D326="","",INDEX('01人员工时'!$E$7:$E$126,INT((ROW()-7)/4)+1))</f>
        <v/>
      </c>
      <c r="H326" s="29">
        <f>IF($D326="","",INDEX('01人员工时'!$O$7:$O$126,INT((ROW()-7)/4)+1))</f>
        <v/>
      </c>
      <c r="I326" s="30">
        <f>IF(OR($D326="",$G326=0),"",$H326/$G326)</f>
        <v/>
      </c>
      <c r="J326" s="31">
        <f>IF($D326="","",ROUND($F326,2)-$S326)</f>
        <v/>
      </c>
      <c r="K326" s="31">
        <f>IF(OR($D326="",$G326=0),"",ROUND($F326*INDEX('01人员工时'!G$7:G$126,INT((ROW()-7)/4)+1)/$G326,2))</f>
        <v/>
      </c>
      <c r="L326" s="31">
        <f>IF(OR($D326="",$G326=0),"",ROUND($F326*INDEX('01人员工时'!H$7:H$126,INT((ROW()-7)/4)+1)/$G326,2))</f>
        <v/>
      </c>
      <c r="M326" s="31">
        <f>IF(OR($D326="",$G326=0),"",ROUND($F326*INDEX('01人员工时'!I$7:I$126,INT((ROW()-7)/4)+1)/$G326,2))</f>
        <v/>
      </c>
      <c r="N326" s="31">
        <f>IF(OR($D326="",$G326=0),"",ROUND($F326*INDEX('01人员工时'!J$7:J$126,INT((ROW()-7)/4)+1)/$G326,2))</f>
        <v/>
      </c>
      <c r="O326" s="31">
        <f>IF(OR($D326="",$G326=0),"",ROUND($F326*INDEX('01人员工时'!K$7:K$126,INT((ROW()-7)/4)+1)/$G326,2))</f>
        <v/>
      </c>
      <c r="P326" s="31">
        <f>IF(OR($D326="",$G326=0),"",ROUND($F326*INDEX('01人员工时'!L$7:L$126,INT((ROW()-7)/4)+1)/$G326,2))</f>
        <v/>
      </c>
      <c r="Q326" s="31">
        <f>IF(OR($D326="",$G326=0),"",ROUND($F326*INDEX('01人员工时'!M$7:M$126,INT((ROW()-7)/4)+1)/$G326,2))</f>
        <v/>
      </c>
      <c r="R326" s="31">
        <f>IF(OR($D326="",$G326=0),"",ROUND($F326*INDEX('01人员工时'!N$7:N$126,INT((ROW()-7)/4)+1)/$G326,2))</f>
        <v/>
      </c>
      <c r="S326" s="31">
        <f>IF($D326="","",SUM(K326:R326))</f>
        <v/>
      </c>
      <c r="T326" s="31">
        <f>IF($D326="","",$J326+$S326)</f>
        <v/>
      </c>
      <c r="U326" s="32">
        <f>IF($D326="","",IF($F326=0,"未维护标准",IF(ROUND($T326-$F326,2)=0,"√","差异")))</f>
        <v/>
      </c>
      <c r="V326" s="33" t="n"/>
      <c r="W326" s="34" t="n"/>
    </row>
    <row r="327" ht="18" customHeight="1">
      <c r="B327" s="21">
        <f>IF(INDEX('01人员工时'!$D$7:$D$126,INT((ROW()-7)/4)+1)&amp;""="","",INDEX('01人员工时'!$B$7:$B$126,INT((ROW()-7)/4)+1))</f>
        <v/>
      </c>
      <c r="C327" s="22">
        <f>IF($D327="","",IF(MOD(ROW()-7,4)=0,INDEX('01人员工时'!$C$7:$C$126,INT((ROW()-7)/4)+1),""))</f>
        <v/>
      </c>
      <c r="D327" s="22">
        <f>IF(INDEX('01人员工时'!$D$7:$D$126,INT((ROW()-7)/4)+1)&amp;""="","",INDEX('01人员工时'!$D$7:$D$126,INT((ROW()-7)/4)+1))</f>
        <v/>
      </c>
      <c r="E327" s="22">
        <f>IF($D327="","",INDEX('参数设置'!$K$6:$K$9,MOD(ROW()-7,4)+1))</f>
        <v/>
      </c>
      <c r="F327" s="23">
        <f>IF($D327="","",IF($V327&lt;&gt;"",$V327,IFERROR(INDEX('参数设置'!$D$17:$G$26,MATCH($D327,'参数设置'!$C$17:$C$26,0),MATCH($E327,'参数设置'!$D$16:$G$16,0)),0)))</f>
        <v/>
      </c>
      <c r="G327" s="24">
        <f>IF($D327="","",INDEX('01人员工时'!$E$7:$E$126,INT((ROW()-7)/4)+1))</f>
        <v/>
      </c>
      <c r="H327" s="24">
        <f>IF($D327="","",INDEX('01人员工时'!$O$7:$O$126,INT((ROW()-7)/4)+1))</f>
        <v/>
      </c>
      <c r="I327" s="20">
        <f>IF(OR($D327="",$G327=0),"",$H327/$G327)</f>
        <v/>
      </c>
      <c r="J327" s="12">
        <f>IF($D327="","",ROUND($F327,2)-$S327)</f>
        <v/>
      </c>
      <c r="K327" s="12">
        <f>IF(OR($D327="",$G327=0),"",ROUND($F327*INDEX('01人员工时'!G$7:G$126,INT((ROW()-7)/4)+1)/$G327,2))</f>
        <v/>
      </c>
      <c r="L327" s="12">
        <f>IF(OR($D327="",$G327=0),"",ROUND($F327*INDEX('01人员工时'!H$7:H$126,INT((ROW()-7)/4)+1)/$G327,2))</f>
        <v/>
      </c>
      <c r="M327" s="12">
        <f>IF(OR($D327="",$G327=0),"",ROUND($F327*INDEX('01人员工时'!I$7:I$126,INT((ROW()-7)/4)+1)/$G327,2))</f>
        <v/>
      </c>
      <c r="N327" s="12">
        <f>IF(OR($D327="",$G327=0),"",ROUND($F327*INDEX('01人员工时'!J$7:J$126,INT((ROW()-7)/4)+1)/$G327,2))</f>
        <v/>
      </c>
      <c r="O327" s="12">
        <f>IF(OR($D327="",$G327=0),"",ROUND($F327*INDEX('01人员工时'!K$7:K$126,INT((ROW()-7)/4)+1)/$G327,2))</f>
        <v/>
      </c>
      <c r="P327" s="12">
        <f>IF(OR($D327="",$G327=0),"",ROUND($F327*INDEX('01人员工时'!L$7:L$126,INT((ROW()-7)/4)+1)/$G327,2))</f>
        <v/>
      </c>
      <c r="Q327" s="12">
        <f>IF(OR($D327="",$G327=0),"",ROUND($F327*INDEX('01人员工时'!M$7:M$126,INT((ROW()-7)/4)+1)/$G327,2))</f>
        <v/>
      </c>
      <c r="R327" s="12">
        <f>IF(OR($D327="",$G327=0),"",ROUND($F327*INDEX('01人员工时'!N$7:N$126,INT((ROW()-7)/4)+1)/$G327,2))</f>
        <v/>
      </c>
      <c r="S327" s="12">
        <f>IF($D327="","",SUM(K327:R327))</f>
        <v/>
      </c>
      <c r="T327" s="12">
        <f>IF($D327="","",$J327+$S327)</f>
        <v/>
      </c>
      <c r="U327" s="25">
        <f>IF($D327="","",IF($F327=0,"未维护标准",IF(ROUND($T327-$F327,2)=0,"√","差异")))</f>
        <v/>
      </c>
      <c r="V327" s="11" t="n"/>
      <c r="W327" s="9" t="n"/>
    </row>
    <row r="328" ht="18" customHeight="1">
      <c r="B328" s="21">
        <f>IF(INDEX('01人员工时'!$D$7:$D$126,INT((ROW()-7)/4)+1)&amp;""="","",INDEX('01人员工时'!$B$7:$B$126,INT((ROW()-7)/4)+1))</f>
        <v/>
      </c>
      <c r="C328" s="22">
        <f>IF($D328="","",IF(MOD(ROW()-7,4)=0,INDEX('01人员工时'!$C$7:$C$126,INT((ROW()-7)/4)+1),""))</f>
        <v/>
      </c>
      <c r="D328" s="22">
        <f>IF(INDEX('01人员工时'!$D$7:$D$126,INT((ROW()-7)/4)+1)&amp;""="","",INDEX('01人员工时'!$D$7:$D$126,INT((ROW()-7)/4)+1))</f>
        <v/>
      </c>
      <c r="E328" s="22">
        <f>IF($D328="","",INDEX('参数设置'!$K$6:$K$9,MOD(ROW()-7,4)+1))</f>
        <v/>
      </c>
      <c r="F328" s="23">
        <f>IF($D328="","",IF($V328&lt;&gt;"",$V328,IFERROR(INDEX('参数设置'!$D$17:$G$26,MATCH($D328,'参数设置'!$C$17:$C$26,0),MATCH($E328,'参数设置'!$D$16:$G$16,0)),0)))</f>
        <v/>
      </c>
      <c r="G328" s="24">
        <f>IF($D328="","",INDEX('01人员工时'!$E$7:$E$126,INT((ROW()-7)/4)+1))</f>
        <v/>
      </c>
      <c r="H328" s="24">
        <f>IF($D328="","",INDEX('01人员工时'!$O$7:$O$126,INT((ROW()-7)/4)+1))</f>
        <v/>
      </c>
      <c r="I328" s="20">
        <f>IF(OR($D328="",$G328=0),"",$H328/$G328)</f>
        <v/>
      </c>
      <c r="J328" s="12">
        <f>IF($D328="","",ROUND($F328,2)-$S328)</f>
        <v/>
      </c>
      <c r="K328" s="12">
        <f>IF(OR($D328="",$G328=0),"",ROUND($F328*INDEX('01人员工时'!G$7:G$126,INT((ROW()-7)/4)+1)/$G328,2))</f>
        <v/>
      </c>
      <c r="L328" s="12">
        <f>IF(OR($D328="",$G328=0),"",ROUND($F328*INDEX('01人员工时'!H$7:H$126,INT((ROW()-7)/4)+1)/$G328,2))</f>
        <v/>
      </c>
      <c r="M328" s="12">
        <f>IF(OR($D328="",$G328=0),"",ROUND($F328*INDEX('01人员工时'!I$7:I$126,INT((ROW()-7)/4)+1)/$G328,2))</f>
        <v/>
      </c>
      <c r="N328" s="12">
        <f>IF(OR($D328="",$G328=0),"",ROUND($F328*INDEX('01人员工时'!J$7:J$126,INT((ROW()-7)/4)+1)/$G328,2))</f>
        <v/>
      </c>
      <c r="O328" s="12">
        <f>IF(OR($D328="",$G328=0),"",ROUND($F328*INDEX('01人员工时'!K$7:K$126,INT((ROW()-7)/4)+1)/$G328,2))</f>
        <v/>
      </c>
      <c r="P328" s="12">
        <f>IF(OR($D328="",$G328=0),"",ROUND($F328*INDEX('01人员工时'!L$7:L$126,INT((ROW()-7)/4)+1)/$G328,2))</f>
        <v/>
      </c>
      <c r="Q328" s="12">
        <f>IF(OR($D328="",$G328=0),"",ROUND($F328*INDEX('01人员工时'!M$7:M$126,INT((ROW()-7)/4)+1)/$G328,2))</f>
        <v/>
      </c>
      <c r="R328" s="12">
        <f>IF(OR($D328="",$G328=0),"",ROUND($F328*INDEX('01人员工时'!N$7:N$126,INT((ROW()-7)/4)+1)/$G328,2))</f>
        <v/>
      </c>
      <c r="S328" s="12">
        <f>IF($D328="","",SUM(K328:R328))</f>
        <v/>
      </c>
      <c r="T328" s="12">
        <f>IF($D328="","",$J328+$S328)</f>
        <v/>
      </c>
      <c r="U328" s="25">
        <f>IF($D328="","",IF($F328=0,"未维护标准",IF(ROUND($T328-$F328,2)=0,"√","差异")))</f>
        <v/>
      </c>
      <c r="V328" s="11" t="n"/>
      <c r="W328" s="9" t="n"/>
    </row>
    <row r="329" ht="18" customHeight="1">
      <c r="B329" s="21">
        <f>IF(INDEX('01人员工时'!$D$7:$D$126,INT((ROW()-7)/4)+1)&amp;""="","",INDEX('01人员工时'!$B$7:$B$126,INT((ROW()-7)/4)+1))</f>
        <v/>
      </c>
      <c r="C329" s="22">
        <f>IF($D329="","",IF(MOD(ROW()-7,4)=0,INDEX('01人员工时'!$C$7:$C$126,INT((ROW()-7)/4)+1),""))</f>
        <v/>
      </c>
      <c r="D329" s="22">
        <f>IF(INDEX('01人员工时'!$D$7:$D$126,INT((ROW()-7)/4)+1)&amp;""="","",INDEX('01人员工时'!$D$7:$D$126,INT((ROW()-7)/4)+1))</f>
        <v/>
      </c>
      <c r="E329" s="22">
        <f>IF($D329="","",INDEX('参数设置'!$K$6:$K$9,MOD(ROW()-7,4)+1))</f>
        <v/>
      </c>
      <c r="F329" s="23">
        <f>IF($D329="","",IF($V329&lt;&gt;"",$V329,IFERROR(INDEX('参数设置'!$D$17:$G$26,MATCH($D329,'参数设置'!$C$17:$C$26,0),MATCH($E329,'参数设置'!$D$16:$G$16,0)),0)))</f>
        <v/>
      </c>
      <c r="G329" s="24">
        <f>IF($D329="","",INDEX('01人员工时'!$E$7:$E$126,INT((ROW()-7)/4)+1))</f>
        <v/>
      </c>
      <c r="H329" s="24">
        <f>IF($D329="","",INDEX('01人员工时'!$O$7:$O$126,INT((ROW()-7)/4)+1))</f>
        <v/>
      </c>
      <c r="I329" s="20">
        <f>IF(OR($D329="",$G329=0),"",$H329/$G329)</f>
        <v/>
      </c>
      <c r="J329" s="12">
        <f>IF($D329="","",ROUND($F329,2)-$S329)</f>
        <v/>
      </c>
      <c r="K329" s="12">
        <f>IF(OR($D329="",$G329=0),"",ROUND($F329*INDEX('01人员工时'!G$7:G$126,INT((ROW()-7)/4)+1)/$G329,2))</f>
        <v/>
      </c>
      <c r="L329" s="12">
        <f>IF(OR($D329="",$G329=0),"",ROUND($F329*INDEX('01人员工时'!H$7:H$126,INT((ROW()-7)/4)+1)/$G329,2))</f>
        <v/>
      </c>
      <c r="M329" s="12">
        <f>IF(OR($D329="",$G329=0),"",ROUND($F329*INDEX('01人员工时'!I$7:I$126,INT((ROW()-7)/4)+1)/$G329,2))</f>
        <v/>
      </c>
      <c r="N329" s="12">
        <f>IF(OR($D329="",$G329=0),"",ROUND($F329*INDEX('01人员工时'!J$7:J$126,INT((ROW()-7)/4)+1)/$G329,2))</f>
        <v/>
      </c>
      <c r="O329" s="12">
        <f>IF(OR($D329="",$G329=0),"",ROUND($F329*INDEX('01人员工时'!K$7:K$126,INT((ROW()-7)/4)+1)/$G329,2))</f>
        <v/>
      </c>
      <c r="P329" s="12">
        <f>IF(OR($D329="",$G329=0),"",ROUND($F329*INDEX('01人员工时'!L$7:L$126,INT((ROW()-7)/4)+1)/$G329,2))</f>
        <v/>
      </c>
      <c r="Q329" s="12">
        <f>IF(OR($D329="",$G329=0),"",ROUND($F329*INDEX('01人员工时'!M$7:M$126,INT((ROW()-7)/4)+1)/$G329,2))</f>
        <v/>
      </c>
      <c r="R329" s="12">
        <f>IF(OR($D329="",$G329=0),"",ROUND($F329*INDEX('01人员工时'!N$7:N$126,INT((ROW()-7)/4)+1)/$G329,2))</f>
        <v/>
      </c>
      <c r="S329" s="12">
        <f>IF($D329="","",SUM(K329:R329))</f>
        <v/>
      </c>
      <c r="T329" s="12">
        <f>IF($D329="","",$J329+$S329)</f>
        <v/>
      </c>
      <c r="U329" s="25">
        <f>IF($D329="","",IF($F329=0,"未维护标准",IF(ROUND($T329-$F329,2)=0,"√","差异")))</f>
        <v/>
      </c>
      <c r="V329" s="11" t="n"/>
      <c r="W329" s="9" t="n"/>
    </row>
    <row r="330" ht="18" customHeight="1">
      <c r="B330" s="26">
        <f>IF(INDEX('01人员工时'!$D$7:$D$126,INT((ROW()-7)/4)+1)&amp;""="","",INDEX('01人员工时'!$B$7:$B$126,INT((ROW()-7)/4)+1))</f>
        <v/>
      </c>
      <c r="C330" s="27">
        <f>IF($D330="","",IF(MOD(ROW()-7,4)=0,INDEX('01人员工时'!$C$7:$C$126,INT((ROW()-7)/4)+1),""))</f>
        <v/>
      </c>
      <c r="D330" s="27">
        <f>IF(INDEX('01人员工时'!$D$7:$D$126,INT((ROW()-7)/4)+1)&amp;""="","",INDEX('01人员工时'!$D$7:$D$126,INT((ROW()-7)/4)+1))</f>
        <v/>
      </c>
      <c r="E330" s="27">
        <f>IF($D330="","",INDEX('参数设置'!$K$6:$K$9,MOD(ROW()-7,4)+1))</f>
        <v/>
      </c>
      <c r="F330" s="28">
        <f>IF($D330="","",IF($V330&lt;&gt;"",$V330,IFERROR(INDEX('参数设置'!$D$17:$G$26,MATCH($D330,'参数设置'!$C$17:$C$26,0),MATCH($E330,'参数设置'!$D$16:$G$16,0)),0)))</f>
        <v/>
      </c>
      <c r="G330" s="29">
        <f>IF($D330="","",INDEX('01人员工时'!$E$7:$E$126,INT((ROW()-7)/4)+1))</f>
        <v/>
      </c>
      <c r="H330" s="29">
        <f>IF($D330="","",INDEX('01人员工时'!$O$7:$O$126,INT((ROW()-7)/4)+1))</f>
        <v/>
      </c>
      <c r="I330" s="30">
        <f>IF(OR($D330="",$G330=0),"",$H330/$G330)</f>
        <v/>
      </c>
      <c r="J330" s="31">
        <f>IF($D330="","",ROUND($F330,2)-$S330)</f>
        <v/>
      </c>
      <c r="K330" s="31">
        <f>IF(OR($D330="",$G330=0),"",ROUND($F330*INDEX('01人员工时'!G$7:G$126,INT((ROW()-7)/4)+1)/$G330,2))</f>
        <v/>
      </c>
      <c r="L330" s="31">
        <f>IF(OR($D330="",$G330=0),"",ROUND($F330*INDEX('01人员工时'!H$7:H$126,INT((ROW()-7)/4)+1)/$G330,2))</f>
        <v/>
      </c>
      <c r="M330" s="31">
        <f>IF(OR($D330="",$G330=0),"",ROUND($F330*INDEX('01人员工时'!I$7:I$126,INT((ROW()-7)/4)+1)/$G330,2))</f>
        <v/>
      </c>
      <c r="N330" s="31">
        <f>IF(OR($D330="",$G330=0),"",ROUND($F330*INDEX('01人员工时'!J$7:J$126,INT((ROW()-7)/4)+1)/$G330,2))</f>
        <v/>
      </c>
      <c r="O330" s="31">
        <f>IF(OR($D330="",$G330=0),"",ROUND($F330*INDEX('01人员工时'!K$7:K$126,INT((ROW()-7)/4)+1)/$G330,2))</f>
        <v/>
      </c>
      <c r="P330" s="31">
        <f>IF(OR($D330="",$G330=0),"",ROUND($F330*INDEX('01人员工时'!L$7:L$126,INT((ROW()-7)/4)+1)/$G330,2))</f>
        <v/>
      </c>
      <c r="Q330" s="31">
        <f>IF(OR($D330="",$G330=0),"",ROUND($F330*INDEX('01人员工时'!M$7:M$126,INT((ROW()-7)/4)+1)/$G330,2))</f>
        <v/>
      </c>
      <c r="R330" s="31">
        <f>IF(OR($D330="",$G330=0),"",ROUND($F330*INDEX('01人员工时'!N$7:N$126,INT((ROW()-7)/4)+1)/$G330,2))</f>
        <v/>
      </c>
      <c r="S330" s="31">
        <f>IF($D330="","",SUM(K330:R330))</f>
        <v/>
      </c>
      <c r="T330" s="31">
        <f>IF($D330="","",$J330+$S330)</f>
        <v/>
      </c>
      <c r="U330" s="32">
        <f>IF($D330="","",IF($F330=0,"未维护标准",IF(ROUND($T330-$F330,2)=0,"√","差异")))</f>
        <v/>
      </c>
      <c r="V330" s="33" t="n"/>
      <c r="W330" s="34" t="n"/>
    </row>
    <row r="331" ht="18" customHeight="1">
      <c r="B331" s="21">
        <f>IF(INDEX('01人员工时'!$D$7:$D$126,INT((ROW()-7)/4)+1)&amp;""="","",INDEX('01人员工时'!$B$7:$B$126,INT((ROW()-7)/4)+1))</f>
        <v/>
      </c>
      <c r="C331" s="22">
        <f>IF($D331="","",IF(MOD(ROW()-7,4)=0,INDEX('01人员工时'!$C$7:$C$126,INT((ROW()-7)/4)+1),""))</f>
        <v/>
      </c>
      <c r="D331" s="22">
        <f>IF(INDEX('01人员工时'!$D$7:$D$126,INT((ROW()-7)/4)+1)&amp;""="","",INDEX('01人员工时'!$D$7:$D$126,INT((ROW()-7)/4)+1))</f>
        <v/>
      </c>
      <c r="E331" s="22">
        <f>IF($D331="","",INDEX('参数设置'!$K$6:$K$9,MOD(ROW()-7,4)+1))</f>
        <v/>
      </c>
      <c r="F331" s="23">
        <f>IF($D331="","",IF($V331&lt;&gt;"",$V331,IFERROR(INDEX('参数设置'!$D$17:$G$26,MATCH($D331,'参数设置'!$C$17:$C$26,0),MATCH($E331,'参数设置'!$D$16:$G$16,0)),0)))</f>
        <v/>
      </c>
      <c r="G331" s="24">
        <f>IF($D331="","",INDEX('01人员工时'!$E$7:$E$126,INT((ROW()-7)/4)+1))</f>
        <v/>
      </c>
      <c r="H331" s="24">
        <f>IF($D331="","",INDEX('01人员工时'!$O$7:$O$126,INT((ROW()-7)/4)+1))</f>
        <v/>
      </c>
      <c r="I331" s="20">
        <f>IF(OR($D331="",$G331=0),"",$H331/$G331)</f>
        <v/>
      </c>
      <c r="J331" s="12">
        <f>IF($D331="","",ROUND($F331,2)-$S331)</f>
        <v/>
      </c>
      <c r="K331" s="12">
        <f>IF(OR($D331="",$G331=0),"",ROUND($F331*INDEX('01人员工时'!G$7:G$126,INT((ROW()-7)/4)+1)/$G331,2))</f>
        <v/>
      </c>
      <c r="L331" s="12">
        <f>IF(OR($D331="",$G331=0),"",ROUND($F331*INDEX('01人员工时'!H$7:H$126,INT((ROW()-7)/4)+1)/$G331,2))</f>
        <v/>
      </c>
      <c r="M331" s="12">
        <f>IF(OR($D331="",$G331=0),"",ROUND($F331*INDEX('01人员工时'!I$7:I$126,INT((ROW()-7)/4)+1)/$G331,2))</f>
        <v/>
      </c>
      <c r="N331" s="12">
        <f>IF(OR($D331="",$G331=0),"",ROUND($F331*INDEX('01人员工时'!J$7:J$126,INT((ROW()-7)/4)+1)/$G331,2))</f>
        <v/>
      </c>
      <c r="O331" s="12">
        <f>IF(OR($D331="",$G331=0),"",ROUND($F331*INDEX('01人员工时'!K$7:K$126,INT((ROW()-7)/4)+1)/$G331,2))</f>
        <v/>
      </c>
      <c r="P331" s="12">
        <f>IF(OR($D331="",$G331=0),"",ROUND($F331*INDEX('01人员工时'!L$7:L$126,INT((ROW()-7)/4)+1)/$G331,2))</f>
        <v/>
      </c>
      <c r="Q331" s="12">
        <f>IF(OR($D331="",$G331=0),"",ROUND($F331*INDEX('01人员工时'!M$7:M$126,INT((ROW()-7)/4)+1)/$G331,2))</f>
        <v/>
      </c>
      <c r="R331" s="12">
        <f>IF(OR($D331="",$G331=0),"",ROUND($F331*INDEX('01人员工时'!N$7:N$126,INT((ROW()-7)/4)+1)/$G331,2))</f>
        <v/>
      </c>
      <c r="S331" s="12">
        <f>IF($D331="","",SUM(K331:R331))</f>
        <v/>
      </c>
      <c r="T331" s="12">
        <f>IF($D331="","",$J331+$S331)</f>
        <v/>
      </c>
      <c r="U331" s="25">
        <f>IF($D331="","",IF($F331=0,"未维护标准",IF(ROUND($T331-$F331,2)=0,"√","差异")))</f>
        <v/>
      </c>
      <c r="V331" s="11" t="n"/>
      <c r="W331" s="9" t="n"/>
    </row>
    <row r="332" ht="18" customHeight="1">
      <c r="B332" s="21">
        <f>IF(INDEX('01人员工时'!$D$7:$D$126,INT((ROW()-7)/4)+1)&amp;""="","",INDEX('01人员工时'!$B$7:$B$126,INT((ROW()-7)/4)+1))</f>
        <v/>
      </c>
      <c r="C332" s="22">
        <f>IF($D332="","",IF(MOD(ROW()-7,4)=0,INDEX('01人员工时'!$C$7:$C$126,INT((ROW()-7)/4)+1),""))</f>
        <v/>
      </c>
      <c r="D332" s="22">
        <f>IF(INDEX('01人员工时'!$D$7:$D$126,INT((ROW()-7)/4)+1)&amp;""="","",INDEX('01人员工时'!$D$7:$D$126,INT((ROW()-7)/4)+1))</f>
        <v/>
      </c>
      <c r="E332" s="22">
        <f>IF($D332="","",INDEX('参数设置'!$K$6:$K$9,MOD(ROW()-7,4)+1))</f>
        <v/>
      </c>
      <c r="F332" s="23">
        <f>IF($D332="","",IF($V332&lt;&gt;"",$V332,IFERROR(INDEX('参数设置'!$D$17:$G$26,MATCH($D332,'参数设置'!$C$17:$C$26,0),MATCH($E332,'参数设置'!$D$16:$G$16,0)),0)))</f>
        <v/>
      </c>
      <c r="G332" s="24">
        <f>IF($D332="","",INDEX('01人员工时'!$E$7:$E$126,INT((ROW()-7)/4)+1))</f>
        <v/>
      </c>
      <c r="H332" s="24">
        <f>IF($D332="","",INDEX('01人员工时'!$O$7:$O$126,INT((ROW()-7)/4)+1))</f>
        <v/>
      </c>
      <c r="I332" s="20">
        <f>IF(OR($D332="",$G332=0),"",$H332/$G332)</f>
        <v/>
      </c>
      <c r="J332" s="12">
        <f>IF($D332="","",ROUND($F332,2)-$S332)</f>
        <v/>
      </c>
      <c r="K332" s="12">
        <f>IF(OR($D332="",$G332=0),"",ROUND($F332*INDEX('01人员工时'!G$7:G$126,INT((ROW()-7)/4)+1)/$G332,2))</f>
        <v/>
      </c>
      <c r="L332" s="12">
        <f>IF(OR($D332="",$G332=0),"",ROUND($F332*INDEX('01人员工时'!H$7:H$126,INT((ROW()-7)/4)+1)/$G332,2))</f>
        <v/>
      </c>
      <c r="M332" s="12">
        <f>IF(OR($D332="",$G332=0),"",ROUND($F332*INDEX('01人员工时'!I$7:I$126,INT((ROW()-7)/4)+1)/$G332,2))</f>
        <v/>
      </c>
      <c r="N332" s="12">
        <f>IF(OR($D332="",$G332=0),"",ROUND($F332*INDEX('01人员工时'!J$7:J$126,INT((ROW()-7)/4)+1)/$G332,2))</f>
        <v/>
      </c>
      <c r="O332" s="12">
        <f>IF(OR($D332="",$G332=0),"",ROUND($F332*INDEX('01人员工时'!K$7:K$126,INT((ROW()-7)/4)+1)/$G332,2))</f>
        <v/>
      </c>
      <c r="P332" s="12">
        <f>IF(OR($D332="",$G332=0),"",ROUND($F332*INDEX('01人员工时'!L$7:L$126,INT((ROW()-7)/4)+1)/$G332,2))</f>
        <v/>
      </c>
      <c r="Q332" s="12">
        <f>IF(OR($D332="",$G332=0),"",ROUND($F332*INDEX('01人员工时'!M$7:M$126,INT((ROW()-7)/4)+1)/$G332,2))</f>
        <v/>
      </c>
      <c r="R332" s="12">
        <f>IF(OR($D332="",$G332=0),"",ROUND($F332*INDEX('01人员工时'!N$7:N$126,INT((ROW()-7)/4)+1)/$G332,2))</f>
        <v/>
      </c>
      <c r="S332" s="12">
        <f>IF($D332="","",SUM(K332:R332))</f>
        <v/>
      </c>
      <c r="T332" s="12">
        <f>IF($D332="","",$J332+$S332)</f>
        <v/>
      </c>
      <c r="U332" s="25">
        <f>IF($D332="","",IF($F332=0,"未维护标准",IF(ROUND($T332-$F332,2)=0,"√","差异")))</f>
        <v/>
      </c>
      <c r="V332" s="11" t="n"/>
      <c r="W332" s="9" t="n"/>
    </row>
    <row r="333" ht="18" customHeight="1">
      <c r="B333" s="21">
        <f>IF(INDEX('01人员工时'!$D$7:$D$126,INT((ROW()-7)/4)+1)&amp;""="","",INDEX('01人员工时'!$B$7:$B$126,INT((ROW()-7)/4)+1))</f>
        <v/>
      </c>
      <c r="C333" s="22">
        <f>IF($D333="","",IF(MOD(ROW()-7,4)=0,INDEX('01人员工时'!$C$7:$C$126,INT((ROW()-7)/4)+1),""))</f>
        <v/>
      </c>
      <c r="D333" s="22">
        <f>IF(INDEX('01人员工时'!$D$7:$D$126,INT((ROW()-7)/4)+1)&amp;""="","",INDEX('01人员工时'!$D$7:$D$126,INT((ROW()-7)/4)+1))</f>
        <v/>
      </c>
      <c r="E333" s="22">
        <f>IF($D333="","",INDEX('参数设置'!$K$6:$K$9,MOD(ROW()-7,4)+1))</f>
        <v/>
      </c>
      <c r="F333" s="23">
        <f>IF($D333="","",IF($V333&lt;&gt;"",$V333,IFERROR(INDEX('参数设置'!$D$17:$G$26,MATCH($D333,'参数设置'!$C$17:$C$26,0),MATCH($E333,'参数设置'!$D$16:$G$16,0)),0)))</f>
        <v/>
      </c>
      <c r="G333" s="24">
        <f>IF($D333="","",INDEX('01人员工时'!$E$7:$E$126,INT((ROW()-7)/4)+1))</f>
        <v/>
      </c>
      <c r="H333" s="24">
        <f>IF($D333="","",INDEX('01人员工时'!$O$7:$O$126,INT((ROW()-7)/4)+1))</f>
        <v/>
      </c>
      <c r="I333" s="20">
        <f>IF(OR($D333="",$G333=0),"",$H333/$G333)</f>
        <v/>
      </c>
      <c r="J333" s="12">
        <f>IF($D333="","",ROUND($F333,2)-$S333)</f>
        <v/>
      </c>
      <c r="K333" s="12">
        <f>IF(OR($D333="",$G333=0),"",ROUND($F333*INDEX('01人员工时'!G$7:G$126,INT((ROW()-7)/4)+1)/$G333,2))</f>
        <v/>
      </c>
      <c r="L333" s="12">
        <f>IF(OR($D333="",$G333=0),"",ROUND($F333*INDEX('01人员工时'!H$7:H$126,INT((ROW()-7)/4)+1)/$G333,2))</f>
        <v/>
      </c>
      <c r="M333" s="12">
        <f>IF(OR($D333="",$G333=0),"",ROUND($F333*INDEX('01人员工时'!I$7:I$126,INT((ROW()-7)/4)+1)/$G333,2))</f>
        <v/>
      </c>
      <c r="N333" s="12">
        <f>IF(OR($D333="",$G333=0),"",ROUND($F333*INDEX('01人员工时'!J$7:J$126,INT((ROW()-7)/4)+1)/$G333,2))</f>
        <v/>
      </c>
      <c r="O333" s="12">
        <f>IF(OR($D333="",$G333=0),"",ROUND($F333*INDEX('01人员工时'!K$7:K$126,INT((ROW()-7)/4)+1)/$G333,2))</f>
        <v/>
      </c>
      <c r="P333" s="12">
        <f>IF(OR($D333="",$G333=0),"",ROUND($F333*INDEX('01人员工时'!L$7:L$126,INT((ROW()-7)/4)+1)/$G333,2))</f>
        <v/>
      </c>
      <c r="Q333" s="12">
        <f>IF(OR($D333="",$G333=0),"",ROUND($F333*INDEX('01人员工时'!M$7:M$126,INT((ROW()-7)/4)+1)/$G333,2))</f>
        <v/>
      </c>
      <c r="R333" s="12">
        <f>IF(OR($D333="",$G333=0),"",ROUND($F333*INDEX('01人员工时'!N$7:N$126,INT((ROW()-7)/4)+1)/$G333,2))</f>
        <v/>
      </c>
      <c r="S333" s="12">
        <f>IF($D333="","",SUM(K333:R333))</f>
        <v/>
      </c>
      <c r="T333" s="12">
        <f>IF($D333="","",$J333+$S333)</f>
        <v/>
      </c>
      <c r="U333" s="25">
        <f>IF($D333="","",IF($F333=0,"未维护标准",IF(ROUND($T333-$F333,2)=0,"√","差异")))</f>
        <v/>
      </c>
      <c r="V333" s="11" t="n"/>
      <c r="W333" s="9" t="n"/>
    </row>
    <row r="334" ht="18" customHeight="1">
      <c r="B334" s="26">
        <f>IF(INDEX('01人员工时'!$D$7:$D$126,INT((ROW()-7)/4)+1)&amp;""="","",INDEX('01人员工时'!$B$7:$B$126,INT((ROW()-7)/4)+1))</f>
        <v/>
      </c>
      <c r="C334" s="27">
        <f>IF($D334="","",IF(MOD(ROW()-7,4)=0,INDEX('01人员工时'!$C$7:$C$126,INT((ROW()-7)/4)+1),""))</f>
        <v/>
      </c>
      <c r="D334" s="27">
        <f>IF(INDEX('01人员工时'!$D$7:$D$126,INT((ROW()-7)/4)+1)&amp;""="","",INDEX('01人员工时'!$D$7:$D$126,INT((ROW()-7)/4)+1))</f>
        <v/>
      </c>
      <c r="E334" s="27">
        <f>IF($D334="","",INDEX('参数设置'!$K$6:$K$9,MOD(ROW()-7,4)+1))</f>
        <v/>
      </c>
      <c r="F334" s="28">
        <f>IF($D334="","",IF($V334&lt;&gt;"",$V334,IFERROR(INDEX('参数设置'!$D$17:$G$26,MATCH($D334,'参数设置'!$C$17:$C$26,0),MATCH($E334,'参数设置'!$D$16:$G$16,0)),0)))</f>
        <v/>
      </c>
      <c r="G334" s="29">
        <f>IF($D334="","",INDEX('01人员工时'!$E$7:$E$126,INT((ROW()-7)/4)+1))</f>
        <v/>
      </c>
      <c r="H334" s="29">
        <f>IF($D334="","",INDEX('01人员工时'!$O$7:$O$126,INT((ROW()-7)/4)+1))</f>
        <v/>
      </c>
      <c r="I334" s="30">
        <f>IF(OR($D334="",$G334=0),"",$H334/$G334)</f>
        <v/>
      </c>
      <c r="J334" s="31">
        <f>IF($D334="","",ROUND($F334,2)-$S334)</f>
        <v/>
      </c>
      <c r="K334" s="31">
        <f>IF(OR($D334="",$G334=0),"",ROUND($F334*INDEX('01人员工时'!G$7:G$126,INT((ROW()-7)/4)+1)/$G334,2))</f>
        <v/>
      </c>
      <c r="L334" s="31">
        <f>IF(OR($D334="",$G334=0),"",ROUND($F334*INDEX('01人员工时'!H$7:H$126,INT((ROW()-7)/4)+1)/$G334,2))</f>
        <v/>
      </c>
      <c r="M334" s="31">
        <f>IF(OR($D334="",$G334=0),"",ROUND($F334*INDEX('01人员工时'!I$7:I$126,INT((ROW()-7)/4)+1)/$G334,2))</f>
        <v/>
      </c>
      <c r="N334" s="31">
        <f>IF(OR($D334="",$G334=0),"",ROUND($F334*INDEX('01人员工时'!J$7:J$126,INT((ROW()-7)/4)+1)/$G334,2))</f>
        <v/>
      </c>
      <c r="O334" s="31">
        <f>IF(OR($D334="",$G334=0),"",ROUND($F334*INDEX('01人员工时'!K$7:K$126,INT((ROW()-7)/4)+1)/$G334,2))</f>
        <v/>
      </c>
      <c r="P334" s="31">
        <f>IF(OR($D334="",$G334=0),"",ROUND($F334*INDEX('01人员工时'!L$7:L$126,INT((ROW()-7)/4)+1)/$G334,2))</f>
        <v/>
      </c>
      <c r="Q334" s="31">
        <f>IF(OR($D334="",$G334=0),"",ROUND($F334*INDEX('01人员工时'!M$7:M$126,INT((ROW()-7)/4)+1)/$G334,2))</f>
        <v/>
      </c>
      <c r="R334" s="31">
        <f>IF(OR($D334="",$G334=0),"",ROUND($F334*INDEX('01人员工时'!N$7:N$126,INT((ROW()-7)/4)+1)/$G334,2))</f>
        <v/>
      </c>
      <c r="S334" s="31">
        <f>IF($D334="","",SUM(K334:R334))</f>
        <v/>
      </c>
      <c r="T334" s="31">
        <f>IF($D334="","",$J334+$S334)</f>
        <v/>
      </c>
      <c r="U334" s="32">
        <f>IF($D334="","",IF($F334=0,"未维护标准",IF(ROUND($T334-$F334,2)=0,"√","差异")))</f>
        <v/>
      </c>
      <c r="V334" s="33" t="n"/>
      <c r="W334" s="34" t="n"/>
    </row>
    <row r="335" ht="18" customHeight="1">
      <c r="B335" s="21">
        <f>IF(INDEX('01人员工时'!$D$7:$D$126,INT((ROW()-7)/4)+1)&amp;""="","",INDEX('01人员工时'!$B$7:$B$126,INT((ROW()-7)/4)+1))</f>
        <v/>
      </c>
      <c r="C335" s="22">
        <f>IF($D335="","",IF(MOD(ROW()-7,4)=0,INDEX('01人员工时'!$C$7:$C$126,INT((ROW()-7)/4)+1),""))</f>
        <v/>
      </c>
      <c r="D335" s="22">
        <f>IF(INDEX('01人员工时'!$D$7:$D$126,INT((ROW()-7)/4)+1)&amp;""="","",INDEX('01人员工时'!$D$7:$D$126,INT((ROW()-7)/4)+1))</f>
        <v/>
      </c>
      <c r="E335" s="22">
        <f>IF($D335="","",INDEX('参数设置'!$K$6:$K$9,MOD(ROW()-7,4)+1))</f>
        <v/>
      </c>
      <c r="F335" s="23">
        <f>IF($D335="","",IF($V335&lt;&gt;"",$V335,IFERROR(INDEX('参数设置'!$D$17:$G$26,MATCH($D335,'参数设置'!$C$17:$C$26,0),MATCH($E335,'参数设置'!$D$16:$G$16,0)),0)))</f>
        <v/>
      </c>
      <c r="G335" s="24">
        <f>IF($D335="","",INDEX('01人员工时'!$E$7:$E$126,INT((ROW()-7)/4)+1))</f>
        <v/>
      </c>
      <c r="H335" s="24">
        <f>IF($D335="","",INDEX('01人员工时'!$O$7:$O$126,INT((ROW()-7)/4)+1))</f>
        <v/>
      </c>
      <c r="I335" s="20">
        <f>IF(OR($D335="",$G335=0),"",$H335/$G335)</f>
        <v/>
      </c>
      <c r="J335" s="12">
        <f>IF($D335="","",ROUND($F335,2)-$S335)</f>
        <v/>
      </c>
      <c r="K335" s="12">
        <f>IF(OR($D335="",$G335=0),"",ROUND($F335*INDEX('01人员工时'!G$7:G$126,INT((ROW()-7)/4)+1)/$G335,2))</f>
        <v/>
      </c>
      <c r="L335" s="12">
        <f>IF(OR($D335="",$G335=0),"",ROUND($F335*INDEX('01人员工时'!H$7:H$126,INT((ROW()-7)/4)+1)/$G335,2))</f>
        <v/>
      </c>
      <c r="M335" s="12">
        <f>IF(OR($D335="",$G335=0),"",ROUND($F335*INDEX('01人员工时'!I$7:I$126,INT((ROW()-7)/4)+1)/$G335,2))</f>
        <v/>
      </c>
      <c r="N335" s="12">
        <f>IF(OR($D335="",$G335=0),"",ROUND($F335*INDEX('01人员工时'!J$7:J$126,INT((ROW()-7)/4)+1)/$G335,2))</f>
        <v/>
      </c>
      <c r="O335" s="12">
        <f>IF(OR($D335="",$G335=0),"",ROUND($F335*INDEX('01人员工时'!K$7:K$126,INT((ROW()-7)/4)+1)/$G335,2))</f>
        <v/>
      </c>
      <c r="P335" s="12">
        <f>IF(OR($D335="",$G335=0),"",ROUND($F335*INDEX('01人员工时'!L$7:L$126,INT((ROW()-7)/4)+1)/$G335,2))</f>
        <v/>
      </c>
      <c r="Q335" s="12">
        <f>IF(OR($D335="",$G335=0),"",ROUND($F335*INDEX('01人员工时'!M$7:M$126,INT((ROW()-7)/4)+1)/$G335,2))</f>
        <v/>
      </c>
      <c r="R335" s="12">
        <f>IF(OR($D335="",$G335=0),"",ROUND($F335*INDEX('01人员工时'!N$7:N$126,INT((ROW()-7)/4)+1)/$G335,2))</f>
        <v/>
      </c>
      <c r="S335" s="12">
        <f>IF($D335="","",SUM(K335:R335))</f>
        <v/>
      </c>
      <c r="T335" s="12">
        <f>IF($D335="","",$J335+$S335)</f>
        <v/>
      </c>
      <c r="U335" s="25">
        <f>IF($D335="","",IF($F335=0,"未维护标准",IF(ROUND($T335-$F335,2)=0,"√","差异")))</f>
        <v/>
      </c>
      <c r="V335" s="11" t="n"/>
      <c r="W335" s="9" t="n"/>
    </row>
    <row r="336" ht="18" customHeight="1">
      <c r="B336" s="21">
        <f>IF(INDEX('01人员工时'!$D$7:$D$126,INT((ROW()-7)/4)+1)&amp;""="","",INDEX('01人员工时'!$B$7:$B$126,INT((ROW()-7)/4)+1))</f>
        <v/>
      </c>
      <c r="C336" s="22">
        <f>IF($D336="","",IF(MOD(ROW()-7,4)=0,INDEX('01人员工时'!$C$7:$C$126,INT((ROW()-7)/4)+1),""))</f>
        <v/>
      </c>
      <c r="D336" s="22">
        <f>IF(INDEX('01人员工时'!$D$7:$D$126,INT((ROW()-7)/4)+1)&amp;""="","",INDEX('01人员工时'!$D$7:$D$126,INT((ROW()-7)/4)+1))</f>
        <v/>
      </c>
      <c r="E336" s="22">
        <f>IF($D336="","",INDEX('参数设置'!$K$6:$K$9,MOD(ROW()-7,4)+1))</f>
        <v/>
      </c>
      <c r="F336" s="23">
        <f>IF($D336="","",IF($V336&lt;&gt;"",$V336,IFERROR(INDEX('参数设置'!$D$17:$G$26,MATCH($D336,'参数设置'!$C$17:$C$26,0),MATCH($E336,'参数设置'!$D$16:$G$16,0)),0)))</f>
        <v/>
      </c>
      <c r="G336" s="24">
        <f>IF($D336="","",INDEX('01人员工时'!$E$7:$E$126,INT((ROW()-7)/4)+1))</f>
        <v/>
      </c>
      <c r="H336" s="24">
        <f>IF($D336="","",INDEX('01人员工时'!$O$7:$O$126,INT((ROW()-7)/4)+1))</f>
        <v/>
      </c>
      <c r="I336" s="20">
        <f>IF(OR($D336="",$G336=0),"",$H336/$G336)</f>
        <v/>
      </c>
      <c r="J336" s="12">
        <f>IF($D336="","",ROUND($F336,2)-$S336)</f>
        <v/>
      </c>
      <c r="K336" s="12">
        <f>IF(OR($D336="",$G336=0),"",ROUND($F336*INDEX('01人员工时'!G$7:G$126,INT((ROW()-7)/4)+1)/$G336,2))</f>
        <v/>
      </c>
      <c r="L336" s="12">
        <f>IF(OR($D336="",$G336=0),"",ROUND($F336*INDEX('01人员工时'!H$7:H$126,INT((ROW()-7)/4)+1)/$G336,2))</f>
        <v/>
      </c>
      <c r="M336" s="12">
        <f>IF(OR($D336="",$G336=0),"",ROUND($F336*INDEX('01人员工时'!I$7:I$126,INT((ROW()-7)/4)+1)/$G336,2))</f>
        <v/>
      </c>
      <c r="N336" s="12">
        <f>IF(OR($D336="",$G336=0),"",ROUND($F336*INDEX('01人员工时'!J$7:J$126,INT((ROW()-7)/4)+1)/$G336,2))</f>
        <v/>
      </c>
      <c r="O336" s="12">
        <f>IF(OR($D336="",$G336=0),"",ROUND($F336*INDEX('01人员工时'!K$7:K$126,INT((ROW()-7)/4)+1)/$G336,2))</f>
        <v/>
      </c>
      <c r="P336" s="12">
        <f>IF(OR($D336="",$G336=0),"",ROUND($F336*INDEX('01人员工时'!L$7:L$126,INT((ROW()-7)/4)+1)/$G336,2))</f>
        <v/>
      </c>
      <c r="Q336" s="12">
        <f>IF(OR($D336="",$G336=0),"",ROUND($F336*INDEX('01人员工时'!M$7:M$126,INT((ROW()-7)/4)+1)/$G336,2))</f>
        <v/>
      </c>
      <c r="R336" s="12">
        <f>IF(OR($D336="",$G336=0),"",ROUND($F336*INDEX('01人员工时'!N$7:N$126,INT((ROW()-7)/4)+1)/$G336,2))</f>
        <v/>
      </c>
      <c r="S336" s="12">
        <f>IF($D336="","",SUM(K336:R336))</f>
        <v/>
      </c>
      <c r="T336" s="12">
        <f>IF($D336="","",$J336+$S336)</f>
        <v/>
      </c>
      <c r="U336" s="25">
        <f>IF($D336="","",IF($F336=0,"未维护标准",IF(ROUND($T336-$F336,2)=0,"√","差异")))</f>
        <v/>
      </c>
      <c r="V336" s="11" t="n"/>
      <c r="W336" s="9" t="n"/>
    </row>
    <row r="337" ht="18" customHeight="1">
      <c r="B337" s="21">
        <f>IF(INDEX('01人员工时'!$D$7:$D$126,INT((ROW()-7)/4)+1)&amp;""="","",INDEX('01人员工时'!$B$7:$B$126,INT((ROW()-7)/4)+1))</f>
        <v/>
      </c>
      <c r="C337" s="22">
        <f>IF($D337="","",IF(MOD(ROW()-7,4)=0,INDEX('01人员工时'!$C$7:$C$126,INT((ROW()-7)/4)+1),""))</f>
        <v/>
      </c>
      <c r="D337" s="22">
        <f>IF(INDEX('01人员工时'!$D$7:$D$126,INT((ROW()-7)/4)+1)&amp;""="","",INDEX('01人员工时'!$D$7:$D$126,INT((ROW()-7)/4)+1))</f>
        <v/>
      </c>
      <c r="E337" s="22">
        <f>IF($D337="","",INDEX('参数设置'!$K$6:$K$9,MOD(ROW()-7,4)+1))</f>
        <v/>
      </c>
      <c r="F337" s="23">
        <f>IF($D337="","",IF($V337&lt;&gt;"",$V337,IFERROR(INDEX('参数设置'!$D$17:$G$26,MATCH($D337,'参数设置'!$C$17:$C$26,0),MATCH($E337,'参数设置'!$D$16:$G$16,0)),0)))</f>
        <v/>
      </c>
      <c r="G337" s="24">
        <f>IF($D337="","",INDEX('01人员工时'!$E$7:$E$126,INT((ROW()-7)/4)+1))</f>
        <v/>
      </c>
      <c r="H337" s="24">
        <f>IF($D337="","",INDEX('01人员工时'!$O$7:$O$126,INT((ROW()-7)/4)+1))</f>
        <v/>
      </c>
      <c r="I337" s="20">
        <f>IF(OR($D337="",$G337=0),"",$H337/$G337)</f>
        <v/>
      </c>
      <c r="J337" s="12">
        <f>IF($D337="","",ROUND($F337,2)-$S337)</f>
        <v/>
      </c>
      <c r="K337" s="12">
        <f>IF(OR($D337="",$G337=0),"",ROUND($F337*INDEX('01人员工时'!G$7:G$126,INT((ROW()-7)/4)+1)/$G337,2))</f>
        <v/>
      </c>
      <c r="L337" s="12">
        <f>IF(OR($D337="",$G337=0),"",ROUND($F337*INDEX('01人员工时'!H$7:H$126,INT((ROW()-7)/4)+1)/$G337,2))</f>
        <v/>
      </c>
      <c r="M337" s="12">
        <f>IF(OR($D337="",$G337=0),"",ROUND($F337*INDEX('01人员工时'!I$7:I$126,INT((ROW()-7)/4)+1)/$G337,2))</f>
        <v/>
      </c>
      <c r="N337" s="12">
        <f>IF(OR($D337="",$G337=0),"",ROUND($F337*INDEX('01人员工时'!J$7:J$126,INT((ROW()-7)/4)+1)/$G337,2))</f>
        <v/>
      </c>
      <c r="O337" s="12">
        <f>IF(OR($D337="",$G337=0),"",ROUND($F337*INDEX('01人员工时'!K$7:K$126,INT((ROW()-7)/4)+1)/$G337,2))</f>
        <v/>
      </c>
      <c r="P337" s="12">
        <f>IF(OR($D337="",$G337=0),"",ROUND($F337*INDEX('01人员工时'!L$7:L$126,INT((ROW()-7)/4)+1)/$G337,2))</f>
        <v/>
      </c>
      <c r="Q337" s="12">
        <f>IF(OR($D337="",$G337=0),"",ROUND($F337*INDEX('01人员工时'!M$7:M$126,INT((ROW()-7)/4)+1)/$G337,2))</f>
        <v/>
      </c>
      <c r="R337" s="12">
        <f>IF(OR($D337="",$G337=0),"",ROUND($F337*INDEX('01人员工时'!N$7:N$126,INT((ROW()-7)/4)+1)/$G337,2))</f>
        <v/>
      </c>
      <c r="S337" s="12">
        <f>IF($D337="","",SUM(K337:R337))</f>
        <v/>
      </c>
      <c r="T337" s="12">
        <f>IF($D337="","",$J337+$S337)</f>
        <v/>
      </c>
      <c r="U337" s="25">
        <f>IF($D337="","",IF($F337=0,"未维护标准",IF(ROUND($T337-$F337,2)=0,"√","差异")))</f>
        <v/>
      </c>
      <c r="V337" s="11" t="n"/>
      <c r="W337" s="9" t="n"/>
    </row>
    <row r="338" ht="18" customHeight="1">
      <c r="B338" s="26">
        <f>IF(INDEX('01人员工时'!$D$7:$D$126,INT((ROW()-7)/4)+1)&amp;""="","",INDEX('01人员工时'!$B$7:$B$126,INT((ROW()-7)/4)+1))</f>
        <v/>
      </c>
      <c r="C338" s="27">
        <f>IF($D338="","",IF(MOD(ROW()-7,4)=0,INDEX('01人员工时'!$C$7:$C$126,INT((ROW()-7)/4)+1),""))</f>
        <v/>
      </c>
      <c r="D338" s="27">
        <f>IF(INDEX('01人员工时'!$D$7:$D$126,INT((ROW()-7)/4)+1)&amp;""="","",INDEX('01人员工时'!$D$7:$D$126,INT((ROW()-7)/4)+1))</f>
        <v/>
      </c>
      <c r="E338" s="27">
        <f>IF($D338="","",INDEX('参数设置'!$K$6:$K$9,MOD(ROW()-7,4)+1))</f>
        <v/>
      </c>
      <c r="F338" s="28">
        <f>IF($D338="","",IF($V338&lt;&gt;"",$V338,IFERROR(INDEX('参数设置'!$D$17:$G$26,MATCH($D338,'参数设置'!$C$17:$C$26,0),MATCH($E338,'参数设置'!$D$16:$G$16,0)),0)))</f>
        <v/>
      </c>
      <c r="G338" s="29">
        <f>IF($D338="","",INDEX('01人员工时'!$E$7:$E$126,INT((ROW()-7)/4)+1))</f>
        <v/>
      </c>
      <c r="H338" s="29">
        <f>IF($D338="","",INDEX('01人员工时'!$O$7:$O$126,INT((ROW()-7)/4)+1))</f>
        <v/>
      </c>
      <c r="I338" s="30">
        <f>IF(OR($D338="",$G338=0),"",$H338/$G338)</f>
        <v/>
      </c>
      <c r="J338" s="31">
        <f>IF($D338="","",ROUND($F338,2)-$S338)</f>
        <v/>
      </c>
      <c r="K338" s="31">
        <f>IF(OR($D338="",$G338=0),"",ROUND($F338*INDEX('01人员工时'!G$7:G$126,INT((ROW()-7)/4)+1)/$G338,2))</f>
        <v/>
      </c>
      <c r="L338" s="31">
        <f>IF(OR($D338="",$G338=0),"",ROUND($F338*INDEX('01人员工时'!H$7:H$126,INT((ROW()-7)/4)+1)/$G338,2))</f>
        <v/>
      </c>
      <c r="M338" s="31">
        <f>IF(OR($D338="",$G338=0),"",ROUND($F338*INDEX('01人员工时'!I$7:I$126,INT((ROW()-7)/4)+1)/$G338,2))</f>
        <v/>
      </c>
      <c r="N338" s="31">
        <f>IF(OR($D338="",$G338=0),"",ROUND($F338*INDEX('01人员工时'!J$7:J$126,INT((ROW()-7)/4)+1)/$G338,2))</f>
        <v/>
      </c>
      <c r="O338" s="31">
        <f>IF(OR($D338="",$G338=0),"",ROUND($F338*INDEX('01人员工时'!K$7:K$126,INT((ROW()-7)/4)+1)/$G338,2))</f>
        <v/>
      </c>
      <c r="P338" s="31">
        <f>IF(OR($D338="",$G338=0),"",ROUND($F338*INDEX('01人员工时'!L$7:L$126,INT((ROW()-7)/4)+1)/$G338,2))</f>
        <v/>
      </c>
      <c r="Q338" s="31">
        <f>IF(OR($D338="",$G338=0),"",ROUND($F338*INDEX('01人员工时'!M$7:M$126,INT((ROW()-7)/4)+1)/$G338,2))</f>
        <v/>
      </c>
      <c r="R338" s="31">
        <f>IF(OR($D338="",$G338=0),"",ROUND($F338*INDEX('01人员工时'!N$7:N$126,INT((ROW()-7)/4)+1)/$G338,2))</f>
        <v/>
      </c>
      <c r="S338" s="31">
        <f>IF($D338="","",SUM(K338:R338))</f>
        <v/>
      </c>
      <c r="T338" s="31">
        <f>IF($D338="","",$J338+$S338)</f>
        <v/>
      </c>
      <c r="U338" s="32">
        <f>IF($D338="","",IF($F338=0,"未维护标准",IF(ROUND($T338-$F338,2)=0,"√","差异")))</f>
        <v/>
      </c>
      <c r="V338" s="33" t="n"/>
      <c r="W338" s="34" t="n"/>
    </row>
    <row r="339" ht="18" customHeight="1">
      <c r="B339" s="21">
        <f>IF(INDEX('01人员工时'!$D$7:$D$126,INT((ROW()-7)/4)+1)&amp;""="","",INDEX('01人员工时'!$B$7:$B$126,INT((ROW()-7)/4)+1))</f>
        <v/>
      </c>
      <c r="C339" s="22">
        <f>IF($D339="","",IF(MOD(ROW()-7,4)=0,INDEX('01人员工时'!$C$7:$C$126,INT((ROW()-7)/4)+1),""))</f>
        <v/>
      </c>
      <c r="D339" s="22">
        <f>IF(INDEX('01人员工时'!$D$7:$D$126,INT((ROW()-7)/4)+1)&amp;""="","",INDEX('01人员工时'!$D$7:$D$126,INT((ROW()-7)/4)+1))</f>
        <v/>
      </c>
      <c r="E339" s="22">
        <f>IF($D339="","",INDEX('参数设置'!$K$6:$K$9,MOD(ROW()-7,4)+1))</f>
        <v/>
      </c>
      <c r="F339" s="23">
        <f>IF($D339="","",IF($V339&lt;&gt;"",$V339,IFERROR(INDEX('参数设置'!$D$17:$G$26,MATCH($D339,'参数设置'!$C$17:$C$26,0),MATCH($E339,'参数设置'!$D$16:$G$16,0)),0)))</f>
        <v/>
      </c>
      <c r="G339" s="24">
        <f>IF($D339="","",INDEX('01人员工时'!$E$7:$E$126,INT((ROW()-7)/4)+1))</f>
        <v/>
      </c>
      <c r="H339" s="24">
        <f>IF($D339="","",INDEX('01人员工时'!$O$7:$O$126,INT((ROW()-7)/4)+1))</f>
        <v/>
      </c>
      <c r="I339" s="20">
        <f>IF(OR($D339="",$G339=0),"",$H339/$G339)</f>
        <v/>
      </c>
      <c r="J339" s="12">
        <f>IF($D339="","",ROUND($F339,2)-$S339)</f>
        <v/>
      </c>
      <c r="K339" s="12">
        <f>IF(OR($D339="",$G339=0),"",ROUND($F339*INDEX('01人员工时'!G$7:G$126,INT((ROW()-7)/4)+1)/$G339,2))</f>
        <v/>
      </c>
      <c r="L339" s="12">
        <f>IF(OR($D339="",$G339=0),"",ROUND($F339*INDEX('01人员工时'!H$7:H$126,INT((ROW()-7)/4)+1)/$G339,2))</f>
        <v/>
      </c>
      <c r="M339" s="12">
        <f>IF(OR($D339="",$G339=0),"",ROUND($F339*INDEX('01人员工时'!I$7:I$126,INT((ROW()-7)/4)+1)/$G339,2))</f>
        <v/>
      </c>
      <c r="N339" s="12">
        <f>IF(OR($D339="",$G339=0),"",ROUND($F339*INDEX('01人员工时'!J$7:J$126,INT((ROW()-7)/4)+1)/$G339,2))</f>
        <v/>
      </c>
      <c r="O339" s="12">
        <f>IF(OR($D339="",$G339=0),"",ROUND($F339*INDEX('01人员工时'!K$7:K$126,INT((ROW()-7)/4)+1)/$G339,2))</f>
        <v/>
      </c>
      <c r="P339" s="12">
        <f>IF(OR($D339="",$G339=0),"",ROUND($F339*INDEX('01人员工时'!L$7:L$126,INT((ROW()-7)/4)+1)/$G339,2))</f>
        <v/>
      </c>
      <c r="Q339" s="12">
        <f>IF(OR($D339="",$G339=0),"",ROUND($F339*INDEX('01人员工时'!M$7:M$126,INT((ROW()-7)/4)+1)/$G339,2))</f>
        <v/>
      </c>
      <c r="R339" s="12">
        <f>IF(OR($D339="",$G339=0),"",ROUND($F339*INDEX('01人员工时'!N$7:N$126,INT((ROW()-7)/4)+1)/$G339,2))</f>
        <v/>
      </c>
      <c r="S339" s="12">
        <f>IF($D339="","",SUM(K339:R339))</f>
        <v/>
      </c>
      <c r="T339" s="12">
        <f>IF($D339="","",$J339+$S339)</f>
        <v/>
      </c>
      <c r="U339" s="25">
        <f>IF($D339="","",IF($F339=0,"未维护标准",IF(ROUND($T339-$F339,2)=0,"√","差异")))</f>
        <v/>
      </c>
      <c r="V339" s="11" t="n"/>
      <c r="W339" s="9" t="n"/>
    </row>
    <row r="340" ht="18" customHeight="1">
      <c r="B340" s="21">
        <f>IF(INDEX('01人员工时'!$D$7:$D$126,INT((ROW()-7)/4)+1)&amp;""="","",INDEX('01人员工时'!$B$7:$B$126,INT((ROW()-7)/4)+1))</f>
        <v/>
      </c>
      <c r="C340" s="22">
        <f>IF($D340="","",IF(MOD(ROW()-7,4)=0,INDEX('01人员工时'!$C$7:$C$126,INT((ROW()-7)/4)+1),""))</f>
        <v/>
      </c>
      <c r="D340" s="22">
        <f>IF(INDEX('01人员工时'!$D$7:$D$126,INT((ROW()-7)/4)+1)&amp;""="","",INDEX('01人员工时'!$D$7:$D$126,INT((ROW()-7)/4)+1))</f>
        <v/>
      </c>
      <c r="E340" s="22">
        <f>IF($D340="","",INDEX('参数设置'!$K$6:$K$9,MOD(ROW()-7,4)+1))</f>
        <v/>
      </c>
      <c r="F340" s="23">
        <f>IF($D340="","",IF($V340&lt;&gt;"",$V340,IFERROR(INDEX('参数设置'!$D$17:$G$26,MATCH($D340,'参数设置'!$C$17:$C$26,0),MATCH($E340,'参数设置'!$D$16:$G$16,0)),0)))</f>
        <v/>
      </c>
      <c r="G340" s="24">
        <f>IF($D340="","",INDEX('01人员工时'!$E$7:$E$126,INT((ROW()-7)/4)+1))</f>
        <v/>
      </c>
      <c r="H340" s="24">
        <f>IF($D340="","",INDEX('01人员工时'!$O$7:$O$126,INT((ROW()-7)/4)+1))</f>
        <v/>
      </c>
      <c r="I340" s="20">
        <f>IF(OR($D340="",$G340=0),"",$H340/$G340)</f>
        <v/>
      </c>
      <c r="J340" s="12">
        <f>IF($D340="","",ROUND($F340,2)-$S340)</f>
        <v/>
      </c>
      <c r="K340" s="12">
        <f>IF(OR($D340="",$G340=0),"",ROUND($F340*INDEX('01人员工时'!G$7:G$126,INT((ROW()-7)/4)+1)/$G340,2))</f>
        <v/>
      </c>
      <c r="L340" s="12">
        <f>IF(OR($D340="",$G340=0),"",ROUND($F340*INDEX('01人员工时'!H$7:H$126,INT((ROW()-7)/4)+1)/$G340,2))</f>
        <v/>
      </c>
      <c r="M340" s="12">
        <f>IF(OR($D340="",$G340=0),"",ROUND($F340*INDEX('01人员工时'!I$7:I$126,INT((ROW()-7)/4)+1)/$G340,2))</f>
        <v/>
      </c>
      <c r="N340" s="12">
        <f>IF(OR($D340="",$G340=0),"",ROUND($F340*INDEX('01人员工时'!J$7:J$126,INT((ROW()-7)/4)+1)/$G340,2))</f>
        <v/>
      </c>
      <c r="O340" s="12">
        <f>IF(OR($D340="",$G340=0),"",ROUND($F340*INDEX('01人员工时'!K$7:K$126,INT((ROW()-7)/4)+1)/$G340,2))</f>
        <v/>
      </c>
      <c r="P340" s="12">
        <f>IF(OR($D340="",$G340=0),"",ROUND($F340*INDEX('01人员工时'!L$7:L$126,INT((ROW()-7)/4)+1)/$G340,2))</f>
        <v/>
      </c>
      <c r="Q340" s="12">
        <f>IF(OR($D340="",$G340=0),"",ROUND($F340*INDEX('01人员工时'!M$7:M$126,INT((ROW()-7)/4)+1)/$G340,2))</f>
        <v/>
      </c>
      <c r="R340" s="12">
        <f>IF(OR($D340="",$G340=0),"",ROUND($F340*INDEX('01人员工时'!N$7:N$126,INT((ROW()-7)/4)+1)/$G340,2))</f>
        <v/>
      </c>
      <c r="S340" s="12">
        <f>IF($D340="","",SUM(K340:R340))</f>
        <v/>
      </c>
      <c r="T340" s="12">
        <f>IF($D340="","",$J340+$S340)</f>
        <v/>
      </c>
      <c r="U340" s="25">
        <f>IF($D340="","",IF($F340=0,"未维护标准",IF(ROUND($T340-$F340,2)=0,"√","差异")))</f>
        <v/>
      </c>
      <c r="V340" s="11" t="n"/>
      <c r="W340" s="9" t="n"/>
    </row>
    <row r="341" ht="18" customHeight="1">
      <c r="B341" s="21">
        <f>IF(INDEX('01人员工时'!$D$7:$D$126,INT((ROW()-7)/4)+1)&amp;""="","",INDEX('01人员工时'!$B$7:$B$126,INT((ROW()-7)/4)+1))</f>
        <v/>
      </c>
      <c r="C341" s="22">
        <f>IF($D341="","",IF(MOD(ROW()-7,4)=0,INDEX('01人员工时'!$C$7:$C$126,INT((ROW()-7)/4)+1),""))</f>
        <v/>
      </c>
      <c r="D341" s="22">
        <f>IF(INDEX('01人员工时'!$D$7:$D$126,INT((ROW()-7)/4)+1)&amp;""="","",INDEX('01人员工时'!$D$7:$D$126,INT((ROW()-7)/4)+1))</f>
        <v/>
      </c>
      <c r="E341" s="22">
        <f>IF($D341="","",INDEX('参数设置'!$K$6:$K$9,MOD(ROW()-7,4)+1))</f>
        <v/>
      </c>
      <c r="F341" s="23">
        <f>IF($D341="","",IF($V341&lt;&gt;"",$V341,IFERROR(INDEX('参数设置'!$D$17:$G$26,MATCH($D341,'参数设置'!$C$17:$C$26,0),MATCH($E341,'参数设置'!$D$16:$G$16,0)),0)))</f>
        <v/>
      </c>
      <c r="G341" s="24">
        <f>IF($D341="","",INDEX('01人员工时'!$E$7:$E$126,INT((ROW()-7)/4)+1))</f>
        <v/>
      </c>
      <c r="H341" s="24">
        <f>IF($D341="","",INDEX('01人员工时'!$O$7:$O$126,INT((ROW()-7)/4)+1))</f>
        <v/>
      </c>
      <c r="I341" s="20">
        <f>IF(OR($D341="",$G341=0),"",$H341/$G341)</f>
        <v/>
      </c>
      <c r="J341" s="12">
        <f>IF($D341="","",ROUND($F341,2)-$S341)</f>
        <v/>
      </c>
      <c r="K341" s="12">
        <f>IF(OR($D341="",$G341=0),"",ROUND($F341*INDEX('01人员工时'!G$7:G$126,INT((ROW()-7)/4)+1)/$G341,2))</f>
        <v/>
      </c>
      <c r="L341" s="12">
        <f>IF(OR($D341="",$G341=0),"",ROUND($F341*INDEX('01人员工时'!H$7:H$126,INT((ROW()-7)/4)+1)/$G341,2))</f>
        <v/>
      </c>
      <c r="M341" s="12">
        <f>IF(OR($D341="",$G341=0),"",ROUND($F341*INDEX('01人员工时'!I$7:I$126,INT((ROW()-7)/4)+1)/$G341,2))</f>
        <v/>
      </c>
      <c r="N341" s="12">
        <f>IF(OR($D341="",$G341=0),"",ROUND($F341*INDEX('01人员工时'!J$7:J$126,INT((ROW()-7)/4)+1)/$G341,2))</f>
        <v/>
      </c>
      <c r="O341" s="12">
        <f>IF(OR($D341="",$G341=0),"",ROUND($F341*INDEX('01人员工时'!K$7:K$126,INT((ROW()-7)/4)+1)/$G341,2))</f>
        <v/>
      </c>
      <c r="P341" s="12">
        <f>IF(OR($D341="",$G341=0),"",ROUND($F341*INDEX('01人员工时'!L$7:L$126,INT((ROW()-7)/4)+1)/$G341,2))</f>
        <v/>
      </c>
      <c r="Q341" s="12">
        <f>IF(OR($D341="",$G341=0),"",ROUND($F341*INDEX('01人员工时'!M$7:M$126,INT((ROW()-7)/4)+1)/$G341,2))</f>
        <v/>
      </c>
      <c r="R341" s="12">
        <f>IF(OR($D341="",$G341=0),"",ROUND($F341*INDEX('01人员工时'!N$7:N$126,INT((ROW()-7)/4)+1)/$G341,2))</f>
        <v/>
      </c>
      <c r="S341" s="12">
        <f>IF($D341="","",SUM(K341:R341))</f>
        <v/>
      </c>
      <c r="T341" s="12">
        <f>IF($D341="","",$J341+$S341)</f>
        <v/>
      </c>
      <c r="U341" s="25">
        <f>IF($D341="","",IF($F341=0,"未维护标准",IF(ROUND($T341-$F341,2)=0,"√","差异")))</f>
        <v/>
      </c>
      <c r="V341" s="11" t="n"/>
      <c r="W341" s="9" t="n"/>
    </row>
    <row r="342" ht="18" customHeight="1">
      <c r="B342" s="26">
        <f>IF(INDEX('01人员工时'!$D$7:$D$126,INT((ROW()-7)/4)+1)&amp;""="","",INDEX('01人员工时'!$B$7:$B$126,INT((ROW()-7)/4)+1))</f>
        <v/>
      </c>
      <c r="C342" s="27">
        <f>IF($D342="","",IF(MOD(ROW()-7,4)=0,INDEX('01人员工时'!$C$7:$C$126,INT((ROW()-7)/4)+1),""))</f>
        <v/>
      </c>
      <c r="D342" s="27">
        <f>IF(INDEX('01人员工时'!$D$7:$D$126,INT((ROW()-7)/4)+1)&amp;""="","",INDEX('01人员工时'!$D$7:$D$126,INT((ROW()-7)/4)+1))</f>
        <v/>
      </c>
      <c r="E342" s="27">
        <f>IF($D342="","",INDEX('参数设置'!$K$6:$K$9,MOD(ROW()-7,4)+1))</f>
        <v/>
      </c>
      <c r="F342" s="28">
        <f>IF($D342="","",IF($V342&lt;&gt;"",$V342,IFERROR(INDEX('参数设置'!$D$17:$G$26,MATCH($D342,'参数设置'!$C$17:$C$26,0),MATCH($E342,'参数设置'!$D$16:$G$16,0)),0)))</f>
        <v/>
      </c>
      <c r="G342" s="29">
        <f>IF($D342="","",INDEX('01人员工时'!$E$7:$E$126,INT((ROW()-7)/4)+1))</f>
        <v/>
      </c>
      <c r="H342" s="29">
        <f>IF($D342="","",INDEX('01人员工时'!$O$7:$O$126,INT((ROW()-7)/4)+1))</f>
        <v/>
      </c>
      <c r="I342" s="30">
        <f>IF(OR($D342="",$G342=0),"",$H342/$G342)</f>
        <v/>
      </c>
      <c r="J342" s="31">
        <f>IF($D342="","",ROUND($F342,2)-$S342)</f>
        <v/>
      </c>
      <c r="K342" s="31">
        <f>IF(OR($D342="",$G342=0),"",ROUND($F342*INDEX('01人员工时'!G$7:G$126,INT((ROW()-7)/4)+1)/$G342,2))</f>
        <v/>
      </c>
      <c r="L342" s="31">
        <f>IF(OR($D342="",$G342=0),"",ROUND($F342*INDEX('01人员工时'!H$7:H$126,INT((ROW()-7)/4)+1)/$G342,2))</f>
        <v/>
      </c>
      <c r="M342" s="31">
        <f>IF(OR($D342="",$G342=0),"",ROUND($F342*INDEX('01人员工时'!I$7:I$126,INT((ROW()-7)/4)+1)/$G342,2))</f>
        <v/>
      </c>
      <c r="N342" s="31">
        <f>IF(OR($D342="",$G342=0),"",ROUND($F342*INDEX('01人员工时'!J$7:J$126,INT((ROW()-7)/4)+1)/$G342,2))</f>
        <v/>
      </c>
      <c r="O342" s="31">
        <f>IF(OR($D342="",$G342=0),"",ROUND($F342*INDEX('01人员工时'!K$7:K$126,INT((ROW()-7)/4)+1)/$G342,2))</f>
        <v/>
      </c>
      <c r="P342" s="31">
        <f>IF(OR($D342="",$G342=0),"",ROUND($F342*INDEX('01人员工时'!L$7:L$126,INT((ROW()-7)/4)+1)/$G342,2))</f>
        <v/>
      </c>
      <c r="Q342" s="31">
        <f>IF(OR($D342="",$G342=0),"",ROUND($F342*INDEX('01人员工时'!M$7:M$126,INT((ROW()-7)/4)+1)/$G342,2))</f>
        <v/>
      </c>
      <c r="R342" s="31">
        <f>IF(OR($D342="",$G342=0),"",ROUND($F342*INDEX('01人员工时'!N$7:N$126,INT((ROW()-7)/4)+1)/$G342,2))</f>
        <v/>
      </c>
      <c r="S342" s="31">
        <f>IF($D342="","",SUM(K342:R342))</f>
        <v/>
      </c>
      <c r="T342" s="31">
        <f>IF($D342="","",$J342+$S342)</f>
        <v/>
      </c>
      <c r="U342" s="32">
        <f>IF($D342="","",IF($F342=0,"未维护标准",IF(ROUND($T342-$F342,2)=0,"√","差异")))</f>
        <v/>
      </c>
      <c r="V342" s="33" t="n"/>
      <c r="W342" s="34" t="n"/>
    </row>
    <row r="343" ht="18" customHeight="1">
      <c r="B343" s="21">
        <f>IF(INDEX('01人员工时'!$D$7:$D$126,INT((ROW()-7)/4)+1)&amp;""="","",INDEX('01人员工时'!$B$7:$B$126,INT((ROW()-7)/4)+1))</f>
        <v/>
      </c>
      <c r="C343" s="22">
        <f>IF($D343="","",IF(MOD(ROW()-7,4)=0,INDEX('01人员工时'!$C$7:$C$126,INT((ROW()-7)/4)+1),""))</f>
        <v/>
      </c>
      <c r="D343" s="22">
        <f>IF(INDEX('01人员工时'!$D$7:$D$126,INT((ROW()-7)/4)+1)&amp;""="","",INDEX('01人员工时'!$D$7:$D$126,INT((ROW()-7)/4)+1))</f>
        <v/>
      </c>
      <c r="E343" s="22">
        <f>IF($D343="","",INDEX('参数设置'!$K$6:$K$9,MOD(ROW()-7,4)+1))</f>
        <v/>
      </c>
      <c r="F343" s="23">
        <f>IF($D343="","",IF($V343&lt;&gt;"",$V343,IFERROR(INDEX('参数设置'!$D$17:$G$26,MATCH($D343,'参数设置'!$C$17:$C$26,0),MATCH($E343,'参数设置'!$D$16:$G$16,0)),0)))</f>
        <v/>
      </c>
      <c r="G343" s="24">
        <f>IF($D343="","",INDEX('01人员工时'!$E$7:$E$126,INT((ROW()-7)/4)+1))</f>
        <v/>
      </c>
      <c r="H343" s="24">
        <f>IF($D343="","",INDEX('01人员工时'!$O$7:$O$126,INT((ROW()-7)/4)+1))</f>
        <v/>
      </c>
      <c r="I343" s="20">
        <f>IF(OR($D343="",$G343=0),"",$H343/$G343)</f>
        <v/>
      </c>
      <c r="J343" s="12">
        <f>IF($D343="","",ROUND($F343,2)-$S343)</f>
        <v/>
      </c>
      <c r="K343" s="12">
        <f>IF(OR($D343="",$G343=0),"",ROUND($F343*INDEX('01人员工时'!G$7:G$126,INT((ROW()-7)/4)+1)/$G343,2))</f>
        <v/>
      </c>
      <c r="L343" s="12">
        <f>IF(OR($D343="",$G343=0),"",ROUND($F343*INDEX('01人员工时'!H$7:H$126,INT((ROW()-7)/4)+1)/$G343,2))</f>
        <v/>
      </c>
      <c r="M343" s="12">
        <f>IF(OR($D343="",$G343=0),"",ROUND($F343*INDEX('01人员工时'!I$7:I$126,INT((ROW()-7)/4)+1)/$G343,2))</f>
        <v/>
      </c>
      <c r="N343" s="12">
        <f>IF(OR($D343="",$G343=0),"",ROUND($F343*INDEX('01人员工时'!J$7:J$126,INT((ROW()-7)/4)+1)/$G343,2))</f>
        <v/>
      </c>
      <c r="O343" s="12">
        <f>IF(OR($D343="",$G343=0),"",ROUND($F343*INDEX('01人员工时'!K$7:K$126,INT((ROW()-7)/4)+1)/$G343,2))</f>
        <v/>
      </c>
      <c r="P343" s="12">
        <f>IF(OR($D343="",$G343=0),"",ROUND($F343*INDEX('01人员工时'!L$7:L$126,INT((ROW()-7)/4)+1)/$G343,2))</f>
        <v/>
      </c>
      <c r="Q343" s="12">
        <f>IF(OR($D343="",$G343=0),"",ROUND($F343*INDEX('01人员工时'!M$7:M$126,INT((ROW()-7)/4)+1)/$G343,2))</f>
        <v/>
      </c>
      <c r="R343" s="12">
        <f>IF(OR($D343="",$G343=0),"",ROUND($F343*INDEX('01人员工时'!N$7:N$126,INT((ROW()-7)/4)+1)/$G343,2))</f>
        <v/>
      </c>
      <c r="S343" s="12">
        <f>IF($D343="","",SUM(K343:R343))</f>
        <v/>
      </c>
      <c r="T343" s="12">
        <f>IF($D343="","",$J343+$S343)</f>
        <v/>
      </c>
      <c r="U343" s="25">
        <f>IF($D343="","",IF($F343=0,"未维护标准",IF(ROUND($T343-$F343,2)=0,"√","差异")))</f>
        <v/>
      </c>
      <c r="V343" s="11" t="n"/>
      <c r="W343" s="9" t="n"/>
    </row>
    <row r="344" ht="18" customHeight="1">
      <c r="B344" s="21">
        <f>IF(INDEX('01人员工时'!$D$7:$D$126,INT((ROW()-7)/4)+1)&amp;""="","",INDEX('01人员工时'!$B$7:$B$126,INT((ROW()-7)/4)+1))</f>
        <v/>
      </c>
      <c r="C344" s="22">
        <f>IF($D344="","",IF(MOD(ROW()-7,4)=0,INDEX('01人员工时'!$C$7:$C$126,INT((ROW()-7)/4)+1),""))</f>
        <v/>
      </c>
      <c r="D344" s="22">
        <f>IF(INDEX('01人员工时'!$D$7:$D$126,INT((ROW()-7)/4)+1)&amp;""="","",INDEX('01人员工时'!$D$7:$D$126,INT((ROW()-7)/4)+1))</f>
        <v/>
      </c>
      <c r="E344" s="22">
        <f>IF($D344="","",INDEX('参数设置'!$K$6:$K$9,MOD(ROW()-7,4)+1))</f>
        <v/>
      </c>
      <c r="F344" s="23">
        <f>IF($D344="","",IF($V344&lt;&gt;"",$V344,IFERROR(INDEX('参数设置'!$D$17:$G$26,MATCH($D344,'参数设置'!$C$17:$C$26,0),MATCH($E344,'参数设置'!$D$16:$G$16,0)),0)))</f>
        <v/>
      </c>
      <c r="G344" s="24">
        <f>IF($D344="","",INDEX('01人员工时'!$E$7:$E$126,INT((ROW()-7)/4)+1))</f>
        <v/>
      </c>
      <c r="H344" s="24">
        <f>IF($D344="","",INDEX('01人员工时'!$O$7:$O$126,INT((ROW()-7)/4)+1))</f>
        <v/>
      </c>
      <c r="I344" s="20">
        <f>IF(OR($D344="",$G344=0),"",$H344/$G344)</f>
        <v/>
      </c>
      <c r="J344" s="12">
        <f>IF($D344="","",ROUND($F344,2)-$S344)</f>
        <v/>
      </c>
      <c r="K344" s="12">
        <f>IF(OR($D344="",$G344=0),"",ROUND($F344*INDEX('01人员工时'!G$7:G$126,INT((ROW()-7)/4)+1)/$G344,2))</f>
        <v/>
      </c>
      <c r="L344" s="12">
        <f>IF(OR($D344="",$G344=0),"",ROUND($F344*INDEX('01人员工时'!H$7:H$126,INT((ROW()-7)/4)+1)/$G344,2))</f>
        <v/>
      </c>
      <c r="M344" s="12">
        <f>IF(OR($D344="",$G344=0),"",ROUND($F344*INDEX('01人员工时'!I$7:I$126,INT((ROW()-7)/4)+1)/$G344,2))</f>
        <v/>
      </c>
      <c r="N344" s="12">
        <f>IF(OR($D344="",$G344=0),"",ROUND($F344*INDEX('01人员工时'!J$7:J$126,INT((ROW()-7)/4)+1)/$G344,2))</f>
        <v/>
      </c>
      <c r="O344" s="12">
        <f>IF(OR($D344="",$G344=0),"",ROUND($F344*INDEX('01人员工时'!K$7:K$126,INT((ROW()-7)/4)+1)/$G344,2))</f>
        <v/>
      </c>
      <c r="P344" s="12">
        <f>IF(OR($D344="",$G344=0),"",ROUND($F344*INDEX('01人员工时'!L$7:L$126,INT((ROW()-7)/4)+1)/$G344,2))</f>
        <v/>
      </c>
      <c r="Q344" s="12">
        <f>IF(OR($D344="",$G344=0),"",ROUND($F344*INDEX('01人员工时'!M$7:M$126,INT((ROW()-7)/4)+1)/$G344,2))</f>
        <v/>
      </c>
      <c r="R344" s="12">
        <f>IF(OR($D344="",$G344=0),"",ROUND($F344*INDEX('01人员工时'!N$7:N$126,INT((ROW()-7)/4)+1)/$G344,2))</f>
        <v/>
      </c>
      <c r="S344" s="12">
        <f>IF($D344="","",SUM(K344:R344))</f>
        <v/>
      </c>
      <c r="T344" s="12">
        <f>IF($D344="","",$J344+$S344)</f>
        <v/>
      </c>
      <c r="U344" s="25">
        <f>IF($D344="","",IF($F344=0,"未维护标准",IF(ROUND($T344-$F344,2)=0,"√","差异")))</f>
        <v/>
      </c>
      <c r="V344" s="11" t="n"/>
      <c r="W344" s="9" t="n"/>
    </row>
    <row r="345" ht="18" customHeight="1">
      <c r="B345" s="21">
        <f>IF(INDEX('01人员工时'!$D$7:$D$126,INT((ROW()-7)/4)+1)&amp;""="","",INDEX('01人员工时'!$B$7:$B$126,INT((ROW()-7)/4)+1))</f>
        <v/>
      </c>
      <c r="C345" s="22">
        <f>IF($D345="","",IF(MOD(ROW()-7,4)=0,INDEX('01人员工时'!$C$7:$C$126,INT((ROW()-7)/4)+1),""))</f>
        <v/>
      </c>
      <c r="D345" s="22">
        <f>IF(INDEX('01人员工时'!$D$7:$D$126,INT((ROW()-7)/4)+1)&amp;""="","",INDEX('01人员工时'!$D$7:$D$126,INT((ROW()-7)/4)+1))</f>
        <v/>
      </c>
      <c r="E345" s="22">
        <f>IF($D345="","",INDEX('参数设置'!$K$6:$K$9,MOD(ROW()-7,4)+1))</f>
        <v/>
      </c>
      <c r="F345" s="23">
        <f>IF($D345="","",IF($V345&lt;&gt;"",$V345,IFERROR(INDEX('参数设置'!$D$17:$G$26,MATCH($D345,'参数设置'!$C$17:$C$26,0),MATCH($E345,'参数设置'!$D$16:$G$16,0)),0)))</f>
        <v/>
      </c>
      <c r="G345" s="24">
        <f>IF($D345="","",INDEX('01人员工时'!$E$7:$E$126,INT((ROW()-7)/4)+1))</f>
        <v/>
      </c>
      <c r="H345" s="24">
        <f>IF($D345="","",INDEX('01人员工时'!$O$7:$O$126,INT((ROW()-7)/4)+1))</f>
        <v/>
      </c>
      <c r="I345" s="20">
        <f>IF(OR($D345="",$G345=0),"",$H345/$G345)</f>
        <v/>
      </c>
      <c r="J345" s="12">
        <f>IF($D345="","",ROUND($F345,2)-$S345)</f>
        <v/>
      </c>
      <c r="K345" s="12">
        <f>IF(OR($D345="",$G345=0),"",ROUND($F345*INDEX('01人员工时'!G$7:G$126,INT((ROW()-7)/4)+1)/$G345,2))</f>
        <v/>
      </c>
      <c r="L345" s="12">
        <f>IF(OR($D345="",$G345=0),"",ROUND($F345*INDEX('01人员工时'!H$7:H$126,INT((ROW()-7)/4)+1)/$G345,2))</f>
        <v/>
      </c>
      <c r="M345" s="12">
        <f>IF(OR($D345="",$G345=0),"",ROUND($F345*INDEX('01人员工时'!I$7:I$126,INT((ROW()-7)/4)+1)/$G345,2))</f>
        <v/>
      </c>
      <c r="N345" s="12">
        <f>IF(OR($D345="",$G345=0),"",ROUND($F345*INDEX('01人员工时'!J$7:J$126,INT((ROW()-7)/4)+1)/$G345,2))</f>
        <v/>
      </c>
      <c r="O345" s="12">
        <f>IF(OR($D345="",$G345=0),"",ROUND($F345*INDEX('01人员工时'!K$7:K$126,INT((ROW()-7)/4)+1)/$G345,2))</f>
        <v/>
      </c>
      <c r="P345" s="12">
        <f>IF(OR($D345="",$G345=0),"",ROUND($F345*INDEX('01人员工时'!L$7:L$126,INT((ROW()-7)/4)+1)/$G345,2))</f>
        <v/>
      </c>
      <c r="Q345" s="12">
        <f>IF(OR($D345="",$G345=0),"",ROUND($F345*INDEX('01人员工时'!M$7:M$126,INT((ROW()-7)/4)+1)/$G345,2))</f>
        <v/>
      </c>
      <c r="R345" s="12">
        <f>IF(OR($D345="",$G345=0),"",ROUND($F345*INDEX('01人员工时'!N$7:N$126,INT((ROW()-7)/4)+1)/$G345,2))</f>
        <v/>
      </c>
      <c r="S345" s="12">
        <f>IF($D345="","",SUM(K345:R345))</f>
        <v/>
      </c>
      <c r="T345" s="12">
        <f>IF($D345="","",$J345+$S345)</f>
        <v/>
      </c>
      <c r="U345" s="25">
        <f>IF($D345="","",IF($F345=0,"未维护标准",IF(ROUND($T345-$F345,2)=0,"√","差异")))</f>
        <v/>
      </c>
      <c r="V345" s="11" t="n"/>
      <c r="W345" s="9" t="n"/>
    </row>
    <row r="346" ht="18" customHeight="1">
      <c r="B346" s="26">
        <f>IF(INDEX('01人员工时'!$D$7:$D$126,INT((ROW()-7)/4)+1)&amp;""="","",INDEX('01人员工时'!$B$7:$B$126,INT((ROW()-7)/4)+1))</f>
        <v/>
      </c>
      <c r="C346" s="27">
        <f>IF($D346="","",IF(MOD(ROW()-7,4)=0,INDEX('01人员工时'!$C$7:$C$126,INT((ROW()-7)/4)+1),""))</f>
        <v/>
      </c>
      <c r="D346" s="27">
        <f>IF(INDEX('01人员工时'!$D$7:$D$126,INT((ROW()-7)/4)+1)&amp;""="","",INDEX('01人员工时'!$D$7:$D$126,INT((ROW()-7)/4)+1))</f>
        <v/>
      </c>
      <c r="E346" s="27">
        <f>IF($D346="","",INDEX('参数设置'!$K$6:$K$9,MOD(ROW()-7,4)+1))</f>
        <v/>
      </c>
      <c r="F346" s="28">
        <f>IF($D346="","",IF($V346&lt;&gt;"",$V346,IFERROR(INDEX('参数设置'!$D$17:$G$26,MATCH($D346,'参数设置'!$C$17:$C$26,0),MATCH($E346,'参数设置'!$D$16:$G$16,0)),0)))</f>
        <v/>
      </c>
      <c r="G346" s="29">
        <f>IF($D346="","",INDEX('01人员工时'!$E$7:$E$126,INT((ROW()-7)/4)+1))</f>
        <v/>
      </c>
      <c r="H346" s="29">
        <f>IF($D346="","",INDEX('01人员工时'!$O$7:$O$126,INT((ROW()-7)/4)+1))</f>
        <v/>
      </c>
      <c r="I346" s="30">
        <f>IF(OR($D346="",$G346=0),"",$H346/$G346)</f>
        <v/>
      </c>
      <c r="J346" s="31">
        <f>IF($D346="","",ROUND($F346,2)-$S346)</f>
        <v/>
      </c>
      <c r="K346" s="31">
        <f>IF(OR($D346="",$G346=0),"",ROUND($F346*INDEX('01人员工时'!G$7:G$126,INT((ROW()-7)/4)+1)/$G346,2))</f>
        <v/>
      </c>
      <c r="L346" s="31">
        <f>IF(OR($D346="",$G346=0),"",ROUND($F346*INDEX('01人员工时'!H$7:H$126,INT((ROW()-7)/4)+1)/$G346,2))</f>
        <v/>
      </c>
      <c r="M346" s="31">
        <f>IF(OR($D346="",$G346=0),"",ROUND($F346*INDEX('01人员工时'!I$7:I$126,INT((ROW()-7)/4)+1)/$G346,2))</f>
        <v/>
      </c>
      <c r="N346" s="31">
        <f>IF(OR($D346="",$G346=0),"",ROUND($F346*INDEX('01人员工时'!J$7:J$126,INT((ROW()-7)/4)+1)/$G346,2))</f>
        <v/>
      </c>
      <c r="O346" s="31">
        <f>IF(OR($D346="",$G346=0),"",ROUND($F346*INDEX('01人员工时'!K$7:K$126,INT((ROW()-7)/4)+1)/$G346,2))</f>
        <v/>
      </c>
      <c r="P346" s="31">
        <f>IF(OR($D346="",$G346=0),"",ROUND($F346*INDEX('01人员工时'!L$7:L$126,INT((ROW()-7)/4)+1)/$G346,2))</f>
        <v/>
      </c>
      <c r="Q346" s="31">
        <f>IF(OR($D346="",$G346=0),"",ROUND($F346*INDEX('01人员工时'!M$7:M$126,INT((ROW()-7)/4)+1)/$G346,2))</f>
        <v/>
      </c>
      <c r="R346" s="31">
        <f>IF(OR($D346="",$G346=0),"",ROUND($F346*INDEX('01人员工时'!N$7:N$126,INT((ROW()-7)/4)+1)/$G346,2))</f>
        <v/>
      </c>
      <c r="S346" s="31">
        <f>IF($D346="","",SUM(K346:R346))</f>
        <v/>
      </c>
      <c r="T346" s="31">
        <f>IF($D346="","",$J346+$S346)</f>
        <v/>
      </c>
      <c r="U346" s="32">
        <f>IF($D346="","",IF($F346=0,"未维护标准",IF(ROUND($T346-$F346,2)=0,"√","差异")))</f>
        <v/>
      </c>
      <c r="V346" s="33" t="n"/>
      <c r="W346" s="34" t="n"/>
    </row>
    <row r="347" ht="18" customHeight="1">
      <c r="B347" s="21">
        <f>IF(INDEX('01人员工时'!$D$7:$D$126,INT((ROW()-7)/4)+1)&amp;""="","",INDEX('01人员工时'!$B$7:$B$126,INT((ROW()-7)/4)+1))</f>
        <v/>
      </c>
      <c r="C347" s="22">
        <f>IF($D347="","",IF(MOD(ROW()-7,4)=0,INDEX('01人员工时'!$C$7:$C$126,INT((ROW()-7)/4)+1),""))</f>
        <v/>
      </c>
      <c r="D347" s="22">
        <f>IF(INDEX('01人员工时'!$D$7:$D$126,INT((ROW()-7)/4)+1)&amp;""="","",INDEX('01人员工时'!$D$7:$D$126,INT((ROW()-7)/4)+1))</f>
        <v/>
      </c>
      <c r="E347" s="22">
        <f>IF($D347="","",INDEX('参数设置'!$K$6:$K$9,MOD(ROW()-7,4)+1))</f>
        <v/>
      </c>
      <c r="F347" s="23">
        <f>IF($D347="","",IF($V347&lt;&gt;"",$V347,IFERROR(INDEX('参数设置'!$D$17:$G$26,MATCH($D347,'参数设置'!$C$17:$C$26,0),MATCH($E347,'参数设置'!$D$16:$G$16,0)),0)))</f>
        <v/>
      </c>
      <c r="G347" s="24">
        <f>IF($D347="","",INDEX('01人员工时'!$E$7:$E$126,INT((ROW()-7)/4)+1))</f>
        <v/>
      </c>
      <c r="H347" s="24">
        <f>IF($D347="","",INDEX('01人员工时'!$O$7:$O$126,INT((ROW()-7)/4)+1))</f>
        <v/>
      </c>
      <c r="I347" s="20">
        <f>IF(OR($D347="",$G347=0),"",$H347/$G347)</f>
        <v/>
      </c>
      <c r="J347" s="12">
        <f>IF($D347="","",ROUND($F347,2)-$S347)</f>
        <v/>
      </c>
      <c r="K347" s="12">
        <f>IF(OR($D347="",$G347=0),"",ROUND($F347*INDEX('01人员工时'!G$7:G$126,INT((ROW()-7)/4)+1)/$G347,2))</f>
        <v/>
      </c>
      <c r="L347" s="12">
        <f>IF(OR($D347="",$G347=0),"",ROUND($F347*INDEX('01人员工时'!H$7:H$126,INT((ROW()-7)/4)+1)/$G347,2))</f>
        <v/>
      </c>
      <c r="M347" s="12">
        <f>IF(OR($D347="",$G347=0),"",ROUND($F347*INDEX('01人员工时'!I$7:I$126,INT((ROW()-7)/4)+1)/$G347,2))</f>
        <v/>
      </c>
      <c r="N347" s="12">
        <f>IF(OR($D347="",$G347=0),"",ROUND($F347*INDEX('01人员工时'!J$7:J$126,INT((ROW()-7)/4)+1)/$G347,2))</f>
        <v/>
      </c>
      <c r="O347" s="12">
        <f>IF(OR($D347="",$G347=0),"",ROUND($F347*INDEX('01人员工时'!K$7:K$126,INT((ROW()-7)/4)+1)/$G347,2))</f>
        <v/>
      </c>
      <c r="P347" s="12">
        <f>IF(OR($D347="",$G347=0),"",ROUND($F347*INDEX('01人员工时'!L$7:L$126,INT((ROW()-7)/4)+1)/$G347,2))</f>
        <v/>
      </c>
      <c r="Q347" s="12">
        <f>IF(OR($D347="",$G347=0),"",ROUND($F347*INDEX('01人员工时'!M$7:M$126,INT((ROW()-7)/4)+1)/$G347,2))</f>
        <v/>
      </c>
      <c r="R347" s="12">
        <f>IF(OR($D347="",$G347=0),"",ROUND($F347*INDEX('01人员工时'!N$7:N$126,INT((ROW()-7)/4)+1)/$G347,2))</f>
        <v/>
      </c>
      <c r="S347" s="12">
        <f>IF($D347="","",SUM(K347:R347))</f>
        <v/>
      </c>
      <c r="T347" s="12">
        <f>IF($D347="","",$J347+$S347)</f>
        <v/>
      </c>
      <c r="U347" s="25">
        <f>IF($D347="","",IF($F347=0,"未维护标准",IF(ROUND($T347-$F347,2)=0,"√","差异")))</f>
        <v/>
      </c>
      <c r="V347" s="11" t="n"/>
      <c r="W347" s="9" t="n"/>
    </row>
    <row r="348" ht="18" customHeight="1">
      <c r="B348" s="21">
        <f>IF(INDEX('01人员工时'!$D$7:$D$126,INT((ROW()-7)/4)+1)&amp;""="","",INDEX('01人员工时'!$B$7:$B$126,INT((ROW()-7)/4)+1))</f>
        <v/>
      </c>
      <c r="C348" s="22">
        <f>IF($D348="","",IF(MOD(ROW()-7,4)=0,INDEX('01人员工时'!$C$7:$C$126,INT((ROW()-7)/4)+1),""))</f>
        <v/>
      </c>
      <c r="D348" s="22">
        <f>IF(INDEX('01人员工时'!$D$7:$D$126,INT((ROW()-7)/4)+1)&amp;""="","",INDEX('01人员工时'!$D$7:$D$126,INT((ROW()-7)/4)+1))</f>
        <v/>
      </c>
      <c r="E348" s="22">
        <f>IF($D348="","",INDEX('参数设置'!$K$6:$K$9,MOD(ROW()-7,4)+1))</f>
        <v/>
      </c>
      <c r="F348" s="23">
        <f>IF($D348="","",IF($V348&lt;&gt;"",$V348,IFERROR(INDEX('参数设置'!$D$17:$G$26,MATCH($D348,'参数设置'!$C$17:$C$26,0),MATCH($E348,'参数设置'!$D$16:$G$16,0)),0)))</f>
        <v/>
      </c>
      <c r="G348" s="24">
        <f>IF($D348="","",INDEX('01人员工时'!$E$7:$E$126,INT((ROW()-7)/4)+1))</f>
        <v/>
      </c>
      <c r="H348" s="24">
        <f>IF($D348="","",INDEX('01人员工时'!$O$7:$O$126,INT((ROW()-7)/4)+1))</f>
        <v/>
      </c>
      <c r="I348" s="20">
        <f>IF(OR($D348="",$G348=0),"",$H348/$G348)</f>
        <v/>
      </c>
      <c r="J348" s="12">
        <f>IF($D348="","",ROUND($F348,2)-$S348)</f>
        <v/>
      </c>
      <c r="K348" s="12">
        <f>IF(OR($D348="",$G348=0),"",ROUND($F348*INDEX('01人员工时'!G$7:G$126,INT((ROW()-7)/4)+1)/$G348,2))</f>
        <v/>
      </c>
      <c r="L348" s="12">
        <f>IF(OR($D348="",$G348=0),"",ROUND($F348*INDEX('01人员工时'!H$7:H$126,INT((ROW()-7)/4)+1)/$G348,2))</f>
        <v/>
      </c>
      <c r="M348" s="12">
        <f>IF(OR($D348="",$G348=0),"",ROUND($F348*INDEX('01人员工时'!I$7:I$126,INT((ROW()-7)/4)+1)/$G348,2))</f>
        <v/>
      </c>
      <c r="N348" s="12">
        <f>IF(OR($D348="",$G348=0),"",ROUND($F348*INDEX('01人员工时'!J$7:J$126,INT((ROW()-7)/4)+1)/$G348,2))</f>
        <v/>
      </c>
      <c r="O348" s="12">
        <f>IF(OR($D348="",$G348=0),"",ROUND($F348*INDEX('01人员工时'!K$7:K$126,INT((ROW()-7)/4)+1)/$G348,2))</f>
        <v/>
      </c>
      <c r="P348" s="12">
        <f>IF(OR($D348="",$G348=0),"",ROUND($F348*INDEX('01人员工时'!L$7:L$126,INT((ROW()-7)/4)+1)/$G348,2))</f>
        <v/>
      </c>
      <c r="Q348" s="12">
        <f>IF(OR($D348="",$G348=0),"",ROUND($F348*INDEX('01人员工时'!M$7:M$126,INT((ROW()-7)/4)+1)/$G348,2))</f>
        <v/>
      </c>
      <c r="R348" s="12">
        <f>IF(OR($D348="",$G348=0),"",ROUND($F348*INDEX('01人员工时'!N$7:N$126,INT((ROW()-7)/4)+1)/$G348,2))</f>
        <v/>
      </c>
      <c r="S348" s="12">
        <f>IF($D348="","",SUM(K348:R348))</f>
        <v/>
      </c>
      <c r="T348" s="12">
        <f>IF($D348="","",$J348+$S348)</f>
        <v/>
      </c>
      <c r="U348" s="25">
        <f>IF($D348="","",IF($F348=0,"未维护标准",IF(ROUND($T348-$F348,2)=0,"√","差异")))</f>
        <v/>
      </c>
      <c r="V348" s="11" t="n"/>
      <c r="W348" s="9" t="n"/>
    </row>
    <row r="349" ht="18" customHeight="1">
      <c r="B349" s="21">
        <f>IF(INDEX('01人员工时'!$D$7:$D$126,INT((ROW()-7)/4)+1)&amp;""="","",INDEX('01人员工时'!$B$7:$B$126,INT((ROW()-7)/4)+1))</f>
        <v/>
      </c>
      <c r="C349" s="22">
        <f>IF($D349="","",IF(MOD(ROW()-7,4)=0,INDEX('01人员工时'!$C$7:$C$126,INT((ROW()-7)/4)+1),""))</f>
        <v/>
      </c>
      <c r="D349" s="22">
        <f>IF(INDEX('01人员工时'!$D$7:$D$126,INT((ROW()-7)/4)+1)&amp;""="","",INDEX('01人员工时'!$D$7:$D$126,INT((ROW()-7)/4)+1))</f>
        <v/>
      </c>
      <c r="E349" s="22">
        <f>IF($D349="","",INDEX('参数设置'!$K$6:$K$9,MOD(ROW()-7,4)+1))</f>
        <v/>
      </c>
      <c r="F349" s="23">
        <f>IF($D349="","",IF($V349&lt;&gt;"",$V349,IFERROR(INDEX('参数设置'!$D$17:$G$26,MATCH($D349,'参数设置'!$C$17:$C$26,0),MATCH($E349,'参数设置'!$D$16:$G$16,0)),0)))</f>
        <v/>
      </c>
      <c r="G349" s="24">
        <f>IF($D349="","",INDEX('01人员工时'!$E$7:$E$126,INT((ROW()-7)/4)+1))</f>
        <v/>
      </c>
      <c r="H349" s="24">
        <f>IF($D349="","",INDEX('01人员工时'!$O$7:$O$126,INT((ROW()-7)/4)+1))</f>
        <v/>
      </c>
      <c r="I349" s="20">
        <f>IF(OR($D349="",$G349=0),"",$H349/$G349)</f>
        <v/>
      </c>
      <c r="J349" s="12">
        <f>IF($D349="","",ROUND($F349,2)-$S349)</f>
        <v/>
      </c>
      <c r="K349" s="12">
        <f>IF(OR($D349="",$G349=0),"",ROUND($F349*INDEX('01人员工时'!G$7:G$126,INT((ROW()-7)/4)+1)/$G349,2))</f>
        <v/>
      </c>
      <c r="L349" s="12">
        <f>IF(OR($D349="",$G349=0),"",ROUND($F349*INDEX('01人员工时'!H$7:H$126,INT((ROW()-7)/4)+1)/$G349,2))</f>
        <v/>
      </c>
      <c r="M349" s="12">
        <f>IF(OR($D349="",$G349=0),"",ROUND($F349*INDEX('01人员工时'!I$7:I$126,INT((ROW()-7)/4)+1)/$G349,2))</f>
        <v/>
      </c>
      <c r="N349" s="12">
        <f>IF(OR($D349="",$G349=0),"",ROUND($F349*INDEX('01人员工时'!J$7:J$126,INT((ROW()-7)/4)+1)/$G349,2))</f>
        <v/>
      </c>
      <c r="O349" s="12">
        <f>IF(OR($D349="",$G349=0),"",ROUND($F349*INDEX('01人员工时'!K$7:K$126,INT((ROW()-7)/4)+1)/$G349,2))</f>
        <v/>
      </c>
      <c r="P349" s="12">
        <f>IF(OR($D349="",$G349=0),"",ROUND($F349*INDEX('01人员工时'!L$7:L$126,INT((ROW()-7)/4)+1)/$G349,2))</f>
        <v/>
      </c>
      <c r="Q349" s="12">
        <f>IF(OR($D349="",$G349=0),"",ROUND($F349*INDEX('01人员工时'!M$7:M$126,INT((ROW()-7)/4)+1)/$G349,2))</f>
        <v/>
      </c>
      <c r="R349" s="12">
        <f>IF(OR($D349="",$G349=0),"",ROUND($F349*INDEX('01人员工时'!N$7:N$126,INT((ROW()-7)/4)+1)/$G349,2))</f>
        <v/>
      </c>
      <c r="S349" s="12">
        <f>IF($D349="","",SUM(K349:R349))</f>
        <v/>
      </c>
      <c r="T349" s="12">
        <f>IF($D349="","",$J349+$S349)</f>
        <v/>
      </c>
      <c r="U349" s="25">
        <f>IF($D349="","",IF($F349=0,"未维护标准",IF(ROUND($T349-$F349,2)=0,"√","差异")))</f>
        <v/>
      </c>
      <c r="V349" s="11" t="n"/>
      <c r="W349" s="9" t="n"/>
    </row>
    <row r="350" ht="18" customHeight="1">
      <c r="B350" s="26">
        <f>IF(INDEX('01人员工时'!$D$7:$D$126,INT((ROW()-7)/4)+1)&amp;""="","",INDEX('01人员工时'!$B$7:$B$126,INT((ROW()-7)/4)+1))</f>
        <v/>
      </c>
      <c r="C350" s="27">
        <f>IF($D350="","",IF(MOD(ROW()-7,4)=0,INDEX('01人员工时'!$C$7:$C$126,INT((ROW()-7)/4)+1),""))</f>
        <v/>
      </c>
      <c r="D350" s="27">
        <f>IF(INDEX('01人员工时'!$D$7:$D$126,INT((ROW()-7)/4)+1)&amp;""="","",INDEX('01人员工时'!$D$7:$D$126,INT((ROW()-7)/4)+1))</f>
        <v/>
      </c>
      <c r="E350" s="27">
        <f>IF($D350="","",INDEX('参数设置'!$K$6:$K$9,MOD(ROW()-7,4)+1))</f>
        <v/>
      </c>
      <c r="F350" s="28">
        <f>IF($D350="","",IF($V350&lt;&gt;"",$V350,IFERROR(INDEX('参数设置'!$D$17:$G$26,MATCH($D350,'参数设置'!$C$17:$C$26,0),MATCH($E350,'参数设置'!$D$16:$G$16,0)),0)))</f>
        <v/>
      </c>
      <c r="G350" s="29">
        <f>IF($D350="","",INDEX('01人员工时'!$E$7:$E$126,INT((ROW()-7)/4)+1))</f>
        <v/>
      </c>
      <c r="H350" s="29">
        <f>IF($D350="","",INDEX('01人员工时'!$O$7:$O$126,INT((ROW()-7)/4)+1))</f>
        <v/>
      </c>
      <c r="I350" s="30">
        <f>IF(OR($D350="",$G350=0),"",$H350/$G350)</f>
        <v/>
      </c>
      <c r="J350" s="31">
        <f>IF($D350="","",ROUND($F350,2)-$S350)</f>
        <v/>
      </c>
      <c r="K350" s="31">
        <f>IF(OR($D350="",$G350=0),"",ROUND($F350*INDEX('01人员工时'!G$7:G$126,INT((ROW()-7)/4)+1)/$G350,2))</f>
        <v/>
      </c>
      <c r="L350" s="31">
        <f>IF(OR($D350="",$G350=0),"",ROUND($F350*INDEX('01人员工时'!H$7:H$126,INT((ROW()-7)/4)+1)/$G350,2))</f>
        <v/>
      </c>
      <c r="M350" s="31">
        <f>IF(OR($D350="",$G350=0),"",ROUND($F350*INDEX('01人员工时'!I$7:I$126,INT((ROW()-7)/4)+1)/$G350,2))</f>
        <v/>
      </c>
      <c r="N350" s="31">
        <f>IF(OR($D350="",$G350=0),"",ROUND($F350*INDEX('01人员工时'!J$7:J$126,INT((ROW()-7)/4)+1)/$G350,2))</f>
        <v/>
      </c>
      <c r="O350" s="31">
        <f>IF(OR($D350="",$G350=0),"",ROUND($F350*INDEX('01人员工时'!K$7:K$126,INT((ROW()-7)/4)+1)/$G350,2))</f>
        <v/>
      </c>
      <c r="P350" s="31">
        <f>IF(OR($D350="",$G350=0),"",ROUND($F350*INDEX('01人员工时'!L$7:L$126,INT((ROW()-7)/4)+1)/$G350,2))</f>
        <v/>
      </c>
      <c r="Q350" s="31">
        <f>IF(OR($D350="",$G350=0),"",ROUND($F350*INDEX('01人员工时'!M$7:M$126,INT((ROW()-7)/4)+1)/$G350,2))</f>
        <v/>
      </c>
      <c r="R350" s="31">
        <f>IF(OR($D350="",$G350=0),"",ROUND($F350*INDEX('01人员工时'!N$7:N$126,INT((ROW()-7)/4)+1)/$G350,2))</f>
        <v/>
      </c>
      <c r="S350" s="31">
        <f>IF($D350="","",SUM(K350:R350))</f>
        <v/>
      </c>
      <c r="T350" s="31">
        <f>IF($D350="","",$J350+$S350)</f>
        <v/>
      </c>
      <c r="U350" s="32">
        <f>IF($D350="","",IF($F350=0,"未维护标准",IF(ROUND($T350-$F350,2)=0,"√","差异")))</f>
        <v/>
      </c>
      <c r="V350" s="33" t="n"/>
      <c r="W350" s="34" t="n"/>
    </row>
    <row r="351" ht="18" customHeight="1">
      <c r="B351" s="21">
        <f>IF(INDEX('01人员工时'!$D$7:$D$126,INT((ROW()-7)/4)+1)&amp;""="","",INDEX('01人员工时'!$B$7:$B$126,INT((ROW()-7)/4)+1))</f>
        <v/>
      </c>
      <c r="C351" s="22">
        <f>IF($D351="","",IF(MOD(ROW()-7,4)=0,INDEX('01人员工时'!$C$7:$C$126,INT((ROW()-7)/4)+1),""))</f>
        <v/>
      </c>
      <c r="D351" s="22">
        <f>IF(INDEX('01人员工时'!$D$7:$D$126,INT((ROW()-7)/4)+1)&amp;""="","",INDEX('01人员工时'!$D$7:$D$126,INT((ROW()-7)/4)+1))</f>
        <v/>
      </c>
      <c r="E351" s="22">
        <f>IF($D351="","",INDEX('参数设置'!$K$6:$K$9,MOD(ROW()-7,4)+1))</f>
        <v/>
      </c>
      <c r="F351" s="23">
        <f>IF($D351="","",IF($V351&lt;&gt;"",$V351,IFERROR(INDEX('参数设置'!$D$17:$G$26,MATCH($D351,'参数设置'!$C$17:$C$26,0),MATCH($E351,'参数设置'!$D$16:$G$16,0)),0)))</f>
        <v/>
      </c>
      <c r="G351" s="24">
        <f>IF($D351="","",INDEX('01人员工时'!$E$7:$E$126,INT((ROW()-7)/4)+1))</f>
        <v/>
      </c>
      <c r="H351" s="24">
        <f>IF($D351="","",INDEX('01人员工时'!$O$7:$O$126,INT((ROW()-7)/4)+1))</f>
        <v/>
      </c>
      <c r="I351" s="20">
        <f>IF(OR($D351="",$G351=0),"",$H351/$G351)</f>
        <v/>
      </c>
      <c r="J351" s="12">
        <f>IF($D351="","",ROUND($F351,2)-$S351)</f>
        <v/>
      </c>
      <c r="K351" s="12">
        <f>IF(OR($D351="",$G351=0),"",ROUND($F351*INDEX('01人员工时'!G$7:G$126,INT((ROW()-7)/4)+1)/$G351,2))</f>
        <v/>
      </c>
      <c r="L351" s="12">
        <f>IF(OR($D351="",$G351=0),"",ROUND($F351*INDEX('01人员工时'!H$7:H$126,INT((ROW()-7)/4)+1)/$G351,2))</f>
        <v/>
      </c>
      <c r="M351" s="12">
        <f>IF(OR($D351="",$G351=0),"",ROUND($F351*INDEX('01人员工时'!I$7:I$126,INT((ROW()-7)/4)+1)/$G351,2))</f>
        <v/>
      </c>
      <c r="N351" s="12">
        <f>IF(OR($D351="",$G351=0),"",ROUND($F351*INDEX('01人员工时'!J$7:J$126,INT((ROW()-7)/4)+1)/$G351,2))</f>
        <v/>
      </c>
      <c r="O351" s="12">
        <f>IF(OR($D351="",$G351=0),"",ROUND($F351*INDEX('01人员工时'!K$7:K$126,INT((ROW()-7)/4)+1)/$G351,2))</f>
        <v/>
      </c>
      <c r="P351" s="12">
        <f>IF(OR($D351="",$G351=0),"",ROUND($F351*INDEX('01人员工时'!L$7:L$126,INT((ROW()-7)/4)+1)/$G351,2))</f>
        <v/>
      </c>
      <c r="Q351" s="12">
        <f>IF(OR($D351="",$G351=0),"",ROUND($F351*INDEX('01人员工时'!M$7:M$126,INT((ROW()-7)/4)+1)/$G351,2))</f>
        <v/>
      </c>
      <c r="R351" s="12">
        <f>IF(OR($D351="",$G351=0),"",ROUND($F351*INDEX('01人员工时'!N$7:N$126,INT((ROW()-7)/4)+1)/$G351,2))</f>
        <v/>
      </c>
      <c r="S351" s="12">
        <f>IF($D351="","",SUM(K351:R351))</f>
        <v/>
      </c>
      <c r="T351" s="12">
        <f>IF($D351="","",$J351+$S351)</f>
        <v/>
      </c>
      <c r="U351" s="25">
        <f>IF($D351="","",IF($F351=0,"未维护标准",IF(ROUND($T351-$F351,2)=0,"√","差异")))</f>
        <v/>
      </c>
      <c r="V351" s="11" t="n"/>
      <c r="W351" s="9" t="n"/>
    </row>
    <row r="352" ht="18" customHeight="1">
      <c r="B352" s="21">
        <f>IF(INDEX('01人员工时'!$D$7:$D$126,INT((ROW()-7)/4)+1)&amp;""="","",INDEX('01人员工时'!$B$7:$B$126,INT((ROW()-7)/4)+1))</f>
        <v/>
      </c>
      <c r="C352" s="22">
        <f>IF($D352="","",IF(MOD(ROW()-7,4)=0,INDEX('01人员工时'!$C$7:$C$126,INT((ROW()-7)/4)+1),""))</f>
        <v/>
      </c>
      <c r="D352" s="22">
        <f>IF(INDEX('01人员工时'!$D$7:$D$126,INT((ROW()-7)/4)+1)&amp;""="","",INDEX('01人员工时'!$D$7:$D$126,INT((ROW()-7)/4)+1))</f>
        <v/>
      </c>
      <c r="E352" s="22">
        <f>IF($D352="","",INDEX('参数设置'!$K$6:$K$9,MOD(ROW()-7,4)+1))</f>
        <v/>
      </c>
      <c r="F352" s="23">
        <f>IF($D352="","",IF($V352&lt;&gt;"",$V352,IFERROR(INDEX('参数设置'!$D$17:$G$26,MATCH($D352,'参数设置'!$C$17:$C$26,0),MATCH($E352,'参数设置'!$D$16:$G$16,0)),0)))</f>
        <v/>
      </c>
      <c r="G352" s="24">
        <f>IF($D352="","",INDEX('01人员工时'!$E$7:$E$126,INT((ROW()-7)/4)+1))</f>
        <v/>
      </c>
      <c r="H352" s="24">
        <f>IF($D352="","",INDEX('01人员工时'!$O$7:$O$126,INT((ROW()-7)/4)+1))</f>
        <v/>
      </c>
      <c r="I352" s="20">
        <f>IF(OR($D352="",$G352=0),"",$H352/$G352)</f>
        <v/>
      </c>
      <c r="J352" s="12">
        <f>IF($D352="","",ROUND($F352,2)-$S352)</f>
        <v/>
      </c>
      <c r="K352" s="12">
        <f>IF(OR($D352="",$G352=0),"",ROUND($F352*INDEX('01人员工时'!G$7:G$126,INT((ROW()-7)/4)+1)/$G352,2))</f>
        <v/>
      </c>
      <c r="L352" s="12">
        <f>IF(OR($D352="",$G352=0),"",ROUND($F352*INDEX('01人员工时'!H$7:H$126,INT((ROW()-7)/4)+1)/$G352,2))</f>
        <v/>
      </c>
      <c r="M352" s="12">
        <f>IF(OR($D352="",$G352=0),"",ROUND($F352*INDEX('01人员工时'!I$7:I$126,INT((ROW()-7)/4)+1)/$G352,2))</f>
        <v/>
      </c>
      <c r="N352" s="12">
        <f>IF(OR($D352="",$G352=0),"",ROUND($F352*INDEX('01人员工时'!J$7:J$126,INT((ROW()-7)/4)+1)/$G352,2))</f>
        <v/>
      </c>
      <c r="O352" s="12">
        <f>IF(OR($D352="",$G352=0),"",ROUND($F352*INDEX('01人员工时'!K$7:K$126,INT((ROW()-7)/4)+1)/$G352,2))</f>
        <v/>
      </c>
      <c r="P352" s="12">
        <f>IF(OR($D352="",$G352=0),"",ROUND($F352*INDEX('01人员工时'!L$7:L$126,INT((ROW()-7)/4)+1)/$G352,2))</f>
        <v/>
      </c>
      <c r="Q352" s="12">
        <f>IF(OR($D352="",$G352=0),"",ROUND($F352*INDEX('01人员工时'!M$7:M$126,INT((ROW()-7)/4)+1)/$G352,2))</f>
        <v/>
      </c>
      <c r="R352" s="12">
        <f>IF(OR($D352="",$G352=0),"",ROUND($F352*INDEX('01人员工时'!N$7:N$126,INT((ROW()-7)/4)+1)/$G352,2))</f>
        <v/>
      </c>
      <c r="S352" s="12">
        <f>IF($D352="","",SUM(K352:R352))</f>
        <v/>
      </c>
      <c r="T352" s="12">
        <f>IF($D352="","",$J352+$S352)</f>
        <v/>
      </c>
      <c r="U352" s="25">
        <f>IF($D352="","",IF($F352=0,"未维护标准",IF(ROUND($T352-$F352,2)=0,"√","差异")))</f>
        <v/>
      </c>
      <c r="V352" s="11" t="n"/>
      <c r="W352" s="9" t="n"/>
    </row>
    <row r="353" ht="18" customHeight="1">
      <c r="B353" s="21">
        <f>IF(INDEX('01人员工时'!$D$7:$D$126,INT((ROW()-7)/4)+1)&amp;""="","",INDEX('01人员工时'!$B$7:$B$126,INT((ROW()-7)/4)+1))</f>
        <v/>
      </c>
      <c r="C353" s="22">
        <f>IF($D353="","",IF(MOD(ROW()-7,4)=0,INDEX('01人员工时'!$C$7:$C$126,INT((ROW()-7)/4)+1),""))</f>
        <v/>
      </c>
      <c r="D353" s="22">
        <f>IF(INDEX('01人员工时'!$D$7:$D$126,INT((ROW()-7)/4)+1)&amp;""="","",INDEX('01人员工时'!$D$7:$D$126,INT((ROW()-7)/4)+1))</f>
        <v/>
      </c>
      <c r="E353" s="22">
        <f>IF($D353="","",INDEX('参数设置'!$K$6:$K$9,MOD(ROW()-7,4)+1))</f>
        <v/>
      </c>
      <c r="F353" s="23">
        <f>IF($D353="","",IF($V353&lt;&gt;"",$V353,IFERROR(INDEX('参数设置'!$D$17:$G$26,MATCH($D353,'参数设置'!$C$17:$C$26,0),MATCH($E353,'参数设置'!$D$16:$G$16,0)),0)))</f>
        <v/>
      </c>
      <c r="G353" s="24">
        <f>IF($D353="","",INDEX('01人员工时'!$E$7:$E$126,INT((ROW()-7)/4)+1))</f>
        <v/>
      </c>
      <c r="H353" s="24">
        <f>IF($D353="","",INDEX('01人员工时'!$O$7:$O$126,INT((ROW()-7)/4)+1))</f>
        <v/>
      </c>
      <c r="I353" s="20">
        <f>IF(OR($D353="",$G353=0),"",$H353/$G353)</f>
        <v/>
      </c>
      <c r="J353" s="12">
        <f>IF($D353="","",ROUND($F353,2)-$S353)</f>
        <v/>
      </c>
      <c r="K353" s="12">
        <f>IF(OR($D353="",$G353=0),"",ROUND($F353*INDEX('01人员工时'!G$7:G$126,INT((ROW()-7)/4)+1)/$G353,2))</f>
        <v/>
      </c>
      <c r="L353" s="12">
        <f>IF(OR($D353="",$G353=0),"",ROUND($F353*INDEX('01人员工时'!H$7:H$126,INT((ROW()-7)/4)+1)/$G353,2))</f>
        <v/>
      </c>
      <c r="M353" s="12">
        <f>IF(OR($D353="",$G353=0),"",ROUND($F353*INDEX('01人员工时'!I$7:I$126,INT((ROW()-7)/4)+1)/$G353,2))</f>
        <v/>
      </c>
      <c r="N353" s="12">
        <f>IF(OR($D353="",$G353=0),"",ROUND($F353*INDEX('01人员工时'!J$7:J$126,INT((ROW()-7)/4)+1)/$G353,2))</f>
        <v/>
      </c>
      <c r="O353" s="12">
        <f>IF(OR($D353="",$G353=0),"",ROUND($F353*INDEX('01人员工时'!K$7:K$126,INT((ROW()-7)/4)+1)/$G353,2))</f>
        <v/>
      </c>
      <c r="P353" s="12">
        <f>IF(OR($D353="",$G353=0),"",ROUND($F353*INDEX('01人员工时'!L$7:L$126,INT((ROW()-7)/4)+1)/$G353,2))</f>
        <v/>
      </c>
      <c r="Q353" s="12">
        <f>IF(OR($D353="",$G353=0),"",ROUND($F353*INDEX('01人员工时'!M$7:M$126,INT((ROW()-7)/4)+1)/$G353,2))</f>
        <v/>
      </c>
      <c r="R353" s="12">
        <f>IF(OR($D353="",$G353=0),"",ROUND($F353*INDEX('01人员工时'!N$7:N$126,INT((ROW()-7)/4)+1)/$G353,2))</f>
        <v/>
      </c>
      <c r="S353" s="12">
        <f>IF($D353="","",SUM(K353:R353))</f>
        <v/>
      </c>
      <c r="T353" s="12">
        <f>IF($D353="","",$J353+$S353)</f>
        <v/>
      </c>
      <c r="U353" s="25">
        <f>IF($D353="","",IF($F353=0,"未维护标准",IF(ROUND($T353-$F353,2)=0,"√","差异")))</f>
        <v/>
      </c>
      <c r="V353" s="11" t="n"/>
      <c r="W353" s="9" t="n"/>
    </row>
    <row r="354" ht="18" customHeight="1">
      <c r="B354" s="26">
        <f>IF(INDEX('01人员工时'!$D$7:$D$126,INT((ROW()-7)/4)+1)&amp;""="","",INDEX('01人员工时'!$B$7:$B$126,INT((ROW()-7)/4)+1))</f>
        <v/>
      </c>
      <c r="C354" s="27">
        <f>IF($D354="","",IF(MOD(ROW()-7,4)=0,INDEX('01人员工时'!$C$7:$C$126,INT((ROW()-7)/4)+1),""))</f>
        <v/>
      </c>
      <c r="D354" s="27">
        <f>IF(INDEX('01人员工时'!$D$7:$D$126,INT((ROW()-7)/4)+1)&amp;""="","",INDEX('01人员工时'!$D$7:$D$126,INT((ROW()-7)/4)+1))</f>
        <v/>
      </c>
      <c r="E354" s="27">
        <f>IF($D354="","",INDEX('参数设置'!$K$6:$K$9,MOD(ROW()-7,4)+1))</f>
        <v/>
      </c>
      <c r="F354" s="28">
        <f>IF($D354="","",IF($V354&lt;&gt;"",$V354,IFERROR(INDEX('参数设置'!$D$17:$G$26,MATCH($D354,'参数设置'!$C$17:$C$26,0),MATCH($E354,'参数设置'!$D$16:$G$16,0)),0)))</f>
        <v/>
      </c>
      <c r="G354" s="29">
        <f>IF($D354="","",INDEX('01人员工时'!$E$7:$E$126,INT((ROW()-7)/4)+1))</f>
        <v/>
      </c>
      <c r="H354" s="29">
        <f>IF($D354="","",INDEX('01人员工时'!$O$7:$O$126,INT((ROW()-7)/4)+1))</f>
        <v/>
      </c>
      <c r="I354" s="30">
        <f>IF(OR($D354="",$G354=0),"",$H354/$G354)</f>
        <v/>
      </c>
      <c r="J354" s="31">
        <f>IF($D354="","",ROUND($F354,2)-$S354)</f>
        <v/>
      </c>
      <c r="K354" s="31">
        <f>IF(OR($D354="",$G354=0),"",ROUND($F354*INDEX('01人员工时'!G$7:G$126,INT((ROW()-7)/4)+1)/$G354,2))</f>
        <v/>
      </c>
      <c r="L354" s="31">
        <f>IF(OR($D354="",$G354=0),"",ROUND($F354*INDEX('01人员工时'!H$7:H$126,INT((ROW()-7)/4)+1)/$G354,2))</f>
        <v/>
      </c>
      <c r="M354" s="31">
        <f>IF(OR($D354="",$G354=0),"",ROUND($F354*INDEX('01人员工时'!I$7:I$126,INT((ROW()-7)/4)+1)/$G354,2))</f>
        <v/>
      </c>
      <c r="N354" s="31">
        <f>IF(OR($D354="",$G354=0),"",ROUND($F354*INDEX('01人员工时'!J$7:J$126,INT((ROW()-7)/4)+1)/$G354,2))</f>
        <v/>
      </c>
      <c r="O354" s="31">
        <f>IF(OR($D354="",$G354=0),"",ROUND($F354*INDEX('01人员工时'!K$7:K$126,INT((ROW()-7)/4)+1)/$G354,2))</f>
        <v/>
      </c>
      <c r="P354" s="31">
        <f>IF(OR($D354="",$G354=0),"",ROUND($F354*INDEX('01人员工时'!L$7:L$126,INT((ROW()-7)/4)+1)/$G354,2))</f>
        <v/>
      </c>
      <c r="Q354" s="31">
        <f>IF(OR($D354="",$G354=0),"",ROUND($F354*INDEX('01人员工时'!M$7:M$126,INT((ROW()-7)/4)+1)/$G354,2))</f>
        <v/>
      </c>
      <c r="R354" s="31">
        <f>IF(OR($D354="",$G354=0),"",ROUND($F354*INDEX('01人员工时'!N$7:N$126,INT((ROW()-7)/4)+1)/$G354,2))</f>
        <v/>
      </c>
      <c r="S354" s="31">
        <f>IF($D354="","",SUM(K354:R354))</f>
        <v/>
      </c>
      <c r="T354" s="31">
        <f>IF($D354="","",$J354+$S354)</f>
        <v/>
      </c>
      <c r="U354" s="32">
        <f>IF($D354="","",IF($F354=0,"未维护标准",IF(ROUND($T354-$F354,2)=0,"√","差异")))</f>
        <v/>
      </c>
      <c r="V354" s="33" t="n"/>
      <c r="W354" s="34" t="n"/>
    </row>
    <row r="355" ht="18" customHeight="1">
      <c r="B355" s="21">
        <f>IF(INDEX('01人员工时'!$D$7:$D$126,INT((ROW()-7)/4)+1)&amp;""="","",INDEX('01人员工时'!$B$7:$B$126,INT((ROW()-7)/4)+1))</f>
        <v/>
      </c>
      <c r="C355" s="22">
        <f>IF($D355="","",IF(MOD(ROW()-7,4)=0,INDEX('01人员工时'!$C$7:$C$126,INT((ROW()-7)/4)+1),""))</f>
        <v/>
      </c>
      <c r="D355" s="22">
        <f>IF(INDEX('01人员工时'!$D$7:$D$126,INT((ROW()-7)/4)+1)&amp;""="","",INDEX('01人员工时'!$D$7:$D$126,INT((ROW()-7)/4)+1))</f>
        <v/>
      </c>
      <c r="E355" s="22">
        <f>IF($D355="","",INDEX('参数设置'!$K$6:$K$9,MOD(ROW()-7,4)+1))</f>
        <v/>
      </c>
      <c r="F355" s="23">
        <f>IF($D355="","",IF($V355&lt;&gt;"",$V355,IFERROR(INDEX('参数设置'!$D$17:$G$26,MATCH($D355,'参数设置'!$C$17:$C$26,0),MATCH($E355,'参数设置'!$D$16:$G$16,0)),0)))</f>
        <v/>
      </c>
      <c r="G355" s="24">
        <f>IF($D355="","",INDEX('01人员工时'!$E$7:$E$126,INT((ROW()-7)/4)+1))</f>
        <v/>
      </c>
      <c r="H355" s="24">
        <f>IF($D355="","",INDEX('01人员工时'!$O$7:$O$126,INT((ROW()-7)/4)+1))</f>
        <v/>
      </c>
      <c r="I355" s="20">
        <f>IF(OR($D355="",$G355=0),"",$H355/$G355)</f>
        <v/>
      </c>
      <c r="J355" s="12">
        <f>IF($D355="","",ROUND($F355,2)-$S355)</f>
        <v/>
      </c>
      <c r="K355" s="12">
        <f>IF(OR($D355="",$G355=0),"",ROUND($F355*INDEX('01人员工时'!G$7:G$126,INT((ROW()-7)/4)+1)/$G355,2))</f>
        <v/>
      </c>
      <c r="L355" s="12">
        <f>IF(OR($D355="",$G355=0),"",ROUND($F355*INDEX('01人员工时'!H$7:H$126,INT((ROW()-7)/4)+1)/$G355,2))</f>
        <v/>
      </c>
      <c r="M355" s="12">
        <f>IF(OR($D355="",$G355=0),"",ROUND($F355*INDEX('01人员工时'!I$7:I$126,INT((ROW()-7)/4)+1)/$G355,2))</f>
        <v/>
      </c>
      <c r="N355" s="12">
        <f>IF(OR($D355="",$G355=0),"",ROUND($F355*INDEX('01人员工时'!J$7:J$126,INT((ROW()-7)/4)+1)/$G355,2))</f>
        <v/>
      </c>
      <c r="O355" s="12">
        <f>IF(OR($D355="",$G355=0),"",ROUND($F355*INDEX('01人员工时'!K$7:K$126,INT((ROW()-7)/4)+1)/$G355,2))</f>
        <v/>
      </c>
      <c r="P355" s="12">
        <f>IF(OR($D355="",$G355=0),"",ROUND($F355*INDEX('01人员工时'!L$7:L$126,INT((ROW()-7)/4)+1)/$G355,2))</f>
        <v/>
      </c>
      <c r="Q355" s="12">
        <f>IF(OR($D355="",$G355=0),"",ROUND($F355*INDEX('01人员工时'!M$7:M$126,INT((ROW()-7)/4)+1)/$G355,2))</f>
        <v/>
      </c>
      <c r="R355" s="12">
        <f>IF(OR($D355="",$G355=0),"",ROUND($F355*INDEX('01人员工时'!N$7:N$126,INT((ROW()-7)/4)+1)/$G355,2))</f>
        <v/>
      </c>
      <c r="S355" s="12">
        <f>IF($D355="","",SUM(K355:R355))</f>
        <v/>
      </c>
      <c r="T355" s="12">
        <f>IF($D355="","",$J355+$S355)</f>
        <v/>
      </c>
      <c r="U355" s="25">
        <f>IF($D355="","",IF($F355=0,"未维护标准",IF(ROUND($T355-$F355,2)=0,"√","差异")))</f>
        <v/>
      </c>
      <c r="V355" s="11" t="n"/>
      <c r="W355" s="9" t="n"/>
    </row>
    <row r="356" ht="18" customHeight="1">
      <c r="B356" s="21">
        <f>IF(INDEX('01人员工时'!$D$7:$D$126,INT((ROW()-7)/4)+1)&amp;""="","",INDEX('01人员工时'!$B$7:$B$126,INT((ROW()-7)/4)+1))</f>
        <v/>
      </c>
      <c r="C356" s="22">
        <f>IF($D356="","",IF(MOD(ROW()-7,4)=0,INDEX('01人员工时'!$C$7:$C$126,INT((ROW()-7)/4)+1),""))</f>
        <v/>
      </c>
      <c r="D356" s="22">
        <f>IF(INDEX('01人员工时'!$D$7:$D$126,INT((ROW()-7)/4)+1)&amp;""="","",INDEX('01人员工时'!$D$7:$D$126,INT((ROW()-7)/4)+1))</f>
        <v/>
      </c>
      <c r="E356" s="22">
        <f>IF($D356="","",INDEX('参数设置'!$K$6:$K$9,MOD(ROW()-7,4)+1))</f>
        <v/>
      </c>
      <c r="F356" s="23">
        <f>IF($D356="","",IF($V356&lt;&gt;"",$V356,IFERROR(INDEX('参数设置'!$D$17:$G$26,MATCH($D356,'参数设置'!$C$17:$C$26,0),MATCH($E356,'参数设置'!$D$16:$G$16,0)),0)))</f>
        <v/>
      </c>
      <c r="G356" s="24">
        <f>IF($D356="","",INDEX('01人员工时'!$E$7:$E$126,INT((ROW()-7)/4)+1))</f>
        <v/>
      </c>
      <c r="H356" s="24">
        <f>IF($D356="","",INDEX('01人员工时'!$O$7:$O$126,INT((ROW()-7)/4)+1))</f>
        <v/>
      </c>
      <c r="I356" s="20">
        <f>IF(OR($D356="",$G356=0),"",$H356/$G356)</f>
        <v/>
      </c>
      <c r="J356" s="12">
        <f>IF($D356="","",ROUND($F356,2)-$S356)</f>
        <v/>
      </c>
      <c r="K356" s="12">
        <f>IF(OR($D356="",$G356=0),"",ROUND($F356*INDEX('01人员工时'!G$7:G$126,INT((ROW()-7)/4)+1)/$G356,2))</f>
        <v/>
      </c>
      <c r="L356" s="12">
        <f>IF(OR($D356="",$G356=0),"",ROUND($F356*INDEX('01人员工时'!H$7:H$126,INT((ROW()-7)/4)+1)/$G356,2))</f>
        <v/>
      </c>
      <c r="M356" s="12">
        <f>IF(OR($D356="",$G356=0),"",ROUND($F356*INDEX('01人员工时'!I$7:I$126,INT((ROW()-7)/4)+1)/$G356,2))</f>
        <v/>
      </c>
      <c r="N356" s="12">
        <f>IF(OR($D356="",$G356=0),"",ROUND($F356*INDEX('01人员工时'!J$7:J$126,INT((ROW()-7)/4)+1)/$G356,2))</f>
        <v/>
      </c>
      <c r="O356" s="12">
        <f>IF(OR($D356="",$G356=0),"",ROUND($F356*INDEX('01人员工时'!K$7:K$126,INT((ROW()-7)/4)+1)/$G356,2))</f>
        <v/>
      </c>
      <c r="P356" s="12">
        <f>IF(OR($D356="",$G356=0),"",ROUND($F356*INDEX('01人员工时'!L$7:L$126,INT((ROW()-7)/4)+1)/$G356,2))</f>
        <v/>
      </c>
      <c r="Q356" s="12">
        <f>IF(OR($D356="",$G356=0),"",ROUND($F356*INDEX('01人员工时'!M$7:M$126,INT((ROW()-7)/4)+1)/$G356,2))</f>
        <v/>
      </c>
      <c r="R356" s="12">
        <f>IF(OR($D356="",$G356=0),"",ROUND($F356*INDEX('01人员工时'!N$7:N$126,INT((ROW()-7)/4)+1)/$G356,2))</f>
        <v/>
      </c>
      <c r="S356" s="12">
        <f>IF($D356="","",SUM(K356:R356))</f>
        <v/>
      </c>
      <c r="T356" s="12">
        <f>IF($D356="","",$J356+$S356)</f>
        <v/>
      </c>
      <c r="U356" s="25">
        <f>IF($D356="","",IF($F356=0,"未维护标准",IF(ROUND($T356-$F356,2)=0,"√","差异")))</f>
        <v/>
      </c>
      <c r="V356" s="11" t="n"/>
      <c r="W356" s="9" t="n"/>
    </row>
    <row r="357" ht="18" customHeight="1">
      <c r="B357" s="21">
        <f>IF(INDEX('01人员工时'!$D$7:$D$126,INT((ROW()-7)/4)+1)&amp;""="","",INDEX('01人员工时'!$B$7:$B$126,INT((ROW()-7)/4)+1))</f>
        <v/>
      </c>
      <c r="C357" s="22">
        <f>IF($D357="","",IF(MOD(ROW()-7,4)=0,INDEX('01人员工时'!$C$7:$C$126,INT((ROW()-7)/4)+1),""))</f>
        <v/>
      </c>
      <c r="D357" s="22">
        <f>IF(INDEX('01人员工时'!$D$7:$D$126,INT((ROW()-7)/4)+1)&amp;""="","",INDEX('01人员工时'!$D$7:$D$126,INT((ROW()-7)/4)+1))</f>
        <v/>
      </c>
      <c r="E357" s="22">
        <f>IF($D357="","",INDEX('参数设置'!$K$6:$K$9,MOD(ROW()-7,4)+1))</f>
        <v/>
      </c>
      <c r="F357" s="23">
        <f>IF($D357="","",IF($V357&lt;&gt;"",$V357,IFERROR(INDEX('参数设置'!$D$17:$G$26,MATCH($D357,'参数设置'!$C$17:$C$26,0),MATCH($E357,'参数设置'!$D$16:$G$16,0)),0)))</f>
        <v/>
      </c>
      <c r="G357" s="24">
        <f>IF($D357="","",INDEX('01人员工时'!$E$7:$E$126,INT((ROW()-7)/4)+1))</f>
        <v/>
      </c>
      <c r="H357" s="24">
        <f>IF($D357="","",INDEX('01人员工时'!$O$7:$O$126,INT((ROW()-7)/4)+1))</f>
        <v/>
      </c>
      <c r="I357" s="20">
        <f>IF(OR($D357="",$G357=0),"",$H357/$G357)</f>
        <v/>
      </c>
      <c r="J357" s="12">
        <f>IF($D357="","",ROUND($F357,2)-$S357)</f>
        <v/>
      </c>
      <c r="K357" s="12">
        <f>IF(OR($D357="",$G357=0),"",ROUND($F357*INDEX('01人员工时'!G$7:G$126,INT((ROW()-7)/4)+1)/$G357,2))</f>
        <v/>
      </c>
      <c r="L357" s="12">
        <f>IF(OR($D357="",$G357=0),"",ROUND($F357*INDEX('01人员工时'!H$7:H$126,INT((ROW()-7)/4)+1)/$G357,2))</f>
        <v/>
      </c>
      <c r="M357" s="12">
        <f>IF(OR($D357="",$G357=0),"",ROUND($F357*INDEX('01人员工时'!I$7:I$126,INT((ROW()-7)/4)+1)/$G357,2))</f>
        <v/>
      </c>
      <c r="N357" s="12">
        <f>IF(OR($D357="",$G357=0),"",ROUND($F357*INDEX('01人员工时'!J$7:J$126,INT((ROW()-7)/4)+1)/$G357,2))</f>
        <v/>
      </c>
      <c r="O357" s="12">
        <f>IF(OR($D357="",$G357=0),"",ROUND($F357*INDEX('01人员工时'!K$7:K$126,INT((ROW()-7)/4)+1)/$G357,2))</f>
        <v/>
      </c>
      <c r="P357" s="12">
        <f>IF(OR($D357="",$G357=0),"",ROUND($F357*INDEX('01人员工时'!L$7:L$126,INT((ROW()-7)/4)+1)/$G357,2))</f>
        <v/>
      </c>
      <c r="Q357" s="12">
        <f>IF(OR($D357="",$G357=0),"",ROUND($F357*INDEX('01人员工时'!M$7:M$126,INT((ROW()-7)/4)+1)/$G357,2))</f>
        <v/>
      </c>
      <c r="R357" s="12">
        <f>IF(OR($D357="",$G357=0),"",ROUND($F357*INDEX('01人员工时'!N$7:N$126,INT((ROW()-7)/4)+1)/$G357,2))</f>
        <v/>
      </c>
      <c r="S357" s="12">
        <f>IF($D357="","",SUM(K357:R357))</f>
        <v/>
      </c>
      <c r="T357" s="12">
        <f>IF($D357="","",$J357+$S357)</f>
        <v/>
      </c>
      <c r="U357" s="25">
        <f>IF($D357="","",IF($F357=0,"未维护标准",IF(ROUND($T357-$F357,2)=0,"√","差异")))</f>
        <v/>
      </c>
      <c r="V357" s="11" t="n"/>
      <c r="W357" s="9" t="n"/>
    </row>
    <row r="358" ht="18" customHeight="1">
      <c r="B358" s="26">
        <f>IF(INDEX('01人员工时'!$D$7:$D$126,INT((ROW()-7)/4)+1)&amp;""="","",INDEX('01人员工时'!$B$7:$B$126,INT((ROW()-7)/4)+1))</f>
        <v/>
      </c>
      <c r="C358" s="27">
        <f>IF($D358="","",IF(MOD(ROW()-7,4)=0,INDEX('01人员工时'!$C$7:$C$126,INT((ROW()-7)/4)+1),""))</f>
        <v/>
      </c>
      <c r="D358" s="27">
        <f>IF(INDEX('01人员工时'!$D$7:$D$126,INT((ROW()-7)/4)+1)&amp;""="","",INDEX('01人员工时'!$D$7:$D$126,INT((ROW()-7)/4)+1))</f>
        <v/>
      </c>
      <c r="E358" s="27">
        <f>IF($D358="","",INDEX('参数设置'!$K$6:$K$9,MOD(ROW()-7,4)+1))</f>
        <v/>
      </c>
      <c r="F358" s="28">
        <f>IF($D358="","",IF($V358&lt;&gt;"",$V358,IFERROR(INDEX('参数设置'!$D$17:$G$26,MATCH($D358,'参数设置'!$C$17:$C$26,0),MATCH($E358,'参数设置'!$D$16:$G$16,0)),0)))</f>
        <v/>
      </c>
      <c r="G358" s="29">
        <f>IF($D358="","",INDEX('01人员工时'!$E$7:$E$126,INT((ROW()-7)/4)+1))</f>
        <v/>
      </c>
      <c r="H358" s="29">
        <f>IF($D358="","",INDEX('01人员工时'!$O$7:$O$126,INT((ROW()-7)/4)+1))</f>
        <v/>
      </c>
      <c r="I358" s="30">
        <f>IF(OR($D358="",$G358=0),"",$H358/$G358)</f>
        <v/>
      </c>
      <c r="J358" s="31">
        <f>IF($D358="","",ROUND($F358,2)-$S358)</f>
        <v/>
      </c>
      <c r="K358" s="31">
        <f>IF(OR($D358="",$G358=0),"",ROUND($F358*INDEX('01人员工时'!G$7:G$126,INT((ROW()-7)/4)+1)/$G358,2))</f>
        <v/>
      </c>
      <c r="L358" s="31">
        <f>IF(OR($D358="",$G358=0),"",ROUND($F358*INDEX('01人员工时'!H$7:H$126,INT((ROW()-7)/4)+1)/$G358,2))</f>
        <v/>
      </c>
      <c r="M358" s="31">
        <f>IF(OR($D358="",$G358=0),"",ROUND($F358*INDEX('01人员工时'!I$7:I$126,INT((ROW()-7)/4)+1)/$G358,2))</f>
        <v/>
      </c>
      <c r="N358" s="31">
        <f>IF(OR($D358="",$G358=0),"",ROUND($F358*INDEX('01人员工时'!J$7:J$126,INT((ROW()-7)/4)+1)/$G358,2))</f>
        <v/>
      </c>
      <c r="O358" s="31">
        <f>IF(OR($D358="",$G358=0),"",ROUND($F358*INDEX('01人员工时'!K$7:K$126,INT((ROW()-7)/4)+1)/$G358,2))</f>
        <v/>
      </c>
      <c r="P358" s="31">
        <f>IF(OR($D358="",$G358=0),"",ROUND($F358*INDEX('01人员工时'!L$7:L$126,INT((ROW()-7)/4)+1)/$G358,2))</f>
        <v/>
      </c>
      <c r="Q358" s="31">
        <f>IF(OR($D358="",$G358=0),"",ROUND($F358*INDEX('01人员工时'!M$7:M$126,INT((ROW()-7)/4)+1)/$G358,2))</f>
        <v/>
      </c>
      <c r="R358" s="31">
        <f>IF(OR($D358="",$G358=0),"",ROUND($F358*INDEX('01人员工时'!N$7:N$126,INT((ROW()-7)/4)+1)/$G358,2))</f>
        <v/>
      </c>
      <c r="S358" s="31">
        <f>IF($D358="","",SUM(K358:R358))</f>
        <v/>
      </c>
      <c r="T358" s="31">
        <f>IF($D358="","",$J358+$S358)</f>
        <v/>
      </c>
      <c r="U358" s="32">
        <f>IF($D358="","",IF($F358=0,"未维护标准",IF(ROUND($T358-$F358,2)=0,"√","差异")))</f>
        <v/>
      </c>
      <c r="V358" s="33" t="n"/>
      <c r="W358" s="34" t="n"/>
    </row>
    <row r="359" ht="18" customHeight="1">
      <c r="B359" s="21">
        <f>IF(INDEX('01人员工时'!$D$7:$D$126,INT((ROW()-7)/4)+1)&amp;""="","",INDEX('01人员工时'!$B$7:$B$126,INT((ROW()-7)/4)+1))</f>
        <v/>
      </c>
      <c r="C359" s="22">
        <f>IF($D359="","",IF(MOD(ROW()-7,4)=0,INDEX('01人员工时'!$C$7:$C$126,INT((ROW()-7)/4)+1),""))</f>
        <v/>
      </c>
      <c r="D359" s="22">
        <f>IF(INDEX('01人员工时'!$D$7:$D$126,INT((ROW()-7)/4)+1)&amp;""="","",INDEX('01人员工时'!$D$7:$D$126,INT((ROW()-7)/4)+1))</f>
        <v/>
      </c>
      <c r="E359" s="22">
        <f>IF($D359="","",INDEX('参数设置'!$K$6:$K$9,MOD(ROW()-7,4)+1))</f>
        <v/>
      </c>
      <c r="F359" s="23">
        <f>IF($D359="","",IF($V359&lt;&gt;"",$V359,IFERROR(INDEX('参数设置'!$D$17:$G$26,MATCH($D359,'参数设置'!$C$17:$C$26,0),MATCH($E359,'参数设置'!$D$16:$G$16,0)),0)))</f>
        <v/>
      </c>
      <c r="G359" s="24">
        <f>IF($D359="","",INDEX('01人员工时'!$E$7:$E$126,INT((ROW()-7)/4)+1))</f>
        <v/>
      </c>
      <c r="H359" s="24">
        <f>IF($D359="","",INDEX('01人员工时'!$O$7:$O$126,INT((ROW()-7)/4)+1))</f>
        <v/>
      </c>
      <c r="I359" s="20">
        <f>IF(OR($D359="",$G359=0),"",$H359/$G359)</f>
        <v/>
      </c>
      <c r="J359" s="12">
        <f>IF($D359="","",ROUND($F359,2)-$S359)</f>
        <v/>
      </c>
      <c r="K359" s="12">
        <f>IF(OR($D359="",$G359=0),"",ROUND($F359*INDEX('01人员工时'!G$7:G$126,INT((ROW()-7)/4)+1)/$G359,2))</f>
        <v/>
      </c>
      <c r="L359" s="12">
        <f>IF(OR($D359="",$G359=0),"",ROUND($F359*INDEX('01人员工时'!H$7:H$126,INT((ROW()-7)/4)+1)/$G359,2))</f>
        <v/>
      </c>
      <c r="M359" s="12">
        <f>IF(OR($D359="",$G359=0),"",ROUND($F359*INDEX('01人员工时'!I$7:I$126,INT((ROW()-7)/4)+1)/$G359,2))</f>
        <v/>
      </c>
      <c r="N359" s="12">
        <f>IF(OR($D359="",$G359=0),"",ROUND($F359*INDEX('01人员工时'!J$7:J$126,INT((ROW()-7)/4)+1)/$G359,2))</f>
        <v/>
      </c>
      <c r="O359" s="12">
        <f>IF(OR($D359="",$G359=0),"",ROUND($F359*INDEX('01人员工时'!K$7:K$126,INT((ROW()-7)/4)+1)/$G359,2))</f>
        <v/>
      </c>
      <c r="P359" s="12">
        <f>IF(OR($D359="",$G359=0),"",ROUND($F359*INDEX('01人员工时'!L$7:L$126,INT((ROW()-7)/4)+1)/$G359,2))</f>
        <v/>
      </c>
      <c r="Q359" s="12">
        <f>IF(OR($D359="",$G359=0),"",ROUND($F359*INDEX('01人员工时'!M$7:M$126,INT((ROW()-7)/4)+1)/$G359,2))</f>
        <v/>
      </c>
      <c r="R359" s="12">
        <f>IF(OR($D359="",$G359=0),"",ROUND($F359*INDEX('01人员工时'!N$7:N$126,INT((ROW()-7)/4)+1)/$G359,2))</f>
        <v/>
      </c>
      <c r="S359" s="12">
        <f>IF($D359="","",SUM(K359:R359))</f>
        <v/>
      </c>
      <c r="T359" s="12">
        <f>IF($D359="","",$J359+$S359)</f>
        <v/>
      </c>
      <c r="U359" s="25">
        <f>IF($D359="","",IF($F359=0,"未维护标准",IF(ROUND($T359-$F359,2)=0,"√","差异")))</f>
        <v/>
      </c>
      <c r="V359" s="11" t="n"/>
      <c r="W359" s="9" t="n"/>
    </row>
    <row r="360" ht="18" customHeight="1">
      <c r="B360" s="21">
        <f>IF(INDEX('01人员工时'!$D$7:$D$126,INT((ROW()-7)/4)+1)&amp;""="","",INDEX('01人员工时'!$B$7:$B$126,INT((ROW()-7)/4)+1))</f>
        <v/>
      </c>
      <c r="C360" s="22">
        <f>IF($D360="","",IF(MOD(ROW()-7,4)=0,INDEX('01人员工时'!$C$7:$C$126,INT((ROW()-7)/4)+1),""))</f>
        <v/>
      </c>
      <c r="D360" s="22">
        <f>IF(INDEX('01人员工时'!$D$7:$D$126,INT((ROW()-7)/4)+1)&amp;""="","",INDEX('01人员工时'!$D$7:$D$126,INT((ROW()-7)/4)+1))</f>
        <v/>
      </c>
      <c r="E360" s="22">
        <f>IF($D360="","",INDEX('参数设置'!$K$6:$K$9,MOD(ROW()-7,4)+1))</f>
        <v/>
      </c>
      <c r="F360" s="23">
        <f>IF($D360="","",IF($V360&lt;&gt;"",$V360,IFERROR(INDEX('参数设置'!$D$17:$G$26,MATCH($D360,'参数设置'!$C$17:$C$26,0),MATCH($E360,'参数设置'!$D$16:$G$16,0)),0)))</f>
        <v/>
      </c>
      <c r="G360" s="24">
        <f>IF($D360="","",INDEX('01人员工时'!$E$7:$E$126,INT((ROW()-7)/4)+1))</f>
        <v/>
      </c>
      <c r="H360" s="24">
        <f>IF($D360="","",INDEX('01人员工时'!$O$7:$O$126,INT((ROW()-7)/4)+1))</f>
        <v/>
      </c>
      <c r="I360" s="20">
        <f>IF(OR($D360="",$G360=0),"",$H360/$G360)</f>
        <v/>
      </c>
      <c r="J360" s="12">
        <f>IF($D360="","",ROUND($F360,2)-$S360)</f>
        <v/>
      </c>
      <c r="K360" s="12">
        <f>IF(OR($D360="",$G360=0),"",ROUND($F360*INDEX('01人员工时'!G$7:G$126,INT((ROW()-7)/4)+1)/$G360,2))</f>
        <v/>
      </c>
      <c r="L360" s="12">
        <f>IF(OR($D360="",$G360=0),"",ROUND($F360*INDEX('01人员工时'!H$7:H$126,INT((ROW()-7)/4)+1)/$G360,2))</f>
        <v/>
      </c>
      <c r="M360" s="12">
        <f>IF(OR($D360="",$G360=0),"",ROUND($F360*INDEX('01人员工时'!I$7:I$126,INT((ROW()-7)/4)+1)/$G360,2))</f>
        <v/>
      </c>
      <c r="N360" s="12">
        <f>IF(OR($D360="",$G360=0),"",ROUND($F360*INDEX('01人员工时'!J$7:J$126,INT((ROW()-7)/4)+1)/$G360,2))</f>
        <v/>
      </c>
      <c r="O360" s="12">
        <f>IF(OR($D360="",$G360=0),"",ROUND($F360*INDEX('01人员工时'!K$7:K$126,INT((ROW()-7)/4)+1)/$G360,2))</f>
        <v/>
      </c>
      <c r="P360" s="12">
        <f>IF(OR($D360="",$G360=0),"",ROUND($F360*INDEX('01人员工时'!L$7:L$126,INT((ROW()-7)/4)+1)/$G360,2))</f>
        <v/>
      </c>
      <c r="Q360" s="12">
        <f>IF(OR($D360="",$G360=0),"",ROUND($F360*INDEX('01人员工时'!M$7:M$126,INT((ROW()-7)/4)+1)/$G360,2))</f>
        <v/>
      </c>
      <c r="R360" s="12">
        <f>IF(OR($D360="",$G360=0),"",ROUND($F360*INDEX('01人员工时'!N$7:N$126,INT((ROW()-7)/4)+1)/$G360,2))</f>
        <v/>
      </c>
      <c r="S360" s="12">
        <f>IF($D360="","",SUM(K360:R360))</f>
        <v/>
      </c>
      <c r="T360" s="12">
        <f>IF($D360="","",$J360+$S360)</f>
        <v/>
      </c>
      <c r="U360" s="25">
        <f>IF($D360="","",IF($F360=0,"未维护标准",IF(ROUND($T360-$F360,2)=0,"√","差异")))</f>
        <v/>
      </c>
      <c r="V360" s="11" t="n"/>
      <c r="W360" s="9" t="n"/>
    </row>
    <row r="361" ht="18" customHeight="1">
      <c r="B361" s="21">
        <f>IF(INDEX('01人员工时'!$D$7:$D$126,INT((ROW()-7)/4)+1)&amp;""="","",INDEX('01人员工时'!$B$7:$B$126,INT((ROW()-7)/4)+1))</f>
        <v/>
      </c>
      <c r="C361" s="22">
        <f>IF($D361="","",IF(MOD(ROW()-7,4)=0,INDEX('01人员工时'!$C$7:$C$126,INT((ROW()-7)/4)+1),""))</f>
        <v/>
      </c>
      <c r="D361" s="22">
        <f>IF(INDEX('01人员工时'!$D$7:$D$126,INT((ROW()-7)/4)+1)&amp;""="","",INDEX('01人员工时'!$D$7:$D$126,INT((ROW()-7)/4)+1))</f>
        <v/>
      </c>
      <c r="E361" s="22">
        <f>IF($D361="","",INDEX('参数设置'!$K$6:$K$9,MOD(ROW()-7,4)+1))</f>
        <v/>
      </c>
      <c r="F361" s="23">
        <f>IF($D361="","",IF($V361&lt;&gt;"",$V361,IFERROR(INDEX('参数设置'!$D$17:$G$26,MATCH($D361,'参数设置'!$C$17:$C$26,0),MATCH($E361,'参数设置'!$D$16:$G$16,0)),0)))</f>
        <v/>
      </c>
      <c r="G361" s="24">
        <f>IF($D361="","",INDEX('01人员工时'!$E$7:$E$126,INT((ROW()-7)/4)+1))</f>
        <v/>
      </c>
      <c r="H361" s="24">
        <f>IF($D361="","",INDEX('01人员工时'!$O$7:$O$126,INT((ROW()-7)/4)+1))</f>
        <v/>
      </c>
      <c r="I361" s="20">
        <f>IF(OR($D361="",$G361=0),"",$H361/$G361)</f>
        <v/>
      </c>
      <c r="J361" s="12">
        <f>IF($D361="","",ROUND($F361,2)-$S361)</f>
        <v/>
      </c>
      <c r="K361" s="12">
        <f>IF(OR($D361="",$G361=0),"",ROUND($F361*INDEX('01人员工时'!G$7:G$126,INT((ROW()-7)/4)+1)/$G361,2))</f>
        <v/>
      </c>
      <c r="L361" s="12">
        <f>IF(OR($D361="",$G361=0),"",ROUND($F361*INDEX('01人员工时'!H$7:H$126,INT((ROW()-7)/4)+1)/$G361,2))</f>
        <v/>
      </c>
      <c r="M361" s="12">
        <f>IF(OR($D361="",$G361=0),"",ROUND($F361*INDEX('01人员工时'!I$7:I$126,INT((ROW()-7)/4)+1)/$G361,2))</f>
        <v/>
      </c>
      <c r="N361" s="12">
        <f>IF(OR($D361="",$G361=0),"",ROUND($F361*INDEX('01人员工时'!J$7:J$126,INT((ROW()-7)/4)+1)/$G361,2))</f>
        <v/>
      </c>
      <c r="O361" s="12">
        <f>IF(OR($D361="",$G361=0),"",ROUND($F361*INDEX('01人员工时'!K$7:K$126,INT((ROW()-7)/4)+1)/$G361,2))</f>
        <v/>
      </c>
      <c r="P361" s="12">
        <f>IF(OR($D361="",$G361=0),"",ROUND($F361*INDEX('01人员工时'!L$7:L$126,INT((ROW()-7)/4)+1)/$G361,2))</f>
        <v/>
      </c>
      <c r="Q361" s="12">
        <f>IF(OR($D361="",$G361=0),"",ROUND($F361*INDEX('01人员工时'!M$7:M$126,INT((ROW()-7)/4)+1)/$G361,2))</f>
        <v/>
      </c>
      <c r="R361" s="12">
        <f>IF(OR($D361="",$G361=0),"",ROUND($F361*INDEX('01人员工时'!N$7:N$126,INT((ROW()-7)/4)+1)/$G361,2))</f>
        <v/>
      </c>
      <c r="S361" s="12">
        <f>IF($D361="","",SUM(K361:R361))</f>
        <v/>
      </c>
      <c r="T361" s="12">
        <f>IF($D361="","",$J361+$S361)</f>
        <v/>
      </c>
      <c r="U361" s="25">
        <f>IF($D361="","",IF($F361=0,"未维护标准",IF(ROUND($T361-$F361,2)=0,"√","差异")))</f>
        <v/>
      </c>
      <c r="V361" s="11" t="n"/>
      <c r="W361" s="9" t="n"/>
    </row>
    <row r="362" ht="18" customHeight="1">
      <c r="B362" s="26">
        <f>IF(INDEX('01人员工时'!$D$7:$D$126,INT((ROW()-7)/4)+1)&amp;""="","",INDEX('01人员工时'!$B$7:$B$126,INT((ROW()-7)/4)+1))</f>
        <v/>
      </c>
      <c r="C362" s="27">
        <f>IF($D362="","",IF(MOD(ROW()-7,4)=0,INDEX('01人员工时'!$C$7:$C$126,INT((ROW()-7)/4)+1),""))</f>
        <v/>
      </c>
      <c r="D362" s="27">
        <f>IF(INDEX('01人员工时'!$D$7:$D$126,INT((ROW()-7)/4)+1)&amp;""="","",INDEX('01人员工时'!$D$7:$D$126,INT((ROW()-7)/4)+1))</f>
        <v/>
      </c>
      <c r="E362" s="27">
        <f>IF($D362="","",INDEX('参数设置'!$K$6:$K$9,MOD(ROW()-7,4)+1))</f>
        <v/>
      </c>
      <c r="F362" s="28">
        <f>IF($D362="","",IF($V362&lt;&gt;"",$V362,IFERROR(INDEX('参数设置'!$D$17:$G$26,MATCH($D362,'参数设置'!$C$17:$C$26,0),MATCH($E362,'参数设置'!$D$16:$G$16,0)),0)))</f>
        <v/>
      </c>
      <c r="G362" s="29">
        <f>IF($D362="","",INDEX('01人员工时'!$E$7:$E$126,INT((ROW()-7)/4)+1))</f>
        <v/>
      </c>
      <c r="H362" s="29">
        <f>IF($D362="","",INDEX('01人员工时'!$O$7:$O$126,INT((ROW()-7)/4)+1))</f>
        <v/>
      </c>
      <c r="I362" s="30">
        <f>IF(OR($D362="",$G362=0),"",$H362/$G362)</f>
        <v/>
      </c>
      <c r="J362" s="31">
        <f>IF($D362="","",ROUND($F362,2)-$S362)</f>
        <v/>
      </c>
      <c r="K362" s="31">
        <f>IF(OR($D362="",$G362=0),"",ROUND($F362*INDEX('01人员工时'!G$7:G$126,INT((ROW()-7)/4)+1)/$G362,2))</f>
        <v/>
      </c>
      <c r="L362" s="31">
        <f>IF(OR($D362="",$G362=0),"",ROUND($F362*INDEX('01人员工时'!H$7:H$126,INT((ROW()-7)/4)+1)/$G362,2))</f>
        <v/>
      </c>
      <c r="M362" s="31">
        <f>IF(OR($D362="",$G362=0),"",ROUND($F362*INDEX('01人员工时'!I$7:I$126,INT((ROW()-7)/4)+1)/$G362,2))</f>
        <v/>
      </c>
      <c r="N362" s="31">
        <f>IF(OR($D362="",$G362=0),"",ROUND($F362*INDEX('01人员工时'!J$7:J$126,INT((ROW()-7)/4)+1)/$G362,2))</f>
        <v/>
      </c>
      <c r="O362" s="31">
        <f>IF(OR($D362="",$G362=0),"",ROUND($F362*INDEX('01人员工时'!K$7:K$126,INT((ROW()-7)/4)+1)/$G362,2))</f>
        <v/>
      </c>
      <c r="P362" s="31">
        <f>IF(OR($D362="",$G362=0),"",ROUND($F362*INDEX('01人员工时'!L$7:L$126,INT((ROW()-7)/4)+1)/$G362,2))</f>
        <v/>
      </c>
      <c r="Q362" s="31">
        <f>IF(OR($D362="",$G362=0),"",ROUND($F362*INDEX('01人员工时'!M$7:M$126,INT((ROW()-7)/4)+1)/$G362,2))</f>
        <v/>
      </c>
      <c r="R362" s="31">
        <f>IF(OR($D362="",$G362=0),"",ROUND($F362*INDEX('01人员工时'!N$7:N$126,INT((ROW()-7)/4)+1)/$G362,2))</f>
        <v/>
      </c>
      <c r="S362" s="31">
        <f>IF($D362="","",SUM(K362:R362))</f>
        <v/>
      </c>
      <c r="T362" s="31">
        <f>IF($D362="","",$J362+$S362)</f>
        <v/>
      </c>
      <c r="U362" s="32">
        <f>IF($D362="","",IF($F362=0,"未维护标准",IF(ROUND($T362-$F362,2)=0,"√","差异")))</f>
        <v/>
      </c>
      <c r="V362" s="33" t="n"/>
      <c r="W362" s="34" t="n"/>
    </row>
    <row r="363" ht="18" customHeight="1">
      <c r="B363" s="21">
        <f>IF(INDEX('01人员工时'!$D$7:$D$126,INT((ROW()-7)/4)+1)&amp;""="","",INDEX('01人员工时'!$B$7:$B$126,INT((ROW()-7)/4)+1))</f>
        <v/>
      </c>
      <c r="C363" s="22">
        <f>IF($D363="","",IF(MOD(ROW()-7,4)=0,INDEX('01人员工时'!$C$7:$C$126,INT((ROW()-7)/4)+1),""))</f>
        <v/>
      </c>
      <c r="D363" s="22">
        <f>IF(INDEX('01人员工时'!$D$7:$D$126,INT((ROW()-7)/4)+1)&amp;""="","",INDEX('01人员工时'!$D$7:$D$126,INT((ROW()-7)/4)+1))</f>
        <v/>
      </c>
      <c r="E363" s="22">
        <f>IF($D363="","",INDEX('参数设置'!$K$6:$K$9,MOD(ROW()-7,4)+1))</f>
        <v/>
      </c>
      <c r="F363" s="23">
        <f>IF($D363="","",IF($V363&lt;&gt;"",$V363,IFERROR(INDEX('参数设置'!$D$17:$G$26,MATCH($D363,'参数设置'!$C$17:$C$26,0),MATCH($E363,'参数设置'!$D$16:$G$16,0)),0)))</f>
        <v/>
      </c>
      <c r="G363" s="24">
        <f>IF($D363="","",INDEX('01人员工时'!$E$7:$E$126,INT((ROW()-7)/4)+1))</f>
        <v/>
      </c>
      <c r="H363" s="24">
        <f>IF($D363="","",INDEX('01人员工时'!$O$7:$O$126,INT((ROW()-7)/4)+1))</f>
        <v/>
      </c>
      <c r="I363" s="20">
        <f>IF(OR($D363="",$G363=0),"",$H363/$G363)</f>
        <v/>
      </c>
      <c r="J363" s="12">
        <f>IF($D363="","",ROUND($F363,2)-$S363)</f>
        <v/>
      </c>
      <c r="K363" s="12">
        <f>IF(OR($D363="",$G363=0),"",ROUND($F363*INDEX('01人员工时'!G$7:G$126,INT((ROW()-7)/4)+1)/$G363,2))</f>
        <v/>
      </c>
      <c r="L363" s="12">
        <f>IF(OR($D363="",$G363=0),"",ROUND($F363*INDEX('01人员工时'!H$7:H$126,INT((ROW()-7)/4)+1)/$G363,2))</f>
        <v/>
      </c>
      <c r="M363" s="12">
        <f>IF(OR($D363="",$G363=0),"",ROUND($F363*INDEX('01人员工时'!I$7:I$126,INT((ROW()-7)/4)+1)/$G363,2))</f>
        <v/>
      </c>
      <c r="N363" s="12">
        <f>IF(OR($D363="",$G363=0),"",ROUND($F363*INDEX('01人员工时'!J$7:J$126,INT((ROW()-7)/4)+1)/$G363,2))</f>
        <v/>
      </c>
      <c r="O363" s="12">
        <f>IF(OR($D363="",$G363=0),"",ROUND($F363*INDEX('01人员工时'!K$7:K$126,INT((ROW()-7)/4)+1)/$G363,2))</f>
        <v/>
      </c>
      <c r="P363" s="12">
        <f>IF(OR($D363="",$G363=0),"",ROUND($F363*INDEX('01人员工时'!L$7:L$126,INT((ROW()-7)/4)+1)/$G363,2))</f>
        <v/>
      </c>
      <c r="Q363" s="12">
        <f>IF(OR($D363="",$G363=0),"",ROUND($F363*INDEX('01人员工时'!M$7:M$126,INT((ROW()-7)/4)+1)/$G363,2))</f>
        <v/>
      </c>
      <c r="R363" s="12">
        <f>IF(OR($D363="",$G363=0),"",ROUND($F363*INDEX('01人员工时'!N$7:N$126,INT((ROW()-7)/4)+1)/$G363,2))</f>
        <v/>
      </c>
      <c r="S363" s="12">
        <f>IF($D363="","",SUM(K363:R363))</f>
        <v/>
      </c>
      <c r="T363" s="12">
        <f>IF($D363="","",$J363+$S363)</f>
        <v/>
      </c>
      <c r="U363" s="25">
        <f>IF($D363="","",IF($F363=0,"未维护标准",IF(ROUND($T363-$F363,2)=0,"√","差异")))</f>
        <v/>
      </c>
      <c r="V363" s="11" t="n"/>
      <c r="W363" s="9" t="n"/>
    </row>
    <row r="364" ht="18" customHeight="1">
      <c r="B364" s="21">
        <f>IF(INDEX('01人员工时'!$D$7:$D$126,INT((ROW()-7)/4)+1)&amp;""="","",INDEX('01人员工时'!$B$7:$B$126,INT((ROW()-7)/4)+1))</f>
        <v/>
      </c>
      <c r="C364" s="22">
        <f>IF($D364="","",IF(MOD(ROW()-7,4)=0,INDEX('01人员工时'!$C$7:$C$126,INT((ROW()-7)/4)+1),""))</f>
        <v/>
      </c>
      <c r="D364" s="22">
        <f>IF(INDEX('01人员工时'!$D$7:$D$126,INT((ROW()-7)/4)+1)&amp;""="","",INDEX('01人员工时'!$D$7:$D$126,INT((ROW()-7)/4)+1))</f>
        <v/>
      </c>
      <c r="E364" s="22">
        <f>IF($D364="","",INDEX('参数设置'!$K$6:$K$9,MOD(ROW()-7,4)+1))</f>
        <v/>
      </c>
      <c r="F364" s="23">
        <f>IF($D364="","",IF($V364&lt;&gt;"",$V364,IFERROR(INDEX('参数设置'!$D$17:$G$26,MATCH($D364,'参数设置'!$C$17:$C$26,0),MATCH($E364,'参数设置'!$D$16:$G$16,0)),0)))</f>
        <v/>
      </c>
      <c r="G364" s="24">
        <f>IF($D364="","",INDEX('01人员工时'!$E$7:$E$126,INT((ROW()-7)/4)+1))</f>
        <v/>
      </c>
      <c r="H364" s="24">
        <f>IF($D364="","",INDEX('01人员工时'!$O$7:$O$126,INT((ROW()-7)/4)+1))</f>
        <v/>
      </c>
      <c r="I364" s="20">
        <f>IF(OR($D364="",$G364=0),"",$H364/$G364)</f>
        <v/>
      </c>
      <c r="J364" s="12">
        <f>IF($D364="","",ROUND($F364,2)-$S364)</f>
        <v/>
      </c>
      <c r="K364" s="12">
        <f>IF(OR($D364="",$G364=0),"",ROUND($F364*INDEX('01人员工时'!G$7:G$126,INT((ROW()-7)/4)+1)/$G364,2))</f>
        <v/>
      </c>
      <c r="L364" s="12">
        <f>IF(OR($D364="",$G364=0),"",ROUND($F364*INDEX('01人员工时'!H$7:H$126,INT((ROW()-7)/4)+1)/$G364,2))</f>
        <v/>
      </c>
      <c r="M364" s="12">
        <f>IF(OR($D364="",$G364=0),"",ROUND($F364*INDEX('01人员工时'!I$7:I$126,INT((ROW()-7)/4)+1)/$G364,2))</f>
        <v/>
      </c>
      <c r="N364" s="12">
        <f>IF(OR($D364="",$G364=0),"",ROUND($F364*INDEX('01人员工时'!J$7:J$126,INT((ROW()-7)/4)+1)/$G364,2))</f>
        <v/>
      </c>
      <c r="O364" s="12">
        <f>IF(OR($D364="",$G364=0),"",ROUND($F364*INDEX('01人员工时'!K$7:K$126,INT((ROW()-7)/4)+1)/$G364,2))</f>
        <v/>
      </c>
      <c r="P364" s="12">
        <f>IF(OR($D364="",$G364=0),"",ROUND($F364*INDEX('01人员工时'!L$7:L$126,INT((ROW()-7)/4)+1)/$G364,2))</f>
        <v/>
      </c>
      <c r="Q364" s="12">
        <f>IF(OR($D364="",$G364=0),"",ROUND($F364*INDEX('01人员工时'!M$7:M$126,INT((ROW()-7)/4)+1)/$G364,2))</f>
        <v/>
      </c>
      <c r="R364" s="12">
        <f>IF(OR($D364="",$G364=0),"",ROUND($F364*INDEX('01人员工时'!N$7:N$126,INT((ROW()-7)/4)+1)/$G364,2))</f>
        <v/>
      </c>
      <c r="S364" s="12">
        <f>IF($D364="","",SUM(K364:R364))</f>
        <v/>
      </c>
      <c r="T364" s="12">
        <f>IF($D364="","",$J364+$S364)</f>
        <v/>
      </c>
      <c r="U364" s="25">
        <f>IF($D364="","",IF($F364=0,"未维护标准",IF(ROUND($T364-$F364,2)=0,"√","差异")))</f>
        <v/>
      </c>
      <c r="V364" s="11" t="n"/>
      <c r="W364" s="9" t="n"/>
    </row>
    <row r="365" ht="18" customHeight="1">
      <c r="B365" s="21">
        <f>IF(INDEX('01人员工时'!$D$7:$D$126,INT((ROW()-7)/4)+1)&amp;""="","",INDEX('01人员工时'!$B$7:$B$126,INT((ROW()-7)/4)+1))</f>
        <v/>
      </c>
      <c r="C365" s="22">
        <f>IF($D365="","",IF(MOD(ROW()-7,4)=0,INDEX('01人员工时'!$C$7:$C$126,INT((ROW()-7)/4)+1),""))</f>
        <v/>
      </c>
      <c r="D365" s="22">
        <f>IF(INDEX('01人员工时'!$D$7:$D$126,INT((ROW()-7)/4)+1)&amp;""="","",INDEX('01人员工时'!$D$7:$D$126,INT((ROW()-7)/4)+1))</f>
        <v/>
      </c>
      <c r="E365" s="22">
        <f>IF($D365="","",INDEX('参数设置'!$K$6:$K$9,MOD(ROW()-7,4)+1))</f>
        <v/>
      </c>
      <c r="F365" s="23">
        <f>IF($D365="","",IF($V365&lt;&gt;"",$V365,IFERROR(INDEX('参数设置'!$D$17:$G$26,MATCH($D365,'参数设置'!$C$17:$C$26,0),MATCH($E365,'参数设置'!$D$16:$G$16,0)),0)))</f>
        <v/>
      </c>
      <c r="G365" s="24">
        <f>IF($D365="","",INDEX('01人员工时'!$E$7:$E$126,INT((ROW()-7)/4)+1))</f>
        <v/>
      </c>
      <c r="H365" s="24">
        <f>IF($D365="","",INDEX('01人员工时'!$O$7:$O$126,INT((ROW()-7)/4)+1))</f>
        <v/>
      </c>
      <c r="I365" s="20">
        <f>IF(OR($D365="",$G365=0),"",$H365/$G365)</f>
        <v/>
      </c>
      <c r="J365" s="12">
        <f>IF($D365="","",ROUND($F365,2)-$S365)</f>
        <v/>
      </c>
      <c r="K365" s="12">
        <f>IF(OR($D365="",$G365=0),"",ROUND($F365*INDEX('01人员工时'!G$7:G$126,INT((ROW()-7)/4)+1)/$G365,2))</f>
        <v/>
      </c>
      <c r="L365" s="12">
        <f>IF(OR($D365="",$G365=0),"",ROUND($F365*INDEX('01人员工时'!H$7:H$126,INT((ROW()-7)/4)+1)/$G365,2))</f>
        <v/>
      </c>
      <c r="M365" s="12">
        <f>IF(OR($D365="",$G365=0),"",ROUND($F365*INDEX('01人员工时'!I$7:I$126,INT((ROW()-7)/4)+1)/$G365,2))</f>
        <v/>
      </c>
      <c r="N365" s="12">
        <f>IF(OR($D365="",$G365=0),"",ROUND($F365*INDEX('01人员工时'!J$7:J$126,INT((ROW()-7)/4)+1)/$G365,2))</f>
        <v/>
      </c>
      <c r="O365" s="12">
        <f>IF(OR($D365="",$G365=0),"",ROUND($F365*INDEX('01人员工时'!K$7:K$126,INT((ROW()-7)/4)+1)/$G365,2))</f>
        <v/>
      </c>
      <c r="P365" s="12">
        <f>IF(OR($D365="",$G365=0),"",ROUND($F365*INDEX('01人员工时'!L$7:L$126,INT((ROW()-7)/4)+1)/$G365,2))</f>
        <v/>
      </c>
      <c r="Q365" s="12">
        <f>IF(OR($D365="",$G365=0),"",ROUND($F365*INDEX('01人员工时'!M$7:M$126,INT((ROW()-7)/4)+1)/$G365,2))</f>
        <v/>
      </c>
      <c r="R365" s="12">
        <f>IF(OR($D365="",$G365=0),"",ROUND($F365*INDEX('01人员工时'!N$7:N$126,INT((ROW()-7)/4)+1)/$G365,2))</f>
        <v/>
      </c>
      <c r="S365" s="12">
        <f>IF($D365="","",SUM(K365:R365))</f>
        <v/>
      </c>
      <c r="T365" s="12">
        <f>IF($D365="","",$J365+$S365)</f>
        <v/>
      </c>
      <c r="U365" s="25">
        <f>IF($D365="","",IF($F365=0,"未维护标准",IF(ROUND($T365-$F365,2)=0,"√","差异")))</f>
        <v/>
      </c>
      <c r="V365" s="11" t="n"/>
      <c r="W365" s="9" t="n"/>
    </row>
    <row r="366" ht="18" customHeight="1">
      <c r="B366" s="26">
        <f>IF(INDEX('01人员工时'!$D$7:$D$126,INT((ROW()-7)/4)+1)&amp;""="","",INDEX('01人员工时'!$B$7:$B$126,INT((ROW()-7)/4)+1))</f>
        <v/>
      </c>
      <c r="C366" s="27">
        <f>IF($D366="","",IF(MOD(ROW()-7,4)=0,INDEX('01人员工时'!$C$7:$C$126,INT((ROW()-7)/4)+1),""))</f>
        <v/>
      </c>
      <c r="D366" s="27">
        <f>IF(INDEX('01人员工时'!$D$7:$D$126,INT((ROW()-7)/4)+1)&amp;""="","",INDEX('01人员工时'!$D$7:$D$126,INT((ROW()-7)/4)+1))</f>
        <v/>
      </c>
      <c r="E366" s="27">
        <f>IF($D366="","",INDEX('参数设置'!$K$6:$K$9,MOD(ROW()-7,4)+1))</f>
        <v/>
      </c>
      <c r="F366" s="28">
        <f>IF($D366="","",IF($V366&lt;&gt;"",$V366,IFERROR(INDEX('参数设置'!$D$17:$G$26,MATCH($D366,'参数设置'!$C$17:$C$26,0),MATCH($E366,'参数设置'!$D$16:$G$16,0)),0)))</f>
        <v/>
      </c>
      <c r="G366" s="29">
        <f>IF($D366="","",INDEX('01人员工时'!$E$7:$E$126,INT((ROW()-7)/4)+1))</f>
        <v/>
      </c>
      <c r="H366" s="29">
        <f>IF($D366="","",INDEX('01人员工时'!$O$7:$O$126,INT((ROW()-7)/4)+1))</f>
        <v/>
      </c>
      <c r="I366" s="30">
        <f>IF(OR($D366="",$G366=0),"",$H366/$G366)</f>
        <v/>
      </c>
      <c r="J366" s="31">
        <f>IF($D366="","",ROUND($F366,2)-$S366)</f>
        <v/>
      </c>
      <c r="K366" s="31">
        <f>IF(OR($D366="",$G366=0),"",ROUND($F366*INDEX('01人员工时'!G$7:G$126,INT((ROW()-7)/4)+1)/$G366,2))</f>
        <v/>
      </c>
      <c r="L366" s="31">
        <f>IF(OR($D366="",$G366=0),"",ROUND($F366*INDEX('01人员工时'!H$7:H$126,INT((ROW()-7)/4)+1)/$G366,2))</f>
        <v/>
      </c>
      <c r="M366" s="31">
        <f>IF(OR($D366="",$G366=0),"",ROUND($F366*INDEX('01人员工时'!I$7:I$126,INT((ROW()-7)/4)+1)/$G366,2))</f>
        <v/>
      </c>
      <c r="N366" s="31">
        <f>IF(OR($D366="",$G366=0),"",ROUND($F366*INDEX('01人员工时'!J$7:J$126,INT((ROW()-7)/4)+1)/$G366,2))</f>
        <v/>
      </c>
      <c r="O366" s="31">
        <f>IF(OR($D366="",$G366=0),"",ROUND($F366*INDEX('01人员工时'!K$7:K$126,INT((ROW()-7)/4)+1)/$G366,2))</f>
        <v/>
      </c>
      <c r="P366" s="31">
        <f>IF(OR($D366="",$G366=0),"",ROUND($F366*INDEX('01人员工时'!L$7:L$126,INT((ROW()-7)/4)+1)/$G366,2))</f>
        <v/>
      </c>
      <c r="Q366" s="31">
        <f>IF(OR($D366="",$G366=0),"",ROUND($F366*INDEX('01人员工时'!M$7:M$126,INT((ROW()-7)/4)+1)/$G366,2))</f>
        <v/>
      </c>
      <c r="R366" s="31">
        <f>IF(OR($D366="",$G366=0),"",ROUND($F366*INDEX('01人员工时'!N$7:N$126,INT((ROW()-7)/4)+1)/$G366,2))</f>
        <v/>
      </c>
      <c r="S366" s="31">
        <f>IF($D366="","",SUM(K366:R366))</f>
        <v/>
      </c>
      <c r="T366" s="31">
        <f>IF($D366="","",$J366+$S366)</f>
        <v/>
      </c>
      <c r="U366" s="32">
        <f>IF($D366="","",IF($F366=0,"未维护标准",IF(ROUND($T366-$F366,2)=0,"√","差异")))</f>
        <v/>
      </c>
      <c r="V366" s="33" t="n"/>
      <c r="W366" s="34" t="n"/>
    </row>
    <row r="367" ht="18" customHeight="1">
      <c r="B367" s="21">
        <f>IF(INDEX('01人员工时'!$D$7:$D$126,INT((ROW()-7)/4)+1)&amp;""="","",INDEX('01人员工时'!$B$7:$B$126,INT((ROW()-7)/4)+1))</f>
        <v/>
      </c>
      <c r="C367" s="22">
        <f>IF($D367="","",IF(MOD(ROW()-7,4)=0,INDEX('01人员工时'!$C$7:$C$126,INT((ROW()-7)/4)+1),""))</f>
        <v/>
      </c>
      <c r="D367" s="22">
        <f>IF(INDEX('01人员工时'!$D$7:$D$126,INT((ROW()-7)/4)+1)&amp;""="","",INDEX('01人员工时'!$D$7:$D$126,INT((ROW()-7)/4)+1))</f>
        <v/>
      </c>
      <c r="E367" s="22">
        <f>IF($D367="","",INDEX('参数设置'!$K$6:$K$9,MOD(ROW()-7,4)+1))</f>
        <v/>
      </c>
      <c r="F367" s="23">
        <f>IF($D367="","",IF($V367&lt;&gt;"",$V367,IFERROR(INDEX('参数设置'!$D$17:$G$26,MATCH($D367,'参数设置'!$C$17:$C$26,0),MATCH($E367,'参数设置'!$D$16:$G$16,0)),0)))</f>
        <v/>
      </c>
      <c r="G367" s="24">
        <f>IF($D367="","",INDEX('01人员工时'!$E$7:$E$126,INT((ROW()-7)/4)+1))</f>
        <v/>
      </c>
      <c r="H367" s="24">
        <f>IF($D367="","",INDEX('01人员工时'!$O$7:$O$126,INT((ROW()-7)/4)+1))</f>
        <v/>
      </c>
      <c r="I367" s="20">
        <f>IF(OR($D367="",$G367=0),"",$H367/$G367)</f>
        <v/>
      </c>
      <c r="J367" s="12">
        <f>IF($D367="","",ROUND($F367,2)-$S367)</f>
        <v/>
      </c>
      <c r="K367" s="12">
        <f>IF(OR($D367="",$G367=0),"",ROUND($F367*INDEX('01人员工时'!G$7:G$126,INT((ROW()-7)/4)+1)/$G367,2))</f>
        <v/>
      </c>
      <c r="L367" s="12">
        <f>IF(OR($D367="",$G367=0),"",ROUND($F367*INDEX('01人员工时'!H$7:H$126,INT((ROW()-7)/4)+1)/$G367,2))</f>
        <v/>
      </c>
      <c r="M367" s="12">
        <f>IF(OR($D367="",$G367=0),"",ROUND($F367*INDEX('01人员工时'!I$7:I$126,INT((ROW()-7)/4)+1)/$G367,2))</f>
        <v/>
      </c>
      <c r="N367" s="12">
        <f>IF(OR($D367="",$G367=0),"",ROUND($F367*INDEX('01人员工时'!J$7:J$126,INT((ROW()-7)/4)+1)/$G367,2))</f>
        <v/>
      </c>
      <c r="O367" s="12">
        <f>IF(OR($D367="",$G367=0),"",ROUND($F367*INDEX('01人员工时'!K$7:K$126,INT((ROW()-7)/4)+1)/$G367,2))</f>
        <v/>
      </c>
      <c r="P367" s="12">
        <f>IF(OR($D367="",$G367=0),"",ROUND($F367*INDEX('01人员工时'!L$7:L$126,INT((ROW()-7)/4)+1)/$G367,2))</f>
        <v/>
      </c>
      <c r="Q367" s="12">
        <f>IF(OR($D367="",$G367=0),"",ROUND($F367*INDEX('01人员工时'!M$7:M$126,INT((ROW()-7)/4)+1)/$G367,2))</f>
        <v/>
      </c>
      <c r="R367" s="12">
        <f>IF(OR($D367="",$G367=0),"",ROUND($F367*INDEX('01人员工时'!N$7:N$126,INT((ROW()-7)/4)+1)/$G367,2))</f>
        <v/>
      </c>
      <c r="S367" s="12">
        <f>IF($D367="","",SUM(K367:R367))</f>
        <v/>
      </c>
      <c r="T367" s="12">
        <f>IF($D367="","",$J367+$S367)</f>
        <v/>
      </c>
      <c r="U367" s="25">
        <f>IF($D367="","",IF($F367=0,"未维护标准",IF(ROUND($T367-$F367,2)=0,"√","差异")))</f>
        <v/>
      </c>
      <c r="V367" s="11" t="n"/>
      <c r="W367" s="9" t="n"/>
    </row>
    <row r="368" ht="18" customHeight="1">
      <c r="B368" s="21">
        <f>IF(INDEX('01人员工时'!$D$7:$D$126,INT((ROW()-7)/4)+1)&amp;""="","",INDEX('01人员工时'!$B$7:$B$126,INT((ROW()-7)/4)+1))</f>
        <v/>
      </c>
      <c r="C368" s="22">
        <f>IF($D368="","",IF(MOD(ROW()-7,4)=0,INDEX('01人员工时'!$C$7:$C$126,INT((ROW()-7)/4)+1),""))</f>
        <v/>
      </c>
      <c r="D368" s="22">
        <f>IF(INDEX('01人员工时'!$D$7:$D$126,INT((ROW()-7)/4)+1)&amp;""="","",INDEX('01人员工时'!$D$7:$D$126,INT((ROW()-7)/4)+1))</f>
        <v/>
      </c>
      <c r="E368" s="22">
        <f>IF($D368="","",INDEX('参数设置'!$K$6:$K$9,MOD(ROW()-7,4)+1))</f>
        <v/>
      </c>
      <c r="F368" s="23">
        <f>IF($D368="","",IF($V368&lt;&gt;"",$V368,IFERROR(INDEX('参数设置'!$D$17:$G$26,MATCH($D368,'参数设置'!$C$17:$C$26,0),MATCH($E368,'参数设置'!$D$16:$G$16,0)),0)))</f>
        <v/>
      </c>
      <c r="G368" s="24">
        <f>IF($D368="","",INDEX('01人员工时'!$E$7:$E$126,INT((ROW()-7)/4)+1))</f>
        <v/>
      </c>
      <c r="H368" s="24">
        <f>IF($D368="","",INDEX('01人员工时'!$O$7:$O$126,INT((ROW()-7)/4)+1))</f>
        <v/>
      </c>
      <c r="I368" s="20">
        <f>IF(OR($D368="",$G368=0),"",$H368/$G368)</f>
        <v/>
      </c>
      <c r="J368" s="12">
        <f>IF($D368="","",ROUND($F368,2)-$S368)</f>
        <v/>
      </c>
      <c r="K368" s="12">
        <f>IF(OR($D368="",$G368=0),"",ROUND($F368*INDEX('01人员工时'!G$7:G$126,INT((ROW()-7)/4)+1)/$G368,2))</f>
        <v/>
      </c>
      <c r="L368" s="12">
        <f>IF(OR($D368="",$G368=0),"",ROUND($F368*INDEX('01人员工时'!H$7:H$126,INT((ROW()-7)/4)+1)/$G368,2))</f>
        <v/>
      </c>
      <c r="M368" s="12">
        <f>IF(OR($D368="",$G368=0),"",ROUND($F368*INDEX('01人员工时'!I$7:I$126,INT((ROW()-7)/4)+1)/$G368,2))</f>
        <v/>
      </c>
      <c r="N368" s="12">
        <f>IF(OR($D368="",$G368=0),"",ROUND($F368*INDEX('01人员工时'!J$7:J$126,INT((ROW()-7)/4)+1)/$G368,2))</f>
        <v/>
      </c>
      <c r="O368" s="12">
        <f>IF(OR($D368="",$G368=0),"",ROUND($F368*INDEX('01人员工时'!K$7:K$126,INT((ROW()-7)/4)+1)/$G368,2))</f>
        <v/>
      </c>
      <c r="P368" s="12">
        <f>IF(OR($D368="",$G368=0),"",ROUND($F368*INDEX('01人员工时'!L$7:L$126,INT((ROW()-7)/4)+1)/$G368,2))</f>
        <v/>
      </c>
      <c r="Q368" s="12">
        <f>IF(OR($D368="",$G368=0),"",ROUND($F368*INDEX('01人员工时'!M$7:M$126,INT((ROW()-7)/4)+1)/$G368,2))</f>
        <v/>
      </c>
      <c r="R368" s="12">
        <f>IF(OR($D368="",$G368=0),"",ROUND($F368*INDEX('01人员工时'!N$7:N$126,INT((ROW()-7)/4)+1)/$G368,2))</f>
        <v/>
      </c>
      <c r="S368" s="12">
        <f>IF($D368="","",SUM(K368:R368))</f>
        <v/>
      </c>
      <c r="T368" s="12">
        <f>IF($D368="","",$J368+$S368)</f>
        <v/>
      </c>
      <c r="U368" s="25">
        <f>IF($D368="","",IF($F368=0,"未维护标准",IF(ROUND($T368-$F368,2)=0,"√","差异")))</f>
        <v/>
      </c>
      <c r="V368" s="11" t="n"/>
      <c r="W368" s="9" t="n"/>
    </row>
    <row r="369" ht="18" customHeight="1">
      <c r="B369" s="21">
        <f>IF(INDEX('01人员工时'!$D$7:$D$126,INT((ROW()-7)/4)+1)&amp;""="","",INDEX('01人员工时'!$B$7:$B$126,INT((ROW()-7)/4)+1))</f>
        <v/>
      </c>
      <c r="C369" s="22">
        <f>IF($D369="","",IF(MOD(ROW()-7,4)=0,INDEX('01人员工时'!$C$7:$C$126,INT((ROW()-7)/4)+1),""))</f>
        <v/>
      </c>
      <c r="D369" s="22">
        <f>IF(INDEX('01人员工时'!$D$7:$D$126,INT((ROW()-7)/4)+1)&amp;""="","",INDEX('01人员工时'!$D$7:$D$126,INT((ROW()-7)/4)+1))</f>
        <v/>
      </c>
      <c r="E369" s="22">
        <f>IF($D369="","",INDEX('参数设置'!$K$6:$K$9,MOD(ROW()-7,4)+1))</f>
        <v/>
      </c>
      <c r="F369" s="23">
        <f>IF($D369="","",IF($V369&lt;&gt;"",$V369,IFERROR(INDEX('参数设置'!$D$17:$G$26,MATCH($D369,'参数设置'!$C$17:$C$26,0),MATCH($E369,'参数设置'!$D$16:$G$16,0)),0)))</f>
        <v/>
      </c>
      <c r="G369" s="24">
        <f>IF($D369="","",INDEX('01人员工时'!$E$7:$E$126,INT((ROW()-7)/4)+1))</f>
        <v/>
      </c>
      <c r="H369" s="24">
        <f>IF($D369="","",INDEX('01人员工时'!$O$7:$O$126,INT((ROW()-7)/4)+1))</f>
        <v/>
      </c>
      <c r="I369" s="20">
        <f>IF(OR($D369="",$G369=0),"",$H369/$G369)</f>
        <v/>
      </c>
      <c r="J369" s="12">
        <f>IF($D369="","",ROUND($F369,2)-$S369)</f>
        <v/>
      </c>
      <c r="K369" s="12">
        <f>IF(OR($D369="",$G369=0),"",ROUND($F369*INDEX('01人员工时'!G$7:G$126,INT((ROW()-7)/4)+1)/$G369,2))</f>
        <v/>
      </c>
      <c r="L369" s="12">
        <f>IF(OR($D369="",$G369=0),"",ROUND($F369*INDEX('01人员工时'!H$7:H$126,INT((ROW()-7)/4)+1)/$G369,2))</f>
        <v/>
      </c>
      <c r="M369" s="12">
        <f>IF(OR($D369="",$G369=0),"",ROUND($F369*INDEX('01人员工时'!I$7:I$126,INT((ROW()-7)/4)+1)/$G369,2))</f>
        <v/>
      </c>
      <c r="N369" s="12">
        <f>IF(OR($D369="",$G369=0),"",ROUND($F369*INDEX('01人员工时'!J$7:J$126,INT((ROW()-7)/4)+1)/$G369,2))</f>
        <v/>
      </c>
      <c r="O369" s="12">
        <f>IF(OR($D369="",$G369=0),"",ROUND($F369*INDEX('01人员工时'!K$7:K$126,INT((ROW()-7)/4)+1)/$G369,2))</f>
        <v/>
      </c>
      <c r="P369" s="12">
        <f>IF(OR($D369="",$G369=0),"",ROUND($F369*INDEX('01人员工时'!L$7:L$126,INT((ROW()-7)/4)+1)/$G369,2))</f>
        <v/>
      </c>
      <c r="Q369" s="12">
        <f>IF(OR($D369="",$G369=0),"",ROUND($F369*INDEX('01人员工时'!M$7:M$126,INT((ROW()-7)/4)+1)/$G369,2))</f>
        <v/>
      </c>
      <c r="R369" s="12">
        <f>IF(OR($D369="",$G369=0),"",ROUND($F369*INDEX('01人员工时'!N$7:N$126,INT((ROW()-7)/4)+1)/$G369,2))</f>
        <v/>
      </c>
      <c r="S369" s="12">
        <f>IF($D369="","",SUM(K369:R369))</f>
        <v/>
      </c>
      <c r="T369" s="12">
        <f>IF($D369="","",$J369+$S369)</f>
        <v/>
      </c>
      <c r="U369" s="25">
        <f>IF($D369="","",IF($F369=0,"未维护标准",IF(ROUND($T369-$F369,2)=0,"√","差异")))</f>
        <v/>
      </c>
      <c r="V369" s="11" t="n"/>
      <c r="W369" s="9" t="n"/>
    </row>
    <row r="370" ht="18" customHeight="1">
      <c r="B370" s="26">
        <f>IF(INDEX('01人员工时'!$D$7:$D$126,INT((ROW()-7)/4)+1)&amp;""="","",INDEX('01人员工时'!$B$7:$B$126,INT((ROW()-7)/4)+1))</f>
        <v/>
      </c>
      <c r="C370" s="27">
        <f>IF($D370="","",IF(MOD(ROW()-7,4)=0,INDEX('01人员工时'!$C$7:$C$126,INT((ROW()-7)/4)+1),""))</f>
        <v/>
      </c>
      <c r="D370" s="27">
        <f>IF(INDEX('01人员工时'!$D$7:$D$126,INT((ROW()-7)/4)+1)&amp;""="","",INDEX('01人员工时'!$D$7:$D$126,INT((ROW()-7)/4)+1))</f>
        <v/>
      </c>
      <c r="E370" s="27">
        <f>IF($D370="","",INDEX('参数设置'!$K$6:$K$9,MOD(ROW()-7,4)+1))</f>
        <v/>
      </c>
      <c r="F370" s="28">
        <f>IF($D370="","",IF($V370&lt;&gt;"",$V370,IFERROR(INDEX('参数设置'!$D$17:$G$26,MATCH($D370,'参数设置'!$C$17:$C$26,0),MATCH($E370,'参数设置'!$D$16:$G$16,0)),0)))</f>
        <v/>
      </c>
      <c r="G370" s="29">
        <f>IF($D370="","",INDEX('01人员工时'!$E$7:$E$126,INT((ROW()-7)/4)+1))</f>
        <v/>
      </c>
      <c r="H370" s="29">
        <f>IF($D370="","",INDEX('01人员工时'!$O$7:$O$126,INT((ROW()-7)/4)+1))</f>
        <v/>
      </c>
      <c r="I370" s="30">
        <f>IF(OR($D370="",$G370=0),"",$H370/$G370)</f>
        <v/>
      </c>
      <c r="J370" s="31">
        <f>IF($D370="","",ROUND($F370,2)-$S370)</f>
        <v/>
      </c>
      <c r="K370" s="31">
        <f>IF(OR($D370="",$G370=0),"",ROUND($F370*INDEX('01人员工时'!G$7:G$126,INT((ROW()-7)/4)+1)/$G370,2))</f>
        <v/>
      </c>
      <c r="L370" s="31">
        <f>IF(OR($D370="",$G370=0),"",ROUND($F370*INDEX('01人员工时'!H$7:H$126,INT((ROW()-7)/4)+1)/$G370,2))</f>
        <v/>
      </c>
      <c r="M370" s="31">
        <f>IF(OR($D370="",$G370=0),"",ROUND($F370*INDEX('01人员工时'!I$7:I$126,INT((ROW()-7)/4)+1)/$G370,2))</f>
        <v/>
      </c>
      <c r="N370" s="31">
        <f>IF(OR($D370="",$G370=0),"",ROUND($F370*INDEX('01人员工时'!J$7:J$126,INT((ROW()-7)/4)+1)/$G370,2))</f>
        <v/>
      </c>
      <c r="O370" s="31">
        <f>IF(OR($D370="",$G370=0),"",ROUND($F370*INDEX('01人员工时'!K$7:K$126,INT((ROW()-7)/4)+1)/$G370,2))</f>
        <v/>
      </c>
      <c r="P370" s="31">
        <f>IF(OR($D370="",$G370=0),"",ROUND($F370*INDEX('01人员工时'!L$7:L$126,INT((ROW()-7)/4)+1)/$G370,2))</f>
        <v/>
      </c>
      <c r="Q370" s="31">
        <f>IF(OR($D370="",$G370=0),"",ROUND($F370*INDEX('01人员工时'!M$7:M$126,INT((ROW()-7)/4)+1)/$G370,2))</f>
        <v/>
      </c>
      <c r="R370" s="31">
        <f>IF(OR($D370="",$G370=0),"",ROUND($F370*INDEX('01人员工时'!N$7:N$126,INT((ROW()-7)/4)+1)/$G370,2))</f>
        <v/>
      </c>
      <c r="S370" s="31">
        <f>IF($D370="","",SUM(K370:R370))</f>
        <v/>
      </c>
      <c r="T370" s="31">
        <f>IF($D370="","",$J370+$S370)</f>
        <v/>
      </c>
      <c r="U370" s="32">
        <f>IF($D370="","",IF($F370=0,"未维护标准",IF(ROUND($T370-$F370,2)=0,"√","差异")))</f>
        <v/>
      </c>
      <c r="V370" s="33" t="n"/>
      <c r="W370" s="34" t="n"/>
    </row>
    <row r="371" ht="18" customHeight="1">
      <c r="B371" s="21">
        <f>IF(INDEX('01人员工时'!$D$7:$D$126,INT((ROW()-7)/4)+1)&amp;""="","",INDEX('01人员工时'!$B$7:$B$126,INT((ROW()-7)/4)+1))</f>
        <v/>
      </c>
      <c r="C371" s="22">
        <f>IF($D371="","",IF(MOD(ROW()-7,4)=0,INDEX('01人员工时'!$C$7:$C$126,INT((ROW()-7)/4)+1),""))</f>
        <v/>
      </c>
      <c r="D371" s="22">
        <f>IF(INDEX('01人员工时'!$D$7:$D$126,INT((ROW()-7)/4)+1)&amp;""="","",INDEX('01人员工时'!$D$7:$D$126,INT((ROW()-7)/4)+1))</f>
        <v/>
      </c>
      <c r="E371" s="22">
        <f>IF($D371="","",INDEX('参数设置'!$K$6:$K$9,MOD(ROW()-7,4)+1))</f>
        <v/>
      </c>
      <c r="F371" s="23">
        <f>IF($D371="","",IF($V371&lt;&gt;"",$V371,IFERROR(INDEX('参数设置'!$D$17:$G$26,MATCH($D371,'参数设置'!$C$17:$C$26,0),MATCH($E371,'参数设置'!$D$16:$G$16,0)),0)))</f>
        <v/>
      </c>
      <c r="G371" s="24">
        <f>IF($D371="","",INDEX('01人员工时'!$E$7:$E$126,INT((ROW()-7)/4)+1))</f>
        <v/>
      </c>
      <c r="H371" s="24">
        <f>IF($D371="","",INDEX('01人员工时'!$O$7:$O$126,INT((ROW()-7)/4)+1))</f>
        <v/>
      </c>
      <c r="I371" s="20">
        <f>IF(OR($D371="",$G371=0),"",$H371/$G371)</f>
        <v/>
      </c>
      <c r="J371" s="12">
        <f>IF($D371="","",ROUND($F371,2)-$S371)</f>
        <v/>
      </c>
      <c r="K371" s="12">
        <f>IF(OR($D371="",$G371=0),"",ROUND($F371*INDEX('01人员工时'!G$7:G$126,INT((ROW()-7)/4)+1)/$G371,2))</f>
        <v/>
      </c>
      <c r="L371" s="12">
        <f>IF(OR($D371="",$G371=0),"",ROUND($F371*INDEX('01人员工时'!H$7:H$126,INT((ROW()-7)/4)+1)/$G371,2))</f>
        <v/>
      </c>
      <c r="M371" s="12">
        <f>IF(OR($D371="",$G371=0),"",ROUND($F371*INDEX('01人员工时'!I$7:I$126,INT((ROW()-7)/4)+1)/$G371,2))</f>
        <v/>
      </c>
      <c r="N371" s="12">
        <f>IF(OR($D371="",$G371=0),"",ROUND($F371*INDEX('01人员工时'!J$7:J$126,INT((ROW()-7)/4)+1)/$G371,2))</f>
        <v/>
      </c>
      <c r="O371" s="12">
        <f>IF(OR($D371="",$G371=0),"",ROUND($F371*INDEX('01人员工时'!K$7:K$126,INT((ROW()-7)/4)+1)/$G371,2))</f>
        <v/>
      </c>
      <c r="P371" s="12">
        <f>IF(OR($D371="",$G371=0),"",ROUND($F371*INDEX('01人员工时'!L$7:L$126,INT((ROW()-7)/4)+1)/$G371,2))</f>
        <v/>
      </c>
      <c r="Q371" s="12">
        <f>IF(OR($D371="",$G371=0),"",ROUND($F371*INDEX('01人员工时'!M$7:M$126,INT((ROW()-7)/4)+1)/$G371,2))</f>
        <v/>
      </c>
      <c r="R371" s="12">
        <f>IF(OR($D371="",$G371=0),"",ROUND($F371*INDEX('01人员工时'!N$7:N$126,INT((ROW()-7)/4)+1)/$G371,2))</f>
        <v/>
      </c>
      <c r="S371" s="12">
        <f>IF($D371="","",SUM(K371:R371))</f>
        <v/>
      </c>
      <c r="T371" s="12">
        <f>IF($D371="","",$J371+$S371)</f>
        <v/>
      </c>
      <c r="U371" s="25">
        <f>IF($D371="","",IF($F371=0,"未维护标准",IF(ROUND($T371-$F371,2)=0,"√","差异")))</f>
        <v/>
      </c>
      <c r="V371" s="11" t="n"/>
      <c r="W371" s="9" t="n"/>
    </row>
    <row r="372" ht="18" customHeight="1">
      <c r="B372" s="21">
        <f>IF(INDEX('01人员工时'!$D$7:$D$126,INT((ROW()-7)/4)+1)&amp;""="","",INDEX('01人员工时'!$B$7:$B$126,INT((ROW()-7)/4)+1))</f>
        <v/>
      </c>
      <c r="C372" s="22">
        <f>IF($D372="","",IF(MOD(ROW()-7,4)=0,INDEX('01人员工时'!$C$7:$C$126,INT((ROW()-7)/4)+1),""))</f>
        <v/>
      </c>
      <c r="D372" s="22">
        <f>IF(INDEX('01人员工时'!$D$7:$D$126,INT((ROW()-7)/4)+1)&amp;""="","",INDEX('01人员工时'!$D$7:$D$126,INT((ROW()-7)/4)+1))</f>
        <v/>
      </c>
      <c r="E372" s="22">
        <f>IF($D372="","",INDEX('参数设置'!$K$6:$K$9,MOD(ROW()-7,4)+1))</f>
        <v/>
      </c>
      <c r="F372" s="23">
        <f>IF($D372="","",IF($V372&lt;&gt;"",$V372,IFERROR(INDEX('参数设置'!$D$17:$G$26,MATCH($D372,'参数设置'!$C$17:$C$26,0),MATCH($E372,'参数设置'!$D$16:$G$16,0)),0)))</f>
        <v/>
      </c>
      <c r="G372" s="24">
        <f>IF($D372="","",INDEX('01人员工时'!$E$7:$E$126,INT((ROW()-7)/4)+1))</f>
        <v/>
      </c>
      <c r="H372" s="24">
        <f>IF($D372="","",INDEX('01人员工时'!$O$7:$O$126,INT((ROW()-7)/4)+1))</f>
        <v/>
      </c>
      <c r="I372" s="20">
        <f>IF(OR($D372="",$G372=0),"",$H372/$G372)</f>
        <v/>
      </c>
      <c r="J372" s="12">
        <f>IF($D372="","",ROUND($F372,2)-$S372)</f>
        <v/>
      </c>
      <c r="K372" s="12">
        <f>IF(OR($D372="",$G372=0),"",ROUND($F372*INDEX('01人员工时'!G$7:G$126,INT((ROW()-7)/4)+1)/$G372,2))</f>
        <v/>
      </c>
      <c r="L372" s="12">
        <f>IF(OR($D372="",$G372=0),"",ROUND($F372*INDEX('01人员工时'!H$7:H$126,INT((ROW()-7)/4)+1)/$G372,2))</f>
        <v/>
      </c>
      <c r="M372" s="12">
        <f>IF(OR($D372="",$G372=0),"",ROUND($F372*INDEX('01人员工时'!I$7:I$126,INT((ROW()-7)/4)+1)/$G372,2))</f>
        <v/>
      </c>
      <c r="N372" s="12">
        <f>IF(OR($D372="",$G372=0),"",ROUND($F372*INDEX('01人员工时'!J$7:J$126,INT((ROW()-7)/4)+1)/$G372,2))</f>
        <v/>
      </c>
      <c r="O372" s="12">
        <f>IF(OR($D372="",$G372=0),"",ROUND($F372*INDEX('01人员工时'!K$7:K$126,INT((ROW()-7)/4)+1)/$G372,2))</f>
        <v/>
      </c>
      <c r="P372" s="12">
        <f>IF(OR($D372="",$G372=0),"",ROUND($F372*INDEX('01人员工时'!L$7:L$126,INT((ROW()-7)/4)+1)/$G372,2))</f>
        <v/>
      </c>
      <c r="Q372" s="12">
        <f>IF(OR($D372="",$G372=0),"",ROUND($F372*INDEX('01人员工时'!M$7:M$126,INT((ROW()-7)/4)+1)/$G372,2))</f>
        <v/>
      </c>
      <c r="R372" s="12">
        <f>IF(OR($D372="",$G372=0),"",ROUND($F372*INDEX('01人员工时'!N$7:N$126,INT((ROW()-7)/4)+1)/$G372,2))</f>
        <v/>
      </c>
      <c r="S372" s="12">
        <f>IF($D372="","",SUM(K372:R372))</f>
        <v/>
      </c>
      <c r="T372" s="12">
        <f>IF($D372="","",$J372+$S372)</f>
        <v/>
      </c>
      <c r="U372" s="25">
        <f>IF($D372="","",IF($F372=0,"未维护标准",IF(ROUND($T372-$F372,2)=0,"√","差异")))</f>
        <v/>
      </c>
      <c r="V372" s="11" t="n"/>
      <c r="W372" s="9" t="n"/>
    </row>
    <row r="373" ht="18" customHeight="1">
      <c r="B373" s="21">
        <f>IF(INDEX('01人员工时'!$D$7:$D$126,INT((ROW()-7)/4)+1)&amp;""="","",INDEX('01人员工时'!$B$7:$B$126,INT((ROW()-7)/4)+1))</f>
        <v/>
      </c>
      <c r="C373" s="22">
        <f>IF($D373="","",IF(MOD(ROW()-7,4)=0,INDEX('01人员工时'!$C$7:$C$126,INT((ROW()-7)/4)+1),""))</f>
        <v/>
      </c>
      <c r="D373" s="22">
        <f>IF(INDEX('01人员工时'!$D$7:$D$126,INT((ROW()-7)/4)+1)&amp;""="","",INDEX('01人员工时'!$D$7:$D$126,INT((ROW()-7)/4)+1))</f>
        <v/>
      </c>
      <c r="E373" s="22">
        <f>IF($D373="","",INDEX('参数设置'!$K$6:$K$9,MOD(ROW()-7,4)+1))</f>
        <v/>
      </c>
      <c r="F373" s="23">
        <f>IF($D373="","",IF($V373&lt;&gt;"",$V373,IFERROR(INDEX('参数设置'!$D$17:$G$26,MATCH($D373,'参数设置'!$C$17:$C$26,0),MATCH($E373,'参数设置'!$D$16:$G$16,0)),0)))</f>
        <v/>
      </c>
      <c r="G373" s="24">
        <f>IF($D373="","",INDEX('01人员工时'!$E$7:$E$126,INT((ROW()-7)/4)+1))</f>
        <v/>
      </c>
      <c r="H373" s="24">
        <f>IF($D373="","",INDEX('01人员工时'!$O$7:$O$126,INT((ROW()-7)/4)+1))</f>
        <v/>
      </c>
      <c r="I373" s="20">
        <f>IF(OR($D373="",$G373=0),"",$H373/$G373)</f>
        <v/>
      </c>
      <c r="J373" s="12">
        <f>IF($D373="","",ROUND($F373,2)-$S373)</f>
        <v/>
      </c>
      <c r="K373" s="12">
        <f>IF(OR($D373="",$G373=0),"",ROUND($F373*INDEX('01人员工时'!G$7:G$126,INT((ROW()-7)/4)+1)/$G373,2))</f>
        <v/>
      </c>
      <c r="L373" s="12">
        <f>IF(OR($D373="",$G373=0),"",ROUND($F373*INDEX('01人员工时'!H$7:H$126,INT((ROW()-7)/4)+1)/$G373,2))</f>
        <v/>
      </c>
      <c r="M373" s="12">
        <f>IF(OR($D373="",$G373=0),"",ROUND($F373*INDEX('01人员工时'!I$7:I$126,INT((ROW()-7)/4)+1)/$G373,2))</f>
        <v/>
      </c>
      <c r="N373" s="12">
        <f>IF(OR($D373="",$G373=0),"",ROUND($F373*INDEX('01人员工时'!J$7:J$126,INT((ROW()-7)/4)+1)/$G373,2))</f>
        <v/>
      </c>
      <c r="O373" s="12">
        <f>IF(OR($D373="",$G373=0),"",ROUND($F373*INDEX('01人员工时'!K$7:K$126,INT((ROW()-7)/4)+1)/$G373,2))</f>
        <v/>
      </c>
      <c r="P373" s="12">
        <f>IF(OR($D373="",$G373=0),"",ROUND($F373*INDEX('01人员工时'!L$7:L$126,INT((ROW()-7)/4)+1)/$G373,2))</f>
        <v/>
      </c>
      <c r="Q373" s="12">
        <f>IF(OR($D373="",$G373=0),"",ROUND($F373*INDEX('01人员工时'!M$7:M$126,INT((ROW()-7)/4)+1)/$G373,2))</f>
        <v/>
      </c>
      <c r="R373" s="12">
        <f>IF(OR($D373="",$G373=0),"",ROUND($F373*INDEX('01人员工时'!N$7:N$126,INT((ROW()-7)/4)+1)/$G373,2))</f>
        <v/>
      </c>
      <c r="S373" s="12">
        <f>IF($D373="","",SUM(K373:R373))</f>
        <v/>
      </c>
      <c r="T373" s="12">
        <f>IF($D373="","",$J373+$S373)</f>
        <v/>
      </c>
      <c r="U373" s="25">
        <f>IF($D373="","",IF($F373=0,"未维护标准",IF(ROUND($T373-$F373,2)=0,"√","差异")))</f>
        <v/>
      </c>
      <c r="V373" s="11" t="n"/>
      <c r="W373" s="9" t="n"/>
    </row>
    <row r="374" ht="18" customHeight="1">
      <c r="B374" s="26">
        <f>IF(INDEX('01人员工时'!$D$7:$D$126,INT((ROW()-7)/4)+1)&amp;""="","",INDEX('01人员工时'!$B$7:$B$126,INT((ROW()-7)/4)+1))</f>
        <v/>
      </c>
      <c r="C374" s="27">
        <f>IF($D374="","",IF(MOD(ROW()-7,4)=0,INDEX('01人员工时'!$C$7:$C$126,INT((ROW()-7)/4)+1),""))</f>
        <v/>
      </c>
      <c r="D374" s="27">
        <f>IF(INDEX('01人员工时'!$D$7:$D$126,INT((ROW()-7)/4)+1)&amp;""="","",INDEX('01人员工时'!$D$7:$D$126,INT((ROW()-7)/4)+1))</f>
        <v/>
      </c>
      <c r="E374" s="27">
        <f>IF($D374="","",INDEX('参数设置'!$K$6:$K$9,MOD(ROW()-7,4)+1))</f>
        <v/>
      </c>
      <c r="F374" s="28">
        <f>IF($D374="","",IF($V374&lt;&gt;"",$V374,IFERROR(INDEX('参数设置'!$D$17:$G$26,MATCH($D374,'参数设置'!$C$17:$C$26,0),MATCH($E374,'参数设置'!$D$16:$G$16,0)),0)))</f>
        <v/>
      </c>
      <c r="G374" s="29">
        <f>IF($D374="","",INDEX('01人员工时'!$E$7:$E$126,INT((ROW()-7)/4)+1))</f>
        <v/>
      </c>
      <c r="H374" s="29">
        <f>IF($D374="","",INDEX('01人员工时'!$O$7:$O$126,INT((ROW()-7)/4)+1))</f>
        <v/>
      </c>
      <c r="I374" s="30">
        <f>IF(OR($D374="",$G374=0),"",$H374/$G374)</f>
        <v/>
      </c>
      <c r="J374" s="31">
        <f>IF($D374="","",ROUND($F374,2)-$S374)</f>
        <v/>
      </c>
      <c r="K374" s="31">
        <f>IF(OR($D374="",$G374=0),"",ROUND($F374*INDEX('01人员工时'!G$7:G$126,INT((ROW()-7)/4)+1)/$G374,2))</f>
        <v/>
      </c>
      <c r="L374" s="31">
        <f>IF(OR($D374="",$G374=0),"",ROUND($F374*INDEX('01人员工时'!H$7:H$126,INT((ROW()-7)/4)+1)/$G374,2))</f>
        <v/>
      </c>
      <c r="M374" s="31">
        <f>IF(OR($D374="",$G374=0),"",ROUND($F374*INDEX('01人员工时'!I$7:I$126,INT((ROW()-7)/4)+1)/$G374,2))</f>
        <v/>
      </c>
      <c r="N374" s="31">
        <f>IF(OR($D374="",$G374=0),"",ROUND($F374*INDEX('01人员工时'!J$7:J$126,INT((ROW()-7)/4)+1)/$G374,2))</f>
        <v/>
      </c>
      <c r="O374" s="31">
        <f>IF(OR($D374="",$G374=0),"",ROUND($F374*INDEX('01人员工时'!K$7:K$126,INT((ROW()-7)/4)+1)/$G374,2))</f>
        <v/>
      </c>
      <c r="P374" s="31">
        <f>IF(OR($D374="",$G374=0),"",ROUND($F374*INDEX('01人员工时'!L$7:L$126,INT((ROW()-7)/4)+1)/$G374,2))</f>
        <v/>
      </c>
      <c r="Q374" s="31">
        <f>IF(OR($D374="",$G374=0),"",ROUND($F374*INDEX('01人员工时'!M$7:M$126,INT((ROW()-7)/4)+1)/$G374,2))</f>
        <v/>
      </c>
      <c r="R374" s="31">
        <f>IF(OR($D374="",$G374=0),"",ROUND($F374*INDEX('01人员工时'!N$7:N$126,INT((ROW()-7)/4)+1)/$G374,2))</f>
        <v/>
      </c>
      <c r="S374" s="31">
        <f>IF($D374="","",SUM(K374:R374))</f>
        <v/>
      </c>
      <c r="T374" s="31">
        <f>IF($D374="","",$J374+$S374)</f>
        <v/>
      </c>
      <c r="U374" s="32">
        <f>IF($D374="","",IF($F374=0,"未维护标准",IF(ROUND($T374-$F374,2)=0,"√","差异")))</f>
        <v/>
      </c>
      <c r="V374" s="33" t="n"/>
      <c r="W374" s="34" t="n"/>
    </row>
    <row r="375" ht="18" customHeight="1">
      <c r="B375" s="21">
        <f>IF(INDEX('01人员工时'!$D$7:$D$126,INT((ROW()-7)/4)+1)&amp;""="","",INDEX('01人员工时'!$B$7:$B$126,INT((ROW()-7)/4)+1))</f>
        <v/>
      </c>
      <c r="C375" s="22">
        <f>IF($D375="","",IF(MOD(ROW()-7,4)=0,INDEX('01人员工时'!$C$7:$C$126,INT((ROW()-7)/4)+1),""))</f>
        <v/>
      </c>
      <c r="D375" s="22">
        <f>IF(INDEX('01人员工时'!$D$7:$D$126,INT((ROW()-7)/4)+1)&amp;""="","",INDEX('01人员工时'!$D$7:$D$126,INT((ROW()-7)/4)+1))</f>
        <v/>
      </c>
      <c r="E375" s="22">
        <f>IF($D375="","",INDEX('参数设置'!$K$6:$K$9,MOD(ROW()-7,4)+1))</f>
        <v/>
      </c>
      <c r="F375" s="23">
        <f>IF($D375="","",IF($V375&lt;&gt;"",$V375,IFERROR(INDEX('参数设置'!$D$17:$G$26,MATCH($D375,'参数设置'!$C$17:$C$26,0),MATCH($E375,'参数设置'!$D$16:$G$16,0)),0)))</f>
        <v/>
      </c>
      <c r="G375" s="24">
        <f>IF($D375="","",INDEX('01人员工时'!$E$7:$E$126,INT((ROW()-7)/4)+1))</f>
        <v/>
      </c>
      <c r="H375" s="24">
        <f>IF($D375="","",INDEX('01人员工时'!$O$7:$O$126,INT((ROW()-7)/4)+1))</f>
        <v/>
      </c>
      <c r="I375" s="20">
        <f>IF(OR($D375="",$G375=0),"",$H375/$G375)</f>
        <v/>
      </c>
      <c r="J375" s="12">
        <f>IF($D375="","",ROUND($F375,2)-$S375)</f>
        <v/>
      </c>
      <c r="K375" s="12">
        <f>IF(OR($D375="",$G375=0),"",ROUND($F375*INDEX('01人员工时'!G$7:G$126,INT((ROW()-7)/4)+1)/$G375,2))</f>
        <v/>
      </c>
      <c r="L375" s="12">
        <f>IF(OR($D375="",$G375=0),"",ROUND($F375*INDEX('01人员工时'!H$7:H$126,INT((ROW()-7)/4)+1)/$G375,2))</f>
        <v/>
      </c>
      <c r="M375" s="12">
        <f>IF(OR($D375="",$G375=0),"",ROUND($F375*INDEX('01人员工时'!I$7:I$126,INT((ROW()-7)/4)+1)/$G375,2))</f>
        <v/>
      </c>
      <c r="N375" s="12">
        <f>IF(OR($D375="",$G375=0),"",ROUND($F375*INDEX('01人员工时'!J$7:J$126,INT((ROW()-7)/4)+1)/$G375,2))</f>
        <v/>
      </c>
      <c r="O375" s="12">
        <f>IF(OR($D375="",$G375=0),"",ROUND($F375*INDEX('01人员工时'!K$7:K$126,INT((ROW()-7)/4)+1)/$G375,2))</f>
        <v/>
      </c>
      <c r="P375" s="12">
        <f>IF(OR($D375="",$G375=0),"",ROUND($F375*INDEX('01人员工时'!L$7:L$126,INT((ROW()-7)/4)+1)/$G375,2))</f>
        <v/>
      </c>
      <c r="Q375" s="12">
        <f>IF(OR($D375="",$G375=0),"",ROUND($F375*INDEX('01人员工时'!M$7:M$126,INT((ROW()-7)/4)+1)/$G375,2))</f>
        <v/>
      </c>
      <c r="R375" s="12">
        <f>IF(OR($D375="",$G375=0),"",ROUND($F375*INDEX('01人员工时'!N$7:N$126,INT((ROW()-7)/4)+1)/$G375,2))</f>
        <v/>
      </c>
      <c r="S375" s="12">
        <f>IF($D375="","",SUM(K375:R375))</f>
        <v/>
      </c>
      <c r="T375" s="12">
        <f>IF($D375="","",$J375+$S375)</f>
        <v/>
      </c>
      <c r="U375" s="25">
        <f>IF($D375="","",IF($F375=0,"未维护标准",IF(ROUND($T375-$F375,2)=0,"√","差异")))</f>
        <v/>
      </c>
      <c r="V375" s="11" t="n"/>
      <c r="W375" s="9" t="n"/>
    </row>
    <row r="376" ht="18" customHeight="1">
      <c r="B376" s="21">
        <f>IF(INDEX('01人员工时'!$D$7:$D$126,INT((ROW()-7)/4)+1)&amp;""="","",INDEX('01人员工时'!$B$7:$B$126,INT((ROW()-7)/4)+1))</f>
        <v/>
      </c>
      <c r="C376" s="22">
        <f>IF($D376="","",IF(MOD(ROW()-7,4)=0,INDEX('01人员工时'!$C$7:$C$126,INT((ROW()-7)/4)+1),""))</f>
        <v/>
      </c>
      <c r="D376" s="22">
        <f>IF(INDEX('01人员工时'!$D$7:$D$126,INT((ROW()-7)/4)+1)&amp;""="","",INDEX('01人员工时'!$D$7:$D$126,INT((ROW()-7)/4)+1))</f>
        <v/>
      </c>
      <c r="E376" s="22">
        <f>IF($D376="","",INDEX('参数设置'!$K$6:$K$9,MOD(ROW()-7,4)+1))</f>
        <v/>
      </c>
      <c r="F376" s="23">
        <f>IF($D376="","",IF($V376&lt;&gt;"",$V376,IFERROR(INDEX('参数设置'!$D$17:$G$26,MATCH($D376,'参数设置'!$C$17:$C$26,0),MATCH($E376,'参数设置'!$D$16:$G$16,0)),0)))</f>
        <v/>
      </c>
      <c r="G376" s="24">
        <f>IF($D376="","",INDEX('01人员工时'!$E$7:$E$126,INT((ROW()-7)/4)+1))</f>
        <v/>
      </c>
      <c r="H376" s="24">
        <f>IF($D376="","",INDEX('01人员工时'!$O$7:$O$126,INT((ROW()-7)/4)+1))</f>
        <v/>
      </c>
      <c r="I376" s="20">
        <f>IF(OR($D376="",$G376=0),"",$H376/$G376)</f>
        <v/>
      </c>
      <c r="J376" s="12">
        <f>IF($D376="","",ROUND($F376,2)-$S376)</f>
        <v/>
      </c>
      <c r="K376" s="12">
        <f>IF(OR($D376="",$G376=0),"",ROUND($F376*INDEX('01人员工时'!G$7:G$126,INT((ROW()-7)/4)+1)/$G376,2))</f>
        <v/>
      </c>
      <c r="L376" s="12">
        <f>IF(OR($D376="",$G376=0),"",ROUND($F376*INDEX('01人员工时'!H$7:H$126,INT((ROW()-7)/4)+1)/$G376,2))</f>
        <v/>
      </c>
      <c r="M376" s="12">
        <f>IF(OR($D376="",$G376=0),"",ROUND($F376*INDEX('01人员工时'!I$7:I$126,INT((ROW()-7)/4)+1)/$G376,2))</f>
        <v/>
      </c>
      <c r="N376" s="12">
        <f>IF(OR($D376="",$G376=0),"",ROUND($F376*INDEX('01人员工时'!J$7:J$126,INT((ROW()-7)/4)+1)/$G376,2))</f>
        <v/>
      </c>
      <c r="O376" s="12">
        <f>IF(OR($D376="",$G376=0),"",ROUND($F376*INDEX('01人员工时'!K$7:K$126,INT((ROW()-7)/4)+1)/$G376,2))</f>
        <v/>
      </c>
      <c r="P376" s="12">
        <f>IF(OR($D376="",$G376=0),"",ROUND($F376*INDEX('01人员工时'!L$7:L$126,INT((ROW()-7)/4)+1)/$G376,2))</f>
        <v/>
      </c>
      <c r="Q376" s="12">
        <f>IF(OR($D376="",$G376=0),"",ROUND($F376*INDEX('01人员工时'!M$7:M$126,INT((ROW()-7)/4)+1)/$G376,2))</f>
        <v/>
      </c>
      <c r="R376" s="12">
        <f>IF(OR($D376="",$G376=0),"",ROUND($F376*INDEX('01人员工时'!N$7:N$126,INT((ROW()-7)/4)+1)/$G376,2))</f>
        <v/>
      </c>
      <c r="S376" s="12">
        <f>IF($D376="","",SUM(K376:R376))</f>
        <v/>
      </c>
      <c r="T376" s="12">
        <f>IF($D376="","",$J376+$S376)</f>
        <v/>
      </c>
      <c r="U376" s="25">
        <f>IF($D376="","",IF($F376=0,"未维护标准",IF(ROUND($T376-$F376,2)=0,"√","差异")))</f>
        <v/>
      </c>
      <c r="V376" s="11" t="n"/>
      <c r="W376" s="9" t="n"/>
    </row>
    <row r="377" ht="18" customHeight="1">
      <c r="B377" s="21">
        <f>IF(INDEX('01人员工时'!$D$7:$D$126,INT((ROW()-7)/4)+1)&amp;""="","",INDEX('01人员工时'!$B$7:$B$126,INT((ROW()-7)/4)+1))</f>
        <v/>
      </c>
      <c r="C377" s="22">
        <f>IF($D377="","",IF(MOD(ROW()-7,4)=0,INDEX('01人员工时'!$C$7:$C$126,INT((ROW()-7)/4)+1),""))</f>
        <v/>
      </c>
      <c r="D377" s="22">
        <f>IF(INDEX('01人员工时'!$D$7:$D$126,INT((ROW()-7)/4)+1)&amp;""="","",INDEX('01人员工时'!$D$7:$D$126,INT((ROW()-7)/4)+1))</f>
        <v/>
      </c>
      <c r="E377" s="22">
        <f>IF($D377="","",INDEX('参数设置'!$K$6:$K$9,MOD(ROW()-7,4)+1))</f>
        <v/>
      </c>
      <c r="F377" s="23">
        <f>IF($D377="","",IF($V377&lt;&gt;"",$V377,IFERROR(INDEX('参数设置'!$D$17:$G$26,MATCH($D377,'参数设置'!$C$17:$C$26,0),MATCH($E377,'参数设置'!$D$16:$G$16,0)),0)))</f>
        <v/>
      </c>
      <c r="G377" s="24">
        <f>IF($D377="","",INDEX('01人员工时'!$E$7:$E$126,INT((ROW()-7)/4)+1))</f>
        <v/>
      </c>
      <c r="H377" s="24">
        <f>IF($D377="","",INDEX('01人员工时'!$O$7:$O$126,INT((ROW()-7)/4)+1))</f>
        <v/>
      </c>
      <c r="I377" s="20">
        <f>IF(OR($D377="",$G377=0),"",$H377/$G377)</f>
        <v/>
      </c>
      <c r="J377" s="12">
        <f>IF($D377="","",ROUND($F377,2)-$S377)</f>
        <v/>
      </c>
      <c r="K377" s="12">
        <f>IF(OR($D377="",$G377=0),"",ROUND($F377*INDEX('01人员工时'!G$7:G$126,INT((ROW()-7)/4)+1)/$G377,2))</f>
        <v/>
      </c>
      <c r="L377" s="12">
        <f>IF(OR($D377="",$G377=0),"",ROUND($F377*INDEX('01人员工时'!H$7:H$126,INT((ROW()-7)/4)+1)/$G377,2))</f>
        <v/>
      </c>
      <c r="M377" s="12">
        <f>IF(OR($D377="",$G377=0),"",ROUND($F377*INDEX('01人员工时'!I$7:I$126,INT((ROW()-7)/4)+1)/$G377,2))</f>
        <v/>
      </c>
      <c r="N377" s="12">
        <f>IF(OR($D377="",$G377=0),"",ROUND($F377*INDEX('01人员工时'!J$7:J$126,INT((ROW()-7)/4)+1)/$G377,2))</f>
        <v/>
      </c>
      <c r="O377" s="12">
        <f>IF(OR($D377="",$G377=0),"",ROUND($F377*INDEX('01人员工时'!K$7:K$126,INT((ROW()-7)/4)+1)/$G377,2))</f>
        <v/>
      </c>
      <c r="P377" s="12">
        <f>IF(OR($D377="",$G377=0),"",ROUND($F377*INDEX('01人员工时'!L$7:L$126,INT((ROW()-7)/4)+1)/$G377,2))</f>
        <v/>
      </c>
      <c r="Q377" s="12">
        <f>IF(OR($D377="",$G377=0),"",ROUND($F377*INDEX('01人员工时'!M$7:M$126,INT((ROW()-7)/4)+1)/$G377,2))</f>
        <v/>
      </c>
      <c r="R377" s="12">
        <f>IF(OR($D377="",$G377=0),"",ROUND($F377*INDEX('01人员工时'!N$7:N$126,INT((ROW()-7)/4)+1)/$G377,2))</f>
        <v/>
      </c>
      <c r="S377" s="12">
        <f>IF($D377="","",SUM(K377:R377))</f>
        <v/>
      </c>
      <c r="T377" s="12">
        <f>IF($D377="","",$J377+$S377)</f>
        <v/>
      </c>
      <c r="U377" s="25">
        <f>IF($D377="","",IF($F377=0,"未维护标准",IF(ROUND($T377-$F377,2)=0,"√","差异")))</f>
        <v/>
      </c>
      <c r="V377" s="11" t="n"/>
      <c r="W377" s="9" t="n"/>
    </row>
    <row r="378" ht="18" customHeight="1">
      <c r="B378" s="26">
        <f>IF(INDEX('01人员工时'!$D$7:$D$126,INT((ROW()-7)/4)+1)&amp;""="","",INDEX('01人员工时'!$B$7:$B$126,INT((ROW()-7)/4)+1))</f>
        <v/>
      </c>
      <c r="C378" s="27">
        <f>IF($D378="","",IF(MOD(ROW()-7,4)=0,INDEX('01人员工时'!$C$7:$C$126,INT((ROW()-7)/4)+1),""))</f>
        <v/>
      </c>
      <c r="D378" s="27">
        <f>IF(INDEX('01人员工时'!$D$7:$D$126,INT((ROW()-7)/4)+1)&amp;""="","",INDEX('01人员工时'!$D$7:$D$126,INT((ROW()-7)/4)+1))</f>
        <v/>
      </c>
      <c r="E378" s="27">
        <f>IF($D378="","",INDEX('参数设置'!$K$6:$K$9,MOD(ROW()-7,4)+1))</f>
        <v/>
      </c>
      <c r="F378" s="28">
        <f>IF($D378="","",IF($V378&lt;&gt;"",$V378,IFERROR(INDEX('参数设置'!$D$17:$G$26,MATCH($D378,'参数设置'!$C$17:$C$26,0),MATCH($E378,'参数设置'!$D$16:$G$16,0)),0)))</f>
        <v/>
      </c>
      <c r="G378" s="29">
        <f>IF($D378="","",INDEX('01人员工时'!$E$7:$E$126,INT((ROW()-7)/4)+1))</f>
        <v/>
      </c>
      <c r="H378" s="29">
        <f>IF($D378="","",INDEX('01人员工时'!$O$7:$O$126,INT((ROW()-7)/4)+1))</f>
        <v/>
      </c>
      <c r="I378" s="30">
        <f>IF(OR($D378="",$G378=0),"",$H378/$G378)</f>
        <v/>
      </c>
      <c r="J378" s="31">
        <f>IF($D378="","",ROUND($F378,2)-$S378)</f>
        <v/>
      </c>
      <c r="K378" s="31">
        <f>IF(OR($D378="",$G378=0),"",ROUND($F378*INDEX('01人员工时'!G$7:G$126,INT((ROW()-7)/4)+1)/$G378,2))</f>
        <v/>
      </c>
      <c r="L378" s="31">
        <f>IF(OR($D378="",$G378=0),"",ROUND($F378*INDEX('01人员工时'!H$7:H$126,INT((ROW()-7)/4)+1)/$G378,2))</f>
        <v/>
      </c>
      <c r="M378" s="31">
        <f>IF(OR($D378="",$G378=0),"",ROUND($F378*INDEX('01人员工时'!I$7:I$126,INT((ROW()-7)/4)+1)/$G378,2))</f>
        <v/>
      </c>
      <c r="N378" s="31">
        <f>IF(OR($D378="",$G378=0),"",ROUND($F378*INDEX('01人员工时'!J$7:J$126,INT((ROW()-7)/4)+1)/$G378,2))</f>
        <v/>
      </c>
      <c r="O378" s="31">
        <f>IF(OR($D378="",$G378=0),"",ROUND($F378*INDEX('01人员工时'!K$7:K$126,INT((ROW()-7)/4)+1)/$G378,2))</f>
        <v/>
      </c>
      <c r="P378" s="31">
        <f>IF(OR($D378="",$G378=0),"",ROUND($F378*INDEX('01人员工时'!L$7:L$126,INT((ROW()-7)/4)+1)/$G378,2))</f>
        <v/>
      </c>
      <c r="Q378" s="31">
        <f>IF(OR($D378="",$G378=0),"",ROUND($F378*INDEX('01人员工时'!M$7:M$126,INT((ROW()-7)/4)+1)/$G378,2))</f>
        <v/>
      </c>
      <c r="R378" s="31">
        <f>IF(OR($D378="",$G378=0),"",ROUND($F378*INDEX('01人员工时'!N$7:N$126,INT((ROW()-7)/4)+1)/$G378,2))</f>
        <v/>
      </c>
      <c r="S378" s="31">
        <f>IF($D378="","",SUM(K378:R378))</f>
        <v/>
      </c>
      <c r="T378" s="31">
        <f>IF($D378="","",$J378+$S378)</f>
        <v/>
      </c>
      <c r="U378" s="32">
        <f>IF($D378="","",IF($F378=0,"未维护标准",IF(ROUND($T378-$F378,2)=0,"√","差异")))</f>
        <v/>
      </c>
      <c r="V378" s="33" t="n"/>
      <c r="W378" s="34" t="n"/>
    </row>
    <row r="379" ht="18" customHeight="1">
      <c r="B379" s="21">
        <f>IF(INDEX('01人员工时'!$D$7:$D$126,INT((ROW()-7)/4)+1)&amp;""="","",INDEX('01人员工时'!$B$7:$B$126,INT((ROW()-7)/4)+1))</f>
        <v/>
      </c>
      <c r="C379" s="22">
        <f>IF($D379="","",IF(MOD(ROW()-7,4)=0,INDEX('01人员工时'!$C$7:$C$126,INT((ROW()-7)/4)+1),""))</f>
        <v/>
      </c>
      <c r="D379" s="22">
        <f>IF(INDEX('01人员工时'!$D$7:$D$126,INT((ROW()-7)/4)+1)&amp;""="","",INDEX('01人员工时'!$D$7:$D$126,INT((ROW()-7)/4)+1))</f>
        <v/>
      </c>
      <c r="E379" s="22">
        <f>IF($D379="","",INDEX('参数设置'!$K$6:$K$9,MOD(ROW()-7,4)+1))</f>
        <v/>
      </c>
      <c r="F379" s="23">
        <f>IF($D379="","",IF($V379&lt;&gt;"",$V379,IFERROR(INDEX('参数设置'!$D$17:$G$26,MATCH($D379,'参数设置'!$C$17:$C$26,0),MATCH($E379,'参数设置'!$D$16:$G$16,0)),0)))</f>
        <v/>
      </c>
      <c r="G379" s="24">
        <f>IF($D379="","",INDEX('01人员工时'!$E$7:$E$126,INT((ROW()-7)/4)+1))</f>
        <v/>
      </c>
      <c r="H379" s="24">
        <f>IF($D379="","",INDEX('01人员工时'!$O$7:$O$126,INT((ROW()-7)/4)+1))</f>
        <v/>
      </c>
      <c r="I379" s="20">
        <f>IF(OR($D379="",$G379=0),"",$H379/$G379)</f>
        <v/>
      </c>
      <c r="J379" s="12">
        <f>IF($D379="","",ROUND($F379,2)-$S379)</f>
        <v/>
      </c>
      <c r="K379" s="12">
        <f>IF(OR($D379="",$G379=0),"",ROUND($F379*INDEX('01人员工时'!G$7:G$126,INT((ROW()-7)/4)+1)/$G379,2))</f>
        <v/>
      </c>
      <c r="L379" s="12">
        <f>IF(OR($D379="",$G379=0),"",ROUND($F379*INDEX('01人员工时'!H$7:H$126,INT((ROW()-7)/4)+1)/$G379,2))</f>
        <v/>
      </c>
      <c r="M379" s="12">
        <f>IF(OR($D379="",$G379=0),"",ROUND($F379*INDEX('01人员工时'!I$7:I$126,INT((ROW()-7)/4)+1)/$G379,2))</f>
        <v/>
      </c>
      <c r="N379" s="12">
        <f>IF(OR($D379="",$G379=0),"",ROUND($F379*INDEX('01人员工时'!J$7:J$126,INT((ROW()-7)/4)+1)/$G379,2))</f>
        <v/>
      </c>
      <c r="O379" s="12">
        <f>IF(OR($D379="",$G379=0),"",ROUND($F379*INDEX('01人员工时'!K$7:K$126,INT((ROW()-7)/4)+1)/$G379,2))</f>
        <v/>
      </c>
      <c r="P379" s="12">
        <f>IF(OR($D379="",$G379=0),"",ROUND($F379*INDEX('01人员工时'!L$7:L$126,INT((ROW()-7)/4)+1)/$G379,2))</f>
        <v/>
      </c>
      <c r="Q379" s="12">
        <f>IF(OR($D379="",$G379=0),"",ROUND($F379*INDEX('01人员工时'!M$7:M$126,INT((ROW()-7)/4)+1)/$G379,2))</f>
        <v/>
      </c>
      <c r="R379" s="12">
        <f>IF(OR($D379="",$G379=0),"",ROUND($F379*INDEX('01人员工时'!N$7:N$126,INT((ROW()-7)/4)+1)/$G379,2))</f>
        <v/>
      </c>
      <c r="S379" s="12">
        <f>IF($D379="","",SUM(K379:R379))</f>
        <v/>
      </c>
      <c r="T379" s="12">
        <f>IF($D379="","",$J379+$S379)</f>
        <v/>
      </c>
      <c r="U379" s="25">
        <f>IF($D379="","",IF($F379=0,"未维护标准",IF(ROUND($T379-$F379,2)=0,"√","差异")))</f>
        <v/>
      </c>
      <c r="V379" s="11" t="n"/>
      <c r="W379" s="9" t="n"/>
    </row>
    <row r="380" ht="18" customHeight="1">
      <c r="B380" s="21">
        <f>IF(INDEX('01人员工时'!$D$7:$D$126,INT((ROW()-7)/4)+1)&amp;""="","",INDEX('01人员工时'!$B$7:$B$126,INT((ROW()-7)/4)+1))</f>
        <v/>
      </c>
      <c r="C380" s="22">
        <f>IF($D380="","",IF(MOD(ROW()-7,4)=0,INDEX('01人员工时'!$C$7:$C$126,INT((ROW()-7)/4)+1),""))</f>
        <v/>
      </c>
      <c r="D380" s="22">
        <f>IF(INDEX('01人员工时'!$D$7:$D$126,INT((ROW()-7)/4)+1)&amp;""="","",INDEX('01人员工时'!$D$7:$D$126,INT((ROW()-7)/4)+1))</f>
        <v/>
      </c>
      <c r="E380" s="22">
        <f>IF($D380="","",INDEX('参数设置'!$K$6:$K$9,MOD(ROW()-7,4)+1))</f>
        <v/>
      </c>
      <c r="F380" s="23">
        <f>IF($D380="","",IF($V380&lt;&gt;"",$V380,IFERROR(INDEX('参数设置'!$D$17:$G$26,MATCH($D380,'参数设置'!$C$17:$C$26,0),MATCH($E380,'参数设置'!$D$16:$G$16,0)),0)))</f>
        <v/>
      </c>
      <c r="G380" s="24">
        <f>IF($D380="","",INDEX('01人员工时'!$E$7:$E$126,INT((ROW()-7)/4)+1))</f>
        <v/>
      </c>
      <c r="H380" s="24">
        <f>IF($D380="","",INDEX('01人员工时'!$O$7:$O$126,INT((ROW()-7)/4)+1))</f>
        <v/>
      </c>
      <c r="I380" s="20">
        <f>IF(OR($D380="",$G380=0),"",$H380/$G380)</f>
        <v/>
      </c>
      <c r="J380" s="12">
        <f>IF($D380="","",ROUND($F380,2)-$S380)</f>
        <v/>
      </c>
      <c r="K380" s="12">
        <f>IF(OR($D380="",$G380=0),"",ROUND($F380*INDEX('01人员工时'!G$7:G$126,INT((ROW()-7)/4)+1)/$G380,2))</f>
        <v/>
      </c>
      <c r="L380" s="12">
        <f>IF(OR($D380="",$G380=0),"",ROUND($F380*INDEX('01人员工时'!H$7:H$126,INT((ROW()-7)/4)+1)/$G380,2))</f>
        <v/>
      </c>
      <c r="M380" s="12">
        <f>IF(OR($D380="",$G380=0),"",ROUND($F380*INDEX('01人员工时'!I$7:I$126,INT((ROW()-7)/4)+1)/$G380,2))</f>
        <v/>
      </c>
      <c r="N380" s="12">
        <f>IF(OR($D380="",$G380=0),"",ROUND($F380*INDEX('01人员工时'!J$7:J$126,INT((ROW()-7)/4)+1)/$G380,2))</f>
        <v/>
      </c>
      <c r="O380" s="12">
        <f>IF(OR($D380="",$G380=0),"",ROUND($F380*INDEX('01人员工时'!K$7:K$126,INT((ROW()-7)/4)+1)/$G380,2))</f>
        <v/>
      </c>
      <c r="P380" s="12">
        <f>IF(OR($D380="",$G380=0),"",ROUND($F380*INDEX('01人员工时'!L$7:L$126,INT((ROW()-7)/4)+1)/$G380,2))</f>
        <v/>
      </c>
      <c r="Q380" s="12">
        <f>IF(OR($D380="",$G380=0),"",ROUND($F380*INDEX('01人员工时'!M$7:M$126,INT((ROW()-7)/4)+1)/$G380,2))</f>
        <v/>
      </c>
      <c r="R380" s="12">
        <f>IF(OR($D380="",$G380=0),"",ROUND($F380*INDEX('01人员工时'!N$7:N$126,INT((ROW()-7)/4)+1)/$G380,2))</f>
        <v/>
      </c>
      <c r="S380" s="12">
        <f>IF($D380="","",SUM(K380:R380))</f>
        <v/>
      </c>
      <c r="T380" s="12">
        <f>IF($D380="","",$J380+$S380)</f>
        <v/>
      </c>
      <c r="U380" s="25">
        <f>IF($D380="","",IF($F380=0,"未维护标准",IF(ROUND($T380-$F380,2)=0,"√","差异")))</f>
        <v/>
      </c>
      <c r="V380" s="11" t="n"/>
      <c r="W380" s="9" t="n"/>
    </row>
    <row r="381" ht="18" customHeight="1">
      <c r="B381" s="21">
        <f>IF(INDEX('01人员工时'!$D$7:$D$126,INT((ROW()-7)/4)+1)&amp;""="","",INDEX('01人员工时'!$B$7:$B$126,INT((ROW()-7)/4)+1))</f>
        <v/>
      </c>
      <c r="C381" s="22">
        <f>IF($D381="","",IF(MOD(ROW()-7,4)=0,INDEX('01人员工时'!$C$7:$C$126,INT((ROW()-7)/4)+1),""))</f>
        <v/>
      </c>
      <c r="D381" s="22">
        <f>IF(INDEX('01人员工时'!$D$7:$D$126,INT((ROW()-7)/4)+1)&amp;""="","",INDEX('01人员工时'!$D$7:$D$126,INT((ROW()-7)/4)+1))</f>
        <v/>
      </c>
      <c r="E381" s="22">
        <f>IF($D381="","",INDEX('参数设置'!$K$6:$K$9,MOD(ROW()-7,4)+1))</f>
        <v/>
      </c>
      <c r="F381" s="23">
        <f>IF($D381="","",IF($V381&lt;&gt;"",$V381,IFERROR(INDEX('参数设置'!$D$17:$G$26,MATCH($D381,'参数设置'!$C$17:$C$26,0),MATCH($E381,'参数设置'!$D$16:$G$16,0)),0)))</f>
        <v/>
      </c>
      <c r="G381" s="24">
        <f>IF($D381="","",INDEX('01人员工时'!$E$7:$E$126,INT((ROW()-7)/4)+1))</f>
        <v/>
      </c>
      <c r="H381" s="24">
        <f>IF($D381="","",INDEX('01人员工时'!$O$7:$O$126,INT((ROW()-7)/4)+1))</f>
        <v/>
      </c>
      <c r="I381" s="20">
        <f>IF(OR($D381="",$G381=0),"",$H381/$G381)</f>
        <v/>
      </c>
      <c r="J381" s="12">
        <f>IF($D381="","",ROUND($F381,2)-$S381)</f>
        <v/>
      </c>
      <c r="K381" s="12">
        <f>IF(OR($D381="",$G381=0),"",ROUND($F381*INDEX('01人员工时'!G$7:G$126,INT((ROW()-7)/4)+1)/$G381,2))</f>
        <v/>
      </c>
      <c r="L381" s="12">
        <f>IF(OR($D381="",$G381=0),"",ROUND($F381*INDEX('01人员工时'!H$7:H$126,INT((ROW()-7)/4)+1)/$G381,2))</f>
        <v/>
      </c>
      <c r="M381" s="12">
        <f>IF(OR($D381="",$G381=0),"",ROUND($F381*INDEX('01人员工时'!I$7:I$126,INT((ROW()-7)/4)+1)/$G381,2))</f>
        <v/>
      </c>
      <c r="N381" s="12">
        <f>IF(OR($D381="",$G381=0),"",ROUND($F381*INDEX('01人员工时'!J$7:J$126,INT((ROW()-7)/4)+1)/$G381,2))</f>
        <v/>
      </c>
      <c r="O381" s="12">
        <f>IF(OR($D381="",$G381=0),"",ROUND($F381*INDEX('01人员工时'!K$7:K$126,INT((ROW()-7)/4)+1)/$G381,2))</f>
        <v/>
      </c>
      <c r="P381" s="12">
        <f>IF(OR($D381="",$G381=0),"",ROUND($F381*INDEX('01人员工时'!L$7:L$126,INT((ROW()-7)/4)+1)/$G381,2))</f>
        <v/>
      </c>
      <c r="Q381" s="12">
        <f>IF(OR($D381="",$G381=0),"",ROUND($F381*INDEX('01人员工时'!M$7:M$126,INT((ROW()-7)/4)+1)/$G381,2))</f>
        <v/>
      </c>
      <c r="R381" s="12">
        <f>IF(OR($D381="",$G381=0),"",ROUND($F381*INDEX('01人员工时'!N$7:N$126,INT((ROW()-7)/4)+1)/$G381,2))</f>
        <v/>
      </c>
      <c r="S381" s="12">
        <f>IF($D381="","",SUM(K381:R381))</f>
        <v/>
      </c>
      <c r="T381" s="12">
        <f>IF($D381="","",$J381+$S381)</f>
        <v/>
      </c>
      <c r="U381" s="25">
        <f>IF($D381="","",IF($F381=0,"未维护标准",IF(ROUND($T381-$F381,2)=0,"√","差异")))</f>
        <v/>
      </c>
      <c r="V381" s="11" t="n"/>
      <c r="W381" s="9" t="n"/>
    </row>
    <row r="382" ht="18" customHeight="1">
      <c r="B382" s="26">
        <f>IF(INDEX('01人员工时'!$D$7:$D$126,INT((ROW()-7)/4)+1)&amp;""="","",INDEX('01人员工时'!$B$7:$B$126,INT((ROW()-7)/4)+1))</f>
        <v/>
      </c>
      <c r="C382" s="27">
        <f>IF($D382="","",IF(MOD(ROW()-7,4)=0,INDEX('01人员工时'!$C$7:$C$126,INT((ROW()-7)/4)+1),""))</f>
        <v/>
      </c>
      <c r="D382" s="27">
        <f>IF(INDEX('01人员工时'!$D$7:$D$126,INT((ROW()-7)/4)+1)&amp;""="","",INDEX('01人员工时'!$D$7:$D$126,INT((ROW()-7)/4)+1))</f>
        <v/>
      </c>
      <c r="E382" s="27">
        <f>IF($D382="","",INDEX('参数设置'!$K$6:$K$9,MOD(ROW()-7,4)+1))</f>
        <v/>
      </c>
      <c r="F382" s="28">
        <f>IF($D382="","",IF($V382&lt;&gt;"",$V382,IFERROR(INDEX('参数设置'!$D$17:$G$26,MATCH($D382,'参数设置'!$C$17:$C$26,0),MATCH($E382,'参数设置'!$D$16:$G$16,0)),0)))</f>
        <v/>
      </c>
      <c r="G382" s="29">
        <f>IF($D382="","",INDEX('01人员工时'!$E$7:$E$126,INT((ROW()-7)/4)+1))</f>
        <v/>
      </c>
      <c r="H382" s="29">
        <f>IF($D382="","",INDEX('01人员工时'!$O$7:$O$126,INT((ROW()-7)/4)+1))</f>
        <v/>
      </c>
      <c r="I382" s="30">
        <f>IF(OR($D382="",$G382=0),"",$H382/$G382)</f>
        <v/>
      </c>
      <c r="J382" s="31">
        <f>IF($D382="","",ROUND($F382,2)-$S382)</f>
        <v/>
      </c>
      <c r="K382" s="31">
        <f>IF(OR($D382="",$G382=0),"",ROUND($F382*INDEX('01人员工时'!G$7:G$126,INT((ROW()-7)/4)+1)/$G382,2))</f>
        <v/>
      </c>
      <c r="L382" s="31">
        <f>IF(OR($D382="",$G382=0),"",ROUND($F382*INDEX('01人员工时'!H$7:H$126,INT((ROW()-7)/4)+1)/$G382,2))</f>
        <v/>
      </c>
      <c r="M382" s="31">
        <f>IF(OR($D382="",$G382=0),"",ROUND($F382*INDEX('01人员工时'!I$7:I$126,INT((ROW()-7)/4)+1)/$G382,2))</f>
        <v/>
      </c>
      <c r="N382" s="31">
        <f>IF(OR($D382="",$G382=0),"",ROUND($F382*INDEX('01人员工时'!J$7:J$126,INT((ROW()-7)/4)+1)/$G382,2))</f>
        <v/>
      </c>
      <c r="O382" s="31">
        <f>IF(OR($D382="",$G382=0),"",ROUND($F382*INDEX('01人员工时'!K$7:K$126,INT((ROW()-7)/4)+1)/$G382,2))</f>
        <v/>
      </c>
      <c r="P382" s="31">
        <f>IF(OR($D382="",$G382=0),"",ROUND($F382*INDEX('01人员工时'!L$7:L$126,INT((ROW()-7)/4)+1)/$G382,2))</f>
        <v/>
      </c>
      <c r="Q382" s="31">
        <f>IF(OR($D382="",$G382=0),"",ROUND($F382*INDEX('01人员工时'!M$7:M$126,INT((ROW()-7)/4)+1)/$G382,2))</f>
        <v/>
      </c>
      <c r="R382" s="31">
        <f>IF(OR($D382="",$G382=0),"",ROUND($F382*INDEX('01人员工时'!N$7:N$126,INT((ROW()-7)/4)+1)/$G382,2))</f>
        <v/>
      </c>
      <c r="S382" s="31">
        <f>IF($D382="","",SUM(K382:R382))</f>
        <v/>
      </c>
      <c r="T382" s="31">
        <f>IF($D382="","",$J382+$S382)</f>
        <v/>
      </c>
      <c r="U382" s="32">
        <f>IF($D382="","",IF($F382=0,"未维护标准",IF(ROUND($T382-$F382,2)=0,"√","差异")))</f>
        <v/>
      </c>
      <c r="V382" s="33" t="n"/>
      <c r="W382" s="34" t="n"/>
    </row>
    <row r="383" ht="18" customHeight="1">
      <c r="B383" s="21">
        <f>IF(INDEX('01人员工时'!$D$7:$D$126,INT((ROW()-7)/4)+1)&amp;""="","",INDEX('01人员工时'!$B$7:$B$126,INT((ROW()-7)/4)+1))</f>
        <v/>
      </c>
      <c r="C383" s="22">
        <f>IF($D383="","",IF(MOD(ROW()-7,4)=0,INDEX('01人员工时'!$C$7:$C$126,INT((ROW()-7)/4)+1),""))</f>
        <v/>
      </c>
      <c r="D383" s="22">
        <f>IF(INDEX('01人员工时'!$D$7:$D$126,INT((ROW()-7)/4)+1)&amp;""="","",INDEX('01人员工时'!$D$7:$D$126,INT((ROW()-7)/4)+1))</f>
        <v/>
      </c>
      <c r="E383" s="22">
        <f>IF($D383="","",INDEX('参数设置'!$K$6:$K$9,MOD(ROW()-7,4)+1))</f>
        <v/>
      </c>
      <c r="F383" s="23">
        <f>IF($D383="","",IF($V383&lt;&gt;"",$V383,IFERROR(INDEX('参数设置'!$D$17:$G$26,MATCH($D383,'参数设置'!$C$17:$C$26,0),MATCH($E383,'参数设置'!$D$16:$G$16,0)),0)))</f>
        <v/>
      </c>
      <c r="G383" s="24">
        <f>IF($D383="","",INDEX('01人员工时'!$E$7:$E$126,INT((ROW()-7)/4)+1))</f>
        <v/>
      </c>
      <c r="H383" s="24">
        <f>IF($D383="","",INDEX('01人员工时'!$O$7:$O$126,INT((ROW()-7)/4)+1))</f>
        <v/>
      </c>
      <c r="I383" s="20">
        <f>IF(OR($D383="",$G383=0),"",$H383/$G383)</f>
        <v/>
      </c>
      <c r="J383" s="12">
        <f>IF($D383="","",ROUND($F383,2)-$S383)</f>
        <v/>
      </c>
      <c r="K383" s="12">
        <f>IF(OR($D383="",$G383=0),"",ROUND($F383*INDEX('01人员工时'!G$7:G$126,INT((ROW()-7)/4)+1)/$G383,2))</f>
        <v/>
      </c>
      <c r="L383" s="12">
        <f>IF(OR($D383="",$G383=0),"",ROUND($F383*INDEX('01人员工时'!H$7:H$126,INT((ROW()-7)/4)+1)/$G383,2))</f>
        <v/>
      </c>
      <c r="M383" s="12">
        <f>IF(OR($D383="",$G383=0),"",ROUND($F383*INDEX('01人员工时'!I$7:I$126,INT((ROW()-7)/4)+1)/$G383,2))</f>
        <v/>
      </c>
      <c r="N383" s="12">
        <f>IF(OR($D383="",$G383=0),"",ROUND($F383*INDEX('01人员工时'!J$7:J$126,INT((ROW()-7)/4)+1)/$G383,2))</f>
        <v/>
      </c>
      <c r="O383" s="12">
        <f>IF(OR($D383="",$G383=0),"",ROUND($F383*INDEX('01人员工时'!K$7:K$126,INT((ROW()-7)/4)+1)/$G383,2))</f>
        <v/>
      </c>
      <c r="P383" s="12">
        <f>IF(OR($D383="",$G383=0),"",ROUND($F383*INDEX('01人员工时'!L$7:L$126,INT((ROW()-7)/4)+1)/$G383,2))</f>
        <v/>
      </c>
      <c r="Q383" s="12">
        <f>IF(OR($D383="",$G383=0),"",ROUND($F383*INDEX('01人员工时'!M$7:M$126,INT((ROW()-7)/4)+1)/$G383,2))</f>
        <v/>
      </c>
      <c r="R383" s="12">
        <f>IF(OR($D383="",$G383=0),"",ROUND($F383*INDEX('01人员工时'!N$7:N$126,INT((ROW()-7)/4)+1)/$G383,2))</f>
        <v/>
      </c>
      <c r="S383" s="12">
        <f>IF($D383="","",SUM(K383:R383))</f>
        <v/>
      </c>
      <c r="T383" s="12">
        <f>IF($D383="","",$J383+$S383)</f>
        <v/>
      </c>
      <c r="U383" s="25">
        <f>IF($D383="","",IF($F383=0,"未维护标准",IF(ROUND($T383-$F383,2)=0,"√","差异")))</f>
        <v/>
      </c>
      <c r="V383" s="11" t="n"/>
      <c r="W383" s="9" t="n"/>
    </row>
    <row r="384" ht="18" customHeight="1">
      <c r="B384" s="21">
        <f>IF(INDEX('01人员工时'!$D$7:$D$126,INT((ROW()-7)/4)+1)&amp;""="","",INDEX('01人员工时'!$B$7:$B$126,INT((ROW()-7)/4)+1))</f>
        <v/>
      </c>
      <c r="C384" s="22">
        <f>IF($D384="","",IF(MOD(ROW()-7,4)=0,INDEX('01人员工时'!$C$7:$C$126,INT((ROW()-7)/4)+1),""))</f>
        <v/>
      </c>
      <c r="D384" s="22">
        <f>IF(INDEX('01人员工时'!$D$7:$D$126,INT((ROW()-7)/4)+1)&amp;""="","",INDEX('01人员工时'!$D$7:$D$126,INT((ROW()-7)/4)+1))</f>
        <v/>
      </c>
      <c r="E384" s="22">
        <f>IF($D384="","",INDEX('参数设置'!$K$6:$K$9,MOD(ROW()-7,4)+1))</f>
        <v/>
      </c>
      <c r="F384" s="23">
        <f>IF($D384="","",IF($V384&lt;&gt;"",$V384,IFERROR(INDEX('参数设置'!$D$17:$G$26,MATCH($D384,'参数设置'!$C$17:$C$26,0),MATCH($E384,'参数设置'!$D$16:$G$16,0)),0)))</f>
        <v/>
      </c>
      <c r="G384" s="24">
        <f>IF($D384="","",INDEX('01人员工时'!$E$7:$E$126,INT((ROW()-7)/4)+1))</f>
        <v/>
      </c>
      <c r="H384" s="24">
        <f>IF($D384="","",INDEX('01人员工时'!$O$7:$O$126,INT((ROW()-7)/4)+1))</f>
        <v/>
      </c>
      <c r="I384" s="20">
        <f>IF(OR($D384="",$G384=0),"",$H384/$G384)</f>
        <v/>
      </c>
      <c r="J384" s="12">
        <f>IF($D384="","",ROUND($F384,2)-$S384)</f>
        <v/>
      </c>
      <c r="K384" s="12">
        <f>IF(OR($D384="",$G384=0),"",ROUND($F384*INDEX('01人员工时'!G$7:G$126,INT((ROW()-7)/4)+1)/$G384,2))</f>
        <v/>
      </c>
      <c r="L384" s="12">
        <f>IF(OR($D384="",$G384=0),"",ROUND($F384*INDEX('01人员工时'!H$7:H$126,INT((ROW()-7)/4)+1)/$G384,2))</f>
        <v/>
      </c>
      <c r="M384" s="12">
        <f>IF(OR($D384="",$G384=0),"",ROUND($F384*INDEX('01人员工时'!I$7:I$126,INT((ROW()-7)/4)+1)/$G384,2))</f>
        <v/>
      </c>
      <c r="N384" s="12">
        <f>IF(OR($D384="",$G384=0),"",ROUND($F384*INDEX('01人员工时'!J$7:J$126,INT((ROW()-7)/4)+1)/$G384,2))</f>
        <v/>
      </c>
      <c r="O384" s="12">
        <f>IF(OR($D384="",$G384=0),"",ROUND($F384*INDEX('01人员工时'!K$7:K$126,INT((ROW()-7)/4)+1)/$G384,2))</f>
        <v/>
      </c>
      <c r="P384" s="12">
        <f>IF(OR($D384="",$G384=0),"",ROUND($F384*INDEX('01人员工时'!L$7:L$126,INT((ROW()-7)/4)+1)/$G384,2))</f>
        <v/>
      </c>
      <c r="Q384" s="12">
        <f>IF(OR($D384="",$G384=0),"",ROUND($F384*INDEX('01人员工时'!M$7:M$126,INT((ROW()-7)/4)+1)/$G384,2))</f>
        <v/>
      </c>
      <c r="R384" s="12">
        <f>IF(OR($D384="",$G384=0),"",ROUND($F384*INDEX('01人员工时'!N$7:N$126,INT((ROW()-7)/4)+1)/$G384,2))</f>
        <v/>
      </c>
      <c r="S384" s="12">
        <f>IF($D384="","",SUM(K384:R384))</f>
        <v/>
      </c>
      <c r="T384" s="12">
        <f>IF($D384="","",$J384+$S384)</f>
        <v/>
      </c>
      <c r="U384" s="25">
        <f>IF($D384="","",IF($F384=0,"未维护标准",IF(ROUND($T384-$F384,2)=0,"√","差异")))</f>
        <v/>
      </c>
      <c r="V384" s="11" t="n"/>
      <c r="W384" s="9" t="n"/>
    </row>
    <row r="385" ht="18" customHeight="1">
      <c r="B385" s="21">
        <f>IF(INDEX('01人员工时'!$D$7:$D$126,INT((ROW()-7)/4)+1)&amp;""="","",INDEX('01人员工时'!$B$7:$B$126,INT((ROW()-7)/4)+1))</f>
        <v/>
      </c>
      <c r="C385" s="22">
        <f>IF($D385="","",IF(MOD(ROW()-7,4)=0,INDEX('01人员工时'!$C$7:$C$126,INT((ROW()-7)/4)+1),""))</f>
        <v/>
      </c>
      <c r="D385" s="22">
        <f>IF(INDEX('01人员工时'!$D$7:$D$126,INT((ROW()-7)/4)+1)&amp;""="","",INDEX('01人员工时'!$D$7:$D$126,INT((ROW()-7)/4)+1))</f>
        <v/>
      </c>
      <c r="E385" s="22">
        <f>IF($D385="","",INDEX('参数设置'!$K$6:$K$9,MOD(ROW()-7,4)+1))</f>
        <v/>
      </c>
      <c r="F385" s="23">
        <f>IF($D385="","",IF($V385&lt;&gt;"",$V385,IFERROR(INDEX('参数设置'!$D$17:$G$26,MATCH($D385,'参数设置'!$C$17:$C$26,0),MATCH($E385,'参数设置'!$D$16:$G$16,0)),0)))</f>
        <v/>
      </c>
      <c r="G385" s="24">
        <f>IF($D385="","",INDEX('01人员工时'!$E$7:$E$126,INT((ROW()-7)/4)+1))</f>
        <v/>
      </c>
      <c r="H385" s="24">
        <f>IF($D385="","",INDEX('01人员工时'!$O$7:$O$126,INT((ROW()-7)/4)+1))</f>
        <v/>
      </c>
      <c r="I385" s="20">
        <f>IF(OR($D385="",$G385=0),"",$H385/$G385)</f>
        <v/>
      </c>
      <c r="J385" s="12">
        <f>IF($D385="","",ROUND($F385,2)-$S385)</f>
        <v/>
      </c>
      <c r="K385" s="12">
        <f>IF(OR($D385="",$G385=0),"",ROUND($F385*INDEX('01人员工时'!G$7:G$126,INT((ROW()-7)/4)+1)/$G385,2))</f>
        <v/>
      </c>
      <c r="L385" s="12">
        <f>IF(OR($D385="",$G385=0),"",ROUND($F385*INDEX('01人员工时'!H$7:H$126,INT((ROW()-7)/4)+1)/$G385,2))</f>
        <v/>
      </c>
      <c r="M385" s="12">
        <f>IF(OR($D385="",$G385=0),"",ROUND($F385*INDEX('01人员工时'!I$7:I$126,INT((ROW()-7)/4)+1)/$G385,2))</f>
        <v/>
      </c>
      <c r="N385" s="12">
        <f>IF(OR($D385="",$G385=0),"",ROUND($F385*INDEX('01人员工时'!J$7:J$126,INT((ROW()-7)/4)+1)/$G385,2))</f>
        <v/>
      </c>
      <c r="O385" s="12">
        <f>IF(OR($D385="",$G385=0),"",ROUND($F385*INDEX('01人员工时'!K$7:K$126,INT((ROW()-7)/4)+1)/$G385,2))</f>
        <v/>
      </c>
      <c r="P385" s="12">
        <f>IF(OR($D385="",$G385=0),"",ROUND($F385*INDEX('01人员工时'!L$7:L$126,INT((ROW()-7)/4)+1)/$G385,2))</f>
        <v/>
      </c>
      <c r="Q385" s="12">
        <f>IF(OR($D385="",$G385=0),"",ROUND($F385*INDEX('01人员工时'!M$7:M$126,INT((ROW()-7)/4)+1)/$G385,2))</f>
        <v/>
      </c>
      <c r="R385" s="12">
        <f>IF(OR($D385="",$G385=0),"",ROUND($F385*INDEX('01人员工时'!N$7:N$126,INT((ROW()-7)/4)+1)/$G385,2))</f>
        <v/>
      </c>
      <c r="S385" s="12">
        <f>IF($D385="","",SUM(K385:R385))</f>
        <v/>
      </c>
      <c r="T385" s="12">
        <f>IF($D385="","",$J385+$S385)</f>
        <v/>
      </c>
      <c r="U385" s="25">
        <f>IF($D385="","",IF($F385=0,"未维护标准",IF(ROUND($T385-$F385,2)=0,"√","差异")))</f>
        <v/>
      </c>
      <c r="V385" s="11" t="n"/>
      <c r="W385" s="9" t="n"/>
    </row>
    <row r="386" ht="18" customHeight="1">
      <c r="B386" s="26">
        <f>IF(INDEX('01人员工时'!$D$7:$D$126,INT((ROW()-7)/4)+1)&amp;""="","",INDEX('01人员工时'!$B$7:$B$126,INT((ROW()-7)/4)+1))</f>
        <v/>
      </c>
      <c r="C386" s="27">
        <f>IF($D386="","",IF(MOD(ROW()-7,4)=0,INDEX('01人员工时'!$C$7:$C$126,INT((ROW()-7)/4)+1),""))</f>
        <v/>
      </c>
      <c r="D386" s="27">
        <f>IF(INDEX('01人员工时'!$D$7:$D$126,INT((ROW()-7)/4)+1)&amp;""="","",INDEX('01人员工时'!$D$7:$D$126,INT((ROW()-7)/4)+1))</f>
        <v/>
      </c>
      <c r="E386" s="27">
        <f>IF($D386="","",INDEX('参数设置'!$K$6:$K$9,MOD(ROW()-7,4)+1))</f>
        <v/>
      </c>
      <c r="F386" s="28">
        <f>IF($D386="","",IF($V386&lt;&gt;"",$V386,IFERROR(INDEX('参数设置'!$D$17:$G$26,MATCH($D386,'参数设置'!$C$17:$C$26,0),MATCH($E386,'参数设置'!$D$16:$G$16,0)),0)))</f>
        <v/>
      </c>
      <c r="G386" s="29">
        <f>IF($D386="","",INDEX('01人员工时'!$E$7:$E$126,INT((ROW()-7)/4)+1))</f>
        <v/>
      </c>
      <c r="H386" s="29">
        <f>IF($D386="","",INDEX('01人员工时'!$O$7:$O$126,INT((ROW()-7)/4)+1))</f>
        <v/>
      </c>
      <c r="I386" s="30">
        <f>IF(OR($D386="",$G386=0),"",$H386/$G386)</f>
        <v/>
      </c>
      <c r="J386" s="31">
        <f>IF($D386="","",ROUND($F386,2)-$S386)</f>
        <v/>
      </c>
      <c r="K386" s="31">
        <f>IF(OR($D386="",$G386=0),"",ROUND($F386*INDEX('01人员工时'!G$7:G$126,INT((ROW()-7)/4)+1)/$G386,2))</f>
        <v/>
      </c>
      <c r="L386" s="31">
        <f>IF(OR($D386="",$G386=0),"",ROUND($F386*INDEX('01人员工时'!H$7:H$126,INT((ROW()-7)/4)+1)/$G386,2))</f>
        <v/>
      </c>
      <c r="M386" s="31">
        <f>IF(OR($D386="",$G386=0),"",ROUND($F386*INDEX('01人员工时'!I$7:I$126,INT((ROW()-7)/4)+1)/$G386,2))</f>
        <v/>
      </c>
      <c r="N386" s="31">
        <f>IF(OR($D386="",$G386=0),"",ROUND($F386*INDEX('01人员工时'!J$7:J$126,INT((ROW()-7)/4)+1)/$G386,2))</f>
        <v/>
      </c>
      <c r="O386" s="31">
        <f>IF(OR($D386="",$G386=0),"",ROUND($F386*INDEX('01人员工时'!K$7:K$126,INT((ROW()-7)/4)+1)/$G386,2))</f>
        <v/>
      </c>
      <c r="P386" s="31">
        <f>IF(OR($D386="",$G386=0),"",ROUND($F386*INDEX('01人员工时'!L$7:L$126,INT((ROW()-7)/4)+1)/$G386,2))</f>
        <v/>
      </c>
      <c r="Q386" s="31">
        <f>IF(OR($D386="",$G386=0),"",ROUND($F386*INDEX('01人员工时'!M$7:M$126,INT((ROW()-7)/4)+1)/$G386,2))</f>
        <v/>
      </c>
      <c r="R386" s="31">
        <f>IF(OR($D386="",$G386=0),"",ROUND($F386*INDEX('01人员工时'!N$7:N$126,INT((ROW()-7)/4)+1)/$G386,2))</f>
        <v/>
      </c>
      <c r="S386" s="31">
        <f>IF($D386="","",SUM(K386:R386))</f>
        <v/>
      </c>
      <c r="T386" s="31">
        <f>IF($D386="","",$J386+$S386)</f>
        <v/>
      </c>
      <c r="U386" s="32">
        <f>IF($D386="","",IF($F386=0,"未维护标准",IF(ROUND($T386-$F386,2)=0,"√","差异")))</f>
        <v/>
      </c>
      <c r="V386" s="33" t="n"/>
      <c r="W386" s="34" t="n"/>
    </row>
    <row r="387" ht="18" customHeight="1">
      <c r="B387" s="21">
        <f>IF(INDEX('01人员工时'!$D$7:$D$126,INT((ROW()-7)/4)+1)&amp;""="","",INDEX('01人员工时'!$B$7:$B$126,INT((ROW()-7)/4)+1))</f>
        <v/>
      </c>
      <c r="C387" s="22">
        <f>IF($D387="","",IF(MOD(ROW()-7,4)=0,INDEX('01人员工时'!$C$7:$C$126,INT((ROW()-7)/4)+1),""))</f>
        <v/>
      </c>
      <c r="D387" s="22">
        <f>IF(INDEX('01人员工时'!$D$7:$D$126,INT((ROW()-7)/4)+1)&amp;""="","",INDEX('01人员工时'!$D$7:$D$126,INT((ROW()-7)/4)+1))</f>
        <v/>
      </c>
      <c r="E387" s="22">
        <f>IF($D387="","",INDEX('参数设置'!$K$6:$K$9,MOD(ROW()-7,4)+1))</f>
        <v/>
      </c>
      <c r="F387" s="23">
        <f>IF($D387="","",IF($V387&lt;&gt;"",$V387,IFERROR(INDEX('参数设置'!$D$17:$G$26,MATCH($D387,'参数设置'!$C$17:$C$26,0),MATCH($E387,'参数设置'!$D$16:$G$16,0)),0)))</f>
        <v/>
      </c>
      <c r="G387" s="24">
        <f>IF($D387="","",INDEX('01人员工时'!$E$7:$E$126,INT((ROW()-7)/4)+1))</f>
        <v/>
      </c>
      <c r="H387" s="24">
        <f>IF($D387="","",INDEX('01人员工时'!$O$7:$O$126,INT((ROW()-7)/4)+1))</f>
        <v/>
      </c>
      <c r="I387" s="20">
        <f>IF(OR($D387="",$G387=0),"",$H387/$G387)</f>
        <v/>
      </c>
      <c r="J387" s="12">
        <f>IF($D387="","",ROUND($F387,2)-$S387)</f>
        <v/>
      </c>
      <c r="K387" s="12">
        <f>IF(OR($D387="",$G387=0),"",ROUND($F387*INDEX('01人员工时'!G$7:G$126,INT((ROW()-7)/4)+1)/$G387,2))</f>
        <v/>
      </c>
      <c r="L387" s="12">
        <f>IF(OR($D387="",$G387=0),"",ROUND($F387*INDEX('01人员工时'!H$7:H$126,INT((ROW()-7)/4)+1)/$G387,2))</f>
        <v/>
      </c>
      <c r="M387" s="12">
        <f>IF(OR($D387="",$G387=0),"",ROUND($F387*INDEX('01人员工时'!I$7:I$126,INT((ROW()-7)/4)+1)/$G387,2))</f>
        <v/>
      </c>
      <c r="N387" s="12">
        <f>IF(OR($D387="",$G387=0),"",ROUND($F387*INDEX('01人员工时'!J$7:J$126,INT((ROW()-7)/4)+1)/$G387,2))</f>
        <v/>
      </c>
      <c r="O387" s="12">
        <f>IF(OR($D387="",$G387=0),"",ROUND($F387*INDEX('01人员工时'!K$7:K$126,INT((ROW()-7)/4)+1)/$G387,2))</f>
        <v/>
      </c>
      <c r="P387" s="12">
        <f>IF(OR($D387="",$G387=0),"",ROUND($F387*INDEX('01人员工时'!L$7:L$126,INT((ROW()-7)/4)+1)/$G387,2))</f>
        <v/>
      </c>
      <c r="Q387" s="12">
        <f>IF(OR($D387="",$G387=0),"",ROUND($F387*INDEX('01人员工时'!M$7:M$126,INT((ROW()-7)/4)+1)/$G387,2))</f>
        <v/>
      </c>
      <c r="R387" s="12">
        <f>IF(OR($D387="",$G387=0),"",ROUND($F387*INDEX('01人员工时'!N$7:N$126,INT((ROW()-7)/4)+1)/$G387,2))</f>
        <v/>
      </c>
      <c r="S387" s="12">
        <f>IF($D387="","",SUM(K387:R387))</f>
        <v/>
      </c>
      <c r="T387" s="12">
        <f>IF($D387="","",$J387+$S387)</f>
        <v/>
      </c>
      <c r="U387" s="25">
        <f>IF($D387="","",IF($F387=0,"未维护标准",IF(ROUND($T387-$F387,2)=0,"√","差异")))</f>
        <v/>
      </c>
      <c r="V387" s="11" t="n"/>
      <c r="W387" s="9" t="n"/>
    </row>
    <row r="388" ht="18" customHeight="1">
      <c r="B388" s="21">
        <f>IF(INDEX('01人员工时'!$D$7:$D$126,INT((ROW()-7)/4)+1)&amp;""="","",INDEX('01人员工时'!$B$7:$B$126,INT((ROW()-7)/4)+1))</f>
        <v/>
      </c>
      <c r="C388" s="22">
        <f>IF($D388="","",IF(MOD(ROW()-7,4)=0,INDEX('01人员工时'!$C$7:$C$126,INT((ROW()-7)/4)+1),""))</f>
        <v/>
      </c>
      <c r="D388" s="22">
        <f>IF(INDEX('01人员工时'!$D$7:$D$126,INT((ROW()-7)/4)+1)&amp;""="","",INDEX('01人员工时'!$D$7:$D$126,INT((ROW()-7)/4)+1))</f>
        <v/>
      </c>
      <c r="E388" s="22">
        <f>IF($D388="","",INDEX('参数设置'!$K$6:$K$9,MOD(ROW()-7,4)+1))</f>
        <v/>
      </c>
      <c r="F388" s="23">
        <f>IF($D388="","",IF($V388&lt;&gt;"",$V388,IFERROR(INDEX('参数设置'!$D$17:$G$26,MATCH($D388,'参数设置'!$C$17:$C$26,0),MATCH($E388,'参数设置'!$D$16:$G$16,0)),0)))</f>
        <v/>
      </c>
      <c r="G388" s="24">
        <f>IF($D388="","",INDEX('01人员工时'!$E$7:$E$126,INT((ROW()-7)/4)+1))</f>
        <v/>
      </c>
      <c r="H388" s="24">
        <f>IF($D388="","",INDEX('01人员工时'!$O$7:$O$126,INT((ROW()-7)/4)+1))</f>
        <v/>
      </c>
      <c r="I388" s="20">
        <f>IF(OR($D388="",$G388=0),"",$H388/$G388)</f>
        <v/>
      </c>
      <c r="J388" s="12">
        <f>IF($D388="","",ROUND($F388,2)-$S388)</f>
        <v/>
      </c>
      <c r="K388" s="12">
        <f>IF(OR($D388="",$G388=0),"",ROUND($F388*INDEX('01人员工时'!G$7:G$126,INT((ROW()-7)/4)+1)/$G388,2))</f>
        <v/>
      </c>
      <c r="L388" s="12">
        <f>IF(OR($D388="",$G388=0),"",ROUND($F388*INDEX('01人员工时'!H$7:H$126,INT((ROW()-7)/4)+1)/$G388,2))</f>
        <v/>
      </c>
      <c r="M388" s="12">
        <f>IF(OR($D388="",$G388=0),"",ROUND($F388*INDEX('01人员工时'!I$7:I$126,INT((ROW()-7)/4)+1)/$G388,2))</f>
        <v/>
      </c>
      <c r="N388" s="12">
        <f>IF(OR($D388="",$G388=0),"",ROUND($F388*INDEX('01人员工时'!J$7:J$126,INT((ROW()-7)/4)+1)/$G388,2))</f>
        <v/>
      </c>
      <c r="O388" s="12">
        <f>IF(OR($D388="",$G388=0),"",ROUND($F388*INDEX('01人员工时'!K$7:K$126,INT((ROW()-7)/4)+1)/$G388,2))</f>
        <v/>
      </c>
      <c r="P388" s="12">
        <f>IF(OR($D388="",$G388=0),"",ROUND($F388*INDEX('01人员工时'!L$7:L$126,INT((ROW()-7)/4)+1)/$G388,2))</f>
        <v/>
      </c>
      <c r="Q388" s="12">
        <f>IF(OR($D388="",$G388=0),"",ROUND($F388*INDEX('01人员工时'!M$7:M$126,INT((ROW()-7)/4)+1)/$G388,2))</f>
        <v/>
      </c>
      <c r="R388" s="12">
        <f>IF(OR($D388="",$G388=0),"",ROUND($F388*INDEX('01人员工时'!N$7:N$126,INT((ROW()-7)/4)+1)/$G388,2))</f>
        <v/>
      </c>
      <c r="S388" s="12">
        <f>IF($D388="","",SUM(K388:R388))</f>
        <v/>
      </c>
      <c r="T388" s="12">
        <f>IF($D388="","",$J388+$S388)</f>
        <v/>
      </c>
      <c r="U388" s="25">
        <f>IF($D388="","",IF($F388=0,"未维护标准",IF(ROUND($T388-$F388,2)=0,"√","差异")))</f>
        <v/>
      </c>
      <c r="V388" s="11" t="n"/>
      <c r="W388" s="9" t="n"/>
    </row>
    <row r="389" ht="18" customHeight="1">
      <c r="B389" s="21">
        <f>IF(INDEX('01人员工时'!$D$7:$D$126,INT((ROW()-7)/4)+1)&amp;""="","",INDEX('01人员工时'!$B$7:$B$126,INT((ROW()-7)/4)+1))</f>
        <v/>
      </c>
      <c r="C389" s="22">
        <f>IF($D389="","",IF(MOD(ROW()-7,4)=0,INDEX('01人员工时'!$C$7:$C$126,INT((ROW()-7)/4)+1),""))</f>
        <v/>
      </c>
      <c r="D389" s="22">
        <f>IF(INDEX('01人员工时'!$D$7:$D$126,INT((ROW()-7)/4)+1)&amp;""="","",INDEX('01人员工时'!$D$7:$D$126,INT((ROW()-7)/4)+1))</f>
        <v/>
      </c>
      <c r="E389" s="22">
        <f>IF($D389="","",INDEX('参数设置'!$K$6:$K$9,MOD(ROW()-7,4)+1))</f>
        <v/>
      </c>
      <c r="F389" s="23">
        <f>IF($D389="","",IF($V389&lt;&gt;"",$V389,IFERROR(INDEX('参数设置'!$D$17:$G$26,MATCH($D389,'参数设置'!$C$17:$C$26,0),MATCH($E389,'参数设置'!$D$16:$G$16,0)),0)))</f>
        <v/>
      </c>
      <c r="G389" s="24">
        <f>IF($D389="","",INDEX('01人员工时'!$E$7:$E$126,INT((ROW()-7)/4)+1))</f>
        <v/>
      </c>
      <c r="H389" s="24">
        <f>IF($D389="","",INDEX('01人员工时'!$O$7:$O$126,INT((ROW()-7)/4)+1))</f>
        <v/>
      </c>
      <c r="I389" s="20">
        <f>IF(OR($D389="",$G389=0),"",$H389/$G389)</f>
        <v/>
      </c>
      <c r="J389" s="12">
        <f>IF($D389="","",ROUND($F389,2)-$S389)</f>
        <v/>
      </c>
      <c r="K389" s="12">
        <f>IF(OR($D389="",$G389=0),"",ROUND($F389*INDEX('01人员工时'!G$7:G$126,INT((ROW()-7)/4)+1)/$G389,2))</f>
        <v/>
      </c>
      <c r="L389" s="12">
        <f>IF(OR($D389="",$G389=0),"",ROUND($F389*INDEX('01人员工时'!H$7:H$126,INT((ROW()-7)/4)+1)/$G389,2))</f>
        <v/>
      </c>
      <c r="M389" s="12">
        <f>IF(OR($D389="",$G389=0),"",ROUND($F389*INDEX('01人员工时'!I$7:I$126,INT((ROW()-7)/4)+1)/$G389,2))</f>
        <v/>
      </c>
      <c r="N389" s="12">
        <f>IF(OR($D389="",$G389=0),"",ROUND($F389*INDEX('01人员工时'!J$7:J$126,INT((ROW()-7)/4)+1)/$G389,2))</f>
        <v/>
      </c>
      <c r="O389" s="12">
        <f>IF(OR($D389="",$G389=0),"",ROUND($F389*INDEX('01人员工时'!K$7:K$126,INT((ROW()-7)/4)+1)/$G389,2))</f>
        <v/>
      </c>
      <c r="P389" s="12">
        <f>IF(OR($D389="",$G389=0),"",ROUND($F389*INDEX('01人员工时'!L$7:L$126,INT((ROW()-7)/4)+1)/$G389,2))</f>
        <v/>
      </c>
      <c r="Q389" s="12">
        <f>IF(OR($D389="",$G389=0),"",ROUND($F389*INDEX('01人员工时'!M$7:M$126,INT((ROW()-7)/4)+1)/$G389,2))</f>
        <v/>
      </c>
      <c r="R389" s="12">
        <f>IF(OR($D389="",$G389=0),"",ROUND($F389*INDEX('01人员工时'!N$7:N$126,INT((ROW()-7)/4)+1)/$G389,2))</f>
        <v/>
      </c>
      <c r="S389" s="12">
        <f>IF($D389="","",SUM(K389:R389))</f>
        <v/>
      </c>
      <c r="T389" s="12">
        <f>IF($D389="","",$J389+$S389)</f>
        <v/>
      </c>
      <c r="U389" s="25">
        <f>IF($D389="","",IF($F389=0,"未维护标准",IF(ROUND($T389-$F389,2)=0,"√","差异")))</f>
        <v/>
      </c>
      <c r="V389" s="11" t="n"/>
      <c r="W389" s="9" t="n"/>
    </row>
    <row r="390" ht="18" customHeight="1">
      <c r="B390" s="26">
        <f>IF(INDEX('01人员工时'!$D$7:$D$126,INT((ROW()-7)/4)+1)&amp;""="","",INDEX('01人员工时'!$B$7:$B$126,INT((ROW()-7)/4)+1))</f>
        <v/>
      </c>
      <c r="C390" s="27">
        <f>IF($D390="","",IF(MOD(ROW()-7,4)=0,INDEX('01人员工时'!$C$7:$C$126,INT((ROW()-7)/4)+1),""))</f>
        <v/>
      </c>
      <c r="D390" s="27">
        <f>IF(INDEX('01人员工时'!$D$7:$D$126,INT((ROW()-7)/4)+1)&amp;""="","",INDEX('01人员工时'!$D$7:$D$126,INT((ROW()-7)/4)+1))</f>
        <v/>
      </c>
      <c r="E390" s="27">
        <f>IF($D390="","",INDEX('参数设置'!$K$6:$K$9,MOD(ROW()-7,4)+1))</f>
        <v/>
      </c>
      <c r="F390" s="28">
        <f>IF($D390="","",IF($V390&lt;&gt;"",$V390,IFERROR(INDEX('参数设置'!$D$17:$G$26,MATCH($D390,'参数设置'!$C$17:$C$26,0),MATCH($E390,'参数设置'!$D$16:$G$16,0)),0)))</f>
        <v/>
      </c>
      <c r="G390" s="29">
        <f>IF($D390="","",INDEX('01人员工时'!$E$7:$E$126,INT((ROW()-7)/4)+1))</f>
        <v/>
      </c>
      <c r="H390" s="29">
        <f>IF($D390="","",INDEX('01人员工时'!$O$7:$O$126,INT((ROW()-7)/4)+1))</f>
        <v/>
      </c>
      <c r="I390" s="30">
        <f>IF(OR($D390="",$G390=0),"",$H390/$G390)</f>
        <v/>
      </c>
      <c r="J390" s="31">
        <f>IF($D390="","",ROUND($F390,2)-$S390)</f>
        <v/>
      </c>
      <c r="K390" s="31">
        <f>IF(OR($D390="",$G390=0),"",ROUND($F390*INDEX('01人员工时'!G$7:G$126,INT((ROW()-7)/4)+1)/$G390,2))</f>
        <v/>
      </c>
      <c r="L390" s="31">
        <f>IF(OR($D390="",$G390=0),"",ROUND($F390*INDEX('01人员工时'!H$7:H$126,INT((ROW()-7)/4)+1)/$G390,2))</f>
        <v/>
      </c>
      <c r="M390" s="31">
        <f>IF(OR($D390="",$G390=0),"",ROUND($F390*INDEX('01人员工时'!I$7:I$126,INT((ROW()-7)/4)+1)/$G390,2))</f>
        <v/>
      </c>
      <c r="N390" s="31">
        <f>IF(OR($D390="",$G390=0),"",ROUND($F390*INDEX('01人员工时'!J$7:J$126,INT((ROW()-7)/4)+1)/$G390,2))</f>
        <v/>
      </c>
      <c r="O390" s="31">
        <f>IF(OR($D390="",$G390=0),"",ROUND($F390*INDEX('01人员工时'!K$7:K$126,INT((ROW()-7)/4)+1)/$G390,2))</f>
        <v/>
      </c>
      <c r="P390" s="31">
        <f>IF(OR($D390="",$G390=0),"",ROUND($F390*INDEX('01人员工时'!L$7:L$126,INT((ROW()-7)/4)+1)/$G390,2))</f>
        <v/>
      </c>
      <c r="Q390" s="31">
        <f>IF(OR($D390="",$G390=0),"",ROUND($F390*INDEX('01人员工时'!M$7:M$126,INT((ROW()-7)/4)+1)/$G390,2))</f>
        <v/>
      </c>
      <c r="R390" s="31">
        <f>IF(OR($D390="",$G390=0),"",ROUND($F390*INDEX('01人员工时'!N$7:N$126,INT((ROW()-7)/4)+1)/$G390,2))</f>
        <v/>
      </c>
      <c r="S390" s="31">
        <f>IF($D390="","",SUM(K390:R390))</f>
        <v/>
      </c>
      <c r="T390" s="31">
        <f>IF($D390="","",$J390+$S390)</f>
        <v/>
      </c>
      <c r="U390" s="32">
        <f>IF($D390="","",IF($F390=0,"未维护标准",IF(ROUND($T390-$F390,2)=0,"√","差异")))</f>
        <v/>
      </c>
      <c r="V390" s="33" t="n"/>
      <c r="W390" s="34" t="n"/>
    </row>
    <row r="391" ht="18" customHeight="1">
      <c r="B391" s="21">
        <f>IF(INDEX('01人员工时'!$D$7:$D$126,INT((ROW()-7)/4)+1)&amp;""="","",INDEX('01人员工时'!$B$7:$B$126,INT((ROW()-7)/4)+1))</f>
        <v/>
      </c>
      <c r="C391" s="22">
        <f>IF($D391="","",IF(MOD(ROW()-7,4)=0,INDEX('01人员工时'!$C$7:$C$126,INT((ROW()-7)/4)+1),""))</f>
        <v/>
      </c>
      <c r="D391" s="22">
        <f>IF(INDEX('01人员工时'!$D$7:$D$126,INT((ROW()-7)/4)+1)&amp;""="","",INDEX('01人员工时'!$D$7:$D$126,INT((ROW()-7)/4)+1))</f>
        <v/>
      </c>
      <c r="E391" s="22">
        <f>IF($D391="","",INDEX('参数设置'!$K$6:$K$9,MOD(ROW()-7,4)+1))</f>
        <v/>
      </c>
      <c r="F391" s="23">
        <f>IF($D391="","",IF($V391&lt;&gt;"",$V391,IFERROR(INDEX('参数设置'!$D$17:$G$26,MATCH($D391,'参数设置'!$C$17:$C$26,0),MATCH($E391,'参数设置'!$D$16:$G$16,0)),0)))</f>
        <v/>
      </c>
      <c r="G391" s="24">
        <f>IF($D391="","",INDEX('01人员工时'!$E$7:$E$126,INT((ROW()-7)/4)+1))</f>
        <v/>
      </c>
      <c r="H391" s="24">
        <f>IF($D391="","",INDEX('01人员工时'!$O$7:$O$126,INT((ROW()-7)/4)+1))</f>
        <v/>
      </c>
      <c r="I391" s="20">
        <f>IF(OR($D391="",$G391=0),"",$H391/$G391)</f>
        <v/>
      </c>
      <c r="J391" s="12">
        <f>IF($D391="","",ROUND($F391,2)-$S391)</f>
        <v/>
      </c>
      <c r="K391" s="12">
        <f>IF(OR($D391="",$G391=0),"",ROUND($F391*INDEX('01人员工时'!G$7:G$126,INT((ROW()-7)/4)+1)/$G391,2))</f>
        <v/>
      </c>
      <c r="L391" s="12">
        <f>IF(OR($D391="",$G391=0),"",ROUND($F391*INDEX('01人员工时'!H$7:H$126,INT((ROW()-7)/4)+1)/$G391,2))</f>
        <v/>
      </c>
      <c r="M391" s="12">
        <f>IF(OR($D391="",$G391=0),"",ROUND($F391*INDEX('01人员工时'!I$7:I$126,INT((ROW()-7)/4)+1)/$G391,2))</f>
        <v/>
      </c>
      <c r="N391" s="12">
        <f>IF(OR($D391="",$G391=0),"",ROUND($F391*INDEX('01人员工时'!J$7:J$126,INT((ROW()-7)/4)+1)/$G391,2))</f>
        <v/>
      </c>
      <c r="O391" s="12">
        <f>IF(OR($D391="",$G391=0),"",ROUND($F391*INDEX('01人员工时'!K$7:K$126,INT((ROW()-7)/4)+1)/$G391,2))</f>
        <v/>
      </c>
      <c r="P391" s="12">
        <f>IF(OR($D391="",$G391=0),"",ROUND($F391*INDEX('01人员工时'!L$7:L$126,INT((ROW()-7)/4)+1)/$G391,2))</f>
        <v/>
      </c>
      <c r="Q391" s="12">
        <f>IF(OR($D391="",$G391=0),"",ROUND($F391*INDEX('01人员工时'!M$7:M$126,INT((ROW()-7)/4)+1)/$G391,2))</f>
        <v/>
      </c>
      <c r="R391" s="12">
        <f>IF(OR($D391="",$G391=0),"",ROUND($F391*INDEX('01人员工时'!N$7:N$126,INT((ROW()-7)/4)+1)/$G391,2))</f>
        <v/>
      </c>
      <c r="S391" s="12">
        <f>IF($D391="","",SUM(K391:R391))</f>
        <v/>
      </c>
      <c r="T391" s="12">
        <f>IF($D391="","",$J391+$S391)</f>
        <v/>
      </c>
      <c r="U391" s="25">
        <f>IF($D391="","",IF($F391=0,"未维护标准",IF(ROUND($T391-$F391,2)=0,"√","差异")))</f>
        <v/>
      </c>
      <c r="V391" s="11" t="n"/>
      <c r="W391" s="9" t="n"/>
    </row>
    <row r="392" ht="18" customHeight="1">
      <c r="B392" s="21">
        <f>IF(INDEX('01人员工时'!$D$7:$D$126,INT((ROW()-7)/4)+1)&amp;""="","",INDEX('01人员工时'!$B$7:$B$126,INT((ROW()-7)/4)+1))</f>
        <v/>
      </c>
      <c r="C392" s="22">
        <f>IF($D392="","",IF(MOD(ROW()-7,4)=0,INDEX('01人员工时'!$C$7:$C$126,INT((ROW()-7)/4)+1),""))</f>
        <v/>
      </c>
      <c r="D392" s="22">
        <f>IF(INDEX('01人员工时'!$D$7:$D$126,INT((ROW()-7)/4)+1)&amp;""="","",INDEX('01人员工时'!$D$7:$D$126,INT((ROW()-7)/4)+1))</f>
        <v/>
      </c>
      <c r="E392" s="22">
        <f>IF($D392="","",INDEX('参数设置'!$K$6:$K$9,MOD(ROW()-7,4)+1))</f>
        <v/>
      </c>
      <c r="F392" s="23">
        <f>IF($D392="","",IF($V392&lt;&gt;"",$V392,IFERROR(INDEX('参数设置'!$D$17:$G$26,MATCH($D392,'参数设置'!$C$17:$C$26,0),MATCH($E392,'参数设置'!$D$16:$G$16,0)),0)))</f>
        <v/>
      </c>
      <c r="G392" s="24">
        <f>IF($D392="","",INDEX('01人员工时'!$E$7:$E$126,INT((ROW()-7)/4)+1))</f>
        <v/>
      </c>
      <c r="H392" s="24">
        <f>IF($D392="","",INDEX('01人员工时'!$O$7:$O$126,INT((ROW()-7)/4)+1))</f>
        <v/>
      </c>
      <c r="I392" s="20">
        <f>IF(OR($D392="",$G392=0),"",$H392/$G392)</f>
        <v/>
      </c>
      <c r="J392" s="12">
        <f>IF($D392="","",ROUND($F392,2)-$S392)</f>
        <v/>
      </c>
      <c r="K392" s="12">
        <f>IF(OR($D392="",$G392=0),"",ROUND($F392*INDEX('01人员工时'!G$7:G$126,INT((ROW()-7)/4)+1)/$G392,2))</f>
        <v/>
      </c>
      <c r="L392" s="12">
        <f>IF(OR($D392="",$G392=0),"",ROUND($F392*INDEX('01人员工时'!H$7:H$126,INT((ROW()-7)/4)+1)/$G392,2))</f>
        <v/>
      </c>
      <c r="M392" s="12">
        <f>IF(OR($D392="",$G392=0),"",ROUND($F392*INDEX('01人员工时'!I$7:I$126,INT((ROW()-7)/4)+1)/$G392,2))</f>
        <v/>
      </c>
      <c r="N392" s="12">
        <f>IF(OR($D392="",$G392=0),"",ROUND($F392*INDEX('01人员工时'!J$7:J$126,INT((ROW()-7)/4)+1)/$G392,2))</f>
        <v/>
      </c>
      <c r="O392" s="12">
        <f>IF(OR($D392="",$G392=0),"",ROUND($F392*INDEX('01人员工时'!K$7:K$126,INT((ROW()-7)/4)+1)/$G392,2))</f>
        <v/>
      </c>
      <c r="P392" s="12">
        <f>IF(OR($D392="",$G392=0),"",ROUND($F392*INDEX('01人员工时'!L$7:L$126,INT((ROW()-7)/4)+1)/$G392,2))</f>
        <v/>
      </c>
      <c r="Q392" s="12">
        <f>IF(OR($D392="",$G392=0),"",ROUND($F392*INDEX('01人员工时'!M$7:M$126,INT((ROW()-7)/4)+1)/$G392,2))</f>
        <v/>
      </c>
      <c r="R392" s="12">
        <f>IF(OR($D392="",$G392=0),"",ROUND($F392*INDEX('01人员工时'!N$7:N$126,INT((ROW()-7)/4)+1)/$G392,2))</f>
        <v/>
      </c>
      <c r="S392" s="12">
        <f>IF($D392="","",SUM(K392:R392))</f>
        <v/>
      </c>
      <c r="T392" s="12">
        <f>IF($D392="","",$J392+$S392)</f>
        <v/>
      </c>
      <c r="U392" s="25">
        <f>IF($D392="","",IF($F392=0,"未维护标准",IF(ROUND($T392-$F392,2)=0,"√","差异")))</f>
        <v/>
      </c>
      <c r="V392" s="11" t="n"/>
      <c r="W392" s="9" t="n"/>
    </row>
    <row r="393" ht="18" customHeight="1">
      <c r="B393" s="21">
        <f>IF(INDEX('01人员工时'!$D$7:$D$126,INT((ROW()-7)/4)+1)&amp;""="","",INDEX('01人员工时'!$B$7:$B$126,INT((ROW()-7)/4)+1))</f>
        <v/>
      </c>
      <c r="C393" s="22">
        <f>IF($D393="","",IF(MOD(ROW()-7,4)=0,INDEX('01人员工时'!$C$7:$C$126,INT((ROW()-7)/4)+1),""))</f>
        <v/>
      </c>
      <c r="D393" s="22">
        <f>IF(INDEX('01人员工时'!$D$7:$D$126,INT((ROW()-7)/4)+1)&amp;""="","",INDEX('01人员工时'!$D$7:$D$126,INT((ROW()-7)/4)+1))</f>
        <v/>
      </c>
      <c r="E393" s="22">
        <f>IF($D393="","",INDEX('参数设置'!$K$6:$K$9,MOD(ROW()-7,4)+1))</f>
        <v/>
      </c>
      <c r="F393" s="23">
        <f>IF($D393="","",IF($V393&lt;&gt;"",$V393,IFERROR(INDEX('参数设置'!$D$17:$G$26,MATCH($D393,'参数设置'!$C$17:$C$26,0),MATCH($E393,'参数设置'!$D$16:$G$16,0)),0)))</f>
        <v/>
      </c>
      <c r="G393" s="24">
        <f>IF($D393="","",INDEX('01人员工时'!$E$7:$E$126,INT((ROW()-7)/4)+1))</f>
        <v/>
      </c>
      <c r="H393" s="24">
        <f>IF($D393="","",INDEX('01人员工时'!$O$7:$O$126,INT((ROW()-7)/4)+1))</f>
        <v/>
      </c>
      <c r="I393" s="20">
        <f>IF(OR($D393="",$G393=0),"",$H393/$G393)</f>
        <v/>
      </c>
      <c r="J393" s="12">
        <f>IF($D393="","",ROUND($F393,2)-$S393)</f>
        <v/>
      </c>
      <c r="K393" s="12">
        <f>IF(OR($D393="",$G393=0),"",ROUND($F393*INDEX('01人员工时'!G$7:G$126,INT((ROW()-7)/4)+1)/$G393,2))</f>
        <v/>
      </c>
      <c r="L393" s="12">
        <f>IF(OR($D393="",$G393=0),"",ROUND($F393*INDEX('01人员工时'!H$7:H$126,INT((ROW()-7)/4)+1)/$G393,2))</f>
        <v/>
      </c>
      <c r="M393" s="12">
        <f>IF(OR($D393="",$G393=0),"",ROUND($F393*INDEX('01人员工时'!I$7:I$126,INT((ROW()-7)/4)+1)/$G393,2))</f>
        <v/>
      </c>
      <c r="N393" s="12">
        <f>IF(OR($D393="",$G393=0),"",ROUND($F393*INDEX('01人员工时'!J$7:J$126,INT((ROW()-7)/4)+1)/$G393,2))</f>
        <v/>
      </c>
      <c r="O393" s="12">
        <f>IF(OR($D393="",$G393=0),"",ROUND($F393*INDEX('01人员工时'!K$7:K$126,INT((ROW()-7)/4)+1)/$G393,2))</f>
        <v/>
      </c>
      <c r="P393" s="12">
        <f>IF(OR($D393="",$G393=0),"",ROUND($F393*INDEX('01人员工时'!L$7:L$126,INT((ROW()-7)/4)+1)/$G393,2))</f>
        <v/>
      </c>
      <c r="Q393" s="12">
        <f>IF(OR($D393="",$G393=0),"",ROUND($F393*INDEX('01人员工时'!M$7:M$126,INT((ROW()-7)/4)+1)/$G393,2))</f>
        <v/>
      </c>
      <c r="R393" s="12">
        <f>IF(OR($D393="",$G393=0),"",ROUND($F393*INDEX('01人员工时'!N$7:N$126,INT((ROW()-7)/4)+1)/$G393,2))</f>
        <v/>
      </c>
      <c r="S393" s="12">
        <f>IF($D393="","",SUM(K393:R393))</f>
        <v/>
      </c>
      <c r="T393" s="12">
        <f>IF($D393="","",$J393+$S393)</f>
        <v/>
      </c>
      <c r="U393" s="25">
        <f>IF($D393="","",IF($F393=0,"未维护标准",IF(ROUND($T393-$F393,2)=0,"√","差异")))</f>
        <v/>
      </c>
      <c r="V393" s="11" t="n"/>
      <c r="W393" s="9" t="n"/>
    </row>
    <row r="394" ht="18" customHeight="1">
      <c r="B394" s="26">
        <f>IF(INDEX('01人员工时'!$D$7:$D$126,INT((ROW()-7)/4)+1)&amp;""="","",INDEX('01人员工时'!$B$7:$B$126,INT((ROW()-7)/4)+1))</f>
        <v/>
      </c>
      <c r="C394" s="27">
        <f>IF($D394="","",IF(MOD(ROW()-7,4)=0,INDEX('01人员工时'!$C$7:$C$126,INT((ROW()-7)/4)+1),""))</f>
        <v/>
      </c>
      <c r="D394" s="27">
        <f>IF(INDEX('01人员工时'!$D$7:$D$126,INT((ROW()-7)/4)+1)&amp;""="","",INDEX('01人员工时'!$D$7:$D$126,INT((ROW()-7)/4)+1))</f>
        <v/>
      </c>
      <c r="E394" s="27">
        <f>IF($D394="","",INDEX('参数设置'!$K$6:$K$9,MOD(ROW()-7,4)+1))</f>
        <v/>
      </c>
      <c r="F394" s="28">
        <f>IF($D394="","",IF($V394&lt;&gt;"",$V394,IFERROR(INDEX('参数设置'!$D$17:$G$26,MATCH($D394,'参数设置'!$C$17:$C$26,0),MATCH($E394,'参数设置'!$D$16:$G$16,0)),0)))</f>
        <v/>
      </c>
      <c r="G394" s="29">
        <f>IF($D394="","",INDEX('01人员工时'!$E$7:$E$126,INT((ROW()-7)/4)+1))</f>
        <v/>
      </c>
      <c r="H394" s="29">
        <f>IF($D394="","",INDEX('01人员工时'!$O$7:$O$126,INT((ROW()-7)/4)+1))</f>
        <v/>
      </c>
      <c r="I394" s="30">
        <f>IF(OR($D394="",$G394=0),"",$H394/$G394)</f>
        <v/>
      </c>
      <c r="J394" s="31">
        <f>IF($D394="","",ROUND($F394,2)-$S394)</f>
        <v/>
      </c>
      <c r="K394" s="31">
        <f>IF(OR($D394="",$G394=0),"",ROUND($F394*INDEX('01人员工时'!G$7:G$126,INT((ROW()-7)/4)+1)/$G394,2))</f>
        <v/>
      </c>
      <c r="L394" s="31">
        <f>IF(OR($D394="",$G394=0),"",ROUND($F394*INDEX('01人员工时'!H$7:H$126,INT((ROW()-7)/4)+1)/$G394,2))</f>
        <v/>
      </c>
      <c r="M394" s="31">
        <f>IF(OR($D394="",$G394=0),"",ROUND($F394*INDEX('01人员工时'!I$7:I$126,INT((ROW()-7)/4)+1)/$G394,2))</f>
        <v/>
      </c>
      <c r="N394" s="31">
        <f>IF(OR($D394="",$G394=0),"",ROUND($F394*INDEX('01人员工时'!J$7:J$126,INT((ROW()-7)/4)+1)/$G394,2))</f>
        <v/>
      </c>
      <c r="O394" s="31">
        <f>IF(OR($D394="",$G394=0),"",ROUND($F394*INDEX('01人员工时'!K$7:K$126,INT((ROW()-7)/4)+1)/$G394,2))</f>
        <v/>
      </c>
      <c r="P394" s="31">
        <f>IF(OR($D394="",$G394=0),"",ROUND($F394*INDEX('01人员工时'!L$7:L$126,INT((ROW()-7)/4)+1)/$G394,2))</f>
        <v/>
      </c>
      <c r="Q394" s="31">
        <f>IF(OR($D394="",$G394=0),"",ROUND($F394*INDEX('01人员工时'!M$7:M$126,INT((ROW()-7)/4)+1)/$G394,2))</f>
        <v/>
      </c>
      <c r="R394" s="31">
        <f>IF(OR($D394="",$G394=0),"",ROUND($F394*INDEX('01人员工时'!N$7:N$126,INT((ROW()-7)/4)+1)/$G394,2))</f>
        <v/>
      </c>
      <c r="S394" s="31">
        <f>IF($D394="","",SUM(K394:R394))</f>
        <v/>
      </c>
      <c r="T394" s="31">
        <f>IF($D394="","",$J394+$S394)</f>
        <v/>
      </c>
      <c r="U394" s="32">
        <f>IF($D394="","",IF($F394=0,"未维护标准",IF(ROUND($T394-$F394,2)=0,"√","差异")))</f>
        <v/>
      </c>
      <c r="V394" s="33" t="n"/>
      <c r="W394" s="34" t="n"/>
    </row>
    <row r="395" ht="18" customHeight="1">
      <c r="B395" s="21">
        <f>IF(INDEX('01人员工时'!$D$7:$D$126,INT((ROW()-7)/4)+1)&amp;""="","",INDEX('01人员工时'!$B$7:$B$126,INT((ROW()-7)/4)+1))</f>
        <v/>
      </c>
      <c r="C395" s="22">
        <f>IF($D395="","",IF(MOD(ROW()-7,4)=0,INDEX('01人员工时'!$C$7:$C$126,INT((ROW()-7)/4)+1),""))</f>
        <v/>
      </c>
      <c r="D395" s="22">
        <f>IF(INDEX('01人员工时'!$D$7:$D$126,INT((ROW()-7)/4)+1)&amp;""="","",INDEX('01人员工时'!$D$7:$D$126,INT((ROW()-7)/4)+1))</f>
        <v/>
      </c>
      <c r="E395" s="22">
        <f>IF($D395="","",INDEX('参数设置'!$K$6:$K$9,MOD(ROW()-7,4)+1))</f>
        <v/>
      </c>
      <c r="F395" s="23">
        <f>IF($D395="","",IF($V395&lt;&gt;"",$V395,IFERROR(INDEX('参数设置'!$D$17:$G$26,MATCH($D395,'参数设置'!$C$17:$C$26,0),MATCH($E395,'参数设置'!$D$16:$G$16,0)),0)))</f>
        <v/>
      </c>
      <c r="G395" s="24">
        <f>IF($D395="","",INDEX('01人员工时'!$E$7:$E$126,INT((ROW()-7)/4)+1))</f>
        <v/>
      </c>
      <c r="H395" s="24">
        <f>IF($D395="","",INDEX('01人员工时'!$O$7:$O$126,INT((ROW()-7)/4)+1))</f>
        <v/>
      </c>
      <c r="I395" s="20">
        <f>IF(OR($D395="",$G395=0),"",$H395/$G395)</f>
        <v/>
      </c>
      <c r="J395" s="12">
        <f>IF($D395="","",ROUND($F395,2)-$S395)</f>
        <v/>
      </c>
      <c r="K395" s="12">
        <f>IF(OR($D395="",$G395=0),"",ROUND($F395*INDEX('01人员工时'!G$7:G$126,INT((ROW()-7)/4)+1)/$G395,2))</f>
        <v/>
      </c>
      <c r="L395" s="12">
        <f>IF(OR($D395="",$G395=0),"",ROUND($F395*INDEX('01人员工时'!H$7:H$126,INT((ROW()-7)/4)+1)/$G395,2))</f>
        <v/>
      </c>
      <c r="M395" s="12">
        <f>IF(OR($D395="",$G395=0),"",ROUND($F395*INDEX('01人员工时'!I$7:I$126,INT((ROW()-7)/4)+1)/$G395,2))</f>
        <v/>
      </c>
      <c r="N395" s="12">
        <f>IF(OR($D395="",$G395=0),"",ROUND($F395*INDEX('01人员工时'!J$7:J$126,INT((ROW()-7)/4)+1)/$G395,2))</f>
        <v/>
      </c>
      <c r="O395" s="12">
        <f>IF(OR($D395="",$G395=0),"",ROUND($F395*INDEX('01人员工时'!K$7:K$126,INT((ROW()-7)/4)+1)/$G395,2))</f>
        <v/>
      </c>
      <c r="P395" s="12">
        <f>IF(OR($D395="",$G395=0),"",ROUND($F395*INDEX('01人员工时'!L$7:L$126,INT((ROW()-7)/4)+1)/$G395,2))</f>
        <v/>
      </c>
      <c r="Q395" s="12">
        <f>IF(OR($D395="",$G395=0),"",ROUND($F395*INDEX('01人员工时'!M$7:M$126,INT((ROW()-7)/4)+1)/$G395,2))</f>
        <v/>
      </c>
      <c r="R395" s="12">
        <f>IF(OR($D395="",$G395=0),"",ROUND($F395*INDEX('01人员工时'!N$7:N$126,INT((ROW()-7)/4)+1)/$G395,2))</f>
        <v/>
      </c>
      <c r="S395" s="12">
        <f>IF($D395="","",SUM(K395:R395))</f>
        <v/>
      </c>
      <c r="T395" s="12">
        <f>IF($D395="","",$J395+$S395)</f>
        <v/>
      </c>
      <c r="U395" s="25">
        <f>IF($D395="","",IF($F395=0,"未维护标准",IF(ROUND($T395-$F395,2)=0,"√","差异")))</f>
        <v/>
      </c>
      <c r="V395" s="11" t="n"/>
      <c r="W395" s="9" t="n"/>
    </row>
    <row r="396" ht="18" customHeight="1">
      <c r="B396" s="21">
        <f>IF(INDEX('01人员工时'!$D$7:$D$126,INT((ROW()-7)/4)+1)&amp;""="","",INDEX('01人员工时'!$B$7:$B$126,INT((ROW()-7)/4)+1))</f>
        <v/>
      </c>
      <c r="C396" s="22">
        <f>IF($D396="","",IF(MOD(ROW()-7,4)=0,INDEX('01人员工时'!$C$7:$C$126,INT((ROW()-7)/4)+1),""))</f>
        <v/>
      </c>
      <c r="D396" s="22">
        <f>IF(INDEX('01人员工时'!$D$7:$D$126,INT((ROW()-7)/4)+1)&amp;""="","",INDEX('01人员工时'!$D$7:$D$126,INT((ROW()-7)/4)+1))</f>
        <v/>
      </c>
      <c r="E396" s="22">
        <f>IF($D396="","",INDEX('参数设置'!$K$6:$K$9,MOD(ROW()-7,4)+1))</f>
        <v/>
      </c>
      <c r="F396" s="23">
        <f>IF($D396="","",IF($V396&lt;&gt;"",$V396,IFERROR(INDEX('参数设置'!$D$17:$G$26,MATCH($D396,'参数设置'!$C$17:$C$26,0),MATCH($E396,'参数设置'!$D$16:$G$16,0)),0)))</f>
        <v/>
      </c>
      <c r="G396" s="24">
        <f>IF($D396="","",INDEX('01人员工时'!$E$7:$E$126,INT((ROW()-7)/4)+1))</f>
        <v/>
      </c>
      <c r="H396" s="24">
        <f>IF($D396="","",INDEX('01人员工时'!$O$7:$O$126,INT((ROW()-7)/4)+1))</f>
        <v/>
      </c>
      <c r="I396" s="20">
        <f>IF(OR($D396="",$G396=0),"",$H396/$G396)</f>
        <v/>
      </c>
      <c r="J396" s="12">
        <f>IF($D396="","",ROUND($F396,2)-$S396)</f>
        <v/>
      </c>
      <c r="K396" s="12">
        <f>IF(OR($D396="",$G396=0),"",ROUND($F396*INDEX('01人员工时'!G$7:G$126,INT((ROW()-7)/4)+1)/$G396,2))</f>
        <v/>
      </c>
      <c r="L396" s="12">
        <f>IF(OR($D396="",$G396=0),"",ROUND($F396*INDEX('01人员工时'!H$7:H$126,INT((ROW()-7)/4)+1)/$G396,2))</f>
        <v/>
      </c>
      <c r="M396" s="12">
        <f>IF(OR($D396="",$G396=0),"",ROUND($F396*INDEX('01人员工时'!I$7:I$126,INT((ROW()-7)/4)+1)/$G396,2))</f>
        <v/>
      </c>
      <c r="N396" s="12">
        <f>IF(OR($D396="",$G396=0),"",ROUND($F396*INDEX('01人员工时'!J$7:J$126,INT((ROW()-7)/4)+1)/$G396,2))</f>
        <v/>
      </c>
      <c r="O396" s="12">
        <f>IF(OR($D396="",$G396=0),"",ROUND($F396*INDEX('01人员工时'!K$7:K$126,INT((ROW()-7)/4)+1)/$G396,2))</f>
        <v/>
      </c>
      <c r="P396" s="12">
        <f>IF(OR($D396="",$G396=0),"",ROUND($F396*INDEX('01人员工时'!L$7:L$126,INT((ROW()-7)/4)+1)/$G396,2))</f>
        <v/>
      </c>
      <c r="Q396" s="12">
        <f>IF(OR($D396="",$G396=0),"",ROUND($F396*INDEX('01人员工时'!M$7:M$126,INT((ROW()-7)/4)+1)/$G396,2))</f>
        <v/>
      </c>
      <c r="R396" s="12">
        <f>IF(OR($D396="",$G396=0),"",ROUND($F396*INDEX('01人员工时'!N$7:N$126,INT((ROW()-7)/4)+1)/$G396,2))</f>
        <v/>
      </c>
      <c r="S396" s="12">
        <f>IF($D396="","",SUM(K396:R396))</f>
        <v/>
      </c>
      <c r="T396" s="12">
        <f>IF($D396="","",$J396+$S396)</f>
        <v/>
      </c>
      <c r="U396" s="25">
        <f>IF($D396="","",IF($F396=0,"未维护标准",IF(ROUND($T396-$F396,2)=0,"√","差异")))</f>
        <v/>
      </c>
      <c r="V396" s="11" t="n"/>
      <c r="W396" s="9" t="n"/>
    </row>
    <row r="397" ht="18" customHeight="1">
      <c r="B397" s="21">
        <f>IF(INDEX('01人员工时'!$D$7:$D$126,INT((ROW()-7)/4)+1)&amp;""="","",INDEX('01人员工时'!$B$7:$B$126,INT((ROW()-7)/4)+1))</f>
        <v/>
      </c>
      <c r="C397" s="22">
        <f>IF($D397="","",IF(MOD(ROW()-7,4)=0,INDEX('01人员工时'!$C$7:$C$126,INT((ROW()-7)/4)+1),""))</f>
        <v/>
      </c>
      <c r="D397" s="22">
        <f>IF(INDEX('01人员工时'!$D$7:$D$126,INT((ROW()-7)/4)+1)&amp;""="","",INDEX('01人员工时'!$D$7:$D$126,INT((ROW()-7)/4)+1))</f>
        <v/>
      </c>
      <c r="E397" s="22">
        <f>IF($D397="","",INDEX('参数设置'!$K$6:$K$9,MOD(ROW()-7,4)+1))</f>
        <v/>
      </c>
      <c r="F397" s="23">
        <f>IF($D397="","",IF($V397&lt;&gt;"",$V397,IFERROR(INDEX('参数设置'!$D$17:$G$26,MATCH($D397,'参数设置'!$C$17:$C$26,0),MATCH($E397,'参数设置'!$D$16:$G$16,0)),0)))</f>
        <v/>
      </c>
      <c r="G397" s="24">
        <f>IF($D397="","",INDEX('01人员工时'!$E$7:$E$126,INT((ROW()-7)/4)+1))</f>
        <v/>
      </c>
      <c r="H397" s="24">
        <f>IF($D397="","",INDEX('01人员工时'!$O$7:$O$126,INT((ROW()-7)/4)+1))</f>
        <v/>
      </c>
      <c r="I397" s="20">
        <f>IF(OR($D397="",$G397=0),"",$H397/$G397)</f>
        <v/>
      </c>
      <c r="J397" s="12">
        <f>IF($D397="","",ROUND($F397,2)-$S397)</f>
        <v/>
      </c>
      <c r="K397" s="12">
        <f>IF(OR($D397="",$G397=0),"",ROUND($F397*INDEX('01人员工时'!G$7:G$126,INT((ROW()-7)/4)+1)/$G397,2))</f>
        <v/>
      </c>
      <c r="L397" s="12">
        <f>IF(OR($D397="",$G397=0),"",ROUND($F397*INDEX('01人员工时'!H$7:H$126,INT((ROW()-7)/4)+1)/$G397,2))</f>
        <v/>
      </c>
      <c r="M397" s="12">
        <f>IF(OR($D397="",$G397=0),"",ROUND($F397*INDEX('01人员工时'!I$7:I$126,INT((ROW()-7)/4)+1)/$G397,2))</f>
        <v/>
      </c>
      <c r="N397" s="12">
        <f>IF(OR($D397="",$G397=0),"",ROUND($F397*INDEX('01人员工时'!J$7:J$126,INT((ROW()-7)/4)+1)/$G397,2))</f>
        <v/>
      </c>
      <c r="O397" s="12">
        <f>IF(OR($D397="",$G397=0),"",ROUND($F397*INDEX('01人员工时'!K$7:K$126,INT((ROW()-7)/4)+1)/$G397,2))</f>
        <v/>
      </c>
      <c r="P397" s="12">
        <f>IF(OR($D397="",$G397=0),"",ROUND($F397*INDEX('01人员工时'!L$7:L$126,INT((ROW()-7)/4)+1)/$G397,2))</f>
        <v/>
      </c>
      <c r="Q397" s="12">
        <f>IF(OR($D397="",$G397=0),"",ROUND($F397*INDEX('01人员工时'!M$7:M$126,INT((ROW()-7)/4)+1)/$G397,2))</f>
        <v/>
      </c>
      <c r="R397" s="12">
        <f>IF(OR($D397="",$G397=0),"",ROUND($F397*INDEX('01人员工时'!N$7:N$126,INT((ROW()-7)/4)+1)/$G397,2))</f>
        <v/>
      </c>
      <c r="S397" s="12">
        <f>IF($D397="","",SUM(K397:R397))</f>
        <v/>
      </c>
      <c r="T397" s="12">
        <f>IF($D397="","",$J397+$S397)</f>
        <v/>
      </c>
      <c r="U397" s="25">
        <f>IF($D397="","",IF($F397=0,"未维护标准",IF(ROUND($T397-$F397,2)=0,"√","差异")))</f>
        <v/>
      </c>
      <c r="V397" s="11" t="n"/>
      <c r="W397" s="9" t="n"/>
    </row>
    <row r="398" ht="18" customHeight="1">
      <c r="B398" s="26">
        <f>IF(INDEX('01人员工时'!$D$7:$D$126,INT((ROW()-7)/4)+1)&amp;""="","",INDEX('01人员工时'!$B$7:$B$126,INT((ROW()-7)/4)+1))</f>
        <v/>
      </c>
      <c r="C398" s="27">
        <f>IF($D398="","",IF(MOD(ROW()-7,4)=0,INDEX('01人员工时'!$C$7:$C$126,INT((ROW()-7)/4)+1),""))</f>
        <v/>
      </c>
      <c r="D398" s="27">
        <f>IF(INDEX('01人员工时'!$D$7:$D$126,INT((ROW()-7)/4)+1)&amp;""="","",INDEX('01人员工时'!$D$7:$D$126,INT((ROW()-7)/4)+1))</f>
        <v/>
      </c>
      <c r="E398" s="27">
        <f>IF($D398="","",INDEX('参数设置'!$K$6:$K$9,MOD(ROW()-7,4)+1))</f>
        <v/>
      </c>
      <c r="F398" s="28">
        <f>IF($D398="","",IF($V398&lt;&gt;"",$V398,IFERROR(INDEX('参数设置'!$D$17:$G$26,MATCH($D398,'参数设置'!$C$17:$C$26,0),MATCH($E398,'参数设置'!$D$16:$G$16,0)),0)))</f>
        <v/>
      </c>
      <c r="G398" s="29">
        <f>IF($D398="","",INDEX('01人员工时'!$E$7:$E$126,INT((ROW()-7)/4)+1))</f>
        <v/>
      </c>
      <c r="H398" s="29">
        <f>IF($D398="","",INDEX('01人员工时'!$O$7:$O$126,INT((ROW()-7)/4)+1))</f>
        <v/>
      </c>
      <c r="I398" s="30">
        <f>IF(OR($D398="",$G398=0),"",$H398/$G398)</f>
        <v/>
      </c>
      <c r="J398" s="31">
        <f>IF($D398="","",ROUND($F398,2)-$S398)</f>
        <v/>
      </c>
      <c r="K398" s="31">
        <f>IF(OR($D398="",$G398=0),"",ROUND($F398*INDEX('01人员工时'!G$7:G$126,INT((ROW()-7)/4)+1)/$G398,2))</f>
        <v/>
      </c>
      <c r="L398" s="31">
        <f>IF(OR($D398="",$G398=0),"",ROUND($F398*INDEX('01人员工时'!H$7:H$126,INT((ROW()-7)/4)+1)/$G398,2))</f>
        <v/>
      </c>
      <c r="M398" s="31">
        <f>IF(OR($D398="",$G398=0),"",ROUND($F398*INDEX('01人员工时'!I$7:I$126,INT((ROW()-7)/4)+1)/$G398,2))</f>
        <v/>
      </c>
      <c r="N398" s="31">
        <f>IF(OR($D398="",$G398=0),"",ROUND($F398*INDEX('01人员工时'!J$7:J$126,INT((ROW()-7)/4)+1)/$G398,2))</f>
        <v/>
      </c>
      <c r="O398" s="31">
        <f>IF(OR($D398="",$G398=0),"",ROUND($F398*INDEX('01人员工时'!K$7:K$126,INT((ROW()-7)/4)+1)/$G398,2))</f>
        <v/>
      </c>
      <c r="P398" s="31">
        <f>IF(OR($D398="",$G398=0),"",ROUND($F398*INDEX('01人员工时'!L$7:L$126,INT((ROW()-7)/4)+1)/$G398,2))</f>
        <v/>
      </c>
      <c r="Q398" s="31">
        <f>IF(OR($D398="",$G398=0),"",ROUND($F398*INDEX('01人员工时'!M$7:M$126,INT((ROW()-7)/4)+1)/$G398,2))</f>
        <v/>
      </c>
      <c r="R398" s="31">
        <f>IF(OR($D398="",$G398=0),"",ROUND($F398*INDEX('01人员工时'!N$7:N$126,INT((ROW()-7)/4)+1)/$G398,2))</f>
        <v/>
      </c>
      <c r="S398" s="31">
        <f>IF($D398="","",SUM(K398:R398))</f>
        <v/>
      </c>
      <c r="T398" s="31">
        <f>IF($D398="","",$J398+$S398)</f>
        <v/>
      </c>
      <c r="U398" s="32">
        <f>IF($D398="","",IF($F398=0,"未维护标准",IF(ROUND($T398-$F398,2)=0,"√","差异")))</f>
        <v/>
      </c>
      <c r="V398" s="33" t="n"/>
      <c r="W398" s="34" t="n"/>
    </row>
    <row r="399" ht="18" customHeight="1">
      <c r="B399" s="21">
        <f>IF(INDEX('01人员工时'!$D$7:$D$126,INT((ROW()-7)/4)+1)&amp;""="","",INDEX('01人员工时'!$B$7:$B$126,INT((ROW()-7)/4)+1))</f>
        <v/>
      </c>
      <c r="C399" s="22">
        <f>IF($D399="","",IF(MOD(ROW()-7,4)=0,INDEX('01人员工时'!$C$7:$C$126,INT((ROW()-7)/4)+1),""))</f>
        <v/>
      </c>
      <c r="D399" s="22">
        <f>IF(INDEX('01人员工时'!$D$7:$D$126,INT((ROW()-7)/4)+1)&amp;""="","",INDEX('01人员工时'!$D$7:$D$126,INT((ROW()-7)/4)+1))</f>
        <v/>
      </c>
      <c r="E399" s="22">
        <f>IF($D399="","",INDEX('参数设置'!$K$6:$K$9,MOD(ROW()-7,4)+1))</f>
        <v/>
      </c>
      <c r="F399" s="23">
        <f>IF($D399="","",IF($V399&lt;&gt;"",$V399,IFERROR(INDEX('参数设置'!$D$17:$G$26,MATCH($D399,'参数设置'!$C$17:$C$26,0),MATCH($E399,'参数设置'!$D$16:$G$16,0)),0)))</f>
        <v/>
      </c>
      <c r="G399" s="24">
        <f>IF($D399="","",INDEX('01人员工时'!$E$7:$E$126,INT((ROW()-7)/4)+1))</f>
        <v/>
      </c>
      <c r="H399" s="24">
        <f>IF($D399="","",INDEX('01人员工时'!$O$7:$O$126,INT((ROW()-7)/4)+1))</f>
        <v/>
      </c>
      <c r="I399" s="20">
        <f>IF(OR($D399="",$G399=0),"",$H399/$G399)</f>
        <v/>
      </c>
      <c r="J399" s="12">
        <f>IF($D399="","",ROUND($F399,2)-$S399)</f>
        <v/>
      </c>
      <c r="K399" s="12">
        <f>IF(OR($D399="",$G399=0),"",ROUND($F399*INDEX('01人员工时'!G$7:G$126,INT((ROW()-7)/4)+1)/$G399,2))</f>
        <v/>
      </c>
      <c r="L399" s="12">
        <f>IF(OR($D399="",$G399=0),"",ROUND($F399*INDEX('01人员工时'!H$7:H$126,INT((ROW()-7)/4)+1)/$G399,2))</f>
        <v/>
      </c>
      <c r="M399" s="12">
        <f>IF(OR($D399="",$G399=0),"",ROUND($F399*INDEX('01人员工时'!I$7:I$126,INT((ROW()-7)/4)+1)/$G399,2))</f>
        <v/>
      </c>
      <c r="N399" s="12">
        <f>IF(OR($D399="",$G399=0),"",ROUND($F399*INDEX('01人员工时'!J$7:J$126,INT((ROW()-7)/4)+1)/$G399,2))</f>
        <v/>
      </c>
      <c r="O399" s="12">
        <f>IF(OR($D399="",$G399=0),"",ROUND($F399*INDEX('01人员工时'!K$7:K$126,INT((ROW()-7)/4)+1)/$G399,2))</f>
        <v/>
      </c>
      <c r="P399" s="12">
        <f>IF(OR($D399="",$G399=0),"",ROUND($F399*INDEX('01人员工时'!L$7:L$126,INT((ROW()-7)/4)+1)/$G399,2))</f>
        <v/>
      </c>
      <c r="Q399" s="12">
        <f>IF(OR($D399="",$G399=0),"",ROUND($F399*INDEX('01人员工时'!M$7:M$126,INT((ROW()-7)/4)+1)/$G399,2))</f>
        <v/>
      </c>
      <c r="R399" s="12">
        <f>IF(OR($D399="",$G399=0),"",ROUND($F399*INDEX('01人员工时'!N$7:N$126,INT((ROW()-7)/4)+1)/$G399,2))</f>
        <v/>
      </c>
      <c r="S399" s="12">
        <f>IF($D399="","",SUM(K399:R399))</f>
        <v/>
      </c>
      <c r="T399" s="12">
        <f>IF($D399="","",$J399+$S399)</f>
        <v/>
      </c>
      <c r="U399" s="25">
        <f>IF($D399="","",IF($F399=0,"未维护标准",IF(ROUND($T399-$F399,2)=0,"√","差异")))</f>
        <v/>
      </c>
      <c r="V399" s="11" t="n"/>
      <c r="W399" s="9" t="n"/>
    </row>
    <row r="400" ht="18" customHeight="1">
      <c r="B400" s="21">
        <f>IF(INDEX('01人员工时'!$D$7:$D$126,INT((ROW()-7)/4)+1)&amp;""="","",INDEX('01人员工时'!$B$7:$B$126,INT((ROW()-7)/4)+1))</f>
        <v/>
      </c>
      <c r="C400" s="22">
        <f>IF($D400="","",IF(MOD(ROW()-7,4)=0,INDEX('01人员工时'!$C$7:$C$126,INT((ROW()-7)/4)+1),""))</f>
        <v/>
      </c>
      <c r="D400" s="22">
        <f>IF(INDEX('01人员工时'!$D$7:$D$126,INT((ROW()-7)/4)+1)&amp;""="","",INDEX('01人员工时'!$D$7:$D$126,INT((ROW()-7)/4)+1))</f>
        <v/>
      </c>
      <c r="E400" s="22">
        <f>IF($D400="","",INDEX('参数设置'!$K$6:$K$9,MOD(ROW()-7,4)+1))</f>
        <v/>
      </c>
      <c r="F400" s="23">
        <f>IF($D400="","",IF($V400&lt;&gt;"",$V400,IFERROR(INDEX('参数设置'!$D$17:$G$26,MATCH($D400,'参数设置'!$C$17:$C$26,0),MATCH($E400,'参数设置'!$D$16:$G$16,0)),0)))</f>
        <v/>
      </c>
      <c r="G400" s="24">
        <f>IF($D400="","",INDEX('01人员工时'!$E$7:$E$126,INT((ROW()-7)/4)+1))</f>
        <v/>
      </c>
      <c r="H400" s="24">
        <f>IF($D400="","",INDEX('01人员工时'!$O$7:$O$126,INT((ROW()-7)/4)+1))</f>
        <v/>
      </c>
      <c r="I400" s="20">
        <f>IF(OR($D400="",$G400=0),"",$H400/$G400)</f>
        <v/>
      </c>
      <c r="J400" s="12">
        <f>IF($D400="","",ROUND($F400,2)-$S400)</f>
        <v/>
      </c>
      <c r="K400" s="12">
        <f>IF(OR($D400="",$G400=0),"",ROUND($F400*INDEX('01人员工时'!G$7:G$126,INT((ROW()-7)/4)+1)/$G400,2))</f>
        <v/>
      </c>
      <c r="L400" s="12">
        <f>IF(OR($D400="",$G400=0),"",ROUND($F400*INDEX('01人员工时'!H$7:H$126,INT((ROW()-7)/4)+1)/$G400,2))</f>
        <v/>
      </c>
      <c r="M400" s="12">
        <f>IF(OR($D400="",$G400=0),"",ROUND($F400*INDEX('01人员工时'!I$7:I$126,INT((ROW()-7)/4)+1)/$G400,2))</f>
        <v/>
      </c>
      <c r="N400" s="12">
        <f>IF(OR($D400="",$G400=0),"",ROUND($F400*INDEX('01人员工时'!J$7:J$126,INT((ROW()-7)/4)+1)/$G400,2))</f>
        <v/>
      </c>
      <c r="O400" s="12">
        <f>IF(OR($D400="",$G400=0),"",ROUND($F400*INDEX('01人员工时'!K$7:K$126,INT((ROW()-7)/4)+1)/$G400,2))</f>
        <v/>
      </c>
      <c r="P400" s="12">
        <f>IF(OR($D400="",$G400=0),"",ROUND($F400*INDEX('01人员工时'!L$7:L$126,INT((ROW()-7)/4)+1)/$G400,2))</f>
        <v/>
      </c>
      <c r="Q400" s="12">
        <f>IF(OR($D400="",$G400=0),"",ROUND($F400*INDEX('01人员工时'!M$7:M$126,INT((ROW()-7)/4)+1)/$G400,2))</f>
        <v/>
      </c>
      <c r="R400" s="12">
        <f>IF(OR($D400="",$G400=0),"",ROUND($F400*INDEX('01人员工时'!N$7:N$126,INT((ROW()-7)/4)+1)/$G400,2))</f>
        <v/>
      </c>
      <c r="S400" s="12">
        <f>IF($D400="","",SUM(K400:R400))</f>
        <v/>
      </c>
      <c r="T400" s="12">
        <f>IF($D400="","",$J400+$S400)</f>
        <v/>
      </c>
      <c r="U400" s="25">
        <f>IF($D400="","",IF($F400=0,"未维护标准",IF(ROUND($T400-$F400,2)=0,"√","差异")))</f>
        <v/>
      </c>
      <c r="V400" s="11" t="n"/>
      <c r="W400" s="9" t="n"/>
    </row>
    <row r="401" ht="18" customHeight="1">
      <c r="B401" s="21">
        <f>IF(INDEX('01人员工时'!$D$7:$D$126,INT((ROW()-7)/4)+1)&amp;""="","",INDEX('01人员工时'!$B$7:$B$126,INT((ROW()-7)/4)+1))</f>
        <v/>
      </c>
      <c r="C401" s="22">
        <f>IF($D401="","",IF(MOD(ROW()-7,4)=0,INDEX('01人员工时'!$C$7:$C$126,INT((ROW()-7)/4)+1),""))</f>
        <v/>
      </c>
      <c r="D401" s="22">
        <f>IF(INDEX('01人员工时'!$D$7:$D$126,INT((ROW()-7)/4)+1)&amp;""="","",INDEX('01人员工时'!$D$7:$D$126,INT((ROW()-7)/4)+1))</f>
        <v/>
      </c>
      <c r="E401" s="22">
        <f>IF($D401="","",INDEX('参数设置'!$K$6:$K$9,MOD(ROW()-7,4)+1))</f>
        <v/>
      </c>
      <c r="F401" s="23">
        <f>IF($D401="","",IF($V401&lt;&gt;"",$V401,IFERROR(INDEX('参数设置'!$D$17:$G$26,MATCH($D401,'参数设置'!$C$17:$C$26,0),MATCH($E401,'参数设置'!$D$16:$G$16,0)),0)))</f>
        <v/>
      </c>
      <c r="G401" s="24">
        <f>IF($D401="","",INDEX('01人员工时'!$E$7:$E$126,INT((ROW()-7)/4)+1))</f>
        <v/>
      </c>
      <c r="H401" s="24">
        <f>IF($D401="","",INDEX('01人员工时'!$O$7:$O$126,INT((ROW()-7)/4)+1))</f>
        <v/>
      </c>
      <c r="I401" s="20">
        <f>IF(OR($D401="",$G401=0),"",$H401/$G401)</f>
        <v/>
      </c>
      <c r="J401" s="12">
        <f>IF($D401="","",ROUND($F401,2)-$S401)</f>
        <v/>
      </c>
      <c r="K401" s="12">
        <f>IF(OR($D401="",$G401=0),"",ROUND($F401*INDEX('01人员工时'!G$7:G$126,INT((ROW()-7)/4)+1)/$G401,2))</f>
        <v/>
      </c>
      <c r="L401" s="12">
        <f>IF(OR($D401="",$G401=0),"",ROUND($F401*INDEX('01人员工时'!H$7:H$126,INT((ROW()-7)/4)+1)/$G401,2))</f>
        <v/>
      </c>
      <c r="M401" s="12">
        <f>IF(OR($D401="",$G401=0),"",ROUND($F401*INDEX('01人员工时'!I$7:I$126,INT((ROW()-7)/4)+1)/$G401,2))</f>
        <v/>
      </c>
      <c r="N401" s="12">
        <f>IF(OR($D401="",$G401=0),"",ROUND($F401*INDEX('01人员工时'!J$7:J$126,INT((ROW()-7)/4)+1)/$G401,2))</f>
        <v/>
      </c>
      <c r="O401" s="12">
        <f>IF(OR($D401="",$G401=0),"",ROUND($F401*INDEX('01人员工时'!K$7:K$126,INT((ROW()-7)/4)+1)/$G401,2))</f>
        <v/>
      </c>
      <c r="P401" s="12">
        <f>IF(OR($D401="",$G401=0),"",ROUND($F401*INDEX('01人员工时'!L$7:L$126,INT((ROW()-7)/4)+1)/$G401,2))</f>
        <v/>
      </c>
      <c r="Q401" s="12">
        <f>IF(OR($D401="",$G401=0),"",ROUND($F401*INDEX('01人员工时'!M$7:M$126,INT((ROW()-7)/4)+1)/$G401,2))</f>
        <v/>
      </c>
      <c r="R401" s="12">
        <f>IF(OR($D401="",$G401=0),"",ROUND($F401*INDEX('01人员工时'!N$7:N$126,INT((ROW()-7)/4)+1)/$G401,2))</f>
        <v/>
      </c>
      <c r="S401" s="12">
        <f>IF($D401="","",SUM(K401:R401))</f>
        <v/>
      </c>
      <c r="T401" s="12">
        <f>IF($D401="","",$J401+$S401)</f>
        <v/>
      </c>
      <c r="U401" s="25">
        <f>IF($D401="","",IF($F401=0,"未维护标准",IF(ROUND($T401-$F401,2)=0,"√","差异")))</f>
        <v/>
      </c>
      <c r="V401" s="11" t="n"/>
      <c r="W401" s="9" t="n"/>
    </row>
    <row r="402" ht="18" customHeight="1">
      <c r="B402" s="26">
        <f>IF(INDEX('01人员工时'!$D$7:$D$126,INT((ROW()-7)/4)+1)&amp;""="","",INDEX('01人员工时'!$B$7:$B$126,INT((ROW()-7)/4)+1))</f>
        <v/>
      </c>
      <c r="C402" s="27">
        <f>IF($D402="","",IF(MOD(ROW()-7,4)=0,INDEX('01人员工时'!$C$7:$C$126,INT((ROW()-7)/4)+1),""))</f>
        <v/>
      </c>
      <c r="D402" s="27">
        <f>IF(INDEX('01人员工时'!$D$7:$D$126,INT((ROW()-7)/4)+1)&amp;""="","",INDEX('01人员工时'!$D$7:$D$126,INT((ROW()-7)/4)+1))</f>
        <v/>
      </c>
      <c r="E402" s="27">
        <f>IF($D402="","",INDEX('参数设置'!$K$6:$K$9,MOD(ROW()-7,4)+1))</f>
        <v/>
      </c>
      <c r="F402" s="28">
        <f>IF($D402="","",IF($V402&lt;&gt;"",$V402,IFERROR(INDEX('参数设置'!$D$17:$G$26,MATCH($D402,'参数设置'!$C$17:$C$26,0),MATCH($E402,'参数设置'!$D$16:$G$16,0)),0)))</f>
        <v/>
      </c>
      <c r="G402" s="29">
        <f>IF($D402="","",INDEX('01人员工时'!$E$7:$E$126,INT((ROW()-7)/4)+1))</f>
        <v/>
      </c>
      <c r="H402" s="29">
        <f>IF($D402="","",INDEX('01人员工时'!$O$7:$O$126,INT((ROW()-7)/4)+1))</f>
        <v/>
      </c>
      <c r="I402" s="30">
        <f>IF(OR($D402="",$G402=0),"",$H402/$G402)</f>
        <v/>
      </c>
      <c r="J402" s="31">
        <f>IF($D402="","",ROUND($F402,2)-$S402)</f>
        <v/>
      </c>
      <c r="K402" s="31">
        <f>IF(OR($D402="",$G402=0),"",ROUND($F402*INDEX('01人员工时'!G$7:G$126,INT((ROW()-7)/4)+1)/$G402,2))</f>
        <v/>
      </c>
      <c r="L402" s="31">
        <f>IF(OR($D402="",$G402=0),"",ROUND($F402*INDEX('01人员工时'!H$7:H$126,INT((ROW()-7)/4)+1)/$G402,2))</f>
        <v/>
      </c>
      <c r="M402" s="31">
        <f>IF(OR($D402="",$G402=0),"",ROUND($F402*INDEX('01人员工时'!I$7:I$126,INT((ROW()-7)/4)+1)/$G402,2))</f>
        <v/>
      </c>
      <c r="N402" s="31">
        <f>IF(OR($D402="",$G402=0),"",ROUND($F402*INDEX('01人员工时'!J$7:J$126,INT((ROW()-7)/4)+1)/$G402,2))</f>
        <v/>
      </c>
      <c r="O402" s="31">
        <f>IF(OR($D402="",$G402=0),"",ROUND($F402*INDEX('01人员工时'!K$7:K$126,INT((ROW()-7)/4)+1)/$G402,2))</f>
        <v/>
      </c>
      <c r="P402" s="31">
        <f>IF(OR($D402="",$G402=0),"",ROUND($F402*INDEX('01人员工时'!L$7:L$126,INT((ROW()-7)/4)+1)/$G402,2))</f>
        <v/>
      </c>
      <c r="Q402" s="31">
        <f>IF(OR($D402="",$G402=0),"",ROUND($F402*INDEX('01人员工时'!M$7:M$126,INT((ROW()-7)/4)+1)/$G402,2))</f>
        <v/>
      </c>
      <c r="R402" s="31">
        <f>IF(OR($D402="",$G402=0),"",ROUND($F402*INDEX('01人员工时'!N$7:N$126,INT((ROW()-7)/4)+1)/$G402,2))</f>
        <v/>
      </c>
      <c r="S402" s="31">
        <f>IF($D402="","",SUM(K402:R402))</f>
        <v/>
      </c>
      <c r="T402" s="31">
        <f>IF($D402="","",$J402+$S402)</f>
        <v/>
      </c>
      <c r="U402" s="32">
        <f>IF($D402="","",IF($F402=0,"未维护标准",IF(ROUND($T402-$F402,2)=0,"√","差异")))</f>
        <v/>
      </c>
      <c r="V402" s="33" t="n"/>
      <c r="W402" s="34" t="n"/>
    </row>
    <row r="403" ht="18" customHeight="1">
      <c r="B403" s="21">
        <f>IF(INDEX('01人员工时'!$D$7:$D$126,INT((ROW()-7)/4)+1)&amp;""="","",INDEX('01人员工时'!$B$7:$B$126,INT((ROW()-7)/4)+1))</f>
        <v/>
      </c>
      <c r="C403" s="22">
        <f>IF($D403="","",IF(MOD(ROW()-7,4)=0,INDEX('01人员工时'!$C$7:$C$126,INT((ROW()-7)/4)+1),""))</f>
        <v/>
      </c>
      <c r="D403" s="22">
        <f>IF(INDEX('01人员工时'!$D$7:$D$126,INT((ROW()-7)/4)+1)&amp;""="","",INDEX('01人员工时'!$D$7:$D$126,INT((ROW()-7)/4)+1))</f>
        <v/>
      </c>
      <c r="E403" s="22">
        <f>IF($D403="","",INDEX('参数设置'!$K$6:$K$9,MOD(ROW()-7,4)+1))</f>
        <v/>
      </c>
      <c r="F403" s="23">
        <f>IF($D403="","",IF($V403&lt;&gt;"",$V403,IFERROR(INDEX('参数设置'!$D$17:$G$26,MATCH($D403,'参数设置'!$C$17:$C$26,0),MATCH($E403,'参数设置'!$D$16:$G$16,0)),0)))</f>
        <v/>
      </c>
      <c r="G403" s="24">
        <f>IF($D403="","",INDEX('01人员工时'!$E$7:$E$126,INT((ROW()-7)/4)+1))</f>
        <v/>
      </c>
      <c r="H403" s="24">
        <f>IF($D403="","",INDEX('01人员工时'!$O$7:$O$126,INT((ROW()-7)/4)+1))</f>
        <v/>
      </c>
      <c r="I403" s="20">
        <f>IF(OR($D403="",$G403=0),"",$H403/$G403)</f>
        <v/>
      </c>
      <c r="J403" s="12">
        <f>IF($D403="","",ROUND($F403,2)-$S403)</f>
        <v/>
      </c>
      <c r="K403" s="12">
        <f>IF(OR($D403="",$G403=0),"",ROUND($F403*INDEX('01人员工时'!G$7:G$126,INT((ROW()-7)/4)+1)/$G403,2))</f>
        <v/>
      </c>
      <c r="L403" s="12">
        <f>IF(OR($D403="",$G403=0),"",ROUND($F403*INDEX('01人员工时'!H$7:H$126,INT((ROW()-7)/4)+1)/$G403,2))</f>
        <v/>
      </c>
      <c r="M403" s="12">
        <f>IF(OR($D403="",$G403=0),"",ROUND($F403*INDEX('01人员工时'!I$7:I$126,INT((ROW()-7)/4)+1)/$G403,2))</f>
        <v/>
      </c>
      <c r="N403" s="12">
        <f>IF(OR($D403="",$G403=0),"",ROUND($F403*INDEX('01人员工时'!J$7:J$126,INT((ROW()-7)/4)+1)/$G403,2))</f>
        <v/>
      </c>
      <c r="O403" s="12">
        <f>IF(OR($D403="",$G403=0),"",ROUND($F403*INDEX('01人员工时'!K$7:K$126,INT((ROW()-7)/4)+1)/$G403,2))</f>
        <v/>
      </c>
      <c r="P403" s="12">
        <f>IF(OR($D403="",$G403=0),"",ROUND($F403*INDEX('01人员工时'!L$7:L$126,INT((ROW()-7)/4)+1)/$G403,2))</f>
        <v/>
      </c>
      <c r="Q403" s="12">
        <f>IF(OR($D403="",$G403=0),"",ROUND($F403*INDEX('01人员工时'!M$7:M$126,INT((ROW()-7)/4)+1)/$G403,2))</f>
        <v/>
      </c>
      <c r="R403" s="12">
        <f>IF(OR($D403="",$G403=0),"",ROUND($F403*INDEX('01人员工时'!N$7:N$126,INT((ROW()-7)/4)+1)/$G403,2))</f>
        <v/>
      </c>
      <c r="S403" s="12">
        <f>IF($D403="","",SUM(K403:R403))</f>
        <v/>
      </c>
      <c r="T403" s="12">
        <f>IF($D403="","",$J403+$S403)</f>
        <v/>
      </c>
      <c r="U403" s="25">
        <f>IF($D403="","",IF($F403=0,"未维护标准",IF(ROUND($T403-$F403,2)=0,"√","差异")))</f>
        <v/>
      </c>
      <c r="V403" s="11" t="n"/>
      <c r="W403" s="9" t="n"/>
    </row>
    <row r="404" ht="18" customHeight="1">
      <c r="B404" s="21">
        <f>IF(INDEX('01人员工时'!$D$7:$D$126,INT((ROW()-7)/4)+1)&amp;""="","",INDEX('01人员工时'!$B$7:$B$126,INT((ROW()-7)/4)+1))</f>
        <v/>
      </c>
      <c r="C404" s="22">
        <f>IF($D404="","",IF(MOD(ROW()-7,4)=0,INDEX('01人员工时'!$C$7:$C$126,INT((ROW()-7)/4)+1),""))</f>
        <v/>
      </c>
      <c r="D404" s="22">
        <f>IF(INDEX('01人员工时'!$D$7:$D$126,INT((ROW()-7)/4)+1)&amp;""="","",INDEX('01人员工时'!$D$7:$D$126,INT((ROW()-7)/4)+1))</f>
        <v/>
      </c>
      <c r="E404" s="22">
        <f>IF($D404="","",INDEX('参数设置'!$K$6:$K$9,MOD(ROW()-7,4)+1))</f>
        <v/>
      </c>
      <c r="F404" s="23">
        <f>IF($D404="","",IF($V404&lt;&gt;"",$V404,IFERROR(INDEX('参数设置'!$D$17:$G$26,MATCH($D404,'参数设置'!$C$17:$C$26,0),MATCH($E404,'参数设置'!$D$16:$G$16,0)),0)))</f>
        <v/>
      </c>
      <c r="G404" s="24">
        <f>IF($D404="","",INDEX('01人员工时'!$E$7:$E$126,INT((ROW()-7)/4)+1))</f>
        <v/>
      </c>
      <c r="H404" s="24">
        <f>IF($D404="","",INDEX('01人员工时'!$O$7:$O$126,INT((ROW()-7)/4)+1))</f>
        <v/>
      </c>
      <c r="I404" s="20">
        <f>IF(OR($D404="",$G404=0),"",$H404/$G404)</f>
        <v/>
      </c>
      <c r="J404" s="12">
        <f>IF($D404="","",ROUND($F404,2)-$S404)</f>
        <v/>
      </c>
      <c r="K404" s="12">
        <f>IF(OR($D404="",$G404=0),"",ROUND($F404*INDEX('01人员工时'!G$7:G$126,INT((ROW()-7)/4)+1)/$G404,2))</f>
        <v/>
      </c>
      <c r="L404" s="12">
        <f>IF(OR($D404="",$G404=0),"",ROUND($F404*INDEX('01人员工时'!H$7:H$126,INT((ROW()-7)/4)+1)/$G404,2))</f>
        <v/>
      </c>
      <c r="M404" s="12">
        <f>IF(OR($D404="",$G404=0),"",ROUND($F404*INDEX('01人员工时'!I$7:I$126,INT((ROW()-7)/4)+1)/$G404,2))</f>
        <v/>
      </c>
      <c r="N404" s="12">
        <f>IF(OR($D404="",$G404=0),"",ROUND($F404*INDEX('01人员工时'!J$7:J$126,INT((ROW()-7)/4)+1)/$G404,2))</f>
        <v/>
      </c>
      <c r="O404" s="12">
        <f>IF(OR($D404="",$G404=0),"",ROUND($F404*INDEX('01人员工时'!K$7:K$126,INT((ROW()-7)/4)+1)/$G404,2))</f>
        <v/>
      </c>
      <c r="P404" s="12">
        <f>IF(OR($D404="",$G404=0),"",ROUND($F404*INDEX('01人员工时'!L$7:L$126,INT((ROW()-7)/4)+1)/$G404,2))</f>
        <v/>
      </c>
      <c r="Q404" s="12">
        <f>IF(OR($D404="",$G404=0),"",ROUND($F404*INDEX('01人员工时'!M$7:M$126,INT((ROW()-7)/4)+1)/$G404,2))</f>
        <v/>
      </c>
      <c r="R404" s="12">
        <f>IF(OR($D404="",$G404=0),"",ROUND($F404*INDEX('01人员工时'!N$7:N$126,INT((ROW()-7)/4)+1)/$G404,2))</f>
        <v/>
      </c>
      <c r="S404" s="12">
        <f>IF($D404="","",SUM(K404:R404))</f>
        <v/>
      </c>
      <c r="T404" s="12">
        <f>IF($D404="","",$J404+$S404)</f>
        <v/>
      </c>
      <c r="U404" s="25">
        <f>IF($D404="","",IF($F404=0,"未维护标准",IF(ROUND($T404-$F404,2)=0,"√","差异")))</f>
        <v/>
      </c>
      <c r="V404" s="11" t="n"/>
      <c r="W404" s="9" t="n"/>
    </row>
    <row r="405" ht="18" customHeight="1">
      <c r="B405" s="21">
        <f>IF(INDEX('01人员工时'!$D$7:$D$126,INT((ROW()-7)/4)+1)&amp;""="","",INDEX('01人员工时'!$B$7:$B$126,INT((ROW()-7)/4)+1))</f>
        <v/>
      </c>
      <c r="C405" s="22">
        <f>IF($D405="","",IF(MOD(ROW()-7,4)=0,INDEX('01人员工时'!$C$7:$C$126,INT((ROW()-7)/4)+1),""))</f>
        <v/>
      </c>
      <c r="D405" s="22">
        <f>IF(INDEX('01人员工时'!$D$7:$D$126,INT((ROW()-7)/4)+1)&amp;""="","",INDEX('01人员工时'!$D$7:$D$126,INT((ROW()-7)/4)+1))</f>
        <v/>
      </c>
      <c r="E405" s="22">
        <f>IF($D405="","",INDEX('参数设置'!$K$6:$K$9,MOD(ROW()-7,4)+1))</f>
        <v/>
      </c>
      <c r="F405" s="23">
        <f>IF($D405="","",IF($V405&lt;&gt;"",$V405,IFERROR(INDEX('参数设置'!$D$17:$G$26,MATCH($D405,'参数设置'!$C$17:$C$26,0),MATCH($E405,'参数设置'!$D$16:$G$16,0)),0)))</f>
        <v/>
      </c>
      <c r="G405" s="24">
        <f>IF($D405="","",INDEX('01人员工时'!$E$7:$E$126,INT((ROW()-7)/4)+1))</f>
        <v/>
      </c>
      <c r="H405" s="24">
        <f>IF($D405="","",INDEX('01人员工时'!$O$7:$O$126,INT((ROW()-7)/4)+1))</f>
        <v/>
      </c>
      <c r="I405" s="20">
        <f>IF(OR($D405="",$G405=0),"",$H405/$G405)</f>
        <v/>
      </c>
      <c r="J405" s="12">
        <f>IF($D405="","",ROUND($F405,2)-$S405)</f>
        <v/>
      </c>
      <c r="K405" s="12">
        <f>IF(OR($D405="",$G405=0),"",ROUND($F405*INDEX('01人员工时'!G$7:G$126,INT((ROW()-7)/4)+1)/$G405,2))</f>
        <v/>
      </c>
      <c r="L405" s="12">
        <f>IF(OR($D405="",$G405=0),"",ROUND($F405*INDEX('01人员工时'!H$7:H$126,INT((ROW()-7)/4)+1)/$G405,2))</f>
        <v/>
      </c>
      <c r="M405" s="12">
        <f>IF(OR($D405="",$G405=0),"",ROUND($F405*INDEX('01人员工时'!I$7:I$126,INT((ROW()-7)/4)+1)/$G405,2))</f>
        <v/>
      </c>
      <c r="N405" s="12">
        <f>IF(OR($D405="",$G405=0),"",ROUND($F405*INDEX('01人员工时'!J$7:J$126,INT((ROW()-7)/4)+1)/$G405,2))</f>
        <v/>
      </c>
      <c r="O405" s="12">
        <f>IF(OR($D405="",$G405=0),"",ROUND($F405*INDEX('01人员工时'!K$7:K$126,INT((ROW()-7)/4)+1)/$G405,2))</f>
        <v/>
      </c>
      <c r="P405" s="12">
        <f>IF(OR($D405="",$G405=0),"",ROUND($F405*INDEX('01人员工时'!L$7:L$126,INT((ROW()-7)/4)+1)/$G405,2))</f>
        <v/>
      </c>
      <c r="Q405" s="12">
        <f>IF(OR($D405="",$G405=0),"",ROUND($F405*INDEX('01人员工时'!M$7:M$126,INT((ROW()-7)/4)+1)/$G405,2))</f>
        <v/>
      </c>
      <c r="R405" s="12">
        <f>IF(OR($D405="",$G405=0),"",ROUND($F405*INDEX('01人员工时'!N$7:N$126,INT((ROW()-7)/4)+1)/$G405,2))</f>
        <v/>
      </c>
      <c r="S405" s="12">
        <f>IF($D405="","",SUM(K405:R405))</f>
        <v/>
      </c>
      <c r="T405" s="12">
        <f>IF($D405="","",$J405+$S405)</f>
        <v/>
      </c>
      <c r="U405" s="25">
        <f>IF($D405="","",IF($F405=0,"未维护标准",IF(ROUND($T405-$F405,2)=0,"√","差异")))</f>
        <v/>
      </c>
      <c r="V405" s="11" t="n"/>
      <c r="W405" s="9" t="n"/>
    </row>
    <row r="406" ht="18" customHeight="1">
      <c r="B406" s="26">
        <f>IF(INDEX('01人员工时'!$D$7:$D$126,INT((ROW()-7)/4)+1)&amp;""="","",INDEX('01人员工时'!$B$7:$B$126,INT((ROW()-7)/4)+1))</f>
        <v/>
      </c>
      <c r="C406" s="27">
        <f>IF($D406="","",IF(MOD(ROW()-7,4)=0,INDEX('01人员工时'!$C$7:$C$126,INT((ROW()-7)/4)+1),""))</f>
        <v/>
      </c>
      <c r="D406" s="27">
        <f>IF(INDEX('01人员工时'!$D$7:$D$126,INT((ROW()-7)/4)+1)&amp;""="","",INDEX('01人员工时'!$D$7:$D$126,INT((ROW()-7)/4)+1))</f>
        <v/>
      </c>
      <c r="E406" s="27">
        <f>IF($D406="","",INDEX('参数设置'!$K$6:$K$9,MOD(ROW()-7,4)+1))</f>
        <v/>
      </c>
      <c r="F406" s="28">
        <f>IF($D406="","",IF($V406&lt;&gt;"",$V406,IFERROR(INDEX('参数设置'!$D$17:$G$26,MATCH($D406,'参数设置'!$C$17:$C$26,0),MATCH($E406,'参数设置'!$D$16:$G$16,0)),0)))</f>
        <v/>
      </c>
      <c r="G406" s="29">
        <f>IF($D406="","",INDEX('01人员工时'!$E$7:$E$126,INT((ROW()-7)/4)+1))</f>
        <v/>
      </c>
      <c r="H406" s="29">
        <f>IF($D406="","",INDEX('01人员工时'!$O$7:$O$126,INT((ROW()-7)/4)+1))</f>
        <v/>
      </c>
      <c r="I406" s="30">
        <f>IF(OR($D406="",$G406=0),"",$H406/$G406)</f>
        <v/>
      </c>
      <c r="J406" s="31">
        <f>IF($D406="","",ROUND($F406,2)-$S406)</f>
        <v/>
      </c>
      <c r="K406" s="31">
        <f>IF(OR($D406="",$G406=0),"",ROUND($F406*INDEX('01人员工时'!G$7:G$126,INT((ROW()-7)/4)+1)/$G406,2))</f>
        <v/>
      </c>
      <c r="L406" s="31">
        <f>IF(OR($D406="",$G406=0),"",ROUND($F406*INDEX('01人员工时'!H$7:H$126,INT((ROW()-7)/4)+1)/$G406,2))</f>
        <v/>
      </c>
      <c r="M406" s="31">
        <f>IF(OR($D406="",$G406=0),"",ROUND($F406*INDEX('01人员工时'!I$7:I$126,INT((ROW()-7)/4)+1)/$G406,2))</f>
        <v/>
      </c>
      <c r="N406" s="31">
        <f>IF(OR($D406="",$G406=0),"",ROUND($F406*INDEX('01人员工时'!J$7:J$126,INT((ROW()-7)/4)+1)/$G406,2))</f>
        <v/>
      </c>
      <c r="O406" s="31">
        <f>IF(OR($D406="",$G406=0),"",ROUND($F406*INDEX('01人员工时'!K$7:K$126,INT((ROW()-7)/4)+1)/$G406,2))</f>
        <v/>
      </c>
      <c r="P406" s="31">
        <f>IF(OR($D406="",$G406=0),"",ROUND($F406*INDEX('01人员工时'!L$7:L$126,INT((ROW()-7)/4)+1)/$G406,2))</f>
        <v/>
      </c>
      <c r="Q406" s="31">
        <f>IF(OR($D406="",$G406=0),"",ROUND($F406*INDEX('01人员工时'!M$7:M$126,INT((ROW()-7)/4)+1)/$G406,2))</f>
        <v/>
      </c>
      <c r="R406" s="31">
        <f>IF(OR($D406="",$G406=0),"",ROUND($F406*INDEX('01人员工时'!N$7:N$126,INT((ROW()-7)/4)+1)/$G406,2))</f>
        <v/>
      </c>
      <c r="S406" s="31">
        <f>IF($D406="","",SUM(K406:R406))</f>
        <v/>
      </c>
      <c r="T406" s="31">
        <f>IF($D406="","",$J406+$S406)</f>
        <v/>
      </c>
      <c r="U406" s="32">
        <f>IF($D406="","",IF($F406=0,"未维护标准",IF(ROUND($T406-$F406,2)=0,"√","差异")))</f>
        <v/>
      </c>
      <c r="V406" s="33" t="n"/>
      <c r="W406" s="34" t="n"/>
    </row>
    <row r="407" ht="18" customHeight="1">
      <c r="B407" s="21">
        <f>IF(INDEX('01人员工时'!$D$7:$D$126,INT((ROW()-7)/4)+1)&amp;""="","",INDEX('01人员工时'!$B$7:$B$126,INT((ROW()-7)/4)+1))</f>
        <v/>
      </c>
      <c r="C407" s="22">
        <f>IF($D407="","",IF(MOD(ROW()-7,4)=0,INDEX('01人员工时'!$C$7:$C$126,INT((ROW()-7)/4)+1),""))</f>
        <v/>
      </c>
      <c r="D407" s="22">
        <f>IF(INDEX('01人员工时'!$D$7:$D$126,INT((ROW()-7)/4)+1)&amp;""="","",INDEX('01人员工时'!$D$7:$D$126,INT((ROW()-7)/4)+1))</f>
        <v/>
      </c>
      <c r="E407" s="22">
        <f>IF($D407="","",INDEX('参数设置'!$K$6:$K$9,MOD(ROW()-7,4)+1))</f>
        <v/>
      </c>
      <c r="F407" s="23">
        <f>IF($D407="","",IF($V407&lt;&gt;"",$V407,IFERROR(INDEX('参数设置'!$D$17:$G$26,MATCH($D407,'参数设置'!$C$17:$C$26,0),MATCH($E407,'参数设置'!$D$16:$G$16,0)),0)))</f>
        <v/>
      </c>
      <c r="G407" s="24">
        <f>IF($D407="","",INDEX('01人员工时'!$E$7:$E$126,INT((ROW()-7)/4)+1))</f>
        <v/>
      </c>
      <c r="H407" s="24">
        <f>IF($D407="","",INDEX('01人员工时'!$O$7:$O$126,INT((ROW()-7)/4)+1))</f>
        <v/>
      </c>
      <c r="I407" s="20">
        <f>IF(OR($D407="",$G407=0),"",$H407/$G407)</f>
        <v/>
      </c>
      <c r="J407" s="12">
        <f>IF($D407="","",ROUND($F407,2)-$S407)</f>
        <v/>
      </c>
      <c r="K407" s="12">
        <f>IF(OR($D407="",$G407=0),"",ROUND($F407*INDEX('01人员工时'!G$7:G$126,INT((ROW()-7)/4)+1)/$G407,2))</f>
        <v/>
      </c>
      <c r="L407" s="12">
        <f>IF(OR($D407="",$G407=0),"",ROUND($F407*INDEX('01人员工时'!H$7:H$126,INT((ROW()-7)/4)+1)/$G407,2))</f>
        <v/>
      </c>
      <c r="M407" s="12">
        <f>IF(OR($D407="",$G407=0),"",ROUND($F407*INDEX('01人员工时'!I$7:I$126,INT((ROW()-7)/4)+1)/$G407,2))</f>
        <v/>
      </c>
      <c r="N407" s="12">
        <f>IF(OR($D407="",$G407=0),"",ROUND($F407*INDEX('01人员工时'!J$7:J$126,INT((ROW()-7)/4)+1)/$G407,2))</f>
        <v/>
      </c>
      <c r="O407" s="12">
        <f>IF(OR($D407="",$G407=0),"",ROUND($F407*INDEX('01人员工时'!K$7:K$126,INT((ROW()-7)/4)+1)/$G407,2))</f>
        <v/>
      </c>
      <c r="P407" s="12">
        <f>IF(OR($D407="",$G407=0),"",ROUND($F407*INDEX('01人员工时'!L$7:L$126,INT((ROW()-7)/4)+1)/$G407,2))</f>
        <v/>
      </c>
      <c r="Q407" s="12">
        <f>IF(OR($D407="",$G407=0),"",ROUND($F407*INDEX('01人员工时'!M$7:M$126,INT((ROW()-7)/4)+1)/$G407,2))</f>
        <v/>
      </c>
      <c r="R407" s="12">
        <f>IF(OR($D407="",$G407=0),"",ROUND($F407*INDEX('01人员工时'!N$7:N$126,INT((ROW()-7)/4)+1)/$G407,2))</f>
        <v/>
      </c>
      <c r="S407" s="12">
        <f>IF($D407="","",SUM(K407:R407))</f>
        <v/>
      </c>
      <c r="T407" s="12">
        <f>IF($D407="","",$J407+$S407)</f>
        <v/>
      </c>
      <c r="U407" s="25">
        <f>IF($D407="","",IF($F407=0,"未维护标准",IF(ROUND($T407-$F407,2)=0,"√","差异")))</f>
        <v/>
      </c>
      <c r="V407" s="11" t="n"/>
      <c r="W407" s="9" t="n"/>
    </row>
    <row r="408" ht="18" customHeight="1">
      <c r="B408" s="21">
        <f>IF(INDEX('01人员工时'!$D$7:$D$126,INT((ROW()-7)/4)+1)&amp;""="","",INDEX('01人员工时'!$B$7:$B$126,INT((ROW()-7)/4)+1))</f>
        <v/>
      </c>
      <c r="C408" s="22">
        <f>IF($D408="","",IF(MOD(ROW()-7,4)=0,INDEX('01人员工时'!$C$7:$C$126,INT((ROW()-7)/4)+1),""))</f>
        <v/>
      </c>
      <c r="D408" s="22">
        <f>IF(INDEX('01人员工时'!$D$7:$D$126,INT((ROW()-7)/4)+1)&amp;""="","",INDEX('01人员工时'!$D$7:$D$126,INT((ROW()-7)/4)+1))</f>
        <v/>
      </c>
      <c r="E408" s="22">
        <f>IF($D408="","",INDEX('参数设置'!$K$6:$K$9,MOD(ROW()-7,4)+1))</f>
        <v/>
      </c>
      <c r="F408" s="23">
        <f>IF($D408="","",IF($V408&lt;&gt;"",$V408,IFERROR(INDEX('参数设置'!$D$17:$G$26,MATCH($D408,'参数设置'!$C$17:$C$26,0),MATCH($E408,'参数设置'!$D$16:$G$16,0)),0)))</f>
        <v/>
      </c>
      <c r="G408" s="24">
        <f>IF($D408="","",INDEX('01人员工时'!$E$7:$E$126,INT((ROW()-7)/4)+1))</f>
        <v/>
      </c>
      <c r="H408" s="24">
        <f>IF($D408="","",INDEX('01人员工时'!$O$7:$O$126,INT((ROW()-7)/4)+1))</f>
        <v/>
      </c>
      <c r="I408" s="20">
        <f>IF(OR($D408="",$G408=0),"",$H408/$G408)</f>
        <v/>
      </c>
      <c r="J408" s="12">
        <f>IF($D408="","",ROUND($F408,2)-$S408)</f>
        <v/>
      </c>
      <c r="K408" s="12">
        <f>IF(OR($D408="",$G408=0),"",ROUND($F408*INDEX('01人员工时'!G$7:G$126,INT((ROW()-7)/4)+1)/$G408,2))</f>
        <v/>
      </c>
      <c r="L408" s="12">
        <f>IF(OR($D408="",$G408=0),"",ROUND($F408*INDEX('01人员工时'!H$7:H$126,INT((ROW()-7)/4)+1)/$G408,2))</f>
        <v/>
      </c>
      <c r="M408" s="12">
        <f>IF(OR($D408="",$G408=0),"",ROUND($F408*INDEX('01人员工时'!I$7:I$126,INT((ROW()-7)/4)+1)/$G408,2))</f>
        <v/>
      </c>
      <c r="N408" s="12">
        <f>IF(OR($D408="",$G408=0),"",ROUND($F408*INDEX('01人员工时'!J$7:J$126,INT((ROW()-7)/4)+1)/$G408,2))</f>
        <v/>
      </c>
      <c r="O408" s="12">
        <f>IF(OR($D408="",$G408=0),"",ROUND($F408*INDEX('01人员工时'!K$7:K$126,INT((ROW()-7)/4)+1)/$G408,2))</f>
        <v/>
      </c>
      <c r="P408" s="12">
        <f>IF(OR($D408="",$G408=0),"",ROUND($F408*INDEX('01人员工时'!L$7:L$126,INT((ROW()-7)/4)+1)/$G408,2))</f>
        <v/>
      </c>
      <c r="Q408" s="12">
        <f>IF(OR($D408="",$G408=0),"",ROUND($F408*INDEX('01人员工时'!M$7:M$126,INT((ROW()-7)/4)+1)/$G408,2))</f>
        <v/>
      </c>
      <c r="R408" s="12">
        <f>IF(OR($D408="",$G408=0),"",ROUND($F408*INDEX('01人员工时'!N$7:N$126,INT((ROW()-7)/4)+1)/$G408,2))</f>
        <v/>
      </c>
      <c r="S408" s="12">
        <f>IF($D408="","",SUM(K408:R408))</f>
        <v/>
      </c>
      <c r="T408" s="12">
        <f>IF($D408="","",$J408+$S408)</f>
        <v/>
      </c>
      <c r="U408" s="25">
        <f>IF($D408="","",IF($F408=0,"未维护标准",IF(ROUND($T408-$F408,2)=0,"√","差异")))</f>
        <v/>
      </c>
      <c r="V408" s="11" t="n"/>
      <c r="W408" s="9" t="n"/>
    </row>
    <row r="409" ht="18" customHeight="1">
      <c r="B409" s="21">
        <f>IF(INDEX('01人员工时'!$D$7:$D$126,INT((ROW()-7)/4)+1)&amp;""="","",INDEX('01人员工时'!$B$7:$B$126,INT((ROW()-7)/4)+1))</f>
        <v/>
      </c>
      <c r="C409" s="22">
        <f>IF($D409="","",IF(MOD(ROW()-7,4)=0,INDEX('01人员工时'!$C$7:$C$126,INT((ROW()-7)/4)+1),""))</f>
        <v/>
      </c>
      <c r="D409" s="22">
        <f>IF(INDEX('01人员工时'!$D$7:$D$126,INT((ROW()-7)/4)+1)&amp;""="","",INDEX('01人员工时'!$D$7:$D$126,INT((ROW()-7)/4)+1))</f>
        <v/>
      </c>
      <c r="E409" s="22">
        <f>IF($D409="","",INDEX('参数设置'!$K$6:$K$9,MOD(ROW()-7,4)+1))</f>
        <v/>
      </c>
      <c r="F409" s="23">
        <f>IF($D409="","",IF($V409&lt;&gt;"",$V409,IFERROR(INDEX('参数设置'!$D$17:$G$26,MATCH($D409,'参数设置'!$C$17:$C$26,0),MATCH($E409,'参数设置'!$D$16:$G$16,0)),0)))</f>
        <v/>
      </c>
      <c r="G409" s="24">
        <f>IF($D409="","",INDEX('01人员工时'!$E$7:$E$126,INT((ROW()-7)/4)+1))</f>
        <v/>
      </c>
      <c r="H409" s="24">
        <f>IF($D409="","",INDEX('01人员工时'!$O$7:$O$126,INT((ROW()-7)/4)+1))</f>
        <v/>
      </c>
      <c r="I409" s="20">
        <f>IF(OR($D409="",$G409=0),"",$H409/$G409)</f>
        <v/>
      </c>
      <c r="J409" s="12">
        <f>IF($D409="","",ROUND($F409,2)-$S409)</f>
        <v/>
      </c>
      <c r="K409" s="12">
        <f>IF(OR($D409="",$G409=0),"",ROUND($F409*INDEX('01人员工时'!G$7:G$126,INT((ROW()-7)/4)+1)/$G409,2))</f>
        <v/>
      </c>
      <c r="L409" s="12">
        <f>IF(OR($D409="",$G409=0),"",ROUND($F409*INDEX('01人员工时'!H$7:H$126,INT((ROW()-7)/4)+1)/$G409,2))</f>
        <v/>
      </c>
      <c r="M409" s="12">
        <f>IF(OR($D409="",$G409=0),"",ROUND($F409*INDEX('01人员工时'!I$7:I$126,INT((ROW()-7)/4)+1)/$G409,2))</f>
        <v/>
      </c>
      <c r="N409" s="12">
        <f>IF(OR($D409="",$G409=0),"",ROUND($F409*INDEX('01人员工时'!J$7:J$126,INT((ROW()-7)/4)+1)/$G409,2))</f>
        <v/>
      </c>
      <c r="O409" s="12">
        <f>IF(OR($D409="",$G409=0),"",ROUND($F409*INDEX('01人员工时'!K$7:K$126,INT((ROW()-7)/4)+1)/$G409,2))</f>
        <v/>
      </c>
      <c r="P409" s="12">
        <f>IF(OR($D409="",$G409=0),"",ROUND($F409*INDEX('01人员工时'!L$7:L$126,INT((ROW()-7)/4)+1)/$G409,2))</f>
        <v/>
      </c>
      <c r="Q409" s="12">
        <f>IF(OR($D409="",$G409=0),"",ROUND($F409*INDEX('01人员工时'!M$7:M$126,INT((ROW()-7)/4)+1)/$G409,2))</f>
        <v/>
      </c>
      <c r="R409" s="12">
        <f>IF(OR($D409="",$G409=0),"",ROUND($F409*INDEX('01人员工时'!N$7:N$126,INT((ROW()-7)/4)+1)/$G409,2))</f>
        <v/>
      </c>
      <c r="S409" s="12">
        <f>IF($D409="","",SUM(K409:R409))</f>
        <v/>
      </c>
      <c r="T409" s="12">
        <f>IF($D409="","",$J409+$S409)</f>
        <v/>
      </c>
      <c r="U409" s="25">
        <f>IF($D409="","",IF($F409=0,"未维护标准",IF(ROUND($T409-$F409,2)=0,"√","差异")))</f>
        <v/>
      </c>
      <c r="V409" s="11" t="n"/>
      <c r="W409" s="9" t="n"/>
    </row>
    <row r="410" ht="18" customHeight="1">
      <c r="B410" s="26">
        <f>IF(INDEX('01人员工时'!$D$7:$D$126,INT((ROW()-7)/4)+1)&amp;""="","",INDEX('01人员工时'!$B$7:$B$126,INT((ROW()-7)/4)+1))</f>
        <v/>
      </c>
      <c r="C410" s="27">
        <f>IF($D410="","",IF(MOD(ROW()-7,4)=0,INDEX('01人员工时'!$C$7:$C$126,INT((ROW()-7)/4)+1),""))</f>
        <v/>
      </c>
      <c r="D410" s="27">
        <f>IF(INDEX('01人员工时'!$D$7:$D$126,INT((ROW()-7)/4)+1)&amp;""="","",INDEX('01人员工时'!$D$7:$D$126,INT((ROW()-7)/4)+1))</f>
        <v/>
      </c>
      <c r="E410" s="27">
        <f>IF($D410="","",INDEX('参数设置'!$K$6:$K$9,MOD(ROW()-7,4)+1))</f>
        <v/>
      </c>
      <c r="F410" s="28">
        <f>IF($D410="","",IF($V410&lt;&gt;"",$V410,IFERROR(INDEX('参数设置'!$D$17:$G$26,MATCH($D410,'参数设置'!$C$17:$C$26,0),MATCH($E410,'参数设置'!$D$16:$G$16,0)),0)))</f>
        <v/>
      </c>
      <c r="G410" s="29">
        <f>IF($D410="","",INDEX('01人员工时'!$E$7:$E$126,INT((ROW()-7)/4)+1))</f>
        <v/>
      </c>
      <c r="H410" s="29">
        <f>IF($D410="","",INDEX('01人员工时'!$O$7:$O$126,INT((ROW()-7)/4)+1))</f>
        <v/>
      </c>
      <c r="I410" s="30">
        <f>IF(OR($D410="",$G410=0),"",$H410/$G410)</f>
        <v/>
      </c>
      <c r="J410" s="31">
        <f>IF($D410="","",ROUND($F410,2)-$S410)</f>
        <v/>
      </c>
      <c r="K410" s="31">
        <f>IF(OR($D410="",$G410=0),"",ROUND($F410*INDEX('01人员工时'!G$7:G$126,INT((ROW()-7)/4)+1)/$G410,2))</f>
        <v/>
      </c>
      <c r="L410" s="31">
        <f>IF(OR($D410="",$G410=0),"",ROUND($F410*INDEX('01人员工时'!H$7:H$126,INT((ROW()-7)/4)+1)/$G410,2))</f>
        <v/>
      </c>
      <c r="M410" s="31">
        <f>IF(OR($D410="",$G410=0),"",ROUND($F410*INDEX('01人员工时'!I$7:I$126,INT((ROW()-7)/4)+1)/$G410,2))</f>
        <v/>
      </c>
      <c r="N410" s="31">
        <f>IF(OR($D410="",$G410=0),"",ROUND($F410*INDEX('01人员工时'!J$7:J$126,INT((ROW()-7)/4)+1)/$G410,2))</f>
        <v/>
      </c>
      <c r="O410" s="31">
        <f>IF(OR($D410="",$G410=0),"",ROUND($F410*INDEX('01人员工时'!K$7:K$126,INT((ROW()-7)/4)+1)/$G410,2))</f>
        <v/>
      </c>
      <c r="P410" s="31">
        <f>IF(OR($D410="",$G410=0),"",ROUND($F410*INDEX('01人员工时'!L$7:L$126,INT((ROW()-7)/4)+1)/$G410,2))</f>
        <v/>
      </c>
      <c r="Q410" s="31">
        <f>IF(OR($D410="",$G410=0),"",ROUND($F410*INDEX('01人员工时'!M$7:M$126,INT((ROW()-7)/4)+1)/$G410,2))</f>
        <v/>
      </c>
      <c r="R410" s="31">
        <f>IF(OR($D410="",$G410=0),"",ROUND($F410*INDEX('01人员工时'!N$7:N$126,INT((ROW()-7)/4)+1)/$G410,2))</f>
        <v/>
      </c>
      <c r="S410" s="31">
        <f>IF($D410="","",SUM(K410:R410))</f>
        <v/>
      </c>
      <c r="T410" s="31">
        <f>IF($D410="","",$J410+$S410)</f>
        <v/>
      </c>
      <c r="U410" s="32">
        <f>IF($D410="","",IF($F410=0,"未维护标准",IF(ROUND($T410-$F410,2)=0,"√","差异")))</f>
        <v/>
      </c>
      <c r="V410" s="33" t="n"/>
      <c r="W410" s="34" t="n"/>
    </row>
    <row r="411" ht="18" customHeight="1">
      <c r="B411" s="21">
        <f>IF(INDEX('01人员工时'!$D$7:$D$126,INT((ROW()-7)/4)+1)&amp;""="","",INDEX('01人员工时'!$B$7:$B$126,INT((ROW()-7)/4)+1))</f>
        <v/>
      </c>
      <c r="C411" s="22">
        <f>IF($D411="","",IF(MOD(ROW()-7,4)=0,INDEX('01人员工时'!$C$7:$C$126,INT((ROW()-7)/4)+1),""))</f>
        <v/>
      </c>
      <c r="D411" s="22">
        <f>IF(INDEX('01人员工时'!$D$7:$D$126,INT((ROW()-7)/4)+1)&amp;""="","",INDEX('01人员工时'!$D$7:$D$126,INT((ROW()-7)/4)+1))</f>
        <v/>
      </c>
      <c r="E411" s="22">
        <f>IF($D411="","",INDEX('参数设置'!$K$6:$K$9,MOD(ROW()-7,4)+1))</f>
        <v/>
      </c>
      <c r="F411" s="23">
        <f>IF($D411="","",IF($V411&lt;&gt;"",$V411,IFERROR(INDEX('参数设置'!$D$17:$G$26,MATCH($D411,'参数设置'!$C$17:$C$26,0),MATCH($E411,'参数设置'!$D$16:$G$16,0)),0)))</f>
        <v/>
      </c>
      <c r="G411" s="24">
        <f>IF($D411="","",INDEX('01人员工时'!$E$7:$E$126,INT((ROW()-7)/4)+1))</f>
        <v/>
      </c>
      <c r="H411" s="24">
        <f>IF($D411="","",INDEX('01人员工时'!$O$7:$O$126,INT((ROW()-7)/4)+1))</f>
        <v/>
      </c>
      <c r="I411" s="20">
        <f>IF(OR($D411="",$G411=0),"",$H411/$G411)</f>
        <v/>
      </c>
      <c r="J411" s="12">
        <f>IF($D411="","",ROUND($F411,2)-$S411)</f>
        <v/>
      </c>
      <c r="K411" s="12">
        <f>IF(OR($D411="",$G411=0),"",ROUND($F411*INDEX('01人员工时'!G$7:G$126,INT((ROW()-7)/4)+1)/$G411,2))</f>
        <v/>
      </c>
      <c r="L411" s="12">
        <f>IF(OR($D411="",$G411=0),"",ROUND($F411*INDEX('01人员工时'!H$7:H$126,INT((ROW()-7)/4)+1)/$G411,2))</f>
        <v/>
      </c>
      <c r="M411" s="12">
        <f>IF(OR($D411="",$G411=0),"",ROUND($F411*INDEX('01人员工时'!I$7:I$126,INT((ROW()-7)/4)+1)/$G411,2))</f>
        <v/>
      </c>
      <c r="N411" s="12">
        <f>IF(OR($D411="",$G411=0),"",ROUND($F411*INDEX('01人员工时'!J$7:J$126,INT((ROW()-7)/4)+1)/$G411,2))</f>
        <v/>
      </c>
      <c r="O411" s="12">
        <f>IF(OR($D411="",$G411=0),"",ROUND($F411*INDEX('01人员工时'!K$7:K$126,INT((ROW()-7)/4)+1)/$G411,2))</f>
        <v/>
      </c>
      <c r="P411" s="12">
        <f>IF(OR($D411="",$G411=0),"",ROUND($F411*INDEX('01人员工时'!L$7:L$126,INT((ROW()-7)/4)+1)/$G411,2))</f>
        <v/>
      </c>
      <c r="Q411" s="12">
        <f>IF(OR($D411="",$G411=0),"",ROUND($F411*INDEX('01人员工时'!M$7:M$126,INT((ROW()-7)/4)+1)/$G411,2))</f>
        <v/>
      </c>
      <c r="R411" s="12">
        <f>IF(OR($D411="",$G411=0),"",ROUND($F411*INDEX('01人员工时'!N$7:N$126,INT((ROW()-7)/4)+1)/$G411,2))</f>
        <v/>
      </c>
      <c r="S411" s="12">
        <f>IF($D411="","",SUM(K411:R411))</f>
        <v/>
      </c>
      <c r="T411" s="12">
        <f>IF($D411="","",$J411+$S411)</f>
        <v/>
      </c>
      <c r="U411" s="25">
        <f>IF($D411="","",IF($F411=0,"未维护标准",IF(ROUND($T411-$F411,2)=0,"√","差异")))</f>
        <v/>
      </c>
      <c r="V411" s="11" t="n"/>
      <c r="W411" s="9" t="n"/>
    </row>
    <row r="412" ht="18" customHeight="1">
      <c r="B412" s="21">
        <f>IF(INDEX('01人员工时'!$D$7:$D$126,INT((ROW()-7)/4)+1)&amp;""="","",INDEX('01人员工时'!$B$7:$B$126,INT((ROW()-7)/4)+1))</f>
        <v/>
      </c>
      <c r="C412" s="22">
        <f>IF($D412="","",IF(MOD(ROW()-7,4)=0,INDEX('01人员工时'!$C$7:$C$126,INT((ROW()-7)/4)+1),""))</f>
        <v/>
      </c>
      <c r="D412" s="22">
        <f>IF(INDEX('01人员工时'!$D$7:$D$126,INT((ROW()-7)/4)+1)&amp;""="","",INDEX('01人员工时'!$D$7:$D$126,INT((ROW()-7)/4)+1))</f>
        <v/>
      </c>
      <c r="E412" s="22">
        <f>IF($D412="","",INDEX('参数设置'!$K$6:$K$9,MOD(ROW()-7,4)+1))</f>
        <v/>
      </c>
      <c r="F412" s="23">
        <f>IF($D412="","",IF($V412&lt;&gt;"",$V412,IFERROR(INDEX('参数设置'!$D$17:$G$26,MATCH($D412,'参数设置'!$C$17:$C$26,0),MATCH($E412,'参数设置'!$D$16:$G$16,0)),0)))</f>
        <v/>
      </c>
      <c r="G412" s="24">
        <f>IF($D412="","",INDEX('01人员工时'!$E$7:$E$126,INT((ROW()-7)/4)+1))</f>
        <v/>
      </c>
      <c r="H412" s="24">
        <f>IF($D412="","",INDEX('01人员工时'!$O$7:$O$126,INT((ROW()-7)/4)+1))</f>
        <v/>
      </c>
      <c r="I412" s="20">
        <f>IF(OR($D412="",$G412=0),"",$H412/$G412)</f>
        <v/>
      </c>
      <c r="J412" s="12">
        <f>IF($D412="","",ROUND($F412,2)-$S412)</f>
        <v/>
      </c>
      <c r="K412" s="12">
        <f>IF(OR($D412="",$G412=0),"",ROUND($F412*INDEX('01人员工时'!G$7:G$126,INT((ROW()-7)/4)+1)/$G412,2))</f>
        <v/>
      </c>
      <c r="L412" s="12">
        <f>IF(OR($D412="",$G412=0),"",ROUND($F412*INDEX('01人员工时'!H$7:H$126,INT((ROW()-7)/4)+1)/$G412,2))</f>
        <v/>
      </c>
      <c r="M412" s="12">
        <f>IF(OR($D412="",$G412=0),"",ROUND($F412*INDEX('01人员工时'!I$7:I$126,INT((ROW()-7)/4)+1)/$G412,2))</f>
        <v/>
      </c>
      <c r="N412" s="12">
        <f>IF(OR($D412="",$G412=0),"",ROUND($F412*INDEX('01人员工时'!J$7:J$126,INT((ROW()-7)/4)+1)/$G412,2))</f>
        <v/>
      </c>
      <c r="O412" s="12">
        <f>IF(OR($D412="",$G412=0),"",ROUND($F412*INDEX('01人员工时'!K$7:K$126,INT((ROW()-7)/4)+1)/$G412,2))</f>
        <v/>
      </c>
      <c r="P412" s="12">
        <f>IF(OR($D412="",$G412=0),"",ROUND($F412*INDEX('01人员工时'!L$7:L$126,INT((ROW()-7)/4)+1)/$G412,2))</f>
        <v/>
      </c>
      <c r="Q412" s="12">
        <f>IF(OR($D412="",$G412=0),"",ROUND($F412*INDEX('01人员工时'!M$7:M$126,INT((ROW()-7)/4)+1)/$G412,2))</f>
        <v/>
      </c>
      <c r="R412" s="12">
        <f>IF(OR($D412="",$G412=0),"",ROUND($F412*INDEX('01人员工时'!N$7:N$126,INT((ROW()-7)/4)+1)/$G412,2))</f>
        <v/>
      </c>
      <c r="S412" s="12">
        <f>IF($D412="","",SUM(K412:R412))</f>
        <v/>
      </c>
      <c r="T412" s="12">
        <f>IF($D412="","",$J412+$S412)</f>
        <v/>
      </c>
      <c r="U412" s="25">
        <f>IF($D412="","",IF($F412=0,"未维护标准",IF(ROUND($T412-$F412,2)=0,"√","差异")))</f>
        <v/>
      </c>
      <c r="V412" s="11" t="n"/>
      <c r="W412" s="9" t="n"/>
    </row>
    <row r="413" ht="18" customHeight="1">
      <c r="B413" s="21">
        <f>IF(INDEX('01人员工时'!$D$7:$D$126,INT((ROW()-7)/4)+1)&amp;""="","",INDEX('01人员工时'!$B$7:$B$126,INT((ROW()-7)/4)+1))</f>
        <v/>
      </c>
      <c r="C413" s="22">
        <f>IF($D413="","",IF(MOD(ROW()-7,4)=0,INDEX('01人员工时'!$C$7:$C$126,INT((ROW()-7)/4)+1),""))</f>
        <v/>
      </c>
      <c r="D413" s="22">
        <f>IF(INDEX('01人员工时'!$D$7:$D$126,INT((ROW()-7)/4)+1)&amp;""="","",INDEX('01人员工时'!$D$7:$D$126,INT((ROW()-7)/4)+1))</f>
        <v/>
      </c>
      <c r="E413" s="22">
        <f>IF($D413="","",INDEX('参数设置'!$K$6:$K$9,MOD(ROW()-7,4)+1))</f>
        <v/>
      </c>
      <c r="F413" s="23">
        <f>IF($D413="","",IF($V413&lt;&gt;"",$V413,IFERROR(INDEX('参数设置'!$D$17:$G$26,MATCH($D413,'参数设置'!$C$17:$C$26,0),MATCH($E413,'参数设置'!$D$16:$G$16,0)),0)))</f>
        <v/>
      </c>
      <c r="G413" s="24">
        <f>IF($D413="","",INDEX('01人员工时'!$E$7:$E$126,INT((ROW()-7)/4)+1))</f>
        <v/>
      </c>
      <c r="H413" s="24">
        <f>IF($D413="","",INDEX('01人员工时'!$O$7:$O$126,INT((ROW()-7)/4)+1))</f>
        <v/>
      </c>
      <c r="I413" s="20">
        <f>IF(OR($D413="",$G413=0),"",$H413/$G413)</f>
        <v/>
      </c>
      <c r="J413" s="12">
        <f>IF($D413="","",ROUND($F413,2)-$S413)</f>
        <v/>
      </c>
      <c r="K413" s="12">
        <f>IF(OR($D413="",$G413=0),"",ROUND($F413*INDEX('01人员工时'!G$7:G$126,INT((ROW()-7)/4)+1)/$G413,2))</f>
        <v/>
      </c>
      <c r="L413" s="12">
        <f>IF(OR($D413="",$G413=0),"",ROUND($F413*INDEX('01人员工时'!H$7:H$126,INT((ROW()-7)/4)+1)/$G413,2))</f>
        <v/>
      </c>
      <c r="M413" s="12">
        <f>IF(OR($D413="",$G413=0),"",ROUND($F413*INDEX('01人员工时'!I$7:I$126,INT((ROW()-7)/4)+1)/$G413,2))</f>
        <v/>
      </c>
      <c r="N413" s="12">
        <f>IF(OR($D413="",$G413=0),"",ROUND($F413*INDEX('01人员工时'!J$7:J$126,INT((ROW()-7)/4)+1)/$G413,2))</f>
        <v/>
      </c>
      <c r="O413" s="12">
        <f>IF(OR($D413="",$G413=0),"",ROUND($F413*INDEX('01人员工时'!K$7:K$126,INT((ROW()-7)/4)+1)/$G413,2))</f>
        <v/>
      </c>
      <c r="P413" s="12">
        <f>IF(OR($D413="",$G413=0),"",ROUND($F413*INDEX('01人员工时'!L$7:L$126,INT((ROW()-7)/4)+1)/$G413,2))</f>
        <v/>
      </c>
      <c r="Q413" s="12">
        <f>IF(OR($D413="",$G413=0),"",ROUND($F413*INDEX('01人员工时'!M$7:M$126,INT((ROW()-7)/4)+1)/$G413,2))</f>
        <v/>
      </c>
      <c r="R413" s="12">
        <f>IF(OR($D413="",$G413=0),"",ROUND($F413*INDEX('01人员工时'!N$7:N$126,INT((ROW()-7)/4)+1)/$G413,2))</f>
        <v/>
      </c>
      <c r="S413" s="12">
        <f>IF($D413="","",SUM(K413:R413))</f>
        <v/>
      </c>
      <c r="T413" s="12">
        <f>IF($D413="","",$J413+$S413)</f>
        <v/>
      </c>
      <c r="U413" s="25">
        <f>IF($D413="","",IF($F413=0,"未维护标准",IF(ROUND($T413-$F413,2)=0,"√","差异")))</f>
        <v/>
      </c>
      <c r="V413" s="11" t="n"/>
      <c r="W413" s="9" t="n"/>
    </row>
    <row r="414" ht="18" customHeight="1">
      <c r="B414" s="26">
        <f>IF(INDEX('01人员工时'!$D$7:$D$126,INT((ROW()-7)/4)+1)&amp;""="","",INDEX('01人员工时'!$B$7:$B$126,INT((ROW()-7)/4)+1))</f>
        <v/>
      </c>
      <c r="C414" s="27">
        <f>IF($D414="","",IF(MOD(ROW()-7,4)=0,INDEX('01人员工时'!$C$7:$C$126,INT((ROW()-7)/4)+1),""))</f>
        <v/>
      </c>
      <c r="D414" s="27">
        <f>IF(INDEX('01人员工时'!$D$7:$D$126,INT((ROW()-7)/4)+1)&amp;""="","",INDEX('01人员工时'!$D$7:$D$126,INT((ROW()-7)/4)+1))</f>
        <v/>
      </c>
      <c r="E414" s="27">
        <f>IF($D414="","",INDEX('参数设置'!$K$6:$K$9,MOD(ROW()-7,4)+1))</f>
        <v/>
      </c>
      <c r="F414" s="28">
        <f>IF($D414="","",IF($V414&lt;&gt;"",$V414,IFERROR(INDEX('参数设置'!$D$17:$G$26,MATCH($D414,'参数设置'!$C$17:$C$26,0),MATCH($E414,'参数设置'!$D$16:$G$16,0)),0)))</f>
        <v/>
      </c>
      <c r="G414" s="29">
        <f>IF($D414="","",INDEX('01人员工时'!$E$7:$E$126,INT((ROW()-7)/4)+1))</f>
        <v/>
      </c>
      <c r="H414" s="29">
        <f>IF($D414="","",INDEX('01人员工时'!$O$7:$O$126,INT((ROW()-7)/4)+1))</f>
        <v/>
      </c>
      <c r="I414" s="30">
        <f>IF(OR($D414="",$G414=0),"",$H414/$G414)</f>
        <v/>
      </c>
      <c r="J414" s="31">
        <f>IF($D414="","",ROUND($F414,2)-$S414)</f>
        <v/>
      </c>
      <c r="K414" s="31">
        <f>IF(OR($D414="",$G414=0),"",ROUND($F414*INDEX('01人员工时'!G$7:G$126,INT((ROW()-7)/4)+1)/$G414,2))</f>
        <v/>
      </c>
      <c r="L414" s="31">
        <f>IF(OR($D414="",$G414=0),"",ROUND($F414*INDEX('01人员工时'!H$7:H$126,INT((ROW()-7)/4)+1)/$G414,2))</f>
        <v/>
      </c>
      <c r="M414" s="31">
        <f>IF(OR($D414="",$G414=0),"",ROUND($F414*INDEX('01人员工时'!I$7:I$126,INT((ROW()-7)/4)+1)/$G414,2))</f>
        <v/>
      </c>
      <c r="N414" s="31">
        <f>IF(OR($D414="",$G414=0),"",ROUND($F414*INDEX('01人员工时'!J$7:J$126,INT((ROW()-7)/4)+1)/$G414,2))</f>
        <v/>
      </c>
      <c r="O414" s="31">
        <f>IF(OR($D414="",$G414=0),"",ROUND($F414*INDEX('01人员工时'!K$7:K$126,INT((ROW()-7)/4)+1)/$G414,2))</f>
        <v/>
      </c>
      <c r="P414" s="31">
        <f>IF(OR($D414="",$G414=0),"",ROUND($F414*INDEX('01人员工时'!L$7:L$126,INT((ROW()-7)/4)+1)/$G414,2))</f>
        <v/>
      </c>
      <c r="Q414" s="31">
        <f>IF(OR($D414="",$G414=0),"",ROUND($F414*INDEX('01人员工时'!M$7:M$126,INT((ROW()-7)/4)+1)/$G414,2))</f>
        <v/>
      </c>
      <c r="R414" s="31">
        <f>IF(OR($D414="",$G414=0),"",ROUND($F414*INDEX('01人员工时'!N$7:N$126,INT((ROW()-7)/4)+1)/$G414,2))</f>
        <v/>
      </c>
      <c r="S414" s="31">
        <f>IF($D414="","",SUM(K414:R414))</f>
        <v/>
      </c>
      <c r="T414" s="31">
        <f>IF($D414="","",$J414+$S414)</f>
        <v/>
      </c>
      <c r="U414" s="32">
        <f>IF($D414="","",IF($F414=0,"未维护标准",IF(ROUND($T414-$F414,2)=0,"√","差异")))</f>
        <v/>
      </c>
      <c r="V414" s="33" t="n"/>
      <c r="W414" s="34" t="n"/>
    </row>
    <row r="415" ht="18" customHeight="1">
      <c r="B415" s="21">
        <f>IF(INDEX('01人员工时'!$D$7:$D$126,INT((ROW()-7)/4)+1)&amp;""="","",INDEX('01人员工时'!$B$7:$B$126,INT((ROW()-7)/4)+1))</f>
        <v/>
      </c>
      <c r="C415" s="22">
        <f>IF($D415="","",IF(MOD(ROW()-7,4)=0,INDEX('01人员工时'!$C$7:$C$126,INT((ROW()-7)/4)+1),""))</f>
        <v/>
      </c>
      <c r="D415" s="22">
        <f>IF(INDEX('01人员工时'!$D$7:$D$126,INT((ROW()-7)/4)+1)&amp;""="","",INDEX('01人员工时'!$D$7:$D$126,INT((ROW()-7)/4)+1))</f>
        <v/>
      </c>
      <c r="E415" s="22">
        <f>IF($D415="","",INDEX('参数设置'!$K$6:$K$9,MOD(ROW()-7,4)+1))</f>
        <v/>
      </c>
      <c r="F415" s="23">
        <f>IF($D415="","",IF($V415&lt;&gt;"",$V415,IFERROR(INDEX('参数设置'!$D$17:$G$26,MATCH($D415,'参数设置'!$C$17:$C$26,0),MATCH($E415,'参数设置'!$D$16:$G$16,0)),0)))</f>
        <v/>
      </c>
      <c r="G415" s="24">
        <f>IF($D415="","",INDEX('01人员工时'!$E$7:$E$126,INT((ROW()-7)/4)+1))</f>
        <v/>
      </c>
      <c r="H415" s="24">
        <f>IF($D415="","",INDEX('01人员工时'!$O$7:$O$126,INT((ROW()-7)/4)+1))</f>
        <v/>
      </c>
      <c r="I415" s="20">
        <f>IF(OR($D415="",$G415=0),"",$H415/$G415)</f>
        <v/>
      </c>
      <c r="J415" s="12">
        <f>IF($D415="","",ROUND($F415,2)-$S415)</f>
        <v/>
      </c>
      <c r="K415" s="12">
        <f>IF(OR($D415="",$G415=0),"",ROUND($F415*INDEX('01人员工时'!G$7:G$126,INT((ROW()-7)/4)+1)/$G415,2))</f>
        <v/>
      </c>
      <c r="L415" s="12">
        <f>IF(OR($D415="",$G415=0),"",ROUND($F415*INDEX('01人员工时'!H$7:H$126,INT((ROW()-7)/4)+1)/$G415,2))</f>
        <v/>
      </c>
      <c r="M415" s="12">
        <f>IF(OR($D415="",$G415=0),"",ROUND($F415*INDEX('01人员工时'!I$7:I$126,INT((ROW()-7)/4)+1)/$G415,2))</f>
        <v/>
      </c>
      <c r="N415" s="12">
        <f>IF(OR($D415="",$G415=0),"",ROUND($F415*INDEX('01人员工时'!J$7:J$126,INT((ROW()-7)/4)+1)/$G415,2))</f>
        <v/>
      </c>
      <c r="O415" s="12">
        <f>IF(OR($D415="",$G415=0),"",ROUND($F415*INDEX('01人员工时'!K$7:K$126,INT((ROW()-7)/4)+1)/$G415,2))</f>
        <v/>
      </c>
      <c r="P415" s="12">
        <f>IF(OR($D415="",$G415=0),"",ROUND($F415*INDEX('01人员工时'!L$7:L$126,INT((ROW()-7)/4)+1)/$G415,2))</f>
        <v/>
      </c>
      <c r="Q415" s="12">
        <f>IF(OR($D415="",$G415=0),"",ROUND($F415*INDEX('01人员工时'!M$7:M$126,INT((ROW()-7)/4)+1)/$G415,2))</f>
        <v/>
      </c>
      <c r="R415" s="12">
        <f>IF(OR($D415="",$G415=0),"",ROUND($F415*INDEX('01人员工时'!N$7:N$126,INT((ROW()-7)/4)+1)/$G415,2))</f>
        <v/>
      </c>
      <c r="S415" s="12">
        <f>IF($D415="","",SUM(K415:R415))</f>
        <v/>
      </c>
      <c r="T415" s="12">
        <f>IF($D415="","",$J415+$S415)</f>
        <v/>
      </c>
      <c r="U415" s="25">
        <f>IF($D415="","",IF($F415=0,"未维护标准",IF(ROUND($T415-$F415,2)=0,"√","差异")))</f>
        <v/>
      </c>
      <c r="V415" s="11" t="n"/>
      <c r="W415" s="9" t="n"/>
    </row>
    <row r="416" ht="18" customHeight="1">
      <c r="B416" s="21">
        <f>IF(INDEX('01人员工时'!$D$7:$D$126,INT((ROW()-7)/4)+1)&amp;""="","",INDEX('01人员工时'!$B$7:$B$126,INT((ROW()-7)/4)+1))</f>
        <v/>
      </c>
      <c r="C416" s="22">
        <f>IF($D416="","",IF(MOD(ROW()-7,4)=0,INDEX('01人员工时'!$C$7:$C$126,INT((ROW()-7)/4)+1),""))</f>
        <v/>
      </c>
      <c r="D416" s="22">
        <f>IF(INDEX('01人员工时'!$D$7:$D$126,INT((ROW()-7)/4)+1)&amp;""="","",INDEX('01人员工时'!$D$7:$D$126,INT((ROW()-7)/4)+1))</f>
        <v/>
      </c>
      <c r="E416" s="22">
        <f>IF($D416="","",INDEX('参数设置'!$K$6:$K$9,MOD(ROW()-7,4)+1))</f>
        <v/>
      </c>
      <c r="F416" s="23">
        <f>IF($D416="","",IF($V416&lt;&gt;"",$V416,IFERROR(INDEX('参数设置'!$D$17:$G$26,MATCH($D416,'参数设置'!$C$17:$C$26,0),MATCH($E416,'参数设置'!$D$16:$G$16,0)),0)))</f>
        <v/>
      </c>
      <c r="G416" s="24">
        <f>IF($D416="","",INDEX('01人员工时'!$E$7:$E$126,INT((ROW()-7)/4)+1))</f>
        <v/>
      </c>
      <c r="H416" s="24">
        <f>IF($D416="","",INDEX('01人员工时'!$O$7:$O$126,INT((ROW()-7)/4)+1))</f>
        <v/>
      </c>
      <c r="I416" s="20">
        <f>IF(OR($D416="",$G416=0),"",$H416/$G416)</f>
        <v/>
      </c>
      <c r="J416" s="12">
        <f>IF($D416="","",ROUND($F416,2)-$S416)</f>
        <v/>
      </c>
      <c r="K416" s="12">
        <f>IF(OR($D416="",$G416=0),"",ROUND($F416*INDEX('01人员工时'!G$7:G$126,INT((ROW()-7)/4)+1)/$G416,2))</f>
        <v/>
      </c>
      <c r="L416" s="12">
        <f>IF(OR($D416="",$G416=0),"",ROUND($F416*INDEX('01人员工时'!H$7:H$126,INT((ROW()-7)/4)+1)/$G416,2))</f>
        <v/>
      </c>
      <c r="M416" s="12">
        <f>IF(OR($D416="",$G416=0),"",ROUND($F416*INDEX('01人员工时'!I$7:I$126,INT((ROW()-7)/4)+1)/$G416,2))</f>
        <v/>
      </c>
      <c r="N416" s="12">
        <f>IF(OR($D416="",$G416=0),"",ROUND($F416*INDEX('01人员工时'!J$7:J$126,INT((ROW()-7)/4)+1)/$G416,2))</f>
        <v/>
      </c>
      <c r="O416" s="12">
        <f>IF(OR($D416="",$G416=0),"",ROUND($F416*INDEX('01人员工时'!K$7:K$126,INT((ROW()-7)/4)+1)/$G416,2))</f>
        <v/>
      </c>
      <c r="P416" s="12">
        <f>IF(OR($D416="",$G416=0),"",ROUND($F416*INDEX('01人员工时'!L$7:L$126,INT((ROW()-7)/4)+1)/$G416,2))</f>
        <v/>
      </c>
      <c r="Q416" s="12">
        <f>IF(OR($D416="",$G416=0),"",ROUND($F416*INDEX('01人员工时'!M$7:M$126,INT((ROW()-7)/4)+1)/$G416,2))</f>
        <v/>
      </c>
      <c r="R416" s="12">
        <f>IF(OR($D416="",$G416=0),"",ROUND($F416*INDEX('01人员工时'!N$7:N$126,INT((ROW()-7)/4)+1)/$G416,2))</f>
        <v/>
      </c>
      <c r="S416" s="12">
        <f>IF($D416="","",SUM(K416:R416))</f>
        <v/>
      </c>
      <c r="T416" s="12">
        <f>IF($D416="","",$J416+$S416)</f>
        <v/>
      </c>
      <c r="U416" s="25">
        <f>IF($D416="","",IF($F416=0,"未维护标准",IF(ROUND($T416-$F416,2)=0,"√","差异")))</f>
        <v/>
      </c>
      <c r="V416" s="11" t="n"/>
      <c r="W416" s="9" t="n"/>
    </row>
    <row r="417" ht="18" customHeight="1">
      <c r="B417" s="21">
        <f>IF(INDEX('01人员工时'!$D$7:$D$126,INT((ROW()-7)/4)+1)&amp;""="","",INDEX('01人员工时'!$B$7:$B$126,INT((ROW()-7)/4)+1))</f>
        <v/>
      </c>
      <c r="C417" s="22">
        <f>IF($D417="","",IF(MOD(ROW()-7,4)=0,INDEX('01人员工时'!$C$7:$C$126,INT((ROW()-7)/4)+1),""))</f>
        <v/>
      </c>
      <c r="D417" s="22">
        <f>IF(INDEX('01人员工时'!$D$7:$D$126,INT((ROW()-7)/4)+1)&amp;""="","",INDEX('01人员工时'!$D$7:$D$126,INT((ROW()-7)/4)+1))</f>
        <v/>
      </c>
      <c r="E417" s="22">
        <f>IF($D417="","",INDEX('参数设置'!$K$6:$K$9,MOD(ROW()-7,4)+1))</f>
        <v/>
      </c>
      <c r="F417" s="23">
        <f>IF($D417="","",IF($V417&lt;&gt;"",$V417,IFERROR(INDEX('参数设置'!$D$17:$G$26,MATCH($D417,'参数设置'!$C$17:$C$26,0),MATCH($E417,'参数设置'!$D$16:$G$16,0)),0)))</f>
        <v/>
      </c>
      <c r="G417" s="24">
        <f>IF($D417="","",INDEX('01人员工时'!$E$7:$E$126,INT((ROW()-7)/4)+1))</f>
        <v/>
      </c>
      <c r="H417" s="24">
        <f>IF($D417="","",INDEX('01人员工时'!$O$7:$O$126,INT((ROW()-7)/4)+1))</f>
        <v/>
      </c>
      <c r="I417" s="20">
        <f>IF(OR($D417="",$G417=0),"",$H417/$G417)</f>
        <v/>
      </c>
      <c r="J417" s="12">
        <f>IF($D417="","",ROUND($F417,2)-$S417)</f>
        <v/>
      </c>
      <c r="K417" s="12">
        <f>IF(OR($D417="",$G417=0),"",ROUND($F417*INDEX('01人员工时'!G$7:G$126,INT((ROW()-7)/4)+1)/$G417,2))</f>
        <v/>
      </c>
      <c r="L417" s="12">
        <f>IF(OR($D417="",$G417=0),"",ROUND($F417*INDEX('01人员工时'!H$7:H$126,INT((ROW()-7)/4)+1)/$G417,2))</f>
        <v/>
      </c>
      <c r="M417" s="12">
        <f>IF(OR($D417="",$G417=0),"",ROUND($F417*INDEX('01人员工时'!I$7:I$126,INT((ROW()-7)/4)+1)/$G417,2))</f>
        <v/>
      </c>
      <c r="N417" s="12">
        <f>IF(OR($D417="",$G417=0),"",ROUND($F417*INDEX('01人员工时'!J$7:J$126,INT((ROW()-7)/4)+1)/$G417,2))</f>
        <v/>
      </c>
      <c r="O417" s="12">
        <f>IF(OR($D417="",$G417=0),"",ROUND($F417*INDEX('01人员工时'!K$7:K$126,INT((ROW()-7)/4)+1)/$G417,2))</f>
        <v/>
      </c>
      <c r="P417" s="12">
        <f>IF(OR($D417="",$G417=0),"",ROUND($F417*INDEX('01人员工时'!L$7:L$126,INT((ROW()-7)/4)+1)/$G417,2))</f>
        <v/>
      </c>
      <c r="Q417" s="12">
        <f>IF(OR($D417="",$G417=0),"",ROUND($F417*INDEX('01人员工时'!M$7:M$126,INT((ROW()-7)/4)+1)/$G417,2))</f>
        <v/>
      </c>
      <c r="R417" s="12">
        <f>IF(OR($D417="",$G417=0),"",ROUND($F417*INDEX('01人员工时'!N$7:N$126,INT((ROW()-7)/4)+1)/$G417,2))</f>
        <v/>
      </c>
      <c r="S417" s="12">
        <f>IF($D417="","",SUM(K417:R417))</f>
        <v/>
      </c>
      <c r="T417" s="12">
        <f>IF($D417="","",$J417+$S417)</f>
        <v/>
      </c>
      <c r="U417" s="25">
        <f>IF($D417="","",IF($F417=0,"未维护标准",IF(ROUND($T417-$F417,2)=0,"√","差异")))</f>
        <v/>
      </c>
      <c r="V417" s="11" t="n"/>
      <c r="W417" s="9" t="n"/>
    </row>
    <row r="418" ht="18" customHeight="1">
      <c r="B418" s="26">
        <f>IF(INDEX('01人员工时'!$D$7:$D$126,INT((ROW()-7)/4)+1)&amp;""="","",INDEX('01人员工时'!$B$7:$B$126,INT((ROW()-7)/4)+1))</f>
        <v/>
      </c>
      <c r="C418" s="27">
        <f>IF($D418="","",IF(MOD(ROW()-7,4)=0,INDEX('01人员工时'!$C$7:$C$126,INT((ROW()-7)/4)+1),""))</f>
        <v/>
      </c>
      <c r="D418" s="27">
        <f>IF(INDEX('01人员工时'!$D$7:$D$126,INT((ROW()-7)/4)+1)&amp;""="","",INDEX('01人员工时'!$D$7:$D$126,INT((ROW()-7)/4)+1))</f>
        <v/>
      </c>
      <c r="E418" s="27">
        <f>IF($D418="","",INDEX('参数设置'!$K$6:$K$9,MOD(ROW()-7,4)+1))</f>
        <v/>
      </c>
      <c r="F418" s="28">
        <f>IF($D418="","",IF($V418&lt;&gt;"",$V418,IFERROR(INDEX('参数设置'!$D$17:$G$26,MATCH($D418,'参数设置'!$C$17:$C$26,0),MATCH($E418,'参数设置'!$D$16:$G$16,0)),0)))</f>
        <v/>
      </c>
      <c r="G418" s="29">
        <f>IF($D418="","",INDEX('01人员工时'!$E$7:$E$126,INT((ROW()-7)/4)+1))</f>
        <v/>
      </c>
      <c r="H418" s="29">
        <f>IF($D418="","",INDEX('01人员工时'!$O$7:$O$126,INT((ROW()-7)/4)+1))</f>
        <v/>
      </c>
      <c r="I418" s="30">
        <f>IF(OR($D418="",$G418=0),"",$H418/$G418)</f>
        <v/>
      </c>
      <c r="J418" s="31">
        <f>IF($D418="","",ROUND($F418,2)-$S418)</f>
        <v/>
      </c>
      <c r="K418" s="31">
        <f>IF(OR($D418="",$G418=0),"",ROUND($F418*INDEX('01人员工时'!G$7:G$126,INT((ROW()-7)/4)+1)/$G418,2))</f>
        <v/>
      </c>
      <c r="L418" s="31">
        <f>IF(OR($D418="",$G418=0),"",ROUND($F418*INDEX('01人员工时'!H$7:H$126,INT((ROW()-7)/4)+1)/$G418,2))</f>
        <v/>
      </c>
      <c r="M418" s="31">
        <f>IF(OR($D418="",$G418=0),"",ROUND($F418*INDEX('01人员工时'!I$7:I$126,INT((ROW()-7)/4)+1)/$G418,2))</f>
        <v/>
      </c>
      <c r="N418" s="31">
        <f>IF(OR($D418="",$G418=0),"",ROUND($F418*INDEX('01人员工时'!J$7:J$126,INT((ROW()-7)/4)+1)/$G418,2))</f>
        <v/>
      </c>
      <c r="O418" s="31">
        <f>IF(OR($D418="",$G418=0),"",ROUND($F418*INDEX('01人员工时'!K$7:K$126,INT((ROW()-7)/4)+1)/$G418,2))</f>
        <v/>
      </c>
      <c r="P418" s="31">
        <f>IF(OR($D418="",$G418=0),"",ROUND($F418*INDEX('01人员工时'!L$7:L$126,INT((ROW()-7)/4)+1)/$G418,2))</f>
        <v/>
      </c>
      <c r="Q418" s="31">
        <f>IF(OR($D418="",$G418=0),"",ROUND($F418*INDEX('01人员工时'!M$7:M$126,INT((ROW()-7)/4)+1)/$G418,2))</f>
        <v/>
      </c>
      <c r="R418" s="31">
        <f>IF(OR($D418="",$G418=0),"",ROUND($F418*INDEX('01人员工时'!N$7:N$126,INT((ROW()-7)/4)+1)/$G418,2))</f>
        <v/>
      </c>
      <c r="S418" s="31">
        <f>IF($D418="","",SUM(K418:R418))</f>
        <v/>
      </c>
      <c r="T418" s="31">
        <f>IF($D418="","",$J418+$S418)</f>
        <v/>
      </c>
      <c r="U418" s="32">
        <f>IF($D418="","",IF($F418=0,"未维护标准",IF(ROUND($T418-$F418,2)=0,"√","差异")))</f>
        <v/>
      </c>
      <c r="V418" s="33" t="n"/>
      <c r="W418" s="34" t="n"/>
    </row>
    <row r="419" ht="18" customHeight="1">
      <c r="B419" s="21">
        <f>IF(INDEX('01人员工时'!$D$7:$D$126,INT((ROW()-7)/4)+1)&amp;""="","",INDEX('01人员工时'!$B$7:$B$126,INT((ROW()-7)/4)+1))</f>
        <v/>
      </c>
      <c r="C419" s="22">
        <f>IF($D419="","",IF(MOD(ROW()-7,4)=0,INDEX('01人员工时'!$C$7:$C$126,INT((ROW()-7)/4)+1),""))</f>
        <v/>
      </c>
      <c r="D419" s="22">
        <f>IF(INDEX('01人员工时'!$D$7:$D$126,INT((ROW()-7)/4)+1)&amp;""="","",INDEX('01人员工时'!$D$7:$D$126,INT((ROW()-7)/4)+1))</f>
        <v/>
      </c>
      <c r="E419" s="22">
        <f>IF($D419="","",INDEX('参数设置'!$K$6:$K$9,MOD(ROW()-7,4)+1))</f>
        <v/>
      </c>
      <c r="F419" s="23">
        <f>IF($D419="","",IF($V419&lt;&gt;"",$V419,IFERROR(INDEX('参数设置'!$D$17:$G$26,MATCH($D419,'参数设置'!$C$17:$C$26,0),MATCH($E419,'参数设置'!$D$16:$G$16,0)),0)))</f>
        <v/>
      </c>
      <c r="G419" s="24">
        <f>IF($D419="","",INDEX('01人员工时'!$E$7:$E$126,INT((ROW()-7)/4)+1))</f>
        <v/>
      </c>
      <c r="H419" s="24">
        <f>IF($D419="","",INDEX('01人员工时'!$O$7:$O$126,INT((ROW()-7)/4)+1))</f>
        <v/>
      </c>
      <c r="I419" s="20">
        <f>IF(OR($D419="",$G419=0),"",$H419/$G419)</f>
        <v/>
      </c>
      <c r="J419" s="12">
        <f>IF($D419="","",ROUND($F419,2)-$S419)</f>
        <v/>
      </c>
      <c r="K419" s="12">
        <f>IF(OR($D419="",$G419=0),"",ROUND($F419*INDEX('01人员工时'!G$7:G$126,INT((ROW()-7)/4)+1)/$G419,2))</f>
        <v/>
      </c>
      <c r="L419" s="12">
        <f>IF(OR($D419="",$G419=0),"",ROUND($F419*INDEX('01人员工时'!H$7:H$126,INT((ROW()-7)/4)+1)/$G419,2))</f>
        <v/>
      </c>
      <c r="M419" s="12">
        <f>IF(OR($D419="",$G419=0),"",ROUND($F419*INDEX('01人员工时'!I$7:I$126,INT((ROW()-7)/4)+1)/$G419,2))</f>
        <v/>
      </c>
      <c r="N419" s="12">
        <f>IF(OR($D419="",$G419=0),"",ROUND($F419*INDEX('01人员工时'!J$7:J$126,INT((ROW()-7)/4)+1)/$G419,2))</f>
        <v/>
      </c>
      <c r="O419" s="12">
        <f>IF(OR($D419="",$G419=0),"",ROUND($F419*INDEX('01人员工时'!K$7:K$126,INT((ROW()-7)/4)+1)/$G419,2))</f>
        <v/>
      </c>
      <c r="P419" s="12">
        <f>IF(OR($D419="",$G419=0),"",ROUND($F419*INDEX('01人员工时'!L$7:L$126,INT((ROW()-7)/4)+1)/$G419,2))</f>
        <v/>
      </c>
      <c r="Q419" s="12">
        <f>IF(OR($D419="",$G419=0),"",ROUND($F419*INDEX('01人员工时'!M$7:M$126,INT((ROW()-7)/4)+1)/$G419,2))</f>
        <v/>
      </c>
      <c r="R419" s="12">
        <f>IF(OR($D419="",$G419=0),"",ROUND($F419*INDEX('01人员工时'!N$7:N$126,INT((ROW()-7)/4)+1)/$G419,2))</f>
        <v/>
      </c>
      <c r="S419" s="12">
        <f>IF($D419="","",SUM(K419:R419))</f>
        <v/>
      </c>
      <c r="T419" s="12">
        <f>IF($D419="","",$J419+$S419)</f>
        <v/>
      </c>
      <c r="U419" s="25">
        <f>IF($D419="","",IF($F419=0,"未维护标准",IF(ROUND($T419-$F419,2)=0,"√","差异")))</f>
        <v/>
      </c>
      <c r="V419" s="11" t="n"/>
      <c r="W419" s="9" t="n"/>
    </row>
    <row r="420" ht="18" customHeight="1">
      <c r="B420" s="21">
        <f>IF(INDEX('01人员工时'!$D$7:$D$126,INT((ROW()-7)/4)+1)&amp;""="","",INDEX('01人员工时'!$B$7:$B$126,INT((ROW()-7)/4)+1))</f>
        <v/>
      </c>
      <c r="C420" s="22">
        <f>IF($D420="","",IF(MOD(ROW()-7,4)=0,INDEX('01人员工时'!$C$7:$C$126,INT((ROW()-7)/4)+1),""))</f>
        <v/>
      </c>
      <c r="D420" s="22">
        <f>IF(INDEX('01人员工时'!$D$7:$D$126,INT((ROW()-7)/4)+1)&amp;""="","",INDEX('01人员工时'!$D$7:$D$126,INT((ROW()-7)/4)+1))</f>
        <v/>
      </c>
      <c r="E420" s="22">
        <f>IF($D420="","",INDEX('参数设置'!$K$6:$K$9,MOD(ROW()-7,4)+1))</f>
        <v/>
      </c>
      <c r="F420" s="23">
        <f>IF($D420="","",IF($V420&lt;&gt;"",$V420,IFERROR(INDEX('参数设置'!$D$17:$G$26,MATCH($D420,'参数设置'!$C$17:$C$26,0),MATCH($E420,'参数设置'!$D$16:$G$16,0)),0)))</f>
        <v/>
      </c>
      <c r="G420" s="24">
        <f>IF($D420="","",INDEX('01人员工时'!$E$7:$E$126,INT((ROW()-7)/4)+1))</f>
        <v/>
      </c>
      <c r="H420" s="24">
        <f>IF($D420="","",INDEX('01人员工时'!$O$7:$O$126,INT((ROW()-7)/4)+1))</f>
        <v/>
      </c>
      <c r="I420" s="20">
        <f>IF(OR($D420="",$G420=0),"",$H420/$G420)</f>
        <v/>
      </c>
      <c r="J420" s="12">
        <f>IF($D420="","",ROUND($F420,2)-$S420)</f>
        <v/>
      </c>
      <c r="K420" s="12">
        <f>IF(OR($D420="",$G420=0),"",ROUND($F420*INDEX('01人员工时'!G$7:G$126,INT((ROW()-7)/4)+1)/$G420,2))</f>
        <v/>
      </c>
      <c r="L420" s="12">
        <f>IF(OR($D420="",$G420=0),"",ROUND($F420*INDEX('01人员工时'!H$7:H$126,INT((ROW()-7)/4)+1)/$G420,2))</f>
        <v/>
      </c>
      <c r="M420" s="12">
        <f>IF(OR($D420="",$G420=0),"",ROUND($F420*INDEX('01人员工时'!I$7:I$126,INT((ROW()-7)/4)+1)/$G420,2))</f>
        <v/>
      </c>
      <c r="N420" s="12">
        <f>IF(OR($D420="",$G420=0),"",ROUND($F420*INDEX('01人员工时'!J$7:J$126,INT((ROW()-7)/4)+1)/$G420,2))</f>
        <v/>
      </c>
      <c r="O420" s="12">
        <f>IF(OR($D420="",$G420=0),"",ROUND($F420*INDEX('01人员工时'!K$7:K$126,INT((ROW()-7)/4)+1)/$G420,2))</f>
        <v/>
      </c>
      <c r="P420" s="12">
        <f>IF(OR($D420="",$G420=0),"",ROUND($F420*INDEX('01人员工时'!L$7:L$126,INT((ROW()-7)/4)+1)/$G420,2))</f>
        <v/>
      </c>
      <c r="Q420" s="12">
        <f>IF(OR($D420="",$G420=0),"",ROUND($F420*INDEX('01人员工时'!M$7:M$126,INT((ROW()-7)/4)+1)/$G420,2))</f>
        <v/>
      </c>
      <c r="R420" s="12">
        <f>IF(OR($D420="",$G420=0),"",ROUND($F420*INDEX('01人员工时'!N$7:N$126,INT((ROW()-7)/4)+1)/$G420,2))</f>
        <v/>
      </c>
      <c r="S420" s="12">
        <f>IF($D420="","",SUM(K420:R420))</f>
        <v/>
      </c>
      <c r="T420" s="12">
        <f>IF($D420="","",$J420+$S420)</f>
        <v/>
      </c>
      <c r="U420" s="25">
        <f>IF($D420="","",IF($F420=0,"未维护标准",IF(ROUND($T420-$F420,2)=0,"√","差异")))</f>
        <v/>
      </c>
      <c r="V420" s="11" t="n"/>
      <c r="W420" s="9" t="n"/>
    </row>
    <row r="421" ht="18" customHeight="1">
      <c r="B421" s="21">
        <f>IF(INDEX('01人员工时'!$D$7:$D$126,INT((ROW()-7)/4)+1)&amp;""="","",INDEX('01人员工时'!$B$7:$B$126,INT((ROW()-7)/4)+1))</f>
        <v/>
      </c>
      <c r="C421" s="22">
        <f>IF($D421="","",IF(MOD(ROW()-7,4)=0,INDEX('01人员工时'!$C$7:$C$126,INT((ROW()-7)/4)+1),""))</f>
        <v/>
      </c>
      <c r="D421" s="22">
        <f>IF(INDEX('01人员工时'!$D$7:$D$126,INT((ROW()-7)/4)+1)&amp;""="","",INDEX('01人员工时'!$D$7:$D$126,INT((ROW()-7)/4)+1))</f>
        <v/>
      </c>
      <c r="E421" s="22">
        <f>IF($D421="","",INDEX('参数设置'!$K$6:$K$9,MOD(ROW()-7,4)+1))</f>
        <v/>
      </c>
      <c r="F421" s="23">
        <f>IF($D421="","",IF($V421&lt;&gt;"",$V421,IFERROR(INDEX('参数设置'!$D$17:$G$26,MATCH($D421,'参数设置'!$C$17:$C$26,0),MATCH($E421,'参数设置'!$D$16:$G$16,0)),0)))</f>
        <v/>
      </c>
      <c r="G421" s="24">
        <f>IF($D421="","",INDEX('01人员工时'!$E$7:$E$126,INT((ROW()-7)/4)+1))</f>
        <v/>
      </c>
      <c r="H421" s="24">
        <f>IF($D421="","",INDEX('01人员工时'!$O$7:$O$126,INT((ROW()-7)/4)+1))</f>
        <v/>
      </c>
      <c r="I421" s="20">
        <f>IF(OR($D421="",$G421=0),"",$H421/$G421)</f>
        <v/>
      </c>
      <c r="J421" s="12">
        <f>IF($D421="","",ROUND($F421,2)-$S421)</f>
        <v/>
      </c>
      <c r="K421" s="12">
        <f>IF(OR($D421="",$G421=0),"",ROUND($F421*INDEX('01人员工时'!G$7:G$126,INT((ROW()-7)/4)+1)/$G421,2))</f>
        <v/>
      </c>
      <c r="L421" s="12">
        <f>IF(OR($D421="",$G421=0),"",ROUND($F421*INDEX('01人员工时'!H$7:H$126,INT((ROW()-7)/4)+1)/$G421,2))</f>
        <v/>
      </c>
      <c r="M421" s="12">
        <f>IF(OR($D421="",$G421=0),"",ROUND($F421*INDEX('01人员工时'!I$7:I$126,INT((ROW()-7)/4)+1)/$G421,2))</f>
        <v/>
      </c>
      <c r="N421" s="12">
        <f>IF(OR($D421="",$G421=0),"",ROUND($F421*INDEX('01人员工时'!J$7:J$126,INT((ROW()-7)/4)+1)/$G421,2))</f>
        <v/>
      </c>
      <c r="O421" s="12">
        <f>IF(OR($D421="",$G421=0),"",ROUND($F421*INDEX('01人员工时'!K$7:K$126,INT((ROW()-7)/4)+1)/$G421,2))</f>
        <v/>
      </c>
      <c r="P421" s="12">
        <f>IF(OR($D421="",$G421=0),"",ROUND($F421*INDEX('01人员工时'!L$7:L$126,INT((ROW()-7)/4)+1)/$G421,2))</f>
        <v/>
      </c>
      <c r="Q421" s="12">
        <f>IF(OR($D421="",$G421=0),"",ROUND($F421*INDEX('01人员工时'!M$7:M$126,INT((ROW()-7)/4)+1)/$G421,2))</f>
        <v/>
      </c>
      <c r="R421" s="12">
        <f>IF(OR($D421="",$G421=0),"",ROUND($F421*INDEX('01人员工时'!N$7:N$126,INT((ROW()-7)/4)+1)/$G421,2))</f>
        <v/>
      </c>
      <c r="S421" s="12">
        <f>IF($D421="","",SUM(K421:R421))</f>
        <v/>
      </c>
      <c r="T421" s="12">
        <f>IF($D421="","",$J421+$S421)</f>
        <v/>
      </c>
      <c r="U421" s="25">
        <f>IF($D421="","",IF($F421=0,"未维护标准",IF(ROUND($T421-$F421,2)=0,"√","差异")))</f>
        <v/>
      </c>
      <c r="V421" s="11" t="n"/>
      <c r="W421" s="9" t="n"/>
    </row>
    <row r="422" ht="18" customHeight="1">
      <c r="B422" s="26">
        <f>IF(INDEX('01人员工时'!$D$7:$D$126,INT((ROW()-7)/4)+1)&amp;""="","",INDEX('01人员工时'!$B$7:$B$126,INT((ROW()-7)/4)+1))</f>
        <v/>
      </c>
      <c r="C422" s="27">
        <f>IF($D422="","",IF(MOD(ROW()-7,4)=0,INDEX('01人员工时'!$C$7:$C$126,INT((ROW()-7)/4)+1),""))</f>
        <v/>
      </c>
      <c r="D422" s="27">
        <f>IF(INDEX('01人员工时'!$D$7:$D$126,INT((ROW()-7)/4)+1)&amp;""="","",INDEX('01人员工时'!$D$7:$D$126,INT((ROW()-7)/4)+1))</f>
        <v/>
      </c>
      <c r="E422" s="27">
        <f>IF($D422="","",INDEX('参数设置'!$K$6:$K$9,MOD(ROW()-7,4)+1))</f>
        <v/>
      </c>
      <c r="F422" s="28">
        <f>IF($D422="","",IF($V422&lt;&gt;"",$V422,IFERROR(INDEX('参数设置'!$D$17:$G$26,MATCH($D422,'参数设置'!$C$17:$C$26,0),MATCH($E422,'参数设置'!$D$16:$G$16,0)),0)))</f>
        <v/>
      </c>
      <c r="G422" s="29">
        <f>IF($D422="","",INDEX('01人员工时'!$E$7:$E$126,INT((ROW()-7)/4)+1))</f>
        <v/>
      </c>
      <c r="H422" s="29">
        <f>IF($D422="","",INDEX('01人员工时'!$O$7:$O$126,INT((ROW()-7)/4)+1))</f>
        <v/>
      </c>
      <c r="I422" s="30">
        <f>IF(OR($D422="",$G422=0),"",$H422/$G422)</f>
        <v/>
      </c>
      <c r="J422" s="31">
        <f>IF($D422="","",ROUND($F422,2)-$S422)</f>
        <v/>
      </c>
      <c r="K422" s="31">
        <f>IF(OR($D422="",$G422=0),"",ROUND($F422*INDEX('01人员工时'!G$7:G$126,INT((ROW()-7)/4)+1)/$G422,2))</f>
        <v/>
      </c>
      <c r="L422" s="31">
        <f>IF(OR($D422="",$G422=0),"",ROUND($F422*INDEX('01人员工时'!H$7:H$126,INT((ROW()-7)/4)+1)/$G422,2))</f>
        <v/>
      </c>
      <c r="M422" s="31">
        <f>IF(OR($D422="",$G422=0),"",ROUND($F422*INDEX('01人员工时'!I$7:I$126,INT((ROW()-7)/4)+1)/$G422,2))</f>
        <v/>
      </c>
      <c r="N422" s="31">
        <f>IF(OR($D422="",$G422=0),"",ROUND($F422*INDEX('01人员工时'!J$7:J$126,INT((ROW()-7)/4)+1)/$G422,2))</f>
        <v/>
      </c>
      <c r="O422" s="31">
        <f>IF(OR($D422="",$G422=0),"",ROUND($F422*INDEX('01人员工时'!K$7:K$126,INT((ROW()-7)/4)+1)/$G422,2))</f>
        <v/>
      </c>
      <c r="P422" s="31">
        <f>IF(OR($D422="",$G422=0),"",ROUND($F422*INDEX('01人员工时'!L$7:L$126,INT((ROW()-7)/4)+1)/$G422,2))</f>
        <v/>
      </c>
      <c r="Q422" s="31">
        <f>IF(OR($D422="",$G422=0),"",ROUND($F422*INDEX('01人员工时'!M$7:M$126,INT((ROW()-7)/4)+1)/$G422,2))</f>
        <v/>
      </c>
      <c r="R422" s="31">
        <f>IF(OR($D422="",$G422=0),"",ROUND($F422*INDEX('01人员工时'!N$7:N$126,INT((ROW()-7)/4)+1)/$G422,2))</f>
        <v/>
      </c>
      <c r="S422" s="31">
        <f>IF($D422="","",SUM(K422:R422))</f>
        <v/>
      </c>
      <c r="T422" s="31">
        <f>IF($D422="","",$J422+$S422)</f>
        <v/>
      </c>
      <c r="U422" s="32">
        <f>IF($D422="","",IF($F422=0,"未维护标准",IF(ROUND($T422-$F422,2)=0,"√","差异")))</f>
        <v/>
      </c>
      <c r="V422" s="33" t="n"/>
      <c r="W422" s="34" t="n"/>
    </row>
    <row r="423" ht="18" customHeight="1">
      <c r="B423" s="21">
        <f>IF(INDEX('01人员工时'!$D$7:$D$126,INT((ROW()-7)/4)+1)&amp;""="","",INDEX('01人员工时'!$B$7:$B$126,INT((ROW()-7)/4)+1))</f>
        <v/>
      </c>
      <c r="C423" s="22">
        <f>IF($D423="","",IF(MOD(ROW()-7,4)=0,INDEX('01人员工时'!$C$7:$C$126,INT((ROW()-7)/4)+1),""))</f>
        <v/>
      </c>
      <c r="D423" s="22">
        <f>IF(INDEX('01人员工时'!$D$7:$D$126,INT((ROW()-7)/4)+1)&amp;""="","",INDEX('01人员工时'!$D$7:$D$126,INT((ROW()-7)/4)+1))</f>
        <v/>
      </c>
      <c r="E423" s="22">
        <f>IF($D423="","",INDEX('参数设置'!$K$6:$K$9,MOD(ROW()-7,4)+1))</f>
        <v/>
      </c>
      <c r="F423" s="23">
        <f>IF($D423="","",IF($V423&lt;&gt;"",$V423,IFERROR(INDEX('参数设置'!$D$17:$G$26,MATCH($D423,'参数设置'!$C$17:$C$26,0),MATCH($E423,'参数设置'!$D$16:$G$16,0)),0)))</f>
        <v/>
      </c>
      <c r="G423" s="24">
        <f>IF($D423="","",INDEX('01人员工时'!$E$7:$E$126,INT((ROW()-7)/4)+1))</f>
        <v/>
      </c>
      <c r="H423" s="24">
        <f>IF($D423="","",INDEX('01人员工时'!$O$7:$O$126,INT((ROW()-7)/4)+1))</f>
        <v/>
      </c>
      <c r="I423" s="20">
        <f>IF(OR($D423="",$G423=0),"",$H423/$G423)</f>
        <v/>
      </c>
      <c r="J423" s="12">
        <f>IF($D423="","",ROUND($F423,2)-$S423)</f>
        <v/>
      </c>
      <c r="K423" s="12">
        <f>IF(OR($D423="",$G423=0),"",ROUND($F423*INDEX('01人员工时'!G$7:G$126,INT((ROW()-7)/4)+1)/$G423,2))</f>
        <v/>
      </c>
      <c r="L423" s="12">
        <f>IF(OR($D423="",$G423=0),"",ROUND($F423*INDEX('01人员工时'!H$7:H$126,INT((ROW()-7)/4)+1)/$G423,2))</f>
        <v/>
      </c>
      <c r="M423" s="12">
        <f>IF(OR($D423="",$G423=0),"",ROUND($F423*INDEX('01人员工时'!I$7:I$126,INT((ROW()-7)/4)+1)/$G423,2))</f>
        <v/>
      </c>
      <c r="N423" s="12">
        <f>IF(OR($D423="",$G423=0),"",ROUND($F423*INDEX('01人员工时'!J$7:J$126,INT((ROW()-7)/4)+1)/$G423,2))</f>
        <v/>
      </c>
      <c r="O423" s="12">
        <f>IF(OR($D423="",$G423=0),"",ROUND($F423*INDEX('01人员工时'!K$7:K$126,INT((ROW()-7)/4)+1)/$G423,2))</f>
        <v/>
      </c>
      <c r="P423" s="12">
        <f>IF(OR($D423="",$G423=0),"",ROUND($F423*INDEX('01人员工时'!L$7:L$126,INT((ROW()-7)/4)+1)/$G423,2))</f>
        <v/>
      </c>
      <c r="Q423" s="12">
        <f>IF(OR($D423="",$G423=0),"",ROUND($F423*INDEX('01人员工时'!M$7:M$126,INT((ROW()-7)/4)+1)/$G423,2))</f>
        <v/>
      </c>
      <c r="R423" s="12">
        <f>IF(OR($D423="",$G423=0),"",ROUND($F423*INDEX('01人员工时'!N$7:N$126,INT((ROW()-7)/4)+1)/$G423,2))</f>
        <v/>
      </c>
      <c r="S423" s="12">
        <f>IF($D423="","",SUM(K423:R423))</f>
        <v/>
      </c>
      <c r="T423" s="12">
        <f>IF($D423="","",$J423+$S423)</f>
        <v/>
      </c>
      <c r="U423" s="25">
        <f>IF($D423="","",IF($F423=0,"未维护标准",IF(ROUND($T423-$F423,2)=0,"√","差异")))</f>
        <v/>
      </c>
      <c r="V423" s="11" t="n"/>
      <c r="W423" s="9" t="n"/>
    </row>
    <row r="424" ht="18" customHeight="1">
      <c r="B424" s="21">
        <f>IF(INDEX('01人员工时'!$D$7:$D$126,INT((ROW()-7)/4)+1)&amp;""="","",INDEX('01人员工时'!$B$7:$B$126,INT((ROW()-7)/4)+1))</f>
        <v/>
      </c>
      <c r="C424" s="22">
        <f>IF($D424="","",IF(MOD(ROW()-7,4)=0,INDEX('01人员工时'!$C$7:$C$126,INT((ROW()-7)/4)+1),""))</f>
        <v/>
      </c>
      <c r="D424" s="22">
        <f>IF(INDEX('01人员工时'!$D$7:$D$126,INT((ROW()-7)/4)+1)&amp;""="","",INDEX('01人员工时'!$D$7:$D$126,INT((ROW()-7)/4)+1))</f>
        <v/>
      </c>
      <c r="E424" s="22">
        <f>IF($D424="","",INDEX('参数设置'!$K$6:$K$9,MOD(ROW()-7,4)+1))</f>
        <v/>
      </c>
      <c r="F424" s="23">
        <f>IF($D424="","",IF($V424&lt;&gt;"",$V424,IFERROR(INDEX('参数设置'!$D$17:$G$26,MATCH($D424,'参数设置'!$C$17:$C$26,0),MATCH($E424,'参数设置'!$D$16:$G$16,0)),0)))</f>
        <v/>
      </c>
      <c r="G424" s="24">
        <f>IF($D424="","",INDEX('01人员工时'!$E$7:$E$126,INT((ROW()-7)/4)+1))</f>
        <v/>
      </c>
      <c r="H424" s="24">
        <f>IF($D424="","",INDEX('01人员工时'!$O$7:$O$126,INT((ROW()-7)/4)+1))</f>
        <v/>
      </c>
      <c r="I424" s="20">
        <f>IF(OR($D424="",$G424=0),"",$H424/$G424)</f>
        <v/>
      </c>
      <c r="J424" s="12">
        <f>IF($D424="","",ROUND($F424,2)-$S424)</f>
        <v/>
      </c>
      <c r="K424" s="12">
        <f>IF(OR($D424="",$G424=0),"",ROUND($F424*INDEX('01人员工时'!G$7:G$126,INT((ROW()-7)/4)+1)/$G424,2))</f>
        <v/>
      </c>
      <c r="L424" s="12">
        <f>IF(OR($D424="",$G424=0),"",ROUND($F424*INDEX('01人员工时'!H$7:H$126,INT((ROW()-7)/4)+1)/$G424,2))</f>
        <v/>
      </c>
      <c r="M424" s="12">
        <f>IF(OR($D424="",$G424=0),"",ROUND($F424*INDEX('01人员工时'!I$7:I$126,INT((ROW()-7)/4)+1)/$G424,2))</f>
        <v/>
      </c>
      <c r="N424" s="12">
        <f>IF(OR($D424="",$G424=0),"",ROUND($F424*INDEX('01人员工时'!J$7:J$126,INT((ROW()-7)/4)+1)/$G424,2))</f>
        <v/>
      </c>
      <c r="O424" s="12">
        <f>IF(OR($D424="",$G424=0),"",ROUND($F424*INDEX('01人员工时'!K$7:K$126,INT((ROW()-7)/4)+1)/$G424,2))</f>
        <v/>
      </c>
      <c r="P424" s="12">
        <f>IF(OR($D424="",$G424=0),"",ROUND($F424*INDEX('01人员工时'!L$7:L$126,INT((ROW()-7)/4)+1)/$G424,2))</f>
        <v/>
      </c>
      <c r="Q424" s="12">
        <f>IF(OR($D424="",$G424=0),"",ROUND($F424*INDEX('01人员工时'!M$7:M$126,INT((ROW()-7)/4)+1)/$G424,2))</f>
        <v/>
      </c>
      <c r="R424" s="12">
        <f>IF(OR($D424="",$G424=0),"",ROUND($F424*INDEX('01人员工时'!N$7:N$126,INT((ROW()-7)/4)+1)/$G424,2))</f>
        <v/>
      </c>
      <c r="S424" s="12">
        <f>IF($D424="","",SUM(K424:R424))</f>
        <v/>
      </c>
      <c r="T424" s="12">
        <f>IF($D424="","",$J424+$S424)</f>
        <v/>
      </c>
      <c r="U424" s="25">
        <f>IF($D424="","",IF($F424=0,"未维护标准",IF(ROUND($T424-$F424,2)=0,"√","差异")))</f>
        <v/>
      </c>
      <c r="V424" s="11" t="n"/>
      <c r="W424" s="9" t="n"/>
    </row>
    <row r="425" ht="18" customHeight="1">
      <c r="B425" s="21">
        <f>IF(INDEX('01人员工时'!$D$7:$D$126,INT((ROW()-7)/4)+1)&amp;""="","",INDEX('01人员工时'!$B$7:$B$126,INT((ROW()-7)/4)+1))</f>
        <v/>
      </c>
      <c r="C425" s="22">
        <f>IF($D425="","",IF(MOD(ROW()-7,4)=0,INDEX('01人员工时'!$C$7:$C$126,INT((ROW()-7)/4)+1),""))</f>
        <v/>
      </c>
      <c r="D425" s="22">
        <f>IF(INDEX('01人员工时'!$D$7:$D$126,INT((ROW()-7)/4)+1)&amp;""="","",INDEX('01人员工时'!$D$7:$D$126,INT((ROW()-7)/4)+1))</f>
        <v/>
      </c>
      <c r="E425" s="22">
        <f>IF($D425="","",INDEX('参数设置'!$K$6:$K$9,MOD(ROW()-7,4)+1))</f>
        <v/>
      </c>
      <c r="F425" s="23">
        <f>IF($D425="","",IF($V425&lt;&gt;"",$V425,IFERROR(INDEX('参数设置'!$D$17:$G$26,MATCH($D425,'参数设置'!$C$17:$C$26,0),MATCH($E425,'参数设置'!$D$16:$G$16,0)),0)))</f>
        <v/>
      </c>
      <c r="G425" s="24">
        <f>IF($D425="","",INDEX('01人员工时'!$E$7:$E$126,INT((ROW()-7)/4)+1))</f>
        <v/>
      </c>
      <c r="H425" s="24">
        <f>IF($D425="","",INDEX('01人员工时'!$O$7:$O$126,INT((ROW()-7)/4)+1))</f>
        <v/>
      </c>
      <c r="I425" s="20">
        <f>IF(OR($D425="",$G425=0),"",$H425/$G425)</f>
        <v/>
      </c>
      <c r="J425" s="12">
        <f>IF($D425="","",ROUND($F425,2)-$S425)</f>
        <v/>
      </c>
      <c r="K425" s="12">
        <f>IF(OR($D425="",$G425=0),"",ROUND($F425*INDEX('01人员工时'!G$7:G$126,INT((ROW()-7)/4)+1)/$G425,2))</f>
        <v/>
      </c>
      <c r="L425" s="12">
        <f>IF(OR($D425="",$G425=0),"",ROUND($F425*INDEX('01人员工时'!H$7:H$126,INT((ROW()-7)/4)+1)/$G425,2))</f>
        <v/>
      </c>
      <c r="M425" s="12">
        <f>IF(OR($D425="",$G425=0),"",ROUND($F425*INDEX('01人员工时'!I$7:I$126,INT((ROW()-7)/4)+1)/$G425,2))</f>
        <v/>
      </c>
      <c r="N425" s="12">
        <f>IF(OR($D425="",$G425=0),"",ROUND($F425*INDEX('01人员工时'!J$7:J$126,INT((ROW()-7)/4)+1)/$G425,2))</f>
        <v/>
      </c>
      <c r="O425" s="12">
        <f>IF(OR($D425="",$G425=0),"",ROUND($F425*INDEX('01人员工时'!K$7:K$126,INT((ROW()-7)/4)+1)/$G425,2))</f>
        <v/>
      </c>
      <c r="P425" s="12">
        <f>IF(OR($D425="",$G425=0),"",ROUND($F425*INDEX('01人员工时'!L$7:L$126,INT((ROW()-7)/4)+1)/$G425,2))</f>
        <v/>
      </c>
      <c r="Q425" s="12">
        <f>IF(OR($D425="",$G425=0),"",ROUND($F425*INDEX('01人员工时'!M$7:M$126,INT((ROW()-7)/4)+1)/$G425,2))</f>
        <v/>
      </c>
      <c r="R425" s="12">
        <f>IF(OR($D425="",$G425=0),"",ROUND($F425*INDEX('01人员工时'!N$7:N$126,INT((ROW()-7)/4)+1)/$G425,2))</f>
        <v/>
      </c>
      <c r="S425" s="12">
        <f>IF($D425="","",SUM(K425:R425))</f>
        <v/>
      </c>
      <c r="T425" s="12">
        <f>IF($D425="","",$J425+$S425)</f>
        <v/>
      </c>
      <c r="U425" s="25">
        <f>IF($D425="","",IF($F425=0,"未维护标准",IF(ROUND($T425-$F425,2)=0,"√","差异")))</f>
        <v/>
      </c>
      <c r="V425" s="11" t="n"/>
      <c r="W425" s="9" t="n"/>
    </row>
    <row r="426" ht="18" customHeight="1">
      <c r="B426" s="26">
        <f>IF(INDEX('01人员工时'!$D$7:$D$126,INT((ROW()-7)/4)+1)&amp;""="","",INDEX('01人员工时'!$B$7:$B$126,INT((ROW()-7)/4)+1))</f>
        <v/>
      </c>
      <c r="C426" s="27">
        <f>IF($D426="","",IF(MOD(ROW()-7,4)=0,INDEX('01人员工时'!$C$7:$C$126,INT((ROW()-7)/4)+1),""))</f>
        <v/>
      </c>
      <c r="D426" s="27">
        <f>IF(INDEX('01人员工时'!$D$7:$D$126,INT((ROW()-7)/4)+1)&amp;""="","",INDEX('01人员工时'!$D$7:$D$126,INT((ROW()-7)/4)+1))</f>
        <v/>
      </c>
      <c r="E426" s="27">
        <f>IF($D426="","",INDEX('参数设置'!$K$6:$K$9,MOD(ROW()-7,4)+1))</f>
        <v/>
      </c>
      <c r="F426" s="28">
        <f>IF($D426="","",IF($V426&lt;&gt;"",$V426,IFERROR(INDEX('参数设置'!$D$17:$G$26,MATCH($D426,'参数设置'!$C$17:$C$26,0),MATCH($E426,'参数设置'!$D$16:$G$16,0)),0)))</f>
        <v/>
      </c>
      <c r="G426" s="29">
        <f>IF($D426="","",INDEX('01人员工时'!$E$7:$E$126,INT((ROW()-7)/4)+1))</f>
        <v/>
      </c>
      <c r="H426" s="29">
        <f>IF($D426="","",INDEX('01人员工时'!$O$7:$O$126,INT((ROW()-7)/4)+1))</f>
        <v/>
      </c>
      <c r="I426" s="30">
        <f>IF(OR($D426="",$G426=0),"",$H426/$G426)</f>
        <v/>
      </c>
      <c r="J426" s="31">
        <f>IF($D426="","",ROUND($F426,2)-$S426)</f>
        <v/>
      </c>
      <c r="K426" s="31">
        <f>IF(OR($D426="",$G426=0),"",ROUND($F426*INDEX('01人员工时'!G$7:G$126,INT((ROW()-7)/4)+1)/$G426,2))</f>
        <v/>
      </c>
      <c r="L426" s="31">
        <f>IF(OR($D426="",$G426=0),"",ROUND($F426*INDEX('01人员工时'!H$7:H$126,INT((ROW()-7)/4)+1)/$G426,2))</f>
        <v/>
      </c>
      <c r="M426" s="31">
        <f>IF(OR($D426="",$G426=0),"",ROUND($F426*INDEX('01人员工时'!I$7:I$126,INT((ROW()-7)/4)+1)/$G426,2))</f>
        <v/>
      </c>
      <c r="N426" s="31">
        <f>IF(OR($D426="",$G426=0),"",ROUND($F426*INDEX('01人员工时'!J$7:J$126,INT((ROW()-7)/4)+1)/$G426,2))</f>
        <v/>
      </c>
      <c r="O426" s="31">
        <f>IF(OR($D426="",$G426=0),"",ROUND($F426*INDEX('01人员工时'!K$7:K$126,INT((ROW()-7)/4)+1)/$G426,2))</f>
        <v/>
      </c>
      <c r="P426" s="31">
        <f>IF(OR($D426="",$G426=0),"",ROUND($F426*INDEX('01人员工时'!L$7:L$126,INT((ROW()-7)/4)+1)/$G426,2))</f>
        <v/>
      </c>
      <c r="Q426" s="31">
        <f>IF(OR($D426="",$G426=0),"",ROUND($F426*INDEX('01人员工时'!M$7:M$126,INT((ROW()-7)/4)+1)/$G426,2))</f>
        <v/>
      </c>
      <c r="R426" s="31">
        <f>IF(OR($D426="",$G426=0),"",ROUND($F426*INDEX('01人员工时'!N$7:N$126,INT((ROW()-7)/4)+1)/$G426,2))</f>
        <v/>
      </c>
      <c r="S426" s="31">
        <f>IF($D426="","",SUM(K426:R426))</f>
        <v/>
      </c>
      <c r="T426" s="31">
        <f>IF($D426="","",$J426+$S426)</f>
        <v/>
      </c>
      <c r="U426" s="32">
        <f>IF($D426="","",IF($F426=0,"未维护标准",IF(ROUND($T426-$F426,2)=0,"√","差异")))</f>
        <v/>
      </c>
      <c r="V426" s="33" t="n"/>
      <c r="W426" s="34" t="n"/>
    </row>
    <row r="427" ht="18" customHeight="1">
      <c r="B427" s="21">
        <f>IF(INDEX('01人员工时'!$D$7:$D$126,INT((ROW()-7)/4)+1)&amp;""="","",INDEX('01人员工时'!$B$7:$B$126,INT((ROW()-7)/4)+1))</f>
        <v/>
      </c>
      <c r="C427" s="22">
        <f>IF($D427="","",IF(MOD(ROW()-7,4)=0,INDEX('01人员工时'!$C$7:$C$126,INT((ROW()-7)/4)+1),""))</f>
        <v/>
      </c>
      <c r="D427" s="22">
        <f>IF(INDEX('01人员工时'!$D$7:$D$126,INT((ROW()-7)/4)+1)&amp;""="","",INDEX('01人员工时'!$D$7:$D$126,INT((ROW()-7)/4)+1))</f>
        <v/>
      </c>
      <c r="E427" s="22">
        <f>IF($D427="","",INDEX('参数设置'!$K$6:$K$9,MOD(ROW()-7,4)+1))</f>
        <v/>
      </c>
      <c r="F427" s="23">
        <f>IF($D427="","",IF($V427&lt;&gt;"",$V427,IFERROR(INDEX('参数设置'!$D$17:$G$26,MATCH($D427,'参数设置'!$C$17:$C$26,0),MATCH($E427,'参数设置'!$D$16:$G$16,0)),0)))</f>
        <v/>
      </c>
      <c r="G427" s="24">
        <f>IF($D427="","",INDEX('01人员工时'!$E$7:$E$126,INT((ROW()-7)/4)+1))</f>
        <v/>
      </c>
      <c r="H427" s="24">
        <f>IF($D427="","",INDEX('01人员工时'!$O$7:$O$126,INT((ROW()-7)/4)+1))</f>
        <v/>
      </c>
      <c r="I427" s="20">
        <f>IF(OR($D427="",$G427=0),"",$H427/$G427)</f>
        <v/>
      </c>
      <c r="J427" s="12">
        <f>IF($D427="","",ROUND($F427,2)-$S427)</f>
        <v/>
      </c>
      <c r="K427" s="12">
        <f>IF(OR($D427="",$G427=0),"",ROUND($F427*INDEX('01人员工时'!G$7:G$126,INT((ROW()-7)/4)+1)/$G427,2))</f>
        <v/>
      </c>
      <c r="L427" s="12">
        <f>IF(OR($D427="",$G427=0),"",ROUND($F427*INDEX('01人员工时'!H$7:H$126,INT((ROW()-7)/4)+1)/$G427,2))</f>
        <v/>
      </c>
      <c r="M427" s="12">
        <f>IF(OR($D427="",$G427=0),"",ROUND($F427*INDEX('01人员工时'!I$7:I$126,INT((ROW()-7)/4)+1)/$G427,2))</f>
        <v/>
      </c>
      <c r="N427" s="12">
        <f>IF(OR($D427="",$G427=0),"",ROUND($F427*INDEX('01人员工时'!J$7:J$126,INT((ROW()-7)/4)+1)/$G427,2))</f>
        <v/>
      </c>
      <c r="O427" s="12">
        <f>IF(OR($D427="",$G427=0),"",ROUND($F427*INDEX('01人员工时'!K$7:K$126,INT((ROW()-7)/4)+1)/$G427,2))</f>
        <v/>
      </c>
      <c r="P427" s="12">
        <f>IF(OR($D427="",$G427=0),"",ROUND($F427*INDEX('01人员工时'!L$7:L$126,INT((ROW()-7)/4)+1)/$G427,2))</f>
        <v/>
      </c>
      <c r="Q427" s="12">
        <f>IF(OR($D427="",$G427=0),"",ROUND($F427*INDEX('01人员工时'!M$7:M$126,INT((ROW()-7)/4)+1)/$G427,2))</f>
        <v/>
      </c>
      <c r="R427" s="12">
        <f>IF(OR($D427="",$G427=0),"",ROUND($F427*INDEX('01人员工时'!N$7:N$126,INT((ROW()-7)/4)+1)/$G427,2))</f>
        <v/>
      </c>
      <c r="S427" s="12">
        <f>IF($D427="","",SUM(K427:R427))</f>
        <v/>
      </c>
      <c r="T427" s="12">
        <f>IF($D427="","",$J427+$S427)</f>
        <v/>
      </c>
      <c r="U427" s="25">
        <f>IF($D427="","",IF($F427=0,"未维护标准",IF(ROUND($T427-$F427,2)=0,"√","差异")))</f>
        <v/>
      </c>
      <c r="V427" s="11" t="n"/>
      <c r="W427" s="9" t="n"/>
    </row>
    <row r="428" ht="18" customHeight="1">
      <c r="B428" s="21">
        <f>IF(INDEX('01人员工时'!$D$7:$D$126,INT((ROW()-7)/4)+1)&amp;""="","",INDEX('01人员工时'!$B$7:$B$126,INT((ROW()-7)/4)+1))</f>
        <v/>
      </c>
      <c r="C428" s="22">
        <f>IF($D428="","",IF(MOD(ROW()-7,4)=0,INDEX('01人员工时'!$C$7:$C$126,INT((ROW()-7)/4)+1),""))</f>
        <v/>
      </c>
      <c r="D428" s="22">
        <f>IF(INDEX('01人员工时'!$D$7:$D$126,INT((ROW()-7)/4)+1)&amp;""="","",INDEX('01人员工时'!$D$7:$D$126,INT((ROW()-7)/4)+1))</f>
        <v/>
      </c>
      <c r="E428" s="22">
        <f>IF($D428="","",INDEX('参数设置'!$K$6:$K$9,MOD(ROW()-7,4)+1))</f>
        <v/>
      </c>
      <c r="F428" s="23">
        <f>IF($D428="","",IF($V428&lt;&gt;"",$V428,IFERROR(INDEX('参数设置'!$D$17:$G$26,MATCH($D428,'参数设置'!$C$17:$C$26,0),MATCH($E428,'参数设置'!$D$16:$G$16,0)),0)))</f>
        <v/>
      </c>
      <c r="G428" s="24">
        <f>IF($D428="","",INDEX('01人员工时'!$E$7:$E$126,INT((ROW()-7)/4)+1))</f>
        <v/>
      </c>
      <c r="H428" s="24">
        <f>IF($D428="","",INDEX('01人员工时'!$O$7:$O$126,INT((ROW()-7)/4)+1))</f>
        <v/>
      </c>
      <c r="I428" s="20">
        <f>IF(OR($D428="",$G428=0),"",$H428/$G428)</f>
        <v/>
      </c>
      <c r="J428" s="12">
        <f>IF($D428="","",ROUND($F428,2)-$S428)</f>
        <v/>
      </c>
      <c r="K428" s="12">
        <f>IF(OR($D428="",$G428=0),"",ROUND($F428*INDEX('01人员工时'!G$7:G$126,INT((ROW()-7)/4)+1)/$G428,2))</f>
        <v/>
      </c>
      <c r="L428" s="12">
        <f>IF(OR($D428="",$G428=0),"",ROUND($F428*INDEX('01人员工时'!H$7:H$126,INT((ROW()-7)/4)+1)/$G428,2))</f>
        <v/>
      </c>
      <c r="M428" s="12">
        <f>IF(OR($D428="",$G428=0),"",ROUND($F428*INDEX('01人员工时'!I$7:I$126,INT((ROW()-7)/4)+1)/$G428,2))</f>
        <v/>
      </c>
      <c r="N428" s="12">
        <f>IF(OR($D428="",$G428=0),"",ROUND($F428*INDEX('01人员工时'!J$7:J$126,INT((ROW()-7)/4)+1)/$G428,2))</f>
        <v/>
      </c>
      <c r="O428" s="12">
        <f>IF(OR($D428="",$G428=0),"",ROUND($F428*INDEX('01人员工时'!K$7:K$126,INT((ROW()-7)/4)+1)/$G428,2))</f>
        <v/>
      </c>
      <c r="P428" s="12">
        <f>IF(OR($D428="",$G428=0),"",ROUND($F428*INDEX('01人员工时'!L$7:L$126,INT((ROW()-7)/4)+1)/$G428,2))</f>
        <v/>
      </c>
      <c r="Q428" s="12">
        <f>IF(OR($D428="",$G428=0),"",ROUND($F428*INDEX('01人员工时'!M$7:M$126,INT((ROW()-7)/4)+1)/$G428,2))</f>
        <v/>
      </c>
      <c r="R428" s="12">
        <f>IF(OR($D428="",$G428=0),"",ROUND($F428*INDEX('01人员工时'!N$7:N$126,INT((ROW()-7)/4)+1)/$G428,2))</f>
        <v/>
      </c>
      <c r="S428" s="12">
        <f>IF($D428="","",SUM(K428:R428))</f>
        <v/>
      </c>
      <c r="T428" s="12">
        <f>IF($D428="","",$J428+$S428)</f>
        <v/>
      </c>
      <c r="U428" s="25">
        <f>IF($D428="","",IF($F428=0,"未维护标准",IF(ROUND($T428-$F428,2)=0,"√","差异")))</f>
        <v/>
      </c>
      <c r="V428" s="11" t="n"/>
      <c r="W428" s="9" t="n"/>
    </row>
    <row r="429" ht="18" customHeight="1">
      <c r="B429" s="21">
        <f>IF(INDEX('01人员工时'!$D$7:$D$126,INT((ROW()-7)/4)+1)&amp;""="","",INDEX('01人员工时'!$B$7:$B$126,INT((ROW()-7)/4)+1))</f>
        <v/>
      </c>
      <c r="C429" s="22">
        <f>IF($D429="","",IF(MOD(ROW()-7,4)=0,INDEX('01人员工时'!$C$7:$C$126,INT((ROW()-7)/4)+1),""))</f>
        <v/>
      </c>
      <c r="D429" s="22">
        <f>IF(INDEX('01人员工时'!$D$7:$D$126,INT((ROW()-7)/4)+1)&amp;""="","",INDEX('01人员工时'!$D$7:$D$126,INT((ROW()-7)/4)+1))</f>
        <v/>
      </c>
      <c r="E429" s="22">
        <f>IF($D429="","",INDEX('参数设置'!$K$6:$K$9,MOD(ROW()-7,4)+1))</f>
        <v/>
      </c>
      <c r="F429" s="23">
        <f>IF($D429="","",IF($V429&lt;&gt;"",$V429,IFERROR(INDEX('参数设置'!$D$17:$G$26,MATCH($D429,'参数设置'!$C$17:$C$26,0),MATCH($E429,'参数设置'!$D$16:$G$16,0)),0)))</f>
        <v/>
      </c>
      <c r="G429" s="24">
        <f>IF($D429="","",INDEX('01人员工时'!$E$7:$E$126,INT((ROW()-7)/4)+1))</f>
        <v/>
      </c>
      <c r="H429" s="24">
        <f>IF($D429="","",INDEX('01人员工时'!$O$7:$O$126,INT((ROW()-7)/4)+1))</f>
        <v/>
      </c>
      <c r="I429" s="20">
        <f>IF(OR($D429="",$G429=0),"",$H429/$G429)</f>
        <v/>
      </c>
      <c r="J429" s="12">
        <f>IF($D429="","",ROUND($F429,2)-$S429)</f>
        <v/>
      </c>
      <c r="K429" s="12">
        <f>IF(OR($D429="",$G429=0),"",ROUND($F429*INDEX('01人员工时'!G$7:G$126,INT((ROW()-7)/4)+1)/$G429,2))</f>
        <v/>
      </c>
      <c r="L429" s="12">
        <f>IF(OR($D429="",$G429=0),"",ROUND($F429*INDEX('01人员工时'!H$7:H$126,INT((ROW()-7)/4)+1)/$G429,2))</f>
        <v/>
      </c>
      <c r="M429" s="12">
        <f>IF(OR($D429="",$G429=0),"",ROUND($F429*INDEX('01人员工时'!I$7:I$126,INT((ROW()-7)/4)+1)/$G429,2))</f>
        <v/>
      </c>
      <c r="N429" s="12">
        <f>IF(OR($D429="",$G429=0),"",ROUND($F429*INDEX('01人员工时'!J$7:J$126,INT((ROW()-7)/4)+1)/$G429,2))</f>
        <v/>
      </c>
      <c r="O429" s="12">
        <f>IF(OR($D429="",$G429=0),"",ROUND($F429*INDEX('01人员工时'!K$7:K$126,INT((ROW()-7)/4)+1)/$G429,2))</f>
        <v/>
      </c>
      <c r="P429" s="12">
        <f>IF(OR($D429="",$G429=0),"",ROUND($F429*INDEX('01人员工时'!L$7:L$126,INT((ROW()-7)/4)+1)/$G429,2))</f>
        <v/>
      </c>
      <c r="Q429" s="12">
        <f>IF(OR($D429="",$G429=0),"",ROUND($F429*INDEX('01人员工时'!M$7:M$126,INT((ROW()-7)/4)+1)/$G429,2))</f>
        <v/>
      </c>
      <c r="R429" s="12">
        <f>IF(OR($D429="",$G429=0),"",ROUND($F429*INDEX('01人员工时'!N$7:N$126,INT((ROW()-7)/4)+1)/$G429,2))</f>
        <v/>
      </c>
      <c r="S429" s="12">
        <f>IF($D429="","",SUM(K429:R429))</f>
        <v/>
      </c>
      <c r="T429" s="12">
        <f>IF($D429="","",$J429+$S429)</f>
        <v/>
      </c>
      <c r="U429" s="25">
        <f>IF($D429="","",IF($F429=0,"未维护标准",IF(ROUND($T429-$F429,2)=0,"√","差异")))</f>
        <v/>
      </c>
      <c r="V429" s="11" t="n"/>
      <c r="W429" s="9" t="n"/>
    </row>
    <row r="430" ht="18" customHeight="1">
      <c r="B430" s="26">
        <f>IF(INDEX('01人员工时'!$D$7:$D$126,INT((ROW()-7)/4)+1)&amp;""="","",INDEX('01人员工时'!$B$7:$B$126,INT((ROW()-7)/4)+1))</f>
        <v/>
      </c>
      <c r="C430" s="27">
        <f>IF($D430="","",IF(MOD(ROW()-7,4)=0,INDEX('01人员工时'!$C$7:$C$126,INT((ROW()-7)/4)+1),""))</f>
        <v/>
      </c>
      <c r="D430" s="27">
        <f>IF(INDEX('01人员工时'!$D$7:$D$126,INT((ROW()-7)/4)+1)&amp;""="","",INDEX('01人员工时'!$D$7:$D$126,INT((ROW()-7)/4)+1))</f>
        <v/>
      </c>
      <c r="E430" s="27">
        <f>IF($D430="","",INDEX('参数设置'!$K$6:$K$9,MOD(ROW()-7,4)+1))</f>
        <v/>
      </c>
      <c r="F430" s="28">
        <f>IF($D430="","",IF($V430&lt;&gt;"",$V430,IFERROR(INDEX('参数设置'!$D$17:$G$26,MATCH($D430,'参数设置'!$C$17:$C$26,0),MATCH($E430,'参数设置'!$D$16:$G$16,0)),0)))</f>
        <v/>
      </c>
      <c r="G430" s="29">
        <f>IF($D430="","",INDEX('01人员工时'!$E$7:$E$126,INT((ROW()-7)/4)+1))</f>
        <v/>
      </c>
      <c r="H430" s="29">
        <f>IF($D430="","",INDEX('01人员工时'!$O$7:$O$126,INT((ROW()-7)/4)+1))</f>
        <v/>
      </c>
      <c r="I430" s="30">
        <f>IF(OR($D430="",$G430=0),"",$H430/$G430)</f>
        <v/>
      </c>
      <c r="J430" s="31">
        <f>IF($D430="","",ROUND($F430,2)-$S430)</f>
        <v/>
      </c>
      <c r="K430" s="31">
        <f>IF(OR($D430="",$G430=0),"",ROUND($F430*INDEX('01人员工时'!G$7:G$126,INT((ROW()-7)/4)+1)/$G430,2))</f>
        <v/>
      </c>
      <c r="L430" s="31">
        <f>IF(OR($D430="",$G430=0),"",ROUND($F430*INDEX('01人员工时'!H$7:H$126,INT((ROW()-7)/4)+1)/$G430,2))</f>
        <v/>
      </c>
      <c r="M430" s="31">
        <f>IF(OR($D430="",$G430=0),"",ROUND($F430*INDEX('01人员工时'!I$7:I$126,INT((ROW()-7)/4)+1)/$G430,2))</f>
        <v/>
      </c>
      <c r="N430" s="31">
        <f>IF(OR($D430="",$G430=0),"",ROUND($F430*INDEX('01人员工时'!J$7:J$126,INT((ROW()-7)/4)+1)/$G430,2))</f>
        <v/>
      </c>
      <c r="O430" s="31">
        <f>IF(OR($D430="",$G430=0),"",ROUND($F430*INDEX('01人员工时'!K$7:K$126,INT((ROW()-7)/4)+1)/$G430,2))</f>
        <v/>
      </c>
      <c r="P430" s="31">
        <f>IF(OR($D430="",$G430=0),"",ROUND($F430*INDEX('01人员工时'!L$7:L$126,INT((ROW()-7)/4)+1)/$G430,2))</f>
        <v/>
      </c>
      <c r="Q430" s="31">
        <f>IF(OR($D430="",$G430=0),"",ROUND($F430*INDEX('01人员工时'!M$7:M$126,INT((ROW()-7)/4)+1)/$G430,2))</f>
        <v/>
      </c>
      <c r="R430" s="31">
        <f>IF(OR($D430="",$G430=0),"",ROUND($F430*INDEX('01人员工时'!N$7:N$126,INT((ROW()-7)/4)+1)/$G430,2))</f>
        <v/>
      </c>
      <c r="S430" s="31">
        <f>IF($D430="","",SUM(K430:R430))</f>
        <v/>
      </c>
      <c r="T430" s="31">
        <f>IF($D430="","",$J430+$S430)</f>
        <v/>
      </c>
      <c r="U430" s="32">
        <f>IF($D430="","",IF($F430=0,"未维护标准",IF(ROUND($T430-$F430,2)=0,"√","差异")))</f>
        <v/>
      </c>
      <c r="V430" s="33" t="n"/>
      <c r="W430" s="34" t="n"/>
    </row>
    <row r="431" ht="18" customHeight="1">
      <c r="B431" s="21">
        <f>IF(INDEX('01人员工时'!$D$7:$D$126,INT((ROW()-7)/4)+1)&amp;""="","",INDEX('01人员工时'!$B$7:$B$126,INT((ROW()-7)/4)+1))</f>
        <v/>
      </c>
      <c r="C431" s="22">
        <f>IF($D431="","",IF(MOD(ROW()-7,4)=0,INDEX('01人员工时'!$C$7:$C$126,INT((ROW()-7)/4)+1),""))</f>
        <v/>
      </c>
      <c r="D431" s="22">
        <f>IF(INDEX('01人员工时'!$D$7:$D$126,INT((ROW()-7)/4)+1)&amp;""="","",INDEX('01人员工时'!$D$7:$D$126,INT((ROW()-7)/4)+1))</f>
        <v/>
      </c>
      <c r="E431" s="22">
        <f>IF($D431="","",INDEX('参数设置'!$K$6:$K$9,MOD(ROW()-7,4)+1))</f>
        <v/>
      </c>
      <c r="F431" s="23">
        <f>IF($D431="","",IF($V431&lt;&gt;"",$V431,IFERROR(INDEX('参数设置'!$D$17:$G$26,MATCH($D431,'参数设置'!$C$17:$C$26,0),MATCH($E431,'参数设置'!$D$16:$G$16,0)),0)))</f>
        <v/>
      </c>
      <c r="G431" s="24">
        <f>IF($D431="","",INDEX('01人员工时'!$E$7:$E$126,INT((ROW()-7)/4)+1))</f>
        <v/>
      </c>
      <c r="H431" s="24">
        <f>IF($D431="","",INDEX('01人员工时'!$O$7:$O$126,INT((ROW()-7)/4)+1))</f>
        <v/>
      </c>
      <c r="I431" s="20">
        <f>IF(OR($D431="",$G431=0),"",$H431/$G431)</f>
        <v/>
      </c>
      <c r="J431" s="12">
        <f>IF($D431="","",ROUND($F431,2)-$S431)</f>
        <v/>
      </c>
      <c r="K431" s="12">
        <f>IF(OR($D431="",$G431=0),"",ROUND($F431*INDEX('01人员工时'!G$7:G$126,INT((ROW()-7)/4)+1)/$G431,2))</f>
        <v/>
      </c>
      <c r="L431" s="12">
        <f>IF(OR($D431="",$G431=0),"",ROUND($F431*INDEX('01人员工时'!H$7:H$126,INT((ROW()-7)/4)+1)/$G431,2))</f>
        <v/>
      </c>
      <c r="M431" s="12">
        <f>IF(OR($D431="",$G431=0),"",ROUND($F431*INDEX('01人员工时'!I$7:I$126,INT((ROW()-7)/4)+1)/$G431,2))</f>
        <v/>
      </c>
      <c r="N431" s="12">
        <f>IF(OR($D431="",$G431=0),"",ROUND($F431*INDEX('01人员工时'!J$7:J$126,INT((ROW()-7)/4)+1)/$G431,2))</f>
        <v/>
      </c>
      <c r="O431" s="12">
        <f>IF(OR($D431="",$G431=0),"",ROUND($F431*INDEX('01人员工时'!K$7:K$126,INT((ROW()-7)/4)+1)/$G431,2))</f>
        <v/>
      </c>
      <c r="P431" s="12">
        <f>IF(OR($D431="",$G431=0),"",ROUND($F431*INDEX('01人员工时'!L$7:L$126,INT((ROW()-7)/4)+1)/$G431,2))</f>
        <v/>
      </c>
      <c r="Q431" s="12">
        <f>IF(OR($D431="",$G431=0),"",ROUND($F431*INDEX('01人员工时'!M$7:M$126,INT((ROW()-7)/4)+1)/$G431,2))</f>
        <v/>
      </c>
      <c r="R431" s="12">
        <f>IF(OR($D431="",$G431=0),"",ROUND($F431*INDEX('01人员工时'!N$7:N$126,INT((ROW()-7)/4)+1)/$G431,2))</f>
        <v/>
      </c>
      <c r="S431" s="12">
        <f>IF($D431="","",SUM(K431:R431))</f>
        <v/>
      </c>
      <c r="T431" s="12">
        <f>IF($D431="","",$J431+$S431)</f>
        <v/>
      </c>
      <c r="U431" s="25">
        <f>IF($D431="","",IF($F431=0,"未维护标准",IF(ROUND($T431-$F431,2)=0,"√","差异")))</f>
        <v/>
      </c>
      <c r="V431" s="11" t="n"/>
      <c r="W431" s="9" t="n"/>
    </row>
    <row r="432" ht="18" customHeight="1">
      <c r="B432" s="21">
        <f>IF(INDEX('01人员工时'!$D$7:$D$126,INT((ROW()-7)/4)+1)&amp;""="","",INDEX('01人员工时'!$B$7:$B$126,INT((ROW()-7)/4)+1))</f>
        <v/>
      </c>
      <c r="C432" s="22">
        <f>IF($D432="","",IF(MOD(ROW()-7,4)=0,INDEX('01人员工时'!$C$7:$C$126,INT((ROW()-7)/4)+1),""))</f>
        <v/>
      </c>
      <c r="D432" s="22">
        <f>IF(INDEX('01人员工时'!$D$7:$D$126,INT((ROW()-7)/4)+1)&amp;""="","",INDEX('01人员工时'!$D$7:$D$126,INT((ROW()-7)/4)+1))</f>
        <v/>
      </c>
      <c r="E432" s="22">
        <f>IF($D432="","",INDEX('参数设置'!$K$6:$K$9,MOD(ROW()-7,4)+1))</f>
        <v/>
      </c>
      <c r="F432" s="23">
        <f>IF($D432="","",IF($V432&lt;&gt;"",$V432,IFERROR(INDEX('参数设置'!$D$17:$G$26,MATCH($D432,'参数设置'!$C$17:$C$26,0),MATCH($E432,'参数设置'!$D$16:$G$16,0)),0)))</f>
        <v/>
      </c>
      <c r="G432" s="24">
        <f>IF($D432="","",INDEX('01人员工时'!$E$7:$E$126,INT((ROW()-7)/4)+1))</f>
        <v/>
      </c>
      <c r="H432" s="24">
        <f>IF($D432="","",INDEX('01人员工时'!$O$7:$O$126,INT((ROW()-7)/4)+1))</f>
        <v/>
      </c>
      <c r="I432" s="20">
        <f>IF(OR($D432="",$G432=0),"",$H432/$G432)</f>
        <v/>
      </c>
      <c r="J432" s="12">
        <f>IF($D432="","",ROUND($F432,2)-$S432)</f>
        <v/>
      </c>
      <c r="K432" s="12">
        <f>IF(OR($D432="",$G432=0),"",ROUND($F432*INDEX('01人员工时'!G$7:G$126,INT((ROW()-7)/4)+1)/$G432,2))</f>
        <v/>
      </c>
      <c r="L432" s="12">
        <f>IF(OR($D432="",$G432=0),"",ROUND($F432*INDEX('01人员工时'!H$7:H$126,INT((ROW()-7)/4)+1)/$G432,2))</f>
        <v/>
      </c>
      <c r="M432" s="12">
        <f>IF(OR($D432="",$G432=0),"",ROUND($F432*INDEX('01人员工时'!I$7:I$126,INT((ROW()-7)/4)+1)/$G432,2))</f>
        <v/>
      </c>
      <c r="N432" s="12">
        <f>IF(OR($D432="",$G432=0),"",ROUND($F432*INDEX('01人员工时'!J$7:J$126,INT((ROW()-7)/4)+1)/$G432,2))</f>
        <v/>
      </c>
      <c r="O432" s="12">
        <f>IF(OR($D432="",$G432=0),"",ROUND($F432*INDEX('01人员工时'!K$7:K$126,INT((ROW()-7)/4)+1)/$G432,2))</f>
        <v/>
      </c>
      <c r="P432" s="12">
        <f>IF(OR($D432="",$G432=0),"",ROUND($F432*INDEX('01人员工时'!L$7:L$126,INT((ROW()-7)/4)+1)/$G432,2))</f>
        <v/>
      </c>
      <c r="Q432" s="12">
        <f>IF(OR($D432="",$G432=0),"",ROUND($F432*INDEX('01人员工时'!M$7:M$126,INT((ROW()-7)/4)+1)/$G432,2))</f>
        <v/>
      </c>
      <c r="R432" s="12">
        <f>IF(OR($D432="",$G432=0),"",ROUND($F432*INDEX('01人员工时'!N$7:N$126,INT((ROW()-7)/4)+1)/$G432,2))</f>
        <v/>
      </c>
      <c r="S432" s="12">
        <f>IF($D432="","",SUM(K432:R432))</f>
        <v/>
      </c>
      <c r="T432" s="12">
        <f>IF($D432="","",$J432+$S432)</f>
        <v/>
      </c>
      <c r="U432" s="25">
        <f>IF($D432="","",IF($F432=0,"未维护标准",IF(ROUND($T432-$F432,2)=0,"√","差异")))</f>
        <v/>
      </c>
      <c r="V432" s="11" t="n"/>
      <c r="W432" s="9" t="n"/>
    </row>
    <row r="433" ht="18" customHeight="1">
      <c r="B433" s="21">
        <f>IF(INDEX('01人员工时'!$D$7:$D$126,INT((ROW()-7)/4)+1)&amp;""="","",INDEX('01人员工时'!$B$7:$B$126,INT((ROW()-7)/4)+1))</f>
        <v/>
      </c>
      <c r="C433" s="22">
        <f>IF($D433="","",IF(MOD(ROW()-7,4)=0,INDEX('01人员工时'!$C$7:$C$126,INT((ROW()-7)/4)+1),""))</f>
        <v/>
      </c>
      <c r="D433" s="22">
        <f>IF(INDEX('01人员工时'!$D$7:$D$126,INT((ROW()-7)/4)+1)&amp;""="","",INDEX('01人员工时'!$D$7:$D$126,INT((ROW()-7)/4)+1))</f>
        <v/>
      </c>
      <c r="E433" s="22">
        <f>IF($D433="","",INDEX('参数设置'!$K$6:$K$9,MOD(ROW()-7,4)+1))</f>
        <v/>
      </c>
      <c r="F433" s="23">
        <f>IF($D433="","",IF($V433&lt;&gt;"",$V433,IFERROR(INDEX('参数设置'!$D$17:$G$26,MATCH($D433,'参数设置'!$C$17:$C$26,0),MATCH($E433,'参数设置'!$D$16:$G$16,0)),0)))</f>
        <v/>
      </c>
      <c r="G433" s="24">
        <f>IF($D433="","",INDEX('01人员工时'!$E$7:$E$126,INT((ROW()-7)/4)+1))</f>
        <v/>
      </c>
      <c r="H433" s="24">
        <f>IF($D433="","",INDEX('01人员工时'!$O$7:$O$126,INT((ROW()-7)/4)+1))</f>
        <v/>
      </c>
      <c r="I433" s="20">
        <f>IF(OR($D433="",$G433=0),"",$H433/$G433)</f>
        <v/>
      </c>
      <c r="J433" s="12">
        <f>IF($D433="","",ROUND($F433,2)-$S433)</f>
        <v/>
      </c>
      <c r="K433" s="12">
        <f>IF(OR($D433="",$G433=0),"",ROUND($F433*INDEX('01人员工时'!G$7:G$126,INT((ROW()-7)/4)+1)/$G433,2))</f>
        <v/>
      </c>
      <c r="L433" s="12">
        <f>IF(OR($D433="",$G433=0),"",ROUND($F433*INDEX('01人员工时'!H$7:H$126,INT((ROW()-7)/4)+1)/$G433,2))</f>
        <v/>
      </c>
      <c r="M433" s="12">
        <f>IF(OR($D433="",$G433=0),"",ROUND($F433*INDEX('01人员工时'!I$7:I$126,INT((ROW()-7)/4)+1)/$G433,2))</f>
        <v/>
      </c>
      <c r="N433" s="12">
        <f>IF(OR($D433="",$G433=0),"",ROUND($F433*INDEX('01人员工时'!J$7:J$126,INT((ROW()-7)/4)+1)/$G433,2))</f>
        <v/>
      </c>
      <c r="O433" s="12">
        <f>IF(OR($D433="",$G433=0),"",ROUND($F433*INDEX('01人员工时'!K$7:K$126,INT((ROW()-7)/4)+1)/$G433,2))</f>
        <v/>
      </c>
      <c r="P433" s="12">
        <f>IF(OR($D433="",$G433=0),"",ROUND($F433*INDEX('01人员工时'!L$7:L$126,INT((ROW()-7)/4)+1)/$G433,2))</f>
        <v/>
      </c>
      <c r="Q433" s="12">
        <f>IF(OR($D433="",$G433=0),"",ROUND($F433*INDEX('01人员工时'!M$7:M$126,INT((ROW()-7)/4)+1)/$G433,2))</f>
        <v/>
      </c>
      <c r="R433" s="12">
        <f>IF(OR($D433="",$G433=0),"",ROUND($F433*INDEX('01人员工时'!N$7:N$126,INT((ROW()-7)/4)+1)/$G433,2))</f>
        <v/>
      </c>
      <c r="S433" s="12">
        <f>IF($D433="","",SUM(K433:R433))</f>
        <v/>
      </c>
      <c r="T433" s="12">
        <f>IF($D433="","",$J433+$S433)</f>
        <v/>
      </c>
      <c r="U433" s="25">
        <f>IF($D433="","",IF($F433=0,"未维护标准",IF(ROUND($T433-$F433,2)=0,"√","差异")))</f>
        <v/>
      </c>
      <c r="V433" s="11" t="n"/>
      <c r="W433" s="9" t="n"/>
    </row>
    <row r="434" ht="18" customHeight="1">
      <c r="B434" s="26">
        <f>IF(INDEX('01人员工时'!$D$7:$D$126,INT((ROW()-7)/4)+1)&amp;""="","",INDEX('01人员工时'!$B$7:$B$126,INT((ROW()-7)/4)+1))</f>
        <v/>
      </c>
      <c r="C434" s="27">
        <f>IF($D434="","",IF(MOD(ROW()-7,4)=0,INDEX('01人员工时'!$C$7:$C$126,INT((ROW()-7)/4)+1),""))</f>
        <v/>
      </c>
      <c r="D434" s="27">
        <f>IF(INDEX('01人员工时'!$D$7:$D$126,INT((ROW()-7)/4)+1)&amp;""="","",INDEX('01人员工时'!$D$7:$D$126,INT((ROW()-7)/4)+1))</f>
        <v/>
      </c>
      <c r="E434" s="27">
        <f>IF($D434="","",INDEX('参数设置'!$K$6:$K$9,MOD(ROW()-7,4)+1))</f>
        <v/>
      </c>
      <c r="F434" s="28">
        <f>IF($D434="","",IF($V434&lt;&gt;"",$V434,IFERROR(INDEX('参数设置'!$D$17:$G$26,MATCH($D434,'参数设置'!$C$17:$C$26,0),MATCH($E434,'参数设置'!$D$16:$G$16,0)),0)))</f>
        <v/>
      </c>
      <c r="G434" s="29">
        <f>IF($D434="","",INDEX('01人员工时'!$E$7:$E$126,INT((ROW()-7)/4)+1))</f>
        <v/>
      </c>
      <c r="H434" s="29">
        <f>IF($D434="","",INDEX('01人员工时'!$O$7:$O$126,INT((ROW()-7)/4)+1))</f>
        <v/>
      </c>
      <c r="I434" s="30">
        <f>IF(OR($D434="",$G434=0),"",$H434/$G434)</f>
        <v/>
      </c>
      <c r="J434" s="31">
        <f>IF($D434="","",ROUND($F434,2)-$S434)</f>
        <v/>
      </c>
      <c r="K434" s="31">
        <f>IF(OR($D434="",$G434=0),"",ROUND($F434*INDEX('01人员工时'!G$7:G$126,INT((ROW()-7)/4)+1)/$G434,2))</f>
        <v/>
      </c>
      <c r="L434" s="31">
        <f>IF(OR($D434="",$G434=0),"",ROUND($F434*INDEX('01人员工时'!H$7:H$126,INT((ROW()-7)/4)+1)/$G434,2))</f>
        <v/>
      </c>
      <c r="M434" s="31">
        <f>IF(OR($D434="",$G434=0),"",ROUND($F434*INDEX('01人员工时'!I$7:I$126,INT((ROW()-7)/4)+1)/$G434,2))</f>
        <v/>
      </c>
      <c r="N434" s="31">
        <f>IF(OR($D434="",$G434=0),"",ROUND($F434*INDEX('01人员工时'!J$7:J$126,INT((ROW()-7)/4)+1)/$G434,2))</f>
        <v/>
      </c>
      <c r="O434" s="31">
        <f>IF(OR($D434="",$G434=0),"",ROUND($F434*INDEX('01人员工时'!K$7:K$126,INT((ROW()-7)/4)+1)/$G434,2))</f>
        <v/>
      </c>
      <c r="P434" s="31">
        <f>IF(OR($D434="",$G434=0),"",ROUND($F434*INDEX('01人员工时'!L$7:L$126,INT((ROW()-7)/4)+1)/$G434,2))</f>
        <v/>
      </c>
      <c r="Q434" s="31">
        <f>IF(OR($D434="",$G434=0),"",ROUND($F434*INDEX('01人员工时'!M$7:M$126,INT((ROW()-7)/4)+1)/$G434,2))</f>
        <v/>
      </c>
      <c r="R434" s="31">
        <f>IF(OR($D434="",$G434=0),"",ROUND($F434*INDEX('01人员工时'!N$7:N$126,INT((ROW()-7)/4)+1)/$G434,2))</f>
        <v/>
      </c>
      <c r="S434" s="31">
        <f>IF($D434="","",SUM(K434:R434))</f>
        <v/>
      </c>
      <c r="T434" s="31">
        <f>IF($D434="","",$J434+$S434)</f>
        <v/>
      </c>
      <c r="U434" s="32">
        <f>IF($D434="","",IF($F434=0,"未维护标准",IF(ROUND($T434-$F434,2)=0,"√","差异")))</f>
        <v/>
      </c>
      <c r="V434" s="33" t="n"/>
      <c r="W434" s="34" t="n"/>
    </row>
    <row r="435" ht="18" customHeight="1">
      <c r="B435" s="21">
        <f>IF(INDEX('01人员工时'!$D$7:$D$126,INT((ROW()-7)/4)+1)&amp;""="","",INDEX('01人员工时'!$B$7:$B$126,INT((ROW()-7)/4)+1))</f>
        <v/>
      </c>
      <c r="C435" s="22">
        <f>IF($D435="","",IF(MOD(ROW()-7,4)=0,INDEX('01人员工时'!$C$7:$C$126,INT((ROW()-7)/4)+1),""))</f>
        <v/>
      </c>
      <c r="D435" s="22">
        <f>IF(INDEX('01人员工时'!$D$7:$D$126,INT((ROW()-7)/4)+1)&amp;""="","",INDEX('01人员工时'!$D$7:$D$126,INT((ROW()-7)/4)+1))</f>
        <v/>
      </c>
      <c r="E435" s="22">
        <f>IF($D435="","",INDEX('参数设置'!$K$6:$K$9,MOD(ROW()-7,4)+1))</f>
        <v/>
      </c>
      <c r="F435" s="23">
        <f>IF($D435="","",IF($V435&lt;&gt;"",$V435,IFERROR(INDEX('参数设置'!$D$17:$G$26,MATCH($D435,'参数设置'!$C$17:$C$26,0),MATCH($E435,'参数设置'!$D$16:$G$16,0)),0)))</f>
        <v/>
      </c>
      <c r="G435" s="24">
        <f>IF($D435="","",INDEX('01人员工时'!$E$7:$E$126,INT((ROW()-7)/4)+1))</f>
        <v/>
      </c>
      <c r="H435" s="24">
        <f>IF($D435="","",INDEX('01人员工时'!$O$7:$O$126,INT((ROW()-7)/4)+1))</f>
        <v/>
      </c>
      <c r="I435" s="20">
        <f>IF(OR($D435="",$G435=0),"",$H435/$G435)</f>
        <v/>
      </c>
      <c r="J435" s="12">
        <f>IF($D435="","",ROUND($F435,2)-$S435)</f>
        <v/>
      </c>
      <c r="K435" s="12">
        <f>IF(OR($D435="",$G435=0),"",ROUND($F435*INDEX('01人员工时'!G$7:G$126,INT((ROW()-7)/4)+1)/$G435,2))</f>
        <v/>
      </c>
      <c r="L435" s="12">
        <f>IF(OR($D435="",$G435=0),"",ROUND($F435*INDEX('01人员工时'!H$7:H$126,INT((ROW()-7)/4)+1)/$G435,2))</f>
        <v/>
      </c>
      <c r="M435" s="12">
        <f>IF(OR($D435="",$G435=0),"",ROUND($F435*INDEX('01人员工时'!I$7:I$126,INT((ROW()-7)/4)+1)/$G435,2))</f>
        <v/>
      </c>
      <c r="N435" s="12">
        <f>IF(OR($D435="",$G435=0),"",ROUND($F435*INDEX('01人员工时'!J$7:J$126,INT((ROW()-7)/4)+1)/$G435,2))</f>
        <v/>
      </c>
      <c r="O435" s="12">
        <f>IF(OR($D435="",$G435=0),"",ROUND($F435*INDEX('01人员工时'!K$7:K$126,INT((ROW()-7)/4)+1)/$G435,2))</f>
        <v/>
      </c>
      <c r="P435" s="12">
        <f>IF(OR($D435="",$G435=0),"",ROUND($F435*INDEX('01人员工时'!L$7:L$126,INT((ROW()-7)/4)+1)/$G435,2))</f>
        <v/>
      </c>
      <c r="Q435" s="12">
        <f>IF(OR($D435="",$G435=0),"",ROUND($F435*INDEX('01人员工时'!M$7:M$126,INT((ROW()-7)/4)+1)/$G435,2))</f>
        <v/>
      </c>
      <c r="R435" s="12">
        <f>IF(OR($D435="",$G435=0),"",ROUND($F435*INDEX('01人员工时'!N$7:N$126,INT((ROW()-7)/4)+1)/$G435,2))</f>
        <v/>
      </c>
      <c r="S435" s="12">
        <f>IF($D435="","",SUM(K435:R435))</f>
        <v/>
      </c>
      <c r="T435" s="12">
        <f>IF($D435="","",$J435+$S435)</f>
        <v/>
      </c>
      <c r="U435" s="25">
        <f>IF($D435="","",IF($F435=0,"未维护标准",IF(ROUND($T435-$F435,2)=0,"√","差异")))</f>
        <v/>
      </c>
      <c r="V435" s="11" t="n"/>
      <c r="W435" s="9" t="n"/>
    </row>
    <row r="436" ht="18" customHeight="1">
      <c r="B436" s="21">
        <f>IF(INDEX('01人员工时'!$D$7:$D$126,INT((ROW()-7)/4)+1)&amp;""="","",INDEX('01人员工时'!$B$7:$B$126,INT((ROW()-7)/4)+1))</f>
        <v/>
      </c>
      <c r="C436" s="22">
        <f>IF($D436="","",IF(MOD(ROW()-7,4)=0,INDEX('01人员工时'!$C$7:$C$126,INT((ROW()-7)/4)+1),""))</f>
        <v/>
      </c>
      <c r="D436" s="22">
        <f>IF(INDEX('01人员工时'!$D$7:$D$126,INT((ROW()-7)/4)+1)&amp;""="","",INDEX('01人员工时'!$D$7:$D$126,INT((ROW()-7)/4)+1))</f>
        <v/>
      </c>
      <c r="E436" s="22">
        <f>IF($D436="","",INDEX('参数设置'!$K$6:$K$9,MOD(ROW()-7,4)+1))</f>
        <v/>
      </c>
      <c r="F436" s="23">
        <f>IF($D436="","",IF($V436&lt;&gt;"",$V436,IFERROR(INDEX('参数设置'!$D$17:$G$26,MATCH($D436,'参数设置'!$C$17:$C$26,0),MATCH($E436,'参数设置'!$D$16:$G$16,0)),0)))</f>
        <v/>
      </c>
      <c r="G436" s="24">
        <f>IF($D436="","",INDEX('01人员工时'!$E$7:$E$126,INT((ROW()-7)/4)+1))</f>
        <v/>
      </c>
      <c r="H436" s="24">
        <f>IF($D436="","",INDEX('01人员工时'!$O$7:$O$126,INT((ROW()-7)/4)+1))</f>
        <v/>
      </c>
      <c r="I436" s="20">
        <f>IF(OR($D436="",$G436=0),"",$H436/$G436)</f>
        <v/>
      </c>
      <c r="J436" s="12">
        <f>IF($D436="","",ROUND($F436,2)-$S436)</f>
        <v/>
      </c>
      <c r="K436" s="12">
        <f>IF(OR($D436="",$G436=0),"",ROUND($F436*INDEX('01人员工时'!G$7:G$126,INT((ROW()-7)/4)+1)/$G436,2))</f>
        <v/>
      </c>
      <c r="L436" s="12">
        <f>IF(OR($D436="",$G436=0),"",ROUND($F436*INDEX('01人员工时'!H$7:H$126,INT((ROW()-7)/4)+1)/$G436,2))</f>
        <v/>
      </c>
      <c r="M436" s="12">
        <f>IF(OR($D436="",$G436=0),"",ROUND($F436*INDEX('01人员工时'!I$7:I$126,INT((ROW()-7)/4)+1)/$G436,2))</f>
        <v/>
      </c>
      <c r="N436" s="12">
        <f>IF(OR($D436="",$G436=0),"",ROUND($F436*INDEX('01人员工时'!J$7:J$126,INT((ROW()-7)/4)+1)/$G436,2))</f>
        <v/>
      </c>
      <c r="O436" s="12">
        <f>IF(OR($D436="",$G436=0),"",ROUND($F436*INDEX('01人员工时'!K$7:K$126,INT((ROW()-7)/4)+1)/$G436,2))</f>
        <v/>
      </c>
      <c r="P436" s="12">
        <f>IF(OR($D436="",$G436=0),"",ROUND($F436*INDEX('01人员工时'!L$7:L$126,INT((ROW()-7)/4)+1)/$G436,2))</f>
        <v/>
      </c>
      <c r="Q436" s="12">
        <f>IF(OR($D436="",$G436=0),"",ROUND($F436*INDEX('01人员工时'!M$7:M$126,INT((ROW()-7)/4)+1)/$G436,2))</f>
        <v/>
      </c>
      <c r="R436" s="12">
        <f>IF(OR($D436="",$G436=0),"",ROUND($F436*INDEX('01人员工时'!N$7:N$126,INT((ROW()-7)/4)+1)/$G436,2))</f>
        <v/>
      </c>
      <c r="S436" s="12">
        <f>IF($D436="","",SUM(K436:R436))</f>
        <v/>
      </c>
      <c r="T436" s="12">
        <f>IF($D436="","",$J436+$S436)</f>
        <v/>
      </c>
      <c r="U436" s="25">
        <f>IF($D436="","",IF($F436=0,"未维护标准",IF(ROUND($T436-$F436,2)=0,"√","差异")))</f>
        <v/>
      </c>
      <c r="V436" s="11" t="n"/>
      <c r="W436" s="9" t="n"/>
    </row>
    <row r="437" ht="18" customHeight="1">
      <c r="B437" s="21">
        <f>IF(INDEX('01人员工时'!$D$7:$D$126,INT((ROW()-7)/4)+1)&amp;""="","",INDEX('01人员工时'!$B$7:$B$126,INT((ROW()-7)/4)+1))</f>
        <v/>
      </c>
      <c r="C437" s="22">
        <f>IF($D437="","",IF(MOD(ROW()-7,4)=0,INDEX('01人员工时'!$C$7:$C$126,INT((ROW()-7)/4)+1),""))</f>
        <v/>
      </c>
      <c r="D437" s="22">
        <f>IF(INDEX('01人员工时'!$D$7:$D$126,INT((ROW()-7)/4)+1)&amp;""="","",INDEX('01人员工时'!$D$7:$D$126,INT((ROW()-7)/4)+1))</f>
        <v/>
      </c>
      <c r="E437" s="22">
        <f>IF($D437="","",INDEX('参数设置'!$K$6:$K$9,MOD(ROW()-7,4)+1))</f>
        <v/>
      </c>
      <c r="F437" s="23">
        <f>IF($D437="","",IF($V437&lt;&gt;"",$V437,IFERROR(INDEX('参数设置'!$D$17:$G$26,MATCH($D437,'参数设置'!$C$17:$C$26,0),MATCH($E437,'参数设置'!$D$16:$G$16,0)),0)))</f>
        <v/>
      </c>
      <c r="G437" s="24">
        <f>IF($D437="","",INDEX('01人员工时'!$E$7:$E$126,INT((ROW()-7)/4)+1))</f>
        <v/>
      </c>
      <c r="H437" s="24">
        <f>IF($D437="","",INDEX('01人员工时'!$O$7:$O$126,INT((ROW()-7)/4)+1))</f>
        <v/>
      </c>
      <c r="I437" s="20">
        <f>IF(OR($D437="",$G437=0),"",$H437/$G437)</f>
        <v/>
      </c>
      <c r="J437" s="12">
        <f>IF($D437="","",ROUND($F437,2)-$S437)</f>
        <v/>
      </c>
      <c r="K437" s="12">
        <f>IF(OR($D437="",$G437=0),"",ROUND($F437*INDEX('01人员工时'!G$7:G$126,INT((ROW()-7)/4)+1)/$G437,2))</f>
        <v/>
      </c>
      <c r="L437" s="12">
        <f>IF(OR($D437="",$G437=0),"",ROUND($F437*INDEX('01人员工时'!H$7:H$126,INT((ROW()-7)/4)+1)/$G437,2))</f>
        <v/>
      </c>
      <c r="M437" s="12">
        <f>IF(OR($D437="",$G437=0),"",ROUND($F437*INDEX('01人员工时'!I$7:I$126,INT((ROW()-7)/4)+1)/$G437,2))</f>
        <v/>
      </c>
      <c r="N437" s="12">
        <f>IF(OR($D437="",$G437=0),"",ROUND($F437*INDEX('01人员工时'!J$7:J$126,INT((ROW()-7)/4)+1)/$G437,2))</f>
        <v/>
      </c>
      <c r="O437" s="12">
        <f>IF(OR($D437="",$G437=0),"",ROUND($F437*INDEX('01人员工时'!K$7:K$126,INT((ROW()-7)/4)+1)/$G437,2))</f>
        <v/>
      </c>
      <c r="P437" s="12">
        <f>IF(OR($D437="",$G437=0),"",ROUND($F437*INDEX('01人员工时'!L$7:L$126,INT((ROW()-7)/4)+1)/$G437,2))</f>
        <v/>
      </c>
      <c r="Q437" s="12">
        <f>IF(OR($D437="",$G437=0),"",ROUND($F437*INDEX('01人员工时'!M$7:M$126,INT((ROW()-7)/4)+1)/$G437,2))</f>
        <v/>
      </c>
      <c r="R437" s="12">
        <f>IF(OR($D437="",$G437=0),"",ROUND($F437*INDEX('01人员工时'!N$7:N$126,INT((ROW()-7)/4)+1)/$G437,2))</f>
        <v/>
      </c>
      <c r="S437" s="12">
        <f>IF($D437="","",SUM(K437:R437))</f>
        <v/>
      </c>
      <c r="T437" s="12">
        <f>IF($D437="","",$J437+$S437)</f>
        <v/>
      </c>
      <c r="U437" s="25">
        <f>IF($D437="","",IF($F437=0,"未维护标准",IF(ROUND($T437-$F437,2)=0,"√","差异")))</f>
        <v/>
      </c>
      <c r="V437" s="11" t="n"/>
      <c r="W437" s="9" t="n"/>
    </row>
    <row r="438" ht="18" customHeight="1">
      <c r="B438" s="26">
        <f>IF(INDEX('01人员工时'!$D$7:$D$126,INT((ROW()-7)/4)+1)&amp;""="","",INDEX('01人员工时'!$B$7:$B$126,INT((ROW()-7)/4)+1))</f>
        <v/>
      </c>
      <c r="C438" s="27">
        <f>IF($D438="","",IF(MOD(ROW()-7,4)=0,INDEX('01人员工时'!$C$7:$C$126,INT((ROW()-7)/4)+1),""))</f>
        <v/>
      </c>
      <c r="D438" s="27">
        <f>IF(INDEX('01人员工时'!$D$7:$D$126,INT((ROW()-7)/4)+1)&amp;""="","",INDEX('01人员工时'!$D$7:$D$126,INT((ROW()-7)/4)+1))</f>
        <v/>
      </c>
      <c r="E438" s="27">
        <f>IF($D438="","",INDEX('参数设置'!$K$6:$K$9,MOD(ROW()-7,4)+1))</f>
        <v/>
      </c>
      <c r="F438" s="28">
        <f>IF($D438="","",IF($V438&lt;&gt;"",$V438,IFERROR(INDEX('参数设置'!$D$17:$G$26,MATCH($D438,'参数设置'!$C$17:$C$26,0),MATCH($E438,'参数设置'!$D$16:$G$16,0)),0)))</f>
        <v/>
      </c>
      <c r="G438" s="29">
        <f>IF($D438="","",INDEX('01人员工时'!$E$7:$E$126,INT((ROW()-7)/4)+1))</f>
        <v/>
      </c>
      <c r="H438" s="29">
        <f>IF($D438="","",INDEX('01人员工时'!$O$7:$O$126,INT((ROW()-7)/4)+1))</f>
        <v/>
      </c>
      <c r="I438" s="30">
        <f>IF(OR($D438="",$G438=0),"",$H438/$G438)</f>
        <v/>
      </c>
      <c r="J438" s="31">
        <f>IF($D438="","",ROUND($F438,2)-$S438)</f>
        <v/>
      </c>
      <c r="K438" s="31">
        <f>IF(OR($D438="",$G438=0),"",ROUND($F438*INDEX('01人员工时'!G$7:G$126,INT((ROW()-7)/4)+1)/$G438,2))</f>
        <v/>
      </c>
      <c r="L438" s="31">
        <f>IF(OR($D438="",$G438=0),"",ROUND($F438*INDEX('01人员工时'!H$7:H$126,INT((ROW()-7)/4)+1)/$G438,2))</f>
        <v/>
      </c>
      <c r="M438" s="31">
        <f>IF(OR($D438="",$G438=0),"",ROUND($F438*INDEX('01人员工时'!I$7:I$126,INT((ROW()-7)/4)+1)/$G438,2))</f>
        <v/>
      </c>
      <c r="N438" s="31">
        <f>IF(OR($D438="",$G438=0),"",ROUND($F438*INDEX('01人员工时'!J$7:J$126,INT((ROW()-7)/4)+1)/$G438,2))</f>
        <v/>
      </c>
      <c r="O438" s="31">
        <f>IF(OR($D438="",$G438=0),"",ROUND($F438*INDEX('01人员工时'!K$7:K$126,INT((ROW()-7)/4)+1)/$G438,2))</f>
        <v/>
      </c>
      <c r="P438" s="31">
        <f>IF(OR($D438="",$G438=0),"",ROUND($F438*INDEX('01人员工时'!L$7:L$126,INT((ROW()-7)/4)+1)/$G438,2))</f>
        <v/>
      </c>
      <c r="Q438" s="31">
        <f>IF(OR($D438="",$G438=0),"",ROUND($F438*INDEX('01人员工时'!M$7:M$126,INT((ROW()-7)/4)+1)/$G438,2))</f>
        <v/>
      </c>
      <c r="R438" s="31">
        <f>IF(OR($D438="",$G438=0),"",ROUND($F438*INDEX('01人员工时'!N$7:N$126,INT((ROW()-7)/4)+1)/$G438,2))</f>
        <v/>
      </c>
      <c r="S438" s="31">
        <f>IF($D438="","",SUM(K438:R438))</f>
        <v/>
      </c>
      <c r="T438" s="31">
        <f>IF($D438="","",$J438+$S438)</f>
        <v/>
      </c>
      <c r="U438" s="32">
        <f>IF($D438="","",IF($F438=0,"未维护标准",IF(ROUND($T438-$F438,2)=0,"√","差异")))</f>
        <v/>
      </c>
      <c r="V438" s="33" t="n"/>
      <c r="W438" s="34" t="n"/>
    </row>
    <row r="439" ht="18" customHeight="1">
      <c r="B439" s="21">
        <f>IF(INDEX('01人员工时'!$D$7:$D$126,INT((ROW()-7)/4)+1)&amp;""="","",INDEX('01人员工时'!$B$7:$B$126,INT((ROW()-7)/4)+1))</f>
        <v/>
      </c>
      <c r="C439" s="22">
        <f>IF($D439="","",IF(MOD(ROW()-7,4)=0,INDEX('01人员工时'!$C$7:$C$126,INT((ROW()-7)/4)+1),""))</f>
        <v/>
      </c>
      <c r="D439" s="22">
        <f>IF(INDEX('01人员工时'!$D$7:$D$126,INT((ROW()-7)/4)+1)&amp;""="","",INDEX('01人员工时'!$D$7:$D$126,INT((ROW()-7)/4)+1))</f>
        <v/>
      </c>
      <c r="E439" s="22">
        <f>IF($D439="","",INDEX('参数设置'!$K$6:$K$9,MOD(ROW()-7,4)+1))</f>
        <v/>
      </c>
      <c r="F439" s="23">
        <f>IF($D439="","",IF($V439&lt;&gt;"",$V439,IFERROR(INDEX('参数设置'!$D$17:$G$26,MATCH($D439,'参数设置'!$C$17:$C$26,0),MATCH($E439,'参数设置'!$D$16:$G$16,0)),0)))</f>
        <v/>
      </c>
      <c r="G439" s="24">
        <f>IF($D439="","",INDEX('01人员工时'!$E$7:$E$126,INT((ROW()-7)/4)+1))</f>
        <v/>
      </c>
      <c r="H439" s="24">
        <f>IF($D439="","",INDEX('01人员工时'!$O$7:$O$126,INT((ROW()-7)/4)+1))</f>
        <v/>
      </c>
      <c r="I439" s="20">
        <f>IF(OR($D439="",$G439=0),"",$H439/$G439)</f>
        <v/>
      </c>
      <c r="J439" s="12">
        <f>IF($D439="","",ROUND($F439,2)-$S439)</f>
        <v/>
      </c>
      <c r="K439" s="12">
        <f>IF(OR($D439="",$G439=0),"",ROUND($F439*INDEX('01人员工时'!G$7:G$126,INT((ROW()-7)/4)+1)/$G439,2))</f>
        <v/>
      </c>
      <c r="L439" s="12">
        <f>IF(OR($D439="",$G439=0),"",ROUND($F439*INDEX('01人员工时'!H$7:H$126,INT((ROW()-7)/4)+1)/$G439,2))</f>
        <v/>
      </c>
      <c r="M439" s="12">
        <f>IF(OR($D439="",$G439=0),"",ROUND($F439*INDEX('01人员工时'!I$7:I$126,INT((ROW()-7)/4)+1)/$G439,2))</f>
        <v/>
      </c>
      <c r="N439" s="12">
        <f>IF(OR($D439="",$G439=0),"",ROUND($F439*INDEX('01人员工时'!J$7:J$126,INT((ROW()-7)/4)+1)/$G439,2))</f>
        <v/>
      </c>
      <c r="O439" s="12">
        <f>IF(OR($D439="",$G439=0),"",ROUND($F439*INDEX('01人员工时'!K$7:K$126,INT((ROW()-7)/4)+1)/$G439,2))</f>
        <v/>
      </c>
      <c r="P439" s="12">
        <f>IF(OR($D439="",$G439=0),"",ROUND($F439*INDEX('01人员工时'!L$7:L$126,INT((ROW()-7)/4)+1)/$G439,2))</f>
        <v/>
      </c>
      <c r="Q439" s="12">
        <f>IF(OR($D439="",$G439=0),"",ROUND($F439*INDEX('01人员工时'!M$7:M$126,INT((ROW()-7)/4)+1)/$G439,2))</f>
        <v/>
      </c>
      <c r="R439" s="12">
        <f>IF(OR($D439="",$G439=0),"",ROUND($F439*INDEX('01人员工时'!N$7:N$126,INT((ROW()-7)/4)+1)/$G439,2))</f>
        <v/>
      </c>
      <c r="S439" s="12">
        <f>IF($D439="","",SUM(K439:R439))</f>
        <v/>
      </c>
      <c r="T439" s="12">
        <f>IF($D439="","",$J439+$S439)</f>
        <v/>
      </c>
      <c r="U439" s="25">
        <f>IF($D439="","",IF($F439=0,"未维护标准",IF(ROUND($T439-$F439,2)=0,"√","差异")))</f>
        <v/>
      </c>
      <c r="V439" s="11" t="n"/>
      <c r="W439" s="9" t="n"/>
    </row>
    <row r="440" ht="18" customHeight="1">
      <c r="B440" s="21">
        <f>IF(INDEX('01人员工时'!$D$7:$D$126,INT((ROW()-7)/4)+1)&amp;""="","",INDEX('01人员工时'!$B$7:$B$126,INT((ROW()-7)/4)+1))</f>
        <v/>
      </c>
      <c r="C440" s="22">
        <f>IF($D440="","",IF(MOD(ROW()-7,4)=0,INDEX('01人员工时'!$C$7:$C$126,INT((ROW()-7)/4)+1),""))</f>
        <v/>
      </c>
      <c r="D440" s="22">
        <f>IF(INDEX('01人员工时'!$D$7:$D$126,INT((ROW()-7)/4)+1)&amp;""="","",INDEX('01人员工时'!$D$7:$D$126,INT((ROW()-7)/4)+1))</f>
        <v/>
      </c>
      <c r="E440" s="22">
        <f>IF($D440="","",INDEX('参数设置'!$K$6:$K$9,MOD(ROW()-7,4)+1))</f>
        <v/>
      </c>
      <c r="F440" s="23">
        <f>IF($D440="","",IF($V440&lt;&gt;"",$V440,IFERROR(INDEX('参数设置'!$D$17:$G$26,MATCH($D440,'参数设置'!$C$17:$C$26,0),MATCH($E440,'参数设置'!$D$16:$G$16,0)),0)))</f>
        <v/>
      </c>
      <c r="G440" s="24">
        <f>IF($D440="","",INDEX('01人员工时'!$E$7:$E$126,INT((ROW()-7)/4)+1))</f>
        <v/>
      </c>
      <c r="H440" s="24">
        <f>IF($D440="","",INDEX('01人员工时'!$O$7:$O$126,INT((ROW()-7)/4)+1))</f>
        <v/>
      </c>
      <c r="I440" s="20">
        <f>IF(OR($D440="",$G440=0),"",$H440/$G440)</f>
        <v/>
      </c>
      <c r="J440" s="12">
        <f>IF($D440="","",ROUND($F440,2)-$S440)</f>
        <v/>
      </c>
      <c r="K440" s="12">
        <f>IF(OR($D440="",$G440=0),"",ROUND($F440*INDEX('01人员工时'!G$7:G$126,INT((ROW()-7)/4)+1)/$G440,2))</f>
        <v/>
      </c>
      <c r="L440" s="12">
        <f>IF(OR($D440="",$G440=0),"",ROUND($F440*INDEX('01人员工时'!H$7:H$126,INT((ROW()-7)/4)+1)/$G440,2))</f>
        <v/>
      </c>
      <c r="M440" s="12">
        <f>IF(OR($D440="",$G440=0),"",ROUND($F440*INDEX('01人员工时'!I$7:I$126,INT((ROW()-7)/4)+1)/$G440,2))</f>
        <v/>
      </c>
      <c r="N440" s="12">
        <f>IF(OR($D440="",$G440=0),"",ROUND($F440*INDEX('01人员工时'!J$7:J$126,INT((ROW()-7)/4)+1)/$G440,2))</f>
        <v/>
      </c>
      <c r="O440" s="12">
        <f>IF(OR($D440="",$G440=0),"",ROUND($F440*INDEX('01人员工时'!K$7:K$126,INT((ROW()-7)/4)+1)/$G440,2))</f>
        <v/>
      </c>
      <c r="P440" s="12">
        <f>IF(OR($D440="",$G440=0),"",ROUND($F440*INDEX('01人员工时'!L$7:L$126,INT((ROW()-7)/4)+1)/$G440,2))</f>
        <v/>
      </c>
      <c r="Q440" s="12">
        <f>IF(OR($D440="",$G440=0),"",ROUND($F440*INDEX('01人员工时'!M$7:M$126,INT((ROW()-7)/4)+1)/$G440,2))</f>
        <v/>
      </c>
      <c r="R440" s="12">
        <f>IF(OR($D440="",$G440=0),"",ROUND($F440*INDEX('01人员工时'!N$7:N$126,INT((ROW()-7)/4)+1)/$G440,2))</f>
        <v/>
      </c>
      <c r="S440" s="12">
        <f>IF($D440="","",SUM(K440:R440))</f>
        <v/>
      </c>
      <c r="T440" s="12">
        <f>IF($D440="","",$J440+$S440)</f>
        <v/>
      </c>
      <c r="U440" s="25">
        <f>IF($D440="","",IF($F440=0,"未维护标准",IF(ROUND($T440-$F440,2)=0,"√","差异")))</f>
        <v/>
      </c>
      <c r="V440" s="11" t="n"/>
      <c r="W440" s="9" t="n"/>
    </row>
    <row r="441" ht="18" customHeight="1">
      <c r="B441" s="21">
        <f>IF(INDEX('01人员工时'!$D$7:$D$126,INT((ROW()-7)/4)+1)&amp;""="","",INDEX('01人员工时'!$B$7:$B$126,INT((ROW()-7)/4)+1))</f>
        <v/>
      </c>
      <c r="C441" s="22">
        <f>IF($D441="","",IF(MOD(ROW()-7,4)=0,INDEX('01人员工时'!$C$7:$C$126,INT((ROW()-7)/4)+1),""))</f>
        <v/>
      </c>
      <c r="D441" s="22">
        <f>IF(INDEX('01人员工时'!$D$7:$D$126,INT((ROW()-7)/4)+1)&amp;""="","",INDEX('01人员工时'!$D$7:$D$126,INT((ROW()-7)/4)+1))</f>
        <v/>
      </c>
      <c r="E441" s="22">
        <f>IF($D441="","",INDEX('参数设置'!$K$6:$K$9,MOD(ROW()-7,4)+1))</f>
        <v/>
      </c>
      <c r="F441" s="23">
        <f>IF($D441="","",IF($V441&lt;&gt;"",$V441,IFERROR(INDEX('参数设置'!$D$17:$G$26,MATCH($D441,'参数设置'!$C$17:$C$26,0),MATCH($E441,'参数设置'!$D$16:$G$16,0)),0)))</f>
        <v/>
      </c>
      <c r="G441" s="24">
        <f>IF($D441="","",INDEX('01人员工时'!$E$7:$E$126,INT((ROW()-7)/4)+1))</f>
        <v/>
      </c>
      <c r="H441" s="24">
        <f>IF($D441="","",INDEX('01人员工时'!$O$7:$O$126,INT((ROW()-7)/4)+1))</f>
        <v/>
      </c>
      <c r="I441" s="20">
        <f>IF(OR($D441="",$G441=0),"",$H441/$G441)</f>
        <v/>
      </c>
      <c r="J441" s="12">
        <f>IF($D441="","",ROUND($F441,2)-$S441)</f>
        <v/>
      </c>
      <c r="K441" s="12">
        <f>IF(OR($D441="",$G441=0),"",ROUND($F441*INDEX('01人员工时'!G$7:G$126,INT((ROW()-7)/4)+1)/$G441,2))</f>
        <v/>
      </c>
      <c r="L441" s="12">
        <f>IF(OR($D441="",$G441=0),"",ROUND($F441*INDEX('01人员工时'!H$7:H$126,INT((ROW()-7)/4)+1)/$G441,2))</f>
        <v/>
      </c>
      <c r="M441" s="12">
        <f>IF(OR($D441="",$G441=0),"",ROUND($F441*INDEX('01人员工时'!I$7:I$126,INT((ROW()-7)/4)+1)/$G441,2))</f>
        <v/>
      </c>
      <c r="N441" s="12">
        <f>IF(OR($D441="",$G441=0),"",ROUND($F441*INDEX('01人员工时'!J$7:J$126,INT((ROW()-7)/4)+1)/$G441,2))</f>
        <v/>
      </c>
      <c r="O441" s="12">
        <f>IF(OR($D441="",$G441=0),"",ROUND($F441*INDEX('01人员工时'!K$7:K$126,INT((ROW()-7)/4)+1)/$G441,2))</f>
        <v/>
      </c>
      <c r="P441" s="12">
        <f>IF(OR($D441="",$G441=0),"",ROUND($F441*INDEX('01人员工时'!L$7:L$126,INT((ROW()-7)/4)+1)/$G441,2))</f>
        <v/>
      </c>
      <c r="Q441" s="12">
        <f>IF(OR($D441="",$G441=0),"",ROUND($F441*INDEX('01人员工时'!M$7:M$126,INT((ROW()-7)/4)+1)/$G441,2))</f>
        <v/>
      </c>
      <c r="R441" s="12">
        <f>IF(OR($D441="",$G441=0),"",ROUND($F441*INDEX('01人员工时'!N$7:N$126,INT((ROW()-7)/4)+1)/$G441,2))</f>
        <v/>
      </c>
      <c r="S441" s="12">
        <f>IF($D441="","",SUM(K441:R441))</f>
        <v/>
      </c>
      <c r="T441" s="12">
        <f>IF($D441="","",$J441+$S441)</f>
        <v/>
      </c>
      <c r="U441" s="25">
        <f>IF($D441="","",IF($F441=0,"未维护标准",IF(ROUND($T441-$F441,2)=0,"√","差异")))</f>
        <v/>
      </c>
      <c r="V441" s="11" t="n"/>
      <c r="W441" s="9" t="n"/>
    </row>
    <row r="442" ht="18" customHeight="1">
      <c r="B442" s="26">
        <f>IF(INDEX('01人员工时'!$D$7:$D$126,INT((ROW()-7)/4)+1)&amp;""="","",INDEX('01人员工时'!$B$7:$B$126,INT((ROW()-7)/4)+1))</f>
        <v/>
      </c>
      <c r="C442" s="27">
        <f>IF($D442="","",IF(MOD(ROW()-7,4)=0,INDEX('01人员工时'!$C$7:$C$126,INT((ROW()-7)/4)+1),""))</f>
        <v/>
      </c>
      <c r="D442" s="27">
        <f>IF(INDEX('01人员工时'!$D$7:$D$126,INT((ROW()-7)/4)+1)&amp;""="","",INDEX('01人员工时'!$D$7:$D$126,INT((ROW()-7)/4)+1))</f>
        <v/>
      </c>
      <c r="E442" s="27">
        <f>IF($D442="","",INDEX('参数设置'!$K$6:$K$9,MOD(ROW()-7,4)+1))</f>
        <v/>
      </c>
      <c r="F442" s="28">
        <f>IF($D442="","",IF($V442&lt;&gt;"",$V442,IFERROR(INDEX('参数设置'!$D$17:$G$26,MATCH($D442,'参数设置'!$C$17:$C$26,0),MATCH($E442,'参数设置'!$D$16:$G$16,0)),0)))</f>
        <v/>
      </c>
      <c r="G442" s="29">
        <f>IF($D442="","",INDEX('01人员工时'!$E$7:$E$126,INT((ROW()-7)/4)+1))</f>
        <v/>
      </c>
      <c r="H442" s="29">
        <f>IF($D442="","",INDEX('01人员工时'!$O$7:$O$126,INT((ROW()-7)/4)+1))</f>
        <v/>
      </c>
      <c r="I442" s="30">
        <f>IF(OR($D442="",$G442=0),"",$H442/$G442)</f>
        <v/>
      </c>
      <c r="J442" s="31">
        <f>IF($D442="","",ROUND($F442,2)-$S442)</f>
        <v/>
      </c>
      <c r="K442" s="31">
        <f>IF(OR($D442="",$G442=0),"",ROUND($F442*INDEX('01人员工时'!G$7:G$126,INT((ROW()-7)/4)+1)/$G442,2))</f>
        <v/>
      </c>
      <c r="L442" s="31">
        <f>IF(OR($D442="",$G442=0),"",ROUND($F442*INDEX('01人员工时'!H$7:H$126,INT((ROW()-7)/4)+1)/$G442,2))</f>
        <v/>
      </c>
      <c r="M442" s="31">
        <f>IF(OR($D442="",$G442=0),"",ROUND($F442*INDEX('01人员工时'!I$7:I$126,INT((ROW()-7)/4)+1)/$G442,2))</f>
        <v/>
      </c>
      <c r="N442" s="31">
        <f>IF(OR($D442="",$G442=0),"",ROUND($F442*INDEX('01人员工时'!J$7:J$126,INT((ROW()-7)/4)+1)/$G442,2))</f>
        <v/>
      </c>
      <c r="O442" s="31">
        <f>IF(OR($D442="",$G442=0),"",ROUND($F442*INDEX('01人员工时'!K$7:K$126,INT((ROW()-7)/4)+1)/$G442,2))</f>
        <v/>
      </c>
      <c r="P442" s="31">
        <f>IF(OR($D442="",$G442=0),"",ROUND($F442*INDEX('01人员工时'!L$7:L$126,INT((ROW()-7)/4)+1)/$G442,2))</f>
        <v/>
      </c>
      <c r="Q442" s="31">
        <f>IF(OR($D442="",$G442=0),"",ROUND($F442*INDEX('01人员工时'!M$7:M$126,INT((ROW()-7)/4)+1)/$G442,2))</f>
        <v/>
      </c>
      <c r="R442" s="31">
        <f>IF(OR($D442="",$G442=0),"",ROUND($F442*INDEX('01人员工时'!N$7:N$126,INT((ROW()-7)/4)+1)/$G442,2))</f>
        <v/>
      </c>
      <c r="S442" s="31">
        <f>IF($D442="","",SUM(K442:R442))</f>
        <v/>
      </c>
      <c r="T442" s="31">
        <f>IF($D442="","",$J442+$S442)</f>
        <v/>
      </c>
      <c r="U442" s="32">
        <f>IF($D442="","",IF($F442=0,"未维护标准",IF(ROUND($T442-$F442,2)=0,"√","差异")))</f>
        <v/>
      </c>
      <c r="V442" s="33" t="n"/>
      <c r="W442" s="34" t="n"/>
    </row>
    <row r="443" ht="18" customHeight="1">
      <c r="B443" s="21">
        <f>IF(INDEX('01人员工时'!$D$7:$D$126,INT((ROW()-7)/4)+1)&amp;""="","",INDEX('01人员工时'!$B$7:$B$126,INT((ROW()-7)/4)+1))</f>
        <v/>
      </c>
      <c r="C443" s="22">
        <f>IF($D443="","",IF(MOD(ROW()-7,4)=0,INDEX('01人员工时'!$C$7:$C$126,INT((ROW()-7)/4)+1),""))</f>
        <v/>
      </c>
      <c r="D443" s="22">
        <f>IF(INDEX('01人员工时'!$D$7:$D$126,INT((ROW()-7)/4)+1)&amp;""="","",INDEX('01人员工时'!$D$7:$D$126,INT((ROW()-7)/4)+1))</f>
        <v/>
      </c>
      <c r="E443" s="22">
        <f>IF($D443="","",INDEX('参数设置'!$K$6:$K$9,MOD(ROW()-7,4)+1))</f>
        <v/>
      </c>
      <c r="F443" s="23">
        <f>IF($D443="","",IF($V443&lt;&gt;"",$V443,IFERROR(INDEX('参数设置'!$D$17:$G$26,MATCH($D443,'参数设置'!$C$17:$C$26,0),MATCH($E443,'参数设置'!$D$16:$G$16,0)),0)))</f>
        <v/>
      </c>
      <c r="G443" s="24">
        <f>IF($D443="","",INDEX('01人员工时'!$E$7:$E$126,INT((ROW()-7)/4)+1))</f>
        <v/>
      </c>
      <c r="H443" s="24">
        <f>IF($D443="","",INDEX('01人员工时'!$O$7:$O$126,INT((ROW()-7)/4)+1))</f>
        <v/>
      </c>
      <c r="I443" s="20">
        <f>IF(OR($D443="",$G443=0),"",$H443/$G443)</f>
        <v/>
      </c>
      <c r="J443" s="12">
        <f>IF($D443="","",ROUND($F443,2)-$S443)</f>
        <v/>
      </c>
      <c r="K443" s="12">
        <f>IF(OR($D443="",$G443=0),"",ROUND($F443*INDEX('01人员工时'!G$7:G$126,INT((ROW()-7)/4)+1)/$G443,2))</f>
        <v/>
      </c>
      <c r="L443" s="12">
        <f>IF(OR($D443="",$G443=0),"",ROUND($F443*INDEX('01人员工时'!H$7:H$126,INT((ROW()-7)/4)+1)/$G443,2))</f>
        <v/>
      </c>
      <c r="M443" s="12">
        <f>IF(OR($D443="",$G443=0),"",ROUND($F443*INDEX('01人员工时'!I$7:I$126,INT((ROW()-7)/4)+1)/$G443,2))</f>
        <v/>
      </c>
      <c r="N443" s="12">
        <f>IF(OR($D443="",$G443=0),"",ROUND($F443*INDEX('01人员工时'!J$7:J$126,INT((ROW()-7)/4)+1)/$G443,2))</f>
        <v/>
      </c>
      <c r="O443" s="12">
        <f>IF(OR($D443="",$G443=0),"",ROUND($F443*INDEX('01人员工时'!K$7:K$126,INT((ROW()-7)/4)+1)/$G443,2))</f>
        <v/>
      </c>
      <c r="P443" s="12">
        <f>IF(OR($D443="",$G443=0),"",ROUND($F443*INDEX('01人员工时'!L$7:L$126,INT((ROW()-7)/4)+1)/$G443,2))</f>
        <v/>
      </c>
      <c r="Q443" s="12">
        <f>IF(OR($D443="",$G443=0),"",ROUND($F443*INDEX('01人员工时'!M$7:M$126,INT((ROW()-7)/4)+1)/$G443,2))</f>
        <v/>
      </c>
      <c r="R443" s="12">
        <f>IF(OR($D443="",$G443=0),"",ROUND($F443*INDEX('01人员工时'!N$7:N$126,INT((ROW()-7)/4)+1)/$G443,2))</f>
        <v/>
      </c>
      <c r="S443" s="12">
        <f>IF($D443="","",SUM(K443:R443))</f>
        <v/>
      </c>
      <c r="T443" s="12">
        <f>IF($D443="","",$J443+$S443)</f>
        <v/>
      </c>
      <c r="U443" s="25">
        <f>IF($D443="","",IF($F443=0,"未维护标准",IF(ROUND($T443-$F443,2)=0,"√","差异")))</f>
        <v/>
      </c>
      <c r="V443" s="11" t="n"/>
      <c r="W443" s="9" t="n"/>
    </row>
    <row r="444" ht="18" customHeight="1">
      <c r="B444" s="21">
        <f>IF(INDEX('01人员工时'!$D$7:$D$126,INT((ROW()-7)/4)+1)&amp;""="","",INDEX('01人员工时'!$B$7:$B$126,INT((ROW()-7)/4)+1))</f>
        <v/>
      </c>
      <c r="C444" s="22">
        <f>IF($D444="","",IF(MOD(ROW()-7,4)=0,INDEX('01人员工时'!$C$7:$C$126,INT((ROW()-7)/4)+1),""))</f>
        <v/>
      </c>
      <c r="D444" s="22">
        <f>IF(INDEX('01人员工时'!$D$7:$D$126,INT((ROW()-7)/4)+1)&amp;""="","",INDEX('01人员工时'!$D$7:$D$126,INT((ROW()-7)/4)+1))</f>
        <v/>
      </c>
      <c r="E444" s="22">
        <f>IF($D444="","",INDEX('参数设置'!$K$6:$K$9,MOD(ROW()-7,4)+1))</f>
        <v/>
      </c>
      <c r="F444" s="23">
        <f>IF($D444="","",IF($V444&lt;&gt;"",$V444,IFERROR(INDEX('参数设置'!$D$17:$G$26,MATCH($D444,'参数设置'!$C$17:$C$26,0),MATCH($E444,'参数设置'!$D$16:$G$16,0)),0)))</f>
        <v/>
      </c>
      <c r="G444" s="24">
        <f>IF($D444="","",INDEX('01人员工时'!$E$7:$E$126,INT((ROW()-7)/4)+1))</f>
        <v/>
      </c>
      <c r="H444" s="24">
        <f>IF($D444="","",INDEX('01人员工时'!$O$7:$O$126,INT((ROW()-7)/4)+1))</f>
        <v/>
      </c>
      <c r="I444" s="20">
        <f>IF(OR($D444="",$G444=0),"",$H444/$G444)</f>
        <v/>
      </c>
      <c r="J444" s="12">
        <f>IF($D444="","",ROUND($F444,2)-$S444)</f>
        <v/>
      </c>
      <c r="K444" s="12">
        <f>IF(OR($D444="",$G444=0),"",ROUND($F444*INDEX('01人员工时'!G$7:G$126,INT((ROW()-7)/4)+1)/$G444,2))</f>
        <v/>
      </c>
      <c r="L444" s="12">
        <f>IF(OR($D444="",$G444=0),"",ROUND($F444*INDEX('01人员工时'!H$7:H$126,INT((ROW()-7)/4)+1)/$G444,2))</f>
        <v/>
      </c>
      <c r="M444" s="12">
        <f>IF(OR($D444="",$G444=0),"",ROUND($F444*INDEX('01人员工时'!I$7:I$126,INT((ROW()-7)/4)+1)/$G444,2))</f>
        <v/>
      </c>
      <c r="N444" s="12">
        <f>IF(OR($D444="",$G444=0),"",ROUND($F444*INDEX('01人员工时'!J$7:J$126,INT((ROW()-7)/4)+1)/$G444,2))</f>
        <v/>
      </c>
      <c r="O444" s="12">
        <f>IF(OR($D444="",$G444=0),"",ROUND($F444*INDEX('01人员工时'!K$7:K$126,INT((ROW()-7)/4)+1)/$G444,2))</f>
        <v/>
      </c>
      <c r="P444" s="12">
        <f>IF(OR($D444="",$G444=0),"",ROUND($F444*INDEX('01人员工时'!L$7:L$126,INT((ROW()-7)/4)+1)/$G444,2))</f>
        <v/>
      </c>
      <c r="Q444" s="12">
        <f>IF(OR($D444="",$G444=0),"",ROUND($F444*INDEX('01人员工时'!M$7:M$126,INT((ROW()-7)/4)+1)/$G444,2))</f>
        <v/>
      </c>
      <c r="R444" s="12">
        <f>IF(OR($D444="",$G444=0),"",ROUND($F444*INDEX('01人员工时'!N$7:N$126,INT((ROW()-7)/4)+1)/$G444,2))</f>
        <v/>
      </c>
      <c r="S444" s="12">
        <f>IF($D444="","",SUM(K444:R444))</f>
        <v/>
      </c>
      <c r="T444" s="12">
        <f>IF($D444="","",$J444+$S444)</f>
        <v/>
      </c>
      <c r="U444" s="25">
        <f>IF($D444="","",IF($F444=0,"未维护标准",IF(ROUND($T444-$F444,2)=0,"√","差异")))</f>
        <v/>
      </c>
      <c r="V444" s="11" t="n"/>
      <c r="W444" s="9" t="n"/>
    </row>
    <row r="445" ht="18" customHeight="1">
      <c r="B445" s="21">
        <f>IF(INDEX('01人员工时'!$D$7:$D$126,INT((ROW()-7)/4)+1)&amp;""="","",INDEX('01人员工时'!$B$7:$B$126,INT((ROW()-7)/4)+1))</f>
        <v/>
      </c>
      <c r="C445" s="22">
        <f>IF($D445="","",IF(MOD(ROW()-7,4)=0,INDEX('01人员工时'!$C$7:$C$126,INT((ROW()-7)/4)+1),""))</f>
        <v/>
      </c>
      <c r="D445" s="22">
        <f>IF(INDEX('01人员工时'!$D$7:$D$126,INT((ROW()-7)/4)+1)&amp;""="","",INDEX('01人员工时'!$D$7:$D$126,INT((ROW()-7)/4)+1))</f>
        <v/>
      </c>
      <c r="E445" s="22">
        <f>IF($D445="","",INDEX('参数设置'!$K$6:$K$9,MOD(ROW()-7,4)+1))</f>
        <v/>
      </c>
      <c r="F445" s="23">
        <f>IF($D445="","",IF($V445&lt;&gt;"",$V445,IFERROR(INDEX('参数设置'!$D$17:$G$26,MATCH($D445,'参数设置'!$C$17:$C$26,0),MATCH($E445,'参数设置'!$D$16:$G$16,0)),0)))</f>
        <v/>
      </c>
      <c r="G445" s="24">
        <f>IF($D445="","",INDEX('01人员工时'!$E$7:$E$126,INT((ROW()-7)/4)+1))</f>
        <v/>
      </c>
      <c r="H445" s="24">
        <f>IF($D445="","",INDEX('01人员工时'!$O$7:$O$126,INT((ROW()-7)/4)+1))</f>
        <v/>
      </c>
      <c r="I445" s="20">
        <f>IF(OR($D445="",$G445=0),"",$H445/$G445)</f>
        <v/>
      </c>
      <c r="J445" s="12">
        <f>IF($D445="","",ROUND($F445,2)-$S445)</f>
        <v/>
      </c>
      <c r="K445" s="12">
        <f>IF(OR($D445="",$G445=0),"",ROUND($F445*INDEX('01人员工时'!G$7:G$126,INT((ROW()-7)/4)+1)/$G445,2))</f>
        <v/>
      </c>
      <c r="L445" s="12">
        <f>IF(OR($D445="",$G445=0),"",ROUND($F445*INDEX('01人员工时'!H$7:H$126,INT((ROW()-7)/4)+1)/$G445,2))</f>
        <v/>
      </c>
      <c r="M445" s="12">
        <f>IF(OR($D445="",$G445=0),"",ROUND($F445*INDEX('01人员工时'!I$7:I$126,INT((ROW()-7)/4)+1)/$G445,2))</f>
        <v/>
      </c>
      <c r="N445" s="12">
        <f>IF(OR($D445="",$G445=0),"",ROUND($F445*INDEX('01人员工时'!J$7:J$126,INT((ROW()-7)/4)+1)/$G445,2))</f>
        <v/>
      </c>
      <c r="O445" s="12">
        <f>IF(OR($D445="",$G445=0),"",ROUND($F445*INDEX('01人员工时'!K$7:K$126,INT((ROW()-7)/4)+1)/$G445,2))</f>
        <v/>
      </c>
      <c r="P445" s="12">
        <f>IF(OR($D445="",$G445=0),"",ROUND($F445*INDEX('01人员工时'!L$7:L$126,INT((ROW()-7)/4)+1)/$G445,2))</f>
        <v/>
      </c>
      <c r="Q445" s="12">
        <f>IF(OR($D445="",$G445=0),"",ROUND($F445*INDEX('01人员工时'!M$7:M$126,INT((ROW()-7)/4)+1)/$G445,2))</f>
        <v/>
      </c>
      <c r="R445" s="12">
        <f>IF(OR($D445="",$G445=0),"",ROUND($F445*INDEX('01人员工时'!N$7:N$126,INT((ROW()-7)/4)+1)/$G445,2))</f>
        <v/>
      </c>
      <c r="S445" s="12">
        <f>IF($D445="","",SUM(K445:R445))</f>
        <v/>
      </c>
      <c r="T445" s="12">
        <f>IF($D445="","",$J445+$S445)</f>
        <v/>
      </c>
      <c r="U445" s="25">
        <f>IF($D445="","",IF($F445=0,"未维护标准",IF(ROUND($T445-$F445,2)=0,"√","差异")))</f>
        <v/>
      </c>
      <c r="V445" s="11" t="n"/>
      <c r="W445" s="9" t="n"/>
    </row>
    <row r="446" ht="18" customHeight="1">
      <c r="B446" s="26">
        <f>IF(INDEX('01人员工时'!$D$7:$D$126,INT((ROW()-7)/4)+1)&amp;""="","",INDEX('01人员工时'!$B$7:$B$126,INT((ROW()-7)/4)+1))</f>
        <v/>
      </c>
      <c r="C446" s="27">
        <f>IF($D446="","",IF(MOD(ROW()-7,4)=0,INDEX('01人员工时'!$C$7:$C$126,INT((ROW()-7)/4)+1),""))</f>
        <v/>
      </c>
      <c r="D446" s="27">
        <f>IF(INDEX('01人员工时'!$D$7:$D$126,INT((ROW()-7)/4)+1)&amp;""="","",INDEX('01人员工时'!$D$7:$D$126,INT((ROW()-7)/4)+1))</f>
        <v/>
      </c>
      <c r="E446" s="27">
        <f>IF($D446="","",INDEX('参数设置'!$K$6:$K$9,MOD(ROW()-7,4)+1))</f>
        <v/>
      </c>
      <c r="F446" s="28">
        <f>IF($D446="","",IF($V446&lt;&gt;"",$V446,IFERROR(INDEX('参数设置'!$D$17:$G$26,MATCH($D446,'参数设置'!$C$17:$C$26,0),MATCH($E446,'参数设置'!$D$16:$G$16,0)),0)))</f>
        <v/>
      </c>
      <c r="G446" s="29">
        <f>IF($D446="","",INDEX('01人员工时'!$E$7:$E$126,INT((ROW()-7)/4)+1))</f>
        <v/>
      </c>
      <c r="H446" s="29">
        <f>IF($D446="","",INDEX('01人员工时'!$O$7:$O$126,INT((ROW()-7)/4)+1))</f>
        <v/>
      </c>
      <c r="I446" s="30">
        <f>IF(OR($D446="",$G446=0),"",$H446/$G446)</f>
        <v/>
      </c>
      <c r="J446" s="31">
        <f>IF($D446="","",ROUND($F446,2)-$S446)</f>
        <v/>
      </c>
      <c r="K446" s="31">
        <f>IF(OR($D446="",$G446=0),"",ROUND($F446*INDEX('01人员工时'!G$7:G$126,INT((ROW()-7)/4)+1)/$G446,2))</f>
        <v/>
      </c>
      <c r="L446" s="31">
        <f>IF(OR($D446="",$G446=0),"",ROUND($F446*INDEX('01人员工时'!H$7:H$126,INT((ROW()-7)/4)+1)/$G446,2))</f>
        <v/>
      </c>
      <c r="M446" s="31">
        <f>IF(OR($D446="",$G446=0),"",ROUND($F446*INDEX('01人员工时'!I$7:I$126,INT((ROW()-7)/4)+1)/$G446,2))</f>
        <v/>
      </c>
      <c r="N446" s="31">
        <f>IF(OR($D446="",$G446=0),"",ROUND($F446*INDEX('01人员工时'!J$7:J$126,INT((ROW()-7)/4)+1)/$G446,2))</f>
        <v/>
      </c>
      <c r="O446" s="31">
        <f>IF(OR($D446="",$G446=0),"",ROUND($F446*INDEX('01人员工时'!K$7:K$126,INT((ROW()-7)/4)+1)/$G446,2))</f>
        <v/>
      </c>
      <c r="P446" s="31">
        <f>IF(OR($D446="",$G446=0),"",ROUND($F446*INDEX('01人员工时'!L$7:L$126,INT((ROW()-7)/4)+1)/$G446,2))</f>
        <v/>
      </c>
      <c r="Q446" s="31">
        <f>IF(OR($D446="",$G446=0),"",ROUND($F446*INDEX('01人员工时'!M$7:M$126,INT((ROW()-7)/4)+1)/$G446,2))</f>
        <v/>
      </c>
      <c r="R446" s="31">
        <f>IF(OR($D446="",$G446=0),"",ROUND($F446*INDEX('01人员工时'!N$7:N$126,INT((ROW()-7)/4)+1)/$G446,2))</f>
        <v/>
      </c>
      <c r="S446" s="31">
        <f>IF($D446="","",SUM(K446:R446))</f>
        <v/>
      </c>
      <c r="T446" s="31">
        <f>IF($D446="","",$J446+$S446)</f>
        <v/>
      </c>
      <c r="U446" s="32">
        <f>IF($D446="","",IF($F446=0,"未维护标准",IF(ROUND($T446-$F446,2)=0,"√","差异")))</f>
        <v/>
      </c>
      <c r="V446" s="33" t="n"/>
      <c r="W446" s="34" t="n"/>
    </row>
    <row r="447" ht="18" customHeight="1">
      <c r="B447" s="21">
        <f>IF(INDEX('01人员工时'!$D$7:$D$126,INT((ROW()-7)/4)+1)&amp;""="","",INDEX('01人员工时'!$B$7:$B$126,INT((ROW()-7)/4)+1))</f>
        <v/>
      </c>
      <c r="C447" s="22">
        <f>IF($D447="","",IF(MOD(ROW()-7,4)=0,INDEX('01人员工时'!$C$7:$C$126,INT((ROW()-7)/4)+1),""))</f>
        <v/>
      </c>
      <c r="D447" s="22">
        <f>IF(INDEX('01人员工时'!$D$7:$D$126,INT((ROW()-7)/4)+1)&amp;""="","",INDEX('01人员工时'!$D$7:$D$126,INT((ROW()-7)/4)+1))</f>
        <v/>
      </c>
      <c r="E447" s="22">
        <f>IF($D447="","",INDEX('参数设置'!$K$6:$K$9,MOD(ROW()-7,4)+1))</f>
        <v/>
      </c>
      <c r="F447" s="23">
        <f>IF($D447="","",IF($V447&lt;&gt;"",$V447,IFERROR(INDEX('参数设置'!$D$17:$G$26,MATCH($D447,'参数设置'!$C$17:$C$26,0),MATCH($E447,'参数设置'!$D$16:$G$16,0)),0)))</f>
        <v/>
      </c>
      <c r="G447" s="24">
        <f>IF($D447="","",INDEX('01人员工时'!$E$7:$E$126,INT((ROW()-7)/4)+1))</f>
        <v/>
      </c>
      <c r="H447" s="24">
        <f>IF($D447="","",INDEX('01人员工时'!$O$7:$O$126,INT((ROW()-7)/4)+1))</f>
        <v/>
      </c>
      <c r="I447" s="20">
        <f>IF(OR($D447="",$G447=0),"",$H447/$G447)</f>
        <v/>
      </c>
      <c r="J447" s="12">
        <f>IF($D447="","",ROUND($F447,2)-$S447)</f>
        <v/>
      </c>
      <c r="K447" s="12">
        <f>IF(OR($D447="",$G447=0),"",ROUND($F447*INDEX('01人员工时'!G$7:G$126,INT((ROW()-7)/4)+1)/$G447,2))</f>
        <v/>
      </c>
      <c r="L447" s="12">
        <f>IF(OR($D447="",$G447=0),"",ROUND($F447*INDEX('01人员工时'!H$7:H$126,INT((ROW()-7)/4)+1)/$G447,2))</f>
        <v/>
      </c>
      <c r="M447" s="12">
        <f>IF(OR($D447="",$G447=0),"",ROUND($F447*INDEX('01人员工时'!I$7:I$126,INT((ROW()-7)/4)+1)/$G447,2))</f>
        <v/>
      </c>
      <c r="N447" s="12">
        <f>IF(OR($D447="",$G447=0),"",ROUND($F447*INDEX('01人员工时'!J$7:J$126,INT((ROW()-7)/4)+1)/$G447,2))</f>
        <v/>
      </c>
      <c r="O447" s="12">
        <f>IF(OR($D447="",$G447=0),"",ROUND($F447*INDEX('01人员工时'!K$7:K$126,INT((ROW()-7)/4)+1)/$G447,2))</f>
        <v/>
      </c>
      <c r="P447" s="12">
        <f>IF(OR($D447="",$G447=0),"",ROUND($F447*INDEX('01人员工时'!L$7:L$126,INT((ROW()-7)/4)+1)/$G447,2))</f>
        <v/>
      </c>
      <c r="Q447" s="12">
        <f>IF(OR($D447="",$G447=0),"",ROUND($F447*INDEX('01人员工时'!M$7:M$126,INT((ROW()-7)/4)+1)/$G447,2))</f>
        <v/>
      </c>
      <c r="R447" s="12">
        <f>IF(OR($D447="",$G447=0),"",ROUND($F447*INDEX('01人员工时'!N$7:N$126,INT((ROW()-7)/4)+1)/$G447,2))</f>
        <v/>
      </c>
      <c r="S447" s="12">
        <f>IF($D447="","",SUM(K447:R447))</f>
        <v/>
      </c>
      <c r="T447" s="12">
        <f>IF($D447="","",$J447+$S447)</f>
        <v/>
      </c>
      <c r="U447" s="25">
        <f>IF($D447="","",IF($F447=0,"未维护标准",IF(ROUND($T447-$F447,2)=0,"√","差异")))</f>
        <v/>
      </c>
      <c r="V447" s="11" t="n"/>
      <c r="W447" s="9" t="n"/>
    </row>
    <row r="448" ht="18" customHeight="1">
      <c r="B448" s="21">
        <f>IF(INDEX('01人员工时'!$D$7:$D$126,INT((ROW()-7)/4)+1)&amp;""="","",INDEX('01人员工时'!$B$7:$B$126,INT((ROW()-7)/4)+1))</f>
        <v/>
      </c>
      <c r="C448" s="22">
        <f>IF($D448="","",IF(MOD(ROW()-7,4)=0,INDEX('01人员工时'!$C$7:$C$126,INT((ROW()-7)/4)+1),""))</f>
        <v/>
      </c>
      <c r="D448" s="22">
        <f>IF(INDEX('01人员工时'!$D$7:$D$126,INT((ROW()-7)/4)+1)&amp;""="","",INDEX('01人员工时'!$D$7:$D$126,INT((ROW()-7)/4)+1))</f>
        <v/>
      </c>
      <c r="E448" s="22">
        <f>IF($D448="","",INDEX('参数设置'!$K$6:$K$9,MOD(ROW()-7,4)+1))</f>
        <v/>
      </c>
      <c r="F448" s="23">
        <f>IF($D448="","",IF($V448&lt;&gt;"",$V448,IFERROR(INDEX('参数设置'!$D$17:$G$26,MATCH($D448,'参数设置'!$C$17:$C$26,0),MATCH($E448,'参数设置'!$D$16:$G$16,0)),0)))</f>
        <v/>
      </c>
      <c r="G448" s="24">
        <f>IF($D448="","",INDEX('01人员工时'!$E$7:$E$126,INT((ROW()-7)/4)+1))</f>
        <v/>
      </c>
      <c r="H448" s="24">
        <f>IF($D448="","",INDEX('01人员工时'!$O$7:$O$126,INT((ROW()-7)/4)+1))</f>
        <v/>
      </c>
      <c r="I448" s="20">
        <f>IF(OR($D448="",$G448=0),"",$H448/$G448)</f>
        <v/>
      </c>
      <c r="J448" s="12">
        <f>IF($D448="","",ROUND($F448,2)-$S448)</f>
        <v/>
      </c>
      <c r="K448" s="12">
        <f>IF(OR($D448="",$G448=0),"",ROUND($F448*INDEX('01人员工时'!G$7:G$126,INT((ROW()-7)/4)+1)/$G448,2))</f>
        <v/>
      </c>
      <c r="L448" s="12">
        <f>IF(OR($D448="",$G448=0),"",ROUND($F448*INDEX('01人员工时'!H$7:H$126,INT((ROW()-7)/4)+1)/$G448,2))</f>
        <v/>
      </c>
      <c r="M448" s="12">
        <f>IF(OR($D448="",$G448=0),"",ROUND($F448*INDEX('01人员工时'!I$7:I$126,INT((ROW()-7)/4)+1)/$G448,2))</f>
        <v/>
      </c>
      <c r="N448" s="12">
        <f>IF(OR($D448="",$G448=0),"",ROUND($F448*INDEX('01人员工时'!J$7:J$126,INT((ROW()-7)/4)+1)/$G448,2))</f>
        <v/>
      </c>
      <c r="O448" s="12">
        <f>IF(OR($D448="",$G448=0),"",ROUND($F448*INDEX('01人员工时'!K$7:K$126,INT((ROW()-7)/4)+1)/$G448,2))</f>
        <v/>
      </c>
      <c r="P448" s="12">
        <f>IF(OR($D448="",$G448=0),"",ROUND($F448*INDEX('01人员工时'!L$7:L$126,INT((ROW()-7)/4)+1)/$G448,2))</f>
        <v/>
      </c>
      <c r="Q448" s="12">
        <f>IF(OR($D448="",$G448=0),"",ROUND($F448*INDEX('01人员工时'!M$7:M$126,INT((ROW()-7)/4)+1)/$G448,2))</f>
        <v/>
      </c>
      <c r="R448" s="12">
        <f>IF(OR($D448="",$G448=0),"",ROUND($F448*INDEX('01人员工时'!N$7:N$126,INT((ROW()-7)/4)+1)/$G448,2))</f>
        <v/>
      </c>
      <c r="S448" s="12">
        <f>IF($D448="","",SUM(K448:R448))</f>
        <v/>
      </c>
      <c r="T448" s="12">
        <f>IF($D448="","",$J448+$S448)</f>
        <v/>
      </c>
      <c r="U448" s="25">
        <f>IF($D448="","",IF($F448=0,"未维护标准",IF(ROUND($T448-$F448,2)=0,"√","差异")))</f>
        <v/>
      </c>
      <c r="V448" s="11" t="n"/>
      <c r="W448" s="9" t="n"/>
    </row>
    <row r="449" ht="18" customHeight="1">
      <c r="B449" s="21">
        <f>IF(INDEX('01人员工时'!$D$7:$D$126,INT((ROW()-7)/4)+1)&amp;""="","",INDEX('01人员工时'!$B$7:$B$126,INT((ROW()-7)/4)+1))</f>
        <v/>
      </c>
      <c r="C449" s="22">
        <f>IF($D449="","",IF(MOD(ROW()-7,4)=0,INDEX('01人员工时'!$C$7:$C$126,INT((ROW()-7)/4)+1),""))</f>
        <v/>
      </c>
      <c r="D449" s="22">
        <f>IF(INDEX('01人员工时'!$D$7:$D$126,INT((ROW()-7)/4)+1)&amp;""="","",INDEX('01人员工时'!$D$7:$D$126,INT((ROW()-7)/4)+1))</f>
        <v/>
      </c>
      <c r="E449" s="22">
        <f>IF($D449="","",INDEX('参数设置'!$K$6:$K$9,MOD(ROW()-7,4)+1))</f>
        <v/>
      </c>
      <c r="F449" s="23">
        <f>IF($D449="","",IF($V449&lt;&gt;"",$V449,IFERROR(INDEX('参数设置'!$D$17:$G$26,MATCH($D449,'参数设置'!$C$17:$C$26,0),MATCH($E449,'参数设置'!$D$16:$G$16,0)),0)))</f>
        <v/>
      </c>
      <c r="G449" s="24">
        <f>IF($D449="","",INDEX('01人员工时'!$E$7:$E$126,INT((ROW()-7)/4)+1))</f>
        <v/>
      </c>
      <c r="H449" s="24">
        <f>IF($D449="","",INDEX('01人员工时'!$O$7:$O$126,INT((ROW()-7)/4)+1))</f>
        <v/>
      </c>
      <c r="I449" s="20">
        <f>IF(OR($D449="",$G449=0),"",$H449/$G449)</f>
        <v/>
      </c>
      <c r="J449" s="12">
        <f>IF($D449="","",ROUND($F449,2)-$S449)</f>
        <v/>
      </c>
      <c r="K449" s="12">
        <f>IF(OR($D449="",$G449=0),"",ROUND($F449*INDEX('01人员工时'!G$7:G$126,INT((ROW()-7)/4)+1)/$G449,2))</f>
        <v/>
      </c>
      <c r="L449" s="12">
        <f>IF(OR($D449="",$G449=0),"",ROUND($F449*INDEX('01人员工时'!H$7:H$126,INT((ROW()-7)/4)+1)/$G449,2))</f>
        <v/>
      </c>
      <c r="M449" s="12">
        <f>IF(OR($D449="",$G449=0),"",ROUND($F449*INDEX('01人员工时'!I$7:I$126,INT((ROW()-7)/4)+1)/$G449,2))</f>
        <v/>
      </c>
      <c r="N449" s="12">
        <f>IF(OR($D449="",$G449=0),"",ROUND($F449*INDEX('01人员工时'!J$7:J$126,INT((ROW()-7)/4)+1)/$G449,2))</f>
        <v/>
      </c>
      <c r="O449" s="12">
        <f>IF(OR($D449="",$G449=0),"",ROUND($F449*INDEX('01人员工时'!K$7:K$126,INT((ROW()-7)/4)+1)/$G449,2))</f>
        <v/>
      </c>
      <c r="P449" s="12">
        <f>IF(OR($D449="",$G449=0),"",ROUND($F449*INDEX('01人员工时'!L$7:L$126,INT((ROW()-7)/4)+1)/$G449,2))</f>
        <v/>
      </c>
      <c r="Q449" s="12">
        <f>IF(OR($D449="",$G449=0),"",ROUND($F449*INDEX('01人员工时'!M$7:M$126,INT((ROW()-7)/4)+1)/$G449,2))</f>
        <v/>
      </c>
      <c r="R449" s="12">
        <f>IF(OR($D449="",$G449=0),"",ROUND($F449*INDEX('01人员工时'!N$7:N$126,INT((ROW()-7)/4)+1)/$G449,2))</f>
        <v/>
      </c>
      <c r="S449" s="12">
        <f>IF($D449="","",SUM(K449:R449))</f>
        <v/>
      </c>
      <c r="T449" s="12">
        <f>IF($D449="","",$J449+$S449)</f>
        <v/>
      </c>
      <c r="U449" s="25">
        <f>IF($D449="","",IF($F449=0,"未维护标准",IF(ROUND($T449-$F449,2)=0,"√","差异")))</f>
        <v/>
      </c>
      <c r="V449" s="11" t="n"/>
      <c r="W449" s="9" t="n"/>
    </row>
    <row r="450" ht="18" customHeight="1">
      <c r="B450" s="26">
        <f>IF(INDEX('01人员工时'!$D$7:$D$126,INT((ROW()-7)/4)+1)&amp;""="","",INDEX('01人员工时'!$B$7:$B$126,INT((ROW()-7)/4)+1))</f>
        <v/>
      </c>
      <c r="C450" s="27">
        <f>IF($D450="","",IF(MOD(ROW()-7,4)=0,INDEX('01人员工时'!$C$7:$C$126,INT((ROW()-7)/4)+1),""))</f>
        <v/>
      </c>
      <c r="D450" s="27">
        <f>IF(INDEX('01人员工时'!$D$7:$D$126,INT((ROW()-7)/4)+1)&amp;""="","",INDEX('01人员工时'!$D$7:$D$126,INT((ROW()-7)/4)+1))</f>
        <v/>
      </c>
      <c r="E450" s="27">
        <f>IF($D450="","",INDEX('参数设置'!$K$6:$K$9,MOD(ROW()-7,4)+1))</f>
        <v/>
      </c>
      <c r="F450" s="28">
        <f>IF($D450="","",IF($V450&lt;&gt;"",$V450,IFERROR(INDEX('参数设置'!$D$17:$G$26,MATCH($D450,'参数设置'!$C$17:$C$26,0),MATCH($E450,'参数设置'!$D$16:$G$16,0)),0)))</f>
        <v/>
      </c>
      <c r="G450" s="29">
        <f>IF($D450="","",INDEX('01人员工时'!$E$7:$E$126,INT((ROW()-7)/4)+1))</f>
        <v/>
      </c>
      <c r="H450" s="29">
        <f>IF($D450="","",INDEX('01人员工时'!$O$7:$O$126,INT((ROW()-7)/4)+1))</f>
        <v/>
      </c>
      <c r="I450" s="30">
        <f>IF(OR($D450="",$G450=0),"",$H450/$G450)</f>
        <v/>
      </c>
      <c r="J450" s="31">
        <f>IF($D450="","",ROUND($F450,2)-$S450)</f>
        <v/>
      </c>
      <c r="K450" s="31">
        <f>IF(OR($D450="",$G450=0),"",ROUND($F450*INDEX('01人员工时'!G$7:G$126,INT((ROW()-7)/4)+1)/$G450,2))</f>
        <v/>
      </c>
      <c r="L450" s="31">
        <f>IF(OR($D450="",$G450=0),"",ROUND($F450*INDEX('01人员工时'!H$7:H$126,INT((ROW()-7)/4)+1)/$G450,2))</f>
        <v/>
      </c>
      <c r="M450" s="31">
        <f>IF(OR($D450="",$G450=0),"",ROUND($F450*INDEX('01人员工时'!I$7:I$126,INT((ROW()-7)/4)+1)/$G450,2))</f>
        <v/>
      </c>
      <c r="N450" s="31">
        <f>IF(OR($D450="",$G450=0),"",ROUND($F450*INDEX('01人员工时'!J$7:J$126,INT((ROW()-7)/4)+1)/$G450,2))</f>
        <v/>
      </c>
      <c r="O450" s="31">
        <f>IF(OR($D450="",$G450=0),"",ROUND($F450*INDEX('01人员工时'!K$7:K$126,INT((ROW()-7)/4)+1)/$G450,2))</f>
        <v/>
      </c>
      <c r="P450" s="31">
        <f>IF(OR($D450="",$G450=0),"",ROUND($F450*INDEX('01人员工时'!L$7:L$126,INT((ROW()-7)/4)+1)/$G450,2))</f>
        <v/>
      </c>
      <c r="Q450" s="31">
        <f>IF(OR($D450="",$G450=0),"",ROUND($F450*INDEX('01人员工时'!M$7:M$126,INT((ROW()-7)/4)+1)/$G450,2))</f>
        <v/>
      </c>
      <c r="R450" s="31">
        <f>IF(OR($D450="",$G450=0),"",ROUND($F450*INDEX('01人员工时'!N$7:N$126,INT((ROW()-7)/4)+1)/$G450,2))</f>
        <v/>
      </c>
      <c r="S450" s="31">
        <f>IF($D450="","",SUM(K450:R450))</f>
        <v/>
      </c>
      <c r="T450" s="31">
        <f>IF($D450="","",$J450+$S450)</f>
        <v/>
      </c>
      <c r="U450" s="32">
        <f>IF($D450="","",IF($F450=0,"未维护标准",IF(ROUND($T450-$F450,2)=0,"√","差异")))</f>
        <v/>
      </c>
      <c r="V450" s="33" t="n"/>
      <c r="W450" s="34" t="n"/>
    </row>
    <row r="451" ht="18" customHeight="1">
      <c r="B451" s="21">
        <f>IF(INDEX('01人员工时'!$D$7:$D$126,INT((ROW()-7)/4)+1)&amp;""="","",INDEX('01人员工时'!$B$7:$B$126,INT((ROW()-7)/4)+1))</f>
        <v/>
      </c>
      <c r="C451" s="22">
        <f>IF($D451="","",IF(MOD(ROW()-7,4)=0,INDEX('01人员工时'!$C$7:$C$126,INT((ROW()-7)/4)+1),""))</f>
        <v/>
      </c>
      <c r="D451" s="22">
        <f>IF(INDEX('01人员工时'!$D$7:$D$126,INT((ROW()-7)/4)+1)&amp;""="","",INDEX('01人员工时'!$D$7:$D$126,INT((ROW()-7)/4)+1))</f>
        <v/>
      </c>
      <c r="E451" s="22">
        <f>IF($D451="","",INDEX('参数设置'!$K$6:$K$9,MOD(ROW()-7,4)+1))</f>
        <v/>
      </c>
      <c r="F451" s="23">
        <f>IF($D451="","",IF($V451&lt;&gt;"",$V451,IFERROR(INDEX('参数设置'!$D$17:$G$26,MATCH($D451,'参数设置'!$C$17:$C$26,0),MATCH($E451,'参数设置'!$D$16:$G$16,0)),0)))</f>
        <v/>
      </c>
      <c r="G451" s="24">
        <f>IF($D451="","",INDEX('01人员工时'!$E$7:$E$126,INT((ROW()-7)/4)+1))</f>
        <v/>
      </c>
      <c r="H451" s="24">
        <f>IF($D451="","",INDEX('01人员工时'!$O$7:$O$126,INT((ROW()-7)/4)+1))</f>
        <v/>
      </c>
      <c r="I451" s="20">
        <f>IF(OR($D451="",$G451=0),"",$H451/$G451)</f>
        <v/>
      </c>
      <c r="J451" s="12">
        <f>IF($D451="","",ROUND($F451,2)-$S451)</f>
        <v/>
      </c>
      <c r="K451" s="12">
        <f>IF(OR($D451="",$G451=0),"",ROUND($F451*INDEX('01人员工时'!G$7:G$126,INT((ROW()-7)/4)+1)/$G451,2))</f>
        <v/>
      </c>
      <c r="L451" s="12">
        <f>IF(OR($D451="",$G451=0),"",ROUND($F451*INDEX('01人员工时'!H$7:H$126,INT((ROW()-7)/4)+1)/$G451,2))</f>
        <v/>
      </c>
      <c r="M451" s="12">
        <f>IF(OR($D451="",$G451=0),"",ROUND($F451*INDEX('01人员工时'!I$7:I$126,INT((ROW()-7)/4)+1)/$G451,2))</f>
        <v/>
      </c>
      <c r="N451" s="12">
        <f>IF(OR($D451="",$G451=0),"",ROUND($F451*INDEX('01人员工时'!J$7:J$126,INT((ROW()-7)/4)+1)/$G451,2))</f>
        <v/>
      </c>
      <c r="O451" s="12">
        <f>IF(OR($D451="",$G451=0),"",ROUND($F451*INDEX('01人员工时'!K$7:K$126,INT((ROW()-7)/4)+1)/$G451,2))</f>
        <v/>
      </c>
      <c r="P451" s="12">
        <f>IF(OR($D451="",$G451=0),"",ROUND($F451*INDEX('01人员工时'!L$7:L$126,INT((ROW()-7)/4)+1)/$G451,2))</f>
        <v/>
      </c>
      <c r="Q451" s="12">
        <f>IF(OR($D451="",$G451=0),"",ROUND($F451*INDEX('01人员工时'!M$7:M$126,INT((ROW()-7)/4)+1)/$G451,2))</f>
        <v/>
      </c>
      <c r="R451" s="12">
        <f>IF(OR($D451="",$G451=0),"",ROUND($F451*INDEX('01人员工时'!N$7:N$126,INT((ROW()-7)/4)+1)/$G451,2))</f>
        <v/>
      </c>
      <c r="S451" s="12">
        <f>IF($D451="","",SUM(K451:R451))</f>
        <v/>
      </c>
      <c r="T451" s="12">
        <f>IF($D451="","",$J451+$S451)</f>
        <v/>
      </c>
      <c r="U451" s="25">
        <f>IF($D451="","",IF($F451=0,"未维护标准",IF(ROUND($T451-$F451,2)=0,"√","差异")))</f>
        <v/>
      </c>
      <c r="V451" s="11" t="n"/>
      <c r="W451" s="9" t="n"/>
    </row>
    <row r="452" ht="18" customHeight="1">
      <c r="B452" s="21">
        <f>IF(INDEX('01人员工时'!$D$7:$D$126,INT((ROW()-7)/4)+1)&amp;""="","",INDEX('01人员工时'!$B$7:$B$126,INT((ROW()-7)/4)+1))</f>
        <v/>
      </c>
      <c r="C452" s="22">
        <f>IF($D452="","",IF(MOD(ROW()-7,4)=0,INDEX('01人员工时'!$C$7:$C$126,INT((ROW()-7)/4)+1),""))</f>
        <v/>
      </c>
      <c r="D452" s="22">
        <f>IF(INDEX('01人员工时'!$D$7:$D$126,INT((ROW()-7)/4)+1)&amp;""="","",INDEX('01人员工时'!$D$7:$D$126,INT((ROW()-7)/4)+1))</f>
        <v/>
      </c>
      <c r="E452" s="22">
        <f>IF($D452="","",INDEX('参数设置'!$K$6:$K$9,MOD(ROW()-7,4)+1))</f>
        <v/>
      </c>
      <c r="F452" s="23">
        <f>IF($D452="","",IF($V452&lt;&gt;"",$V452,IFERROR(INDEX('参数设置'!$D$17:$G$26,MATCH($D452,'参数设置'!$C$17:$C$26,0),MATCH($E452,'参数设置'!$D$16:$G$16,0)),0)))</f>
        <v/>
      </c>
      <c r="G452" s="24">
        <f>IF($D452="","",INDEX('01人员工时'!$E$7:$E$126,INT((ROW()-7)/4)+1))</f>
        <v/>
      </c>
      <c r="H452" s="24">
        <f>IF($D452="","",INDEX('01人员工时'!$O$7:$O$126,INT((ROW()-7)/4)+1))</f>
        <v/>
      </c>
      <c r="I452" s="20">
        <f>IF(OR($D452="",$G452=0),"",$H452/$G452)</f>
        <v/>
      </c>
      <c r="J452" s="12">
        <f>IF($D452="","",ROUND($F452,2)-$S452)</f>
        <v/>
      </c>
      <c r="K452" s="12">
        <f>IF(OR($D452="",$G452=0),"",ROUND($F452*INDEX('01人员工时'!G$7:G$126,INT((ROW()-7)/4)+1)/$G452,2))</f>
        <v/>
      </c>
      <c r="L452" s="12">
        <f>IF(OR($D452="",$G452=0),"",ROUND($F452*INDEX('01人员工时'!H$7:H$126,INT((ROW()-7)/4)+1)/$G452,2))</f>
        <v/>
      </c>
      <c r="M452" s="12">
        <f>IF(OR($D452="",$G452=0),"",ROUND($F452*INDEX('01人员工时'!I$7:I$126,INT((ROW()-7)/4)+1)/$G452,2))</f>
        <v/>
      </c>
      <c r="N452" s="12">
        <f>IF(OR($D452="",$G452=0),"",ROUND($F452*INDEX('01人员工时'!J$7:J$126,INT((ROW()-7)/4)+1)/$G452,2))</f>
        <v/>
      </c>
      <c r="O452" s="12">
        <f>IF(OR($D452="",$G452=0),"",ROUND($F452*INDEX('01人员工时'!K$7:K$126,INT((ROW()-7)/4)+1)/$G452,2))</f>
        <v/>
      </c>
      <c r="P452" s="12">
        <f>IF(OR($D452="",$G452=0),"",ROUND($F452*INDEX('01人员工时'!L$7:L$126,INT((ROW()-7)/4)+1)/$G452,2))</f>
        <v/>
      </c>
      <c r="Q452" s="12">
        <f>IF(OR($D452="",$G452=0),"",ROUND($F452*INDEX('01人员工时'!M$7:M$126,INT((ROW()-7)/4)+1)/$G452,2))</f>
        <v/>
      </c>
      <c r="R452" s="12">
        <f>IF(OR($D452="",$G452=0),"",ROUND($F452*INDEX('01人员工时'!N$7:N$126,INT((ROW()-7)/4)+1)/$G452,2))</f>
        <v/>
      </c>
      <c r="S452" s="12">
        <f>IF($D452="","",SUM(K452:R452))</f>
        <v/>
      </c>
      <c r="T452" s="12">
        <f>IF($D452="","",$J452+$S452)</f>
        <v/>
      </c>
      <c r="U452" s="25">
        <f>IF($D452="","",IF($F452=0,"未维护标准",IF(ROUND($T452-$F452,2)=0,"√","差异")))</f>
        <v/>
      </c>
      <c r="V452" s="11" t="n"/>
      <c r="W452" s="9" t="n"/>
    </row>
    <row r="453" ht="18" customHeight="1">
      <c r="B453" s="21">
        <f>IF(INDEX('01人员工时'!$D$7:$D$126,INT((ROW()-7)/4)+1)&amp;""="","",INDEX('01人员工时'!$B$7:$B$126,INT((ROW()-7)/4)+1))</f>
        <v/>
      </c>
      <c r="C453" s="22">
        <f>IF($D453="","",IF(MOD(ROW()-7,4)=0,INDEX('01人员工时'!$C$7:$C$126,INT((ROW()-7)/4)+1),""))</f>
        <v/>
      </c>
      <c r="D453" s="22">
        <f>IF(INDEX('01人员工时'!$D$7:$D$126,INT((ROW()-7)/4)+1)&amp;""="","",INDEX('01人员工时'!$D$7:$D$126,INT((ROW()-7)/4)+1))</f>
        <v/>
      </c>
      <c r="E453" s="22">
        <f>IF($D453="","",INDEX('参数设置'!$K$6:$K$9,MOD(ROW()-7,4)+1))</f>
        <v/>
      </c>
      <c r="F453" s="23">
        <f>IF($D453="","",IF($V453&lt;&gt;"",$V453,IFERROR(INDEX('参数设置'!$D$17:$G$26,MATCH($D453,'参数设置'!$C$17:$C$26,0),MATCH($E453,'参数设置'!$D$16:$G$16,0)),0)))</f>
        <v/>
      </c>
      <c r="G453" s="24">
        <f>IF($D453="","",INDEX('01人员工时'!$E$7:$E$126,INT((ROW()-7)/4)+1))</f>
        <v/>
      </c>
      <c r="H453" s="24">
        <f>IF($D453="","",INDEX('01人员工时'!$O$7:$O$126,INT((ROW()-7)/4)+1))</f>
        <v/>
      </c>
      <c r="I453" s="20">
        <f>IF(OR($D453="",$G453=0),"",$H453/$G453)</f>
        <v/>
      </c>
      <c r="J453" s="12">
        <f>IF($D453="","",ROUND($F453,2)-$S453)</f>
        <v/>
      </c>
      <c r="K453" s="12">
        <f>IF(OR($D453="",$G453=0),"",ROUND($F453*INDEX('01人员工时'!G$7:G$126,INT((ROW()-7)/4)+1)/$G453,2))</f>
        <v/>
      </c>
      <c r="L453" s="12">
        <f>IF(OR($D453="",$G453=0),"",ROUND($F453*INDEX('01人员工时'!H$7:H$126,INT((ROW()-7)/4)+1)/$G453,2))</f>
        <v/>
      </c>
      <c r="M453" s="12">
        <f>IF(OR($D453="",$G453=0),"",ROUND($F453*INDEX('01人员工时'!I$7:I$126,INT((ROW()-7)/4)+1)/$G453,2))</f>
        <v/>
      </c>
      <c r="N453" s="12">
        <f>IF(OR($D453="",$G453=0),"",ROUND($F453*INDEX('01人员工时'!J$7:J$126,INT((ROW()-7)/4)+1)/$G453,2))</f>
        <v/>
      </c>
      <c r="O453" s="12">
        <f>IF(OR($D453="",$G453=0),"",ROUND($F453*INDEX('01人员工时'!K$7:K$126,INT((ROW()-7)/4)+1)/$G453,2))</f>
        <v/>
      </c>
      <c r="P453" s="12">
        <f>IF(OR($D453="",$G453=0),"",ROUND($F453*INDEX('01人员工时'!L$7:L$126,INT((ROW()-7)/4)+1)/$G453,2))</f>
        <v/>
      </c>
      <c r="Q453" s="12">
        <f>IF(OR($D453="",$G453=0),"",ROUND($F453*INDEX('01人员工时'!M$7:M$126,INT((ROW()-7)/4)+1)/$G453,2))</f>
        <v/>
      </c>
      <c r="R453" s="12">
        <f>IF(OR($D453="",$G453=0),"",ROUND($F453*INDEX('01人员工时'!N$7:N$126,INT((ROW()-7)/4)+1)/$G453,2))</f>
        <v/>
      </c>
      <c r="S453" s="12">
        <f>IF($D453="","",SUM(K453:R453))</f>
        <v/>
      </c>
      <c r="T453" s="12">
        <f>IF($D453="","",$J453+$S453)</f>
        <v/>
      </c>
      <c r="U453" s="25">
        <f>IF($D453="","",IF($F453=0,"未维护标准",IF(ROUND($T453-$F453,2)=0,"√","差异")))</f>
        <v/>
      </c>
      <c r="V453" s="11" t="n"/>
      <c r="W453" s="9" t="n"/>
    </row>
    <row r="454" ht="18" customHeight="1">
      <c r="B454" s="26">
        <f>IF(INDEX('01人员工时'!$D$7:$D$126,INT((ROW()-7)/4)+1)&amp;""="","",INDEX('01人员工时'!$B$7:$B$126,INT((ROW()-7)/4)+1))</f>
        <v/>
      </c>
      <c r="C454" s="27">
        <f>IF($D454="","",IF(MOD(ROW()-7,4)=0,INDEX('01人员工时'!$C$7:$C$126,INT((ROW()-7)/4)+1),""))</f>
        <v/>
      </c>
      <c r="D454" s="27">
        <f>IF(INDEX('01人员工时'!$D$7:$D$126,INT((ROW()-7)/4)+1)&amp;""="","",INDEX('01人员工时'!$D$7:$D$126,INT((ROW()-7)/4)+1))</f>
        <v/>
      </c>
      <c r="E454" s="27">
        <f>IF($D454="","",INDEX('参数设置'!$K$6:$K$9,MOD(ROW()-7,4)+1))</f>
        <v/>
      </c>
      <c r="F454" s="28">
        <f>IF($D454="","",IF($V454&lt;&gt;"",$V454,IFERROR(INDEX('参数设置'!$D$17:$G$26,MATCH($D454,'参数设置'!$C$17:$C$26,0),MATCH($E454,'参数设置'!$D$16:$G$16,0)),0)))</f>
        <v/>
      </c>
      <c r="G454" s="29">
        <f>IF($D454="","",INDEX('01人员工时'!$E$7:$E$126,INT((ROW()-7)/4)+1))</f>
        <v/>
      </c>
      <c r="H454" s="29">
        <f>IF($D454="","",INDEX('01人员工时'!$O$7:$O$126,INT((ROW()-7)/4)+1))</f>
        <v/>
      </c>
      <c r="I454" s="30">
        <f>IF(OR($D454="",$G454=0),"",$H454/$G454)</f>
        <v/>
      </c>
      <c r="J454" s="31">
        <f>IF($D454="","",ROUND($F454,2)-$S454)</f>
        <v/>
      </c>
      <c r="K454" s="31">
        <f>IF(OR($D454="",$G454=0),"",ROUND($F454*INDEX('01人员工时'!G$7:G$126,INT((ROW()-7)/4)+1)/$G454,2))</f>
        <v/>
      </c>
      <c r="L454" s="31">
        <f>IF(OR($D454="",$G454=0),"",ROUND($F454*INDEX('01人员工时'!H$7:H$126,INT((ROW()-7)/4)+1)/$G454,2))</f>
        <v/>
      </c>
      <c r="M454" s="31">
        <f>IF(OR($D454="",$G454=0),"",ROUND($F454*INDEX('01人员工时'!I$7:I$126,INT((ROW()-7)/4)+1)/$G454,2))</f>
        <v/>
      </c>
      <c r="N454" s="31">
        <f>IF(OR($D454="",$G454=0),"",ROUND($F454*INDEX('01人员工时'!J$7:J$126,INT((ROW()-7)/4)+1)/$G454,2))</f>
        <v/>
      </c>
      <c r="O454" s="31">
        <f>IF(OR($D454="",$G454=0),"",ROUND($F454*INDEX('01人员工时'!K$7:K$126,INT((ROW()-7)/4)+1)/$G454,2))</f>
        <v/>
      </c>
      <c r="P454" s="31">
        <f>IF(OR($D454="",$G454=0),"",ROUND($F454*INDEX('01人员工时'!L$7:L$126,INT((ROW()-7)/4)+1)/$G454,2))</f>
        <v/>
      </c>
      <c r="Q454" s="31">
        <f>IF(OR($D454="",$G454=0),"",ROUND($F454*INDEX('01人员工时'!M$7:M$126,INT((ROW()-7)/4)+1)/$G454,2))</f>
        <v/>
      </c>
      <c r="R454" s="31">
        <f>IF(OR($D454="",$G454=0),"",ROUND($F454*INDEX('01人员工时'!N$7:N$126,INT((ROW()-7)/4)+1)/$G454,2))</f>
        <v/>
      </c>
      <c r="S454" s="31">
        <f>IF($D454="","",SUM(K454:R454))</f>
        <v/>
      </c>
      <c r="T454" s="31">
        <f>IF($D454="","",$J454+$S454)</f>
        <v/>
      </c>
      <c r="U454" s="32">
        <f>IF($D454="","",IF($F454=0,"未维护标准",IF(ROUND($T454-$F454,2)=0,"√","差异")))</f>
        <v/>
      </c>
      <c r="V454" s="33" t="n"/>
      <c r="W454" s="34" t="n"/>
    </row>
    <row r="455" ht="18" customHeight="1">
      <c r="B455" s="21">
        <f>IF(INDEX('01人员工时'!$D$7:$D$126,INT((ROW()-7)/4)+1)&amp;""="","",INDEX('01人员工时'!$B$7:$B$126,INT((ROW()-7)/4)+1))</f>
        <v/>
      </c>
      <c r="C455" s="22">
        <f>IF($D455="","",IF(MOD(ROW()-7,4)=0,INDEX('01人员工时'!$C$7:$C$126,INT((ROW()-7)/4)+1),""))</f>
        <v/>
      </c>
      <c r="D455" s="22">
        <f>IF(INDEX('01人员工时'!$D$7:$D$126,INT((ROW()-7)/4)+1)&amp;""="","",INDEX('01人员工时'!$D$7:$D$126,INT((ROW()-7)/4)+1))</f>
        <v/>
      </c>
      <c r="E455" s="22">
        <f>IF($D455="","",INDEX('参数设置'!$K$6:$K$9,MOD(ROW()-7,4)+1))</f>
        <v/>
      </c>
      <c r="F455" s="23">
        <f>IF($D455="","",IF($V455&lt;&gt;"",$V455,IFERROR(INDEX('参数设置'!$D$17:$G$26,MATCH($D455,'参数设置'!$C$17:$C$26,0),MATCH($E455,'参数设置'!$D$16:$G$16,0)),0)))</f>
        <v/>
      </c>
      <c r="G455" s="24">
        <f>IF($D455="","",INDEX('01人员工时'!$E$7:$E$126,INT((ROW()-7)/4)+1))</f>
        <v/>
      </c>
      <c r="H455" s="24">
        <f>IF($D455="","",INDEX('01人员工时'!$O$7:$O$126,INT((ROW()-7)/4)+1))</f>
        <v/>
      </c>
      <c r="I455" s="20">
        <f>IF(OR($D455="",$G455=0),"",$H455/$G455)</f>
        <v/>
      </c>
      <c r="J455" s="12">
        <f>IF($D455="","",ROUND($F455,2)-$S455)</f>
        <v/>
      </c>
      <c r="K455" s="12">
        <f>IF(OR($D455="",$G455=0),"",ROUND($F455*INDEX('01人员工时'!G$7:G$126,INT((ROW()-7)/4)+1)/$G455,2))</f>
        <v/>
      </c>
      <c r="L455" s="12">
        <f>IF(OR($D455="",$G455=0),"",ROUND($F455*INDEX('01人员工时'!H$7:H$126,INT((ROW()-7)/4)+1)/$G455,2))</f>
        <v/>
      </c>
      <c r="M455" s="12">
        <f>IF(OR($D455="",$G455=0),"",ROUND($F455*INDEX('01人员工时'!I$7:I$126,INT((ROW()-7)/4)+1)/$G455,2))</f>
        <v/>
      </c>
      <c r="N455" s="12">
        <f>IF(OR($D455="",$G455=0),"",ROUND($F455*INDEX('01人员工时'!J$7:J$126,INT((ROW()-7)/4)+1)/$G455,2))</f>
        <v/>
      </c>
      <c r="O455" s="12">
        <f>IF(OR($D455="",$G455=0),"",ROUND($F455*INDEX('01人员工时'!K$7:K$126,INT((ROW()-7)/4)+1)/$G455,2))</f>
        <v/>
      </c>
      <c r="P455" s="12">
        <f>IF(OR($D455="",$G455=0),"",ROUND($F455*INDEX('01人员工时'!L$7:L$126,INT((ROW()-7)/4)+1)/$G455,2))</f>
        <v/>
      </c>
      <c r="Q455" s="12">
        <f>IF(OR($D455="",$G455=0),"",ROUND($F455*INDEX('01人员工时'!M$7:M$126,INT((ROW()-7)/4)+1)/$G455,2))</f>
        <v/>
      </c>
      <c r="R455" s="12">
        <f>IF(OR($D455="",$G455=0),"",ROUND($F455*INDEX('01人员工时'!N$7:N$126,INT((ROW()-7)/4)+1)/$G455,2))</f>
        <v/>
      </c>
      <c r="S455" s="12">
        <f>IF($D455="","",SUM(K455:R455))</f>
        <v/>
      </c>
      <c r="T455" s="12">
        <f>IF($D455="","",$J455+$S455)</f>
        <v/>
      </c>
      <c r="U455" s="25">
        <f>IF($D455="","",IF($F455=0,"未维护标准",IF(ROUND($T455-$F455,2)=0,"√","差异")))</f>
        <v/>
      </c>
      <c r="V455" s="11" t="n"/>
      <c r="W455" s="9" t="n"/>
    </row>
    <row r="456" ht="18" customHeight="1">
      <c r="B456" s="21">
        <f>IF(INDEX('01人员工时'!$D$7:$D$126,INT((ROW()-7)/4)+1)&amp;""="","",INDEX('01人员工时'!$B$7:$B$126,INT((ROW()-7)/4)+1))</f>
        <v/>
      </c>
      <c r="C456" s="22">
        <f>IF($D456="","",IF(MOD(ROW()-7,4)=0,INDEX('01人员工时'!$C$7:$C$126,INT((ROW()-7)/4)+1),""))</f>
        <v/>
      </c>
      <c r="D456" s="22">
        <f>IF(INDEX('01人员工时'!$D$7:$D$126,INT((ROW()-7)/4)+1)&amp;""="","",INDEX('01人员工时'!$D$7:$D$126,INT((ROW()-7)/4)+1))</f>
        <v/>
      </c>
      <c r="E456" s="22">
        <f>IF($D456="","",INDEX('参数设置'!$K$6:$K$9,MOD(ROW()-7,4)+1))</f>
        <v/>
      </c>
      <c r="F456" s="23">
        <f>IF($D456="","",IF($V456&lt;&gt;"",$V456,IFERROR(INDEX('参数设置'!$D$17:$G$26,MATCH($D456,'参数设置'!$C$17:$C$26,0),MATCH($E456,'参数设置'!$D$16:$G$16,0)),0)))</f>
        <v/>
      </c>
      <c r="G456" s="24">
        <f>IF($D456="","",INDEX('01人员工时'!$E$7:$E$126,INT((ROW()-7)/4)+1))</f>
        <v/>
      </c>
      <c r="H456" s="24">
        <f>IF($D456="","",INDEX('01人员工时'!$O$7:$O$126,INT((ROW()-7)/4)+1))</f>
        <v/>
      </c>
      <c r="I456" s="20">
        <f>IF(OR($D456="",$G456=0),"",$H456/$G456)</f>
        <v/>
      </c>
      <c r="J456" s="12">
        <f>IF($D456="","",ROUND($F456,2)-$S456)</f>
        <v/>
      </c>
      <c r="K456" s="12">
        <f>IF(OR($D456="",$G456=0),"",ROUND($F456*INDEX('01人员工时'!G$7:G$126,INT((ROW()-7)/4)+1)/$G456,2))</f>
        <v/>
      </c>
      <c r="L456" s="12">
        <f>IF(OR($D456="",$G456=0),"",ROUND($F456*INDEX('01人员工时'!H$7:H$126,INT((ROW()-7)/4)+1)/$G456,2))</f>
        <v/>
      </c>
      <c r="M456" s="12">
        <f>IF(OR($D456="",$G456=0),"",ROUND($F456*INDEX('01人员工时'!I$7:I$126,INT((ROW()-7)/4)+1)/$G456,2))</f>
        <v/>
      </c>
      <c r="N456" s="12">
        <f>IF(OR($D456="",$G456=0),"",ROUND($F456*INDEX('01人员工时'!J$7:J$126,INT((ROW()-7)/4)+1)/$G456,2))</f>
        <v/>
      </c>
      <c r="O456" s="12">
        <f>IF(OR($D456="",$G456=0),"",ROUND($F456*INDEX('01人员工时'!K$7:K$126,INT((ROW()-7)/4)+1)/$G456,2))</f>
        <v/>
      </c>
      <c r="P456" s="12">
        <f>IF(OR($D456="",$G456=0),"",ROUND($F456*INDEX('01人员工时'!L$7:L$126,INT((ROW()-7)/4)+1)/$G456,2))</f>
        <v/>
      </c>
      <c r="Q456" s="12">
        <f>IF(OR($D456="",$G456=0),"",ROUND($F456*INDEX('01人员工时'!M$7:M$126,INT((ROW()-7)/4)+1)/$G456,2))</f>
        <v/>
      </c>
      <c r="R456" s="12">
        <f>IF(OR($D456="",$G456=0),"",ROUND($F456*INDEX('01人员工时'!N$7:N$126,INT((ROW()-7)/4)+1)/$G456,2))</f>
        <v/>
      </c>
      <c r="S456" s="12">
        <f>IF($D456="","",SUM(K456:R456))</f>
        <v/>
      </c>
      <c r="T456" s="12">
        <f>IF($D456="","",$J456+$S456)</f>
        <v/>
      </c>
      <c r="U456" s="25">
        <f>IF($D456="","",IF($F456=0,"未维护标准",IF(ROUND($T456-$F456,2)=0,"√","差异")))</f>
        <v/>
      </c>
      <c r="V456" s="11" t="n"/>
      <c r="W456" s="9" t="n"/>
    </row>
    <row r="457" ht="18" customHeight="1">
      <c r="B457" s="21">
        <f>IF(INDEX('01人员工时'!$D$7:$D$126,INT((ROW()-7)/4)+1)&amp;""="","",INDEX('01人员工时'!$B$7:$B$126,INT((ROW()-7)/4)+1))</f>
        <v/>
      </c>
      <c r="C457" s="22">
        <f>IF($D457="","",IF(MOD(ROW()-7,4)=0,INDEX('01人员工时'!$C$7:$C$126,INT((ROW()-7)/4)+1),""))</f>
        <v/>
      </c>
      <c r="D457" s="22">
        <f>IF(INDEX('01人员工时'!$D$7:$D$126,INT((ROW()-7)/4)+1)&amp;""="","",INDEX('01人员工时'!$D$7:$D$126,INT((ROW()-7)/4)+1))</f>
        <v/>
      </c>
      <c r="E457" s="22">
        <f>IF($D457="","",INDEX('参数设置'!$K$6:$K$9,MOD(ROW()-7,4)+1))</f>
        <v/>
      </c>
      <c r="F457" s="23">
        <f>IF($D457="","",IF($V457&lt;&gt;"",$V457,IFERROR(INDEX('参数设置'!$D$17:$G$26,MATCH($D457,'参数设置'!$C$17:$C$26,0),MATCH($E457,'参数设置'!$D$16:$G$16,0)),0)))</f>
        <v/>
      </c>
      <c r="G457" s="24">
        <f>IF($D457="","",INDEX('01人员工时'!$E$7:$E$126,INT((ROW()-7)/4)+1))</f>
        <v/>
      </c>
      <c r="H457" s="24">
        <f>IF($D457="","",INDEX('01人员工时'!$O$7:$O$126,INT((ROW()-7)/4)+1))</f>
        <v/>
      </c>
      <c r="I457" s="20">
        <f>IF(OR($D457="",$G457=0),"",$H457/$G457)</f>
        <v/>
      </c>
      <c r="J457" s="12">
        <f>IF($D457="","",ROUND($F457,2)-$S457)</f>
        <v/>
      </c>
      <c r="K457" s="12">
        <f>IF(OR($D457="",$G457=0),"",ROUND($F457*INDEX('01人员工时'!G$7:G$126,INT((ROW()-7)/4)+1)/$G457,2))</f>
        <v/>
      </c>
      <c r="L457" s="12">
        <f>IF(OR($D457="",$G457=0),"",ROUND($F457*INDEX('01人员工时'!H$7:H$126,INT((ROW()-7)/4)+1)/$G457,2))</f>
        <v/>
      </c>
      <c r="M457" s="12">
        <f>IF(OR($D457="",$G457=0),"",ROUND($F457*INDEX('01人员工时'!I$7:I$126,INT((ROW()-7)/4)+1)/$G457,2))</f>
        <v/>
      </c>
      <c r="N457" s="12">
        <f>IF(OR($D457="",$G457=0),"",ROUND($F457*INDEX('01人员工时'!J$7:J$126,INT((ROW()-7)/4)+1)/$G457,2))</f>
        <v/>
      </c>
      <c r="O457" s="12">
        <f>IF(OR($D457="",$G457=0),"",ROUND($F457*INDEX('01人员工时'!K$7:K$126,INT((ROW()-7)/4)+1)/$G457,2))</f>
        <v/>
      </c>
      <c r="P457" s="12">
        <f>IF(OR($D457="",$G457=0),"",ROUND($F457*INDEX('01人员工时'!L$7:L$126,INT((ROW()-7)/4)+1)/$G457,2))</f>
        <v/>
      </c>
      <c r="Q457" s="12">
        <f>IF(OR($D457="",$G457=0),"",ROUND($F457*INDEX('01人员工时'!M$7:M$126,INT((ROW()-7)/4)+1)/$G457,2))</f>
        <v/>
      </c>
      <c r="R457" s="12">
        <f>IF(OR($D457="",$G457=0),"",ROUND($F457*INDEX('01人员工时'!N$7:N$126,INT((ROW()-7)/4)+1)/$G457,2))</f>
        <v/>
      </c>
      <c r="S457" s="12">
        <f>IF($D457="","",SUM(K457:R457))</f>
        <v/>
      </c>
      <c r="T457" s="12">
        <f>IF($D457="","",$J457+$S457)</f>
        <v/>
      </c>
      <c r="U457" s="25">
        <f>IF($D457="","",IF($F457=0,"未维护标准",IF(ROUND($T457-$F457,2)=0,"√","差异")))</f>
        <v/>
      </c>
      <c r="V457" s="11" t="n"/>
      <c r="W457" s="9" t="n"/>
    </row>
    <row r="458" ht="18" customHeight="1">
      <c r="B458" s="26">
        <f>IF(INDEX('01人员工时'!$D$7:$D$126,INT((ROW()-7)/4)+1)&amp;""="","",INDEX('01人员工时'!$B$7:$B$126,INT((ROW()-7)/4)+1))</f>
        <v/>
      </c>
      <c r="C458" s="27">
        <f>IF($D458="","",IF(MOD(ROW()-7,4)=0,INDEX('01人员工时'!$C$7:$C$126,INT((ROW()-7)/4)+1),""))</f>
        <v/>
      </c>
      <c r="D458" s="27">
        <f>IF(INDEX('01人员工时'!$D$7:$D$126,INT((ROW()-7)/4)+1)&amp;""="","",INDEX('01人员工时'!$D$7:$D$126,INT((ROW()-7)/4)+1))</f>
        <v/>
      </c>
      <c r="E458" s="27">
        <f>IF($D458="","",INDEX('参数设置'!$K$6:$K$9,MOD(ROW()-7,4)+1))</f>
        <v/>
      </c>
      <c r="F458" s="28">
        <f>IF($D458="","",IF($V458&lt;&gt;"",$V458,IFERROR(INDEX('参数设置'!$D$17:$G$26,MATCH($D458,'参数设置'!$C$17:$C$26,0),MATCH($E458,'参数设置'!$D$16:$G$16,0)),0)))</f>
        <v/>
      </c>
      <c r="G458" s="29">
        <f>IF($D458="","",INDEX('01人员工时'!$E$7:$E$126,INT((ROW()-7)/4)+1))</f>
        <v/>
      </c>
      <c r="H458" s="29">
        <f>IF($D458="","",INDEX('01人员工时'!$O$7:$O$126,INT((ROW()-7)/4)+1))</f>
        <v/>
      </c>
      <c r="I458" s="30">
        <f>IF(OR($D458="",$G458=0),"",$H458/$G458)</f>
        <v/>
      </c>
      <c r="J458" s="31">
        <f>IF($D458="","",ROUND($F458,2)-$S458)</f>
        <v/>
      </c>
      <c r="K458" s="31">
        <f>IF(OR($D458="",$G458=0),"",ROUND($F458*INDEX('01人员工时'!G$7:G$126,INT((ROW()-7)/4)+1)/$G458,2))</f>
        <v/>
      </c>
      <c r="L458" s="31">
        <f>IF(OR($D458="",$G458=0),"",ROUND($F458*INDEX('01人员工时'!H$7:H$126,INT((ROW()-7)/4)+1)/$G458,2))</f>
        <v/>
      </c>
      <c r="M458" s="31">
        <f>IF(OR($D458="",$G458=0),"",ROUND($F458*INDEX('01人员工时'!I$7:I$126,INT((ROW()-7)/4)+1)/$G458,2))</f>
        <v/>
      </c>
      <c r="N458" s="31">
        <f>IF(OR($D458="",$G458=0),"",ROUND($F458*INDEX('01人员工时'!J$7:J$126,INT((ROW()-7)/4)+1)/$G458,2))</f>
        <v/>
      </c>
      <c r="O458" s="31">
        <f>IF(OR($D458="",$G458=0),"",ROUND($F458*INDEX('01人员工时'!K$7:K$126,INT((ROW()-7)/4)+1)/$G458,2))</f>
        <v/>
      </c>
      <c r="P458" s="31">
        <f>IF(OR($D458="",$G458=0),"",ROUND($F458*INDEX('01人员工时'!L$7:L$126,INT((ROW()-7)/4)+1)/$G458,2))</f>
        <v/>
      </c>
      <c r="Q458" s="31">
        <f>IF(OR($D458="",$G458=0),"",ROUND($F458*INDEX('01人员工时'!M$7:M$126,INT((ROW()-7)/4)+1)/$G458,2))</f>
        <v/>
      </c>
      <c r="R458" s="31">
        <f>IF(OR($D458="",$G458=0),"",ROUND($F458*INDEX('01人员工时'!N$7:N$126,INT((ROW()-7)/4)+1)/$G458,2))</f>
        <v/>
      </c>
      <c r="S458" s="31">
        <f>IF($D458="","",SUM(K458:R458))</f>
        <v/>
      </c>
      <c r="T458" s="31">
        <f>IF($D458="","",$J458+$S458)</f>
        <v/>
      </c>
      <c r="U458" s="32">
        <f>IF($D458="","",IF($F458=0,"未维护标准",IF(ROUND($T458-$F458,2)=0,"√","差异")))</f>
        <v/>
      </c>
      <c r="V458" s="33" t="n"/>
      <c r="W458" s="34" t="n"/>
    </row>
    <row r="459" ht="18" customHeight="1">
      <c r="B459" s="21">
        <f>IF(INDEX('01人员工时'!$D$7:$D$126,INT((ROW()-7)/4)+1)&amp;""="","",INDEX('01人员工时'!$B$7:$B$126,INT((ROW()-7)/4)+1))</f>
        <v/>
      </c>
      <c r="C459" s="22">
        <f>IF($D459="","",IF(MOD(ROW()-7,4)=0,INDEX('01人员工时'!$C$7:$C$126,INT((ROW()-7)/4)+1),""))</f>
        <v/>
      </c>
      <c r="D459" s="22">
        <f>IF(INDEX('01人员工时'!$D$7:$D$126,INT((ROW()-7)/4)+1)&amp;""="","",INDEX('01人员工时'!$D$7:$D$126,INT((ROW()-7)/4)+1))</f>
        <v/>
      </c>
      <c r="E459" s="22">
        <f>IF($D459="","",INDEX('参数设置'!$K$6:$K$9,MOD(ROW()-7,4)+1))</f>
        <v/>
      </c>
      <c r="F459" s="23">
        <f>IF($D459="","",IF($V459&lt;&gt;"",$V459,IFERROR(INDEX('参数设置'!$D$17:$G$26,MATCH($D459,'参数设置'!$C$17:$C$26,0),MATCH($E459,'参数设置'!$D$16:$G$16,0)),0)))</f>
        <v/>
      </c>
      <c r="G459" s="24">
        <f>IF($D459="","",INDEX('01人员工时'!$E$7:$E$126,INT((ROW()-7)/4)+1))</f>
        <v/>
      </c>
      <c r="H459" s="24">
        <f>IF($D459="","",INDEX('01人员工时'!$O$7:$O$126,INT((ROW()-7)/4)+1))</f>
        <v/>
      </c>
      <c r="I459" s="20">
        <f>IF(OR($D459="",$G459=0),"",$H459/$G459)</f>
        <v/>
      </c>
      <c r="J459" s="12">
        <f>IF($D459="","",ROUND($F459,2)-$S459)</f>
        <v/>
      </c>
      <c r="K459" s="12">
        <f>IF(OR($D459="",$G459=0),"",ROUND($F459*INDEX('01人员工时'!G$7:G$126,INT((ROW()-7)/4)+1)/$G459,2))</f>
        <v/>
      </c>
      <c r="L459" s="12">
        <f>IF(OR($D459="",$G459=0),"",ROUND($F459*INDEX('01人员工时'!H$7:H$126,INT((ROW()-7)/4)+1)/$G459,2))</f>
        <v/>
      </c>
      <c r="M459" s="12">
        <f>IF(OR($D459="",$G459=0),"",ROUND($F459*INDEX('01人员工时'!I$7:I$126,INT((ROW()-7)/4)+1)/$G459,2))</f>
        <v/>
      </c>
      <c r="N459" s="12">
        <f>IF(OR($D459="",$G459=0),"",ROUND($F459*INDEX('01人员工时'!J$7:J$126,INT((ROW()-7)/4)+1)/$G459,2))</f>
        <v/>
      </c>
      <c r="O459" s="12">
        <f>IF(OR($D459="",$G459=0),"",ROUND($F459*INDEX('01人员工时'!K$7:K$126,INT((ROW()-7)/4)+1)/$G459,2))</f>
        <v/>
      </c>
      <c r="P459" s="12">
        <f>IF(OR($D459="",$G459=0),"",ROUND($F459*INDEX('01人员工时'!L$7:L$126,INT((ROW()-7)/4)+1)/$G459,2))</f>
        <v/>
      </c>
      <c r="Q459" s="12">
        <f>IF(OR($D459="",$G459=0),"",ROUND($F459*INDEX('01人员工时'!M$7:M$126,INT((ROW()-7)/4)+1)/$G459,2))</f>
        <v/>
      </c>
      <c r="R459" s="12">
        <f>IF(OR($D459="",$G459=0),"",ROUND($F459*INDEX('01人员工时'!N$7:N$126,INT((ROW()-7)/4)+1)/$G459,2))</f>
        <v/>
      </c>
      <c r="S459" s="12">
        <f>IF($D459="","",SUM(K459:R459))</f>
        <v/>
      </c>
      <c r="T459" s="12">
        <f>IF($D459="","",$J459+$S459)</f>
        <v/>
      </c>
      <c r="U459" s="25">
        <f>IF($D459="","",IF($F459=0,"未维护标准",IF(ROUND($T459-$F459,2)=0,"√","差异")))</f>
        <v/>
      </c>
      <c r="V459" s="11" t="n"/>
      <c r="W459" s="9" t="n"/>
    </row>
    <row r="460" ht="18" customHeight="1">
      <c r="B460" s="21">
        <f>IF(INDEX('01人员工时'!$D$7:$D$126,INT((ROW()-7)/4)+1)&amp;""="","",INDEX('01人员工时'!$B$7:$B$126,INT((ROW()-7)/4)+1))</f>
        <v/>
      </c>
      <c r="C460" s="22">
        <f>IF($D460="","",IF(MOD(ROW()-7,4)=0,INDEX('01人员工时'!$C$7:$C$126,INT((ROW()-7)/4)+1),""))</f>
        <v/>
      </c>
      <c r="D460" s="22">
        <f>IF(INDEX('01人员工时'!$D$7:$D$126,INT((ROW()-7)/4)+1)&amp;""="","",INDEX('01人员工时'!$D$7:$D$126,INT((ROW()-7)/4)+1))</f>
        <v/>
      </c>
      <c r="E460" s="22">
        <f>IF($D460="","",INDEX('参数设置'!$K$6:$K$9,MOD(ROW()-7,4)+1))</f>
        <v/>
      </c>
      <c r="F460" s="23">
        <f>IF($D460="","",IF($V460&lt;&gt;"",$V460,IFERROR(INDEX('参数设置'!$D$17:$G$26,MATCH($D460,'参数设置'!$C$17:$C$26,0),MATCH($E460,'参数设置'!$D$16:$G$16,0)),0)))</f>
        <v/>
      </c>
      <c r="G460" s="24">
        <f>IF($D460="","",INDEX('01人员工时'!$E$7:$E$126,INT((ROW()-7)/4)+1))</f>
        <v/>
      </c>
      <c r="H460" s="24">
        <f>IF($D460="","",INDEX('01人员工时'!$O$7:$O$126,INT((ROW()-7)/4)+1))</f>
        <v/>
      </c>
      <c r="I460" s="20">
        <f>IF(OR($D460="",$G460=0),"",$H460/$G460)</f>
        <v/>
      </c>
      <c r="J460" s="12">
        <f>IF($D460="","",ROUND($F460,2)-$S460)</f>
        <v/>
      </c>
      <c r="K460" s="12">
        <f>IF(OR($D460="",$G460=0),"",ROUND($F460*INDEX('01人员工时'!G$7:G$126,INT((ROW()-7)/4)+1)/$G460,2))</f>
        <v/>
      </c>
      <c r="L460" s="12">
        <f>IF(OR($D460="",$G460=0),"",ROUND($F460*INDEX('01人员工时'!H$7:H$126,INT((ROW()-7)/4)+1)/$G460,2))</f>
        <v/>
      </c>
      <c r="M460" s="12">
        <f>IF(OR($D460="",$G460=0),"",ROUND($F460*INDEX('01人员工时'!I$7:I$126,INT((ROW()-7)/4)+1)/$G460,2))</f>
        <v/>
      </c>
      <c r="N460" s="12">
        <f>IF(OR($D460="",$G460=0),"",ROUND($F460*INDEX('01人员工时'!J$7:J$126,INT((ROW()-7)/4)+1)/$G460,2))</f>
        <v/>
      </c>
      <c r="O460" s="12">
        <f>IF(OR($D460="",$G460=0),"",ROUND($F460*INDEX('01人员工时'!K$7:K$126,INT((ROW()-7)/4)+1)/$G460,2))</f>
        <v/>
      </c>
      <c r="P460" s="12">
        <f>IF(OR($D460="",$G460=0),"",ROUND($F460*INDEX('01人员工时'!L$7:L$126,INT((ROW()-7)/4)+1)/$G460,2))</f>
        <v/>
      </c>
      <c r="Q460" s="12">
        <f>IF(OR($D460="",$G460=0),"",ROUND($F460*INDEX('01人员工时'!M$7:M$126,INT((ROW()-7)/4)+1)/$G460,2))</f>
        <v/>
      </c>
      <c r="R460" s="12">
        <f>IF(OR($D460="",$G460=0),"",ROUND($F460*INDEX('01人员工时'!N$7:N$126,INT((ROW()-7)/4)+1)/$G460,2))</f>
        <v/>
      </c>
      <c r="S460" s="12">
        <f>IF($D460="","",SUM(K460:R460))</f>
        <v/>
      </c>
      <c r="T460" s="12">
        <f>IF($D460="","",$J460+$S460)</f>
        <v/>
      </c>
      <c r="U460" s="25">
        <f>IF($D460="","",IF($F460=0,"未维护标准",IF(ROUND($T460-$F460,2)=0,"√","差异")))</f>
        <v/>
      </c>
      <c r="V460" s="11" t="n"/>
      <c r="W460" s="9" t="n"/>
    </row>
    <row r="461" ht="18" customHeight="1">
      <c r="B461" s="21">
        <f>IF(INDEX('01人员工时'!$D$7:$D$126,INT((ROW()-7)/4)+1)&amp;""="","",INDEX('01人员工时'!$B$7:$B$126,INT((ROW()-7)/4)+1))</f>
        <v/>
      </c>
      <c r="C461" s="22">
        <f>IF($D461="","",IF(MOD(ROW()-7,4)=0,INDEX('01人员工时'!$C$7:$C$126,INT((ROW()-7)/4)+1),""))</f>
        <v/>
      </c>
      <c r="D461" s="22">
        <f>IF(INDEX('01人员工时'!$D$7:$D$126,INT((ROW()-7)/4)+1)&amp;""="","",INDEX('01人员工时'!$D$7:$D$126,INT((ROW()-7)/4)+1))</f>
        <v/>
      </c>
      <c r="E461" s="22">
        <f>IF($D461="","",INDEX('参数设置'!$K$6:$K$9,MOD(ROW()-7,4)+1))</f>
        <v/>
      </c>
      <c r="F461" s="23">
        <f>IF($D461="","",IF($V461&lt;&gt;"",$V461,IFERROR(INDEX('参数设置'!$D$17:$G$26,MATCH($D461,'参数设置'!$C$17:$C$26,0),MATCH($E461,'参数设置'!$D$16:$G$16,0)),0)))</f>
        <v/>
      </c>
      <c r="G461" s="24">
        <f>IF($D461="","",INDEX('01人员工时'!$E$7:$E$126,INT((ROW()-7)/4)+1))</f>
        <v/>
      </c>
      <c r="H461" s="24">
        <f>IF($D461="","",INDEX('01人员工时'!$O$7:$O$126,INT((ROW()-7)/4)+1))</f>
        <v/>
      </c>
      <c r="I461" s="20">
        <f>IF(OR($D461="",$G461=0),"",$H461/$G461)</f>
        <v/>
      </c>
      <c r="J461" s="12">
        <f>IF($D461="","",ROUND($F461,2)-$S461)</f>
        <v/>
      </c>
      <c r="K461" s="12">
        <f>IF(OR($D461="",$G461=0),"",ROUND($F461*INDEX('01人员工时'!G$7:G$126,INT((ROW()-7)/4)+1)/$G461,2))</f>
        <v/>
      </c>
      <c r="L461" s="12">
        <f>IF(OR($D461="",$G461=0),"",ROUND($F461*INDEX('01人员工时'!H$7:H$126,INT((ROW()-7)/4)+1)/$G461,2))</f>
        <v/>
      </c>
      <c r="M461" s="12">
        <f>IF(OR($D461="",$G461=0),"",ROUND($F461*INDEX('01人员工时'!I$7:I$126,INT((ROW()-7)/4)+1)/$G461,2))</f>
        <v/>
      </c>
      <c r="N461" s="12">
        <f>IF(OR($D461="",$G461=0),"",ROUND($F461*INDEX('01人员工时'!J$7:J$126,INT((ROW()-7)/4)+1)/$G461,2))</f>
        <v/>
      </c>
      <c r="O461" s="12">
        <f>IF(OR($D461="",$G461=0),"",ROUND($F461*INDEX('01人员工时'!K$7:K$126,INT((ROW()-7)/4)+1)/$G461,2))</f>
        <v/>
      </c>
      <c r="P461" s="12">
        <f>IF(OR($D461="",$G461=0),"",ROUND($F461*INDEX('01人员工时'!L$7:L$126,INT((ROW()-7)/4)+1)/$G461,2))</f>
        <v/>
      </c>
      <c r="Q461" s="12">
        <f>IF(OR($D461="",$G461=0),"",ROUND($F461*INDEX('01人员工时'!M$7:M$126,INT((ROW()-7)/4)+1)/$G461,2))</f>
        <v/>
      </c>
      <c r="R461" s="12">
        <f>IF(OR($D461="",$G461=0),"",ROUND($F461*INDEX('01人员工时'!N$7:N$126,INT((ROW()-7)/4)+1)/$G461,2))</f>
        <v/>
      </c>
      <c r="S461" s="12">
        <f>IF($D461="","",SUM(K461:R461))</f>
        <v/>
      </c>
      <c r="T461" s="12">
        <f>IF($D461="","",$J461+$S461)</f>
        <v/>
      </c>
      <c r="U461" s="25">
        <f>IF($D461="","",IF($F461=0,"未维护标准",IF(ROUND($T461-$F461,2)=0,"√","差异")))</f>
        <v/>
      </c>
      <c r="V461" s="11" t="n"/>
      <c r="W461" s="9" t="n"/>
    </row>
    <row r="462" ht="18" customHeight="1">
      <c r="B462" s="26">
        <f>IF(INDEX('01人员工时'!$D$7:$D$126,INT((ROW()-7)/4)+1)&amp;""="","",INDEX('01人员工时'!$B$7:$B$126,INT((ROW()-7)/4)+1))</f>
        <v/>
      </c>
      <c r="C462" s="27">
        <f>IF($D462="","",IF(MOD(ROW()-7,4)=0,INDEX('01人员工时'!$C$7:$C$126,INT((ROW()-7)/4)+1),""))</f>
        <v/>
      </c>
      <c r="D462" s="27">
        <f>IF(INDEX('01人员工时'!$D$7:$D$126,INT((ROW()-7)/4)+1)&amp;""="","",INDEX('01人员工时'!$D$7:$D$126,INT((ROW()-7)/4)+1))</f>
        <v/>
      </c>
      <c r="E462" s="27">
        <f>IF($D462="","",INDEX('参数设置'!$K$6:$K$9,MOD(ROW()-7,4)+1))</f>
        <v/>
      </c>
      <c r="F462" s="28">
        <f>IF($D462="","",IF($V462&lt;&gt;"",$V462,IFERROR(INDEX('参数设置'!$D$17:$G$26,MATCH($D462,'参数设置'!$C$17:$C$26,0),MATCH($E462,'参数设置'!$D$16:$G$16,0)),0)))</f>
        <v/>
      </c>
      <c r="G462" s="29">
        <f>IF($D462="","",INDEX('01人员工时'!$E$7:$E$126,INT((ROW()-7)/4)+1))</f>
        <v/>
      </c>
      <c r="H462" s="29">
        <f>IF($D462="","",INDEX('01人员工时'!$O$7:$O$126,INT((ROW()-7)/4)+1))</f>
        <v/>
      </c>
      <c r="I462" s="30">
        <f>IF(OR($D462="",$G462=0),"",$H462/$G462)</f>
        <v/>
      </c>
      <c r="J462" s="31">
        <f>IF($D462="","",ROUND($F462,2)-$S462)</f>
        <v/>
      </c>
      <c r="K462" s="31">
        <f>IF(OR($D462="",$G462=0),"",ROUND($F462*INDEX('01人员工时'!G$7:G$126,INT((ROW()-7)/4)+1)/$G462,2))</f>
        <v/>
      </c>
      <c r="L462" s="31">
        <f>IF(OR($D462="",$G462=0),"",ROUND($F462*INDEX('01人员工时'!H$7:H$126,INT((ROW()-7)/4)+1)/$G462,2))</f>
        <v/>
      </c>
      <c r="M462" s="31">
        <f>IF(OR($D462="",$G462=0),"",ROUND($F462*INDEX('01人员工时'!I$7:I$126,INT((ROW()-7)/4)+1)/$G462,2))</f>
        <v/>
      </c>
      <c r="N462" s="31">
        <f>IF(OR($D462="",$G462=0),"",ROUND($F462*INDEX('01人员工时'!J$7:J$126,INT((ROW()-7)/4)+1)/$G462,2))</f>
        <v/>
      </c>
      <c r="O462" s="31">
        <f>IF(OR($D462="",$G462=0),"",ROUND($F462*INDEX('01人员工时'!K$7:K$126,INT((ROW()-7)/4)+1)/$G462,2))</f>
        <v/>
      </c>
      <c r="P462" s="31">
        <f>IF(OR($D462="",$G462=0),"",ROUND($F462*INDEX('01人员工时'!L$7:L$126,INT((ROW()-7)/4)+1)/$G462,2))</f>
        <v/>
      </c>
      <c r="Q462" s="31">
        <f>IF(OR($D462="",$G462=0),"",ROUND($F462*INDEX('01人员工时'!M$7:M$126,INT((ROW()-7)/4)+1)/$G462,2))</f>
        <v/>
      </c>
      <c r="R462" s="31">
        <f>IF(OR($D462="",$G462=0),"",ROUND($F462*INDEX('01人员工时'!N$7:N$126,INT((ROW()-7)/4)+1)/$G462,2))</f>
        <v/>
      </c>
      <c r="S462" s="31">
        <f>IF($D462="","",SUM(K462:R462))</f>
        <v/>
      </c>
      <c r="T462" s="31">
        <f>IF($D462="","",$J462+$S462)</f>
        <v/>
      </c>
      <c r="U462" s="32">
        <f>IF($D462="","",IF($F462=0,"未维护标准",IF(ROUND($T462-$F462,2)=0,"√","差异")))</f>
        <v/>
      </c>
      <c r="V462" s="33" t="n"/>
      <c r="W462" s="34" t="n"/>
    </row>
    <row r="463" ht="18" customHeight="1">
      <c r="B463" s="21">
        <f>IF(INDEX('01人员工时'!$D$7:$D$126,INT((ROW()-7)/4)+1)&amp;""="","",INDEX('01人员工时'!$B$7:$B$126,INT((ROW()-7)/4)+1))</f>
        <v/>
      </c>
      <c r="C463" s="22">
        <f>IF($D463="","",IF(MOD(ROW()-7,4)=0,INDEX('01人员工时'!$C$7:$C$126,INT((ROW()-7)/4)+1),""))</f>
        <v/>
      </c>
      <c r="D463" s="22">
        <f>IF(INDEX('01人员工时'!$D$7:$D$126,INT((ROW()-7)/4)+1)&amp;""="","",INDEX('01人员工时'!$D$7:$D$126,INT((ROW()-7)/4)+1))</f>
        <v/>
      </c>
      <c r="E463" s="22">
        <f>IF($D463="","",INDEX('参数设置'!$K$6:$K$9,MOD(ROW()-7,4)+1))</f>
        <v/>
      </c>
      <c r="F463" s="23">
        <f>IF($D463="","",IF($V463&lt;&gt;"",$V463,IFERROR(INDEX('参数设置'!$D$17:$G$26,MATCH($D463,'参数设置'!$C$17:$C$26,0),MATCH($E463,'参数设置'!$D$16:$G$16,0)),0)))</f>
        <v/>
      </c>
      <c r="G463" s="24">
        <f>IF($D463="","",INDEX('01人员工时'!$E$7:$E$126,INT((ROW()-7)/4)+1))</f>
        <v/>
      </c>
      <c r="H463" s="24">
        <f>IF($D463="","",INDEX('01人员工时'!$O$7:$O$126,INT((ROW()-7)/4)+1))</f>
        <v/>
      </c>
      <c r="I463" s="20">
        <f>IF(OR($D463="",$G463=0),"",$H463/$G463)</f>
        <v/>
      </c>
      <c r="J463" s="12">
        <f>IF($D463="","",ROUND($F463,2)-$S463)</f>
        <v/>
      </c>
      <c r="K463" s="12">
        <f>IF(OR($D463="",$G463=0),"",ROUND($F463*INDEX('01人员工时'!G$7:G$126,INT((ROW()-7)/4)+1)/$G463,2))</f>
        <v/>
      </c>
      <c r="L463" s="12">
        <f>IF(OR($D463="",$G463=0),"",ROUND($F463*INDEX('01人员工时'!H$7:H$126,INT((ROW()-7)/4)+1)/$G463,2))</f>
        <v/>
      </c>
      <c r="M463" s="12">
        <f>IF(OR($D463="",$G463=0),"",ROUND($F463*INDEX('01人员工时'!I$7:I$126,INT((ROW()-7)/4)+1)/$G463,2))</f>
        <v/>
      </c>
      <c r="N463" s="12">
        <f>IF(OR($D463="",$G463=0),"",ROUND($F463*INDEX('01人员工时'!J$7:J$126,INT((ROW()-7)/4)+1)/$G463,2))</f>
        <v/>
      </c>
      <c r="O463" s="12">
        <f>IF(OR($D463="",$G463=0),"",ROUND($F463*INDEX('01人员工时'!K$7:K$126,INT((ROW()-7)/4)+1)/$G463,2))</f>
        <v/>
      </c>
      <c r="P463" s="12">
        <f>IF(OR($D463="",$G463=0),"",ROUND($F463*INDEX('01人员工时'!L$7:L$126,INT((ROW()-7)/4)+1)/$G463,2))</f>
        <v/>
      </c>
      <c r="Q463" s="12">
        <f>IF(OR($D463="",$G463=0),"",ROUND($F463*INDEX('01人员工时'!M$7:M$126,INT((ROW()-7)/4)+1)/$G463,2))</f>
        <v/>
      </c>
      <c r="R463" s="12">
        <f>IF(OR($D463="",$G463=0),"",ROUND($F463*INDEX('01人员工时'!N$7:N$126,INT((ROW()-7)/4)+1)/$G463,2))</f>
        <v/>
      </c>
      <c r="S463" s="12">
        <f>IF($D463="","",SUM(K463:R463))</f>
        <v/>
      </c>
      <c r="T463" s="12">
        <f>IF($D463="","",$J463+$S463)</f>
        <v/>
      </c>
      <c r="U463" s="25">
        <f>IF($D463="","",IF($F463=0,"未维护标准",IF(ROUND($T463-$F463,2)=0,"√","差异")))</f>
        <v/>
      </c>
      <c r="V463" s="11" t="n"/>
      <c r="W463" s="9" t="n"/>
    </row>
    <row r="464" ht="18" customHeight="1">
      <c r="B464" s="21">
        <f>IF(INDEX('01人员工时'!$D$7:$D$126,INT((ROW()-7)/4)+1)&amp;""="","",INDEX('01人员工时'!$B$7:$B$126,INT((ROW()-7)/4)+1))</f>
        <v/>
      </c>
      <c r="C464" s="22">
        <f>IF($D464="","",IF(MOD(ROW()-7,4)=0,INDEX('01人员工时'!$C$7:$C$126,INT((ROW()-7)/4)+1),""))</f>
        <v/>
      </c>
      <c r="D464" s="22">
        <f>IF(INDEX('01人员工时'!$D$7:$D$126,INT((ROW()-7)/4)+1)&amp;""="","",INDEX('01人员工时'!$D$7:$D$126,INT((ROW()-7)/4)+1))</f>
        <v/>
      </c>
      <c r="E464" s="22">
        <f>IF($D464="","",INDEX('参数设置'!$K$6:$K$9,MOD(ROW()-7,4)+1))</f>
        <v/>
      </c>
      <c r="F464" s="23">
        <f>IF($D464="","",IF($V464&lt;&gt;"",$V464,IFERROR(INDEX('参数设置'!$D$17:$G$26,MATCH($D464,'参数设置'!$C$17:$C$26,0),MATCH($E464,'参数设置'!$D$16:$G$16,0)),0)))</f>
        <v/>
      </c>
      <c r="G464" s="24">
        <f>IF($D464="","",INDEX('01人员工时'!$E$7:$E$126,INT((ROW()-7)/4)+1))</f>
        <v/>
      </c>
      <c r="H464" s="24">
        <f>IF($D464="","",INDEX('01人员工时'!$O$7:$O$126,INT((ROW()-7)/4)+1))</f>
        <v/>
      </c>
      <c r="I464" s="20">
        <f>IF(OR($D464="",$G464=0),"",$H464/$G464)</f>
        <v/>
      </c>
      <c r="J464" s="12">
        <f>IF($D464="","",ROUND($F464,2)-$S464)</f>
        <v/>
      </c>
      <c r="K464" s="12">
        <f>IF(OR($D464="",$G464=0),"",ROUND($F464*INDEX('01人员工时'!G$7:G$126,INT((ROW()-7)/4)+1)/$G464,2))</f>
        <v/>
      </c>
      <c r="L464" s="12">
        <f>IF(OR($D464="",$G464=0),"",ROUND($F464*INDEX('01人员工时'!H$7:H$126,INT((ROW()-7)/4)+1)/$G464,2))</f>
        <v/>
      </c>
      <c r="M464" s="12">
        <f>IF(OR($D464="",$G464=0),"",ROUND($F464*INDEX('01人员工时'!I$7:I$126,INT((ROW()-7)/4)+1)/$G464,2))</f>
        <v/>
      </c>
      <c r="N464" s="12">
        <f>IF(OR($D464="",$G464=0),"",ROUND($F464*INDEX('01人员工时'!J$7:J$126,INT((ROW()-7)/4)+1)/$G464,2))</f>
        <v/>
      </c>
      <c r="O464" s="12">
        <f>IF(OR($D464="",$G464=0),"",ROUND($F464*INDEX('01人员工时'!K$7:K$126,INT((ROW()-7)/4)+1)/$G464,2))</f>
        <v/>
      </c>
      <c r="P464" s="12">
        <f>IF(OR($D464="",$G464=0),"",ROUND($F464*INDEX('01人员工时'!L$7:L$126,INT((ROW()-7)/4)+1)/$G464,2))</f>
        <v/>
      </c>
      <c r="Q464" s="12">
        <f>IF(OR($D464="",$G464=0),"",ROUND($F464*INDEX('01人员工时'!M$7:M$126,INT((ROW()-7)/4)+1)/$G464,2))</f>
        <v/>
      </c>
      <c r="R464" s="12">
        <f>IF(OR($D464="",$G464=0),"",ROUND($F464*INDEX('01人员工时'!N$7:N$126,INT((ROW()-7)/4)+1)/$G464,2))</f>
        <v/>
      </c>
      <c r="S464" s="12">
        <f>IF($D464="","",SUM(K464:R464))</f>
        <v/>
      </c>
      <c r="T464" s="12">
        <f>IF($D464="","",$J464+$S464)</f>
        <v/>
      </c>
      <c r="U464" s="25">
        <f>IF($D464="","",IF($F464=0,"未维护标准",IF(ROUND($T464-$F464,2)=0,"√","差异")))</f>
        <v/>
      </c>
      <c r="V464" s="11" t="n"/>
      <c r="W464" s="9" t="n"/>
    </row>
    <row r="465" ht="18" customHeight="1">
      <c r="B465" s="21">
        <f>IF(INDEX('01人员工时'!$D$7:$D$126,INT((ROW()-7)/4)+1)&amp;""="","",INDEX('01人员工时'!$B$7:$B$126,INT((ROW()-7)/4)+1))</f>
        <v/>
      </c>
      <c r="C465" s="22">
        <f>IF($D465="","",IF(MOD(ROW()-7,4)=0,INDEX('01人员工时'!$C$7:$C$126,INT((ROW()-7)/4)+1),""))</f>
        <v/>
      </c>
      <c r="D465" s="22">
        <f>IF(INDEX('01人员工时'!$D$7:$D$126,INT((ROW()-7)/4)+1)&amp;""="","",INDEX('01人员工时'!$D$7:$D$126,INT((ROW()-7)/4)+1))</f>
        <v/>
      </c>
      <c r="E465" s="22">
        <f>IF($D465="","",INDEX('参数设置'!$K$6:$K$9,MOD(ROW()-7,4)+1))</f>
        <v/>
      </c>
      <c r="F465" s="23">
        <f>IF($D465="","",IF($V465&lt;&gt;"",$V465,IFERROR(INDEX('参数设置'!$D$17:$G$26,MATCH($D465,'参数设置'!$C$17:$C$26,0),MATCH($E465,'参数设置'!$D$16:$G$16,0)),0)))</f>
        <v/>
      </c>
      <c r="G465" s="24">
        <f>IF($D465="","",INDEX('01人员工时'!$E$7:$E$126,INT((ROW()-7)/4)+1))</f>
        <v/>
      </c>
      <c r="H465" s="24">
        <f>IF($D465="","",INDEX('01人员工时'!$O$7:$O$126,INT((ROW()-7)/4)+1))</f>
        <v/>
      </c>
      <c r="I465" s="20">
        <f>IF(OR($D465="",$G465=0),"",$H465/$G465)</f>
        <v/>
      </c>
      <c r="J465" s="12">
        <f>IF($D465="","",ROUND($F465,2)-$S465)</f>
        <v/>
      </c>
      <c r="K465" s="12">
        <f>IF(OR($D465="",$G465=0),"",ROUND($F465*INDEX('01人员工时'!G$7:G$126,INT((ROW()-7)/4)+1)/$G465,2))</f>
        <v/>
      </c>
      <c r="L465" s="12">
        <f>IF(OR($D465="",$G465=0),"",ROUND($F465*INDEX('01人员工时'!H$7:H$126,INT((ROW()-7)/4)+1)/$G465,2))</f>
        <v/>
      </c>
      <c r="M465" s="12">
        <f>IF(OR($D465="",$G465=0),"",ROUND($F465*INDEX('01人员工时'!I$7:I$126,INT((ROW()-7)/4)+1)/$G465,2))</f>
        <v/>
      </c>
      <c r="N465" s="12">
        <f>IF(OR($D465="",$G465=0),"",ROUND($F465*INDEX('01人员工时'!J$7:J$126,INT((ROW()-7)/4)+1)/$G465,2))</f>
        <v/>
      </c>
      <c r="O465" s="12">
        <f>IF(OR($D465="",$G465=0),"",ROUND($F465*INDEX('01人员工时'!K$7:K$126,INT((ROW()-7)/4)+1)/$G465,2))</f>
        <v/>
      </c>
      <c r="P465" s="12">
        <f>IF(OR($D465="",$G465=0),"",ROUND($F465*INDEX('01人员工时'!L$7:L$126,INT((ROW()-7)/4)+1)/$G465,2))</f>
        <v/>
      </c>
      <c r="Q465" s="12">
        <f>IF(OR($D465="",$G465=0),"",ROUND($F465*INDEX('01人员工时'!M$7:M$126,INT((ROW()-7)/4)+1)/$G465,2))</f>
        <v/>
      </c>
      <c r="R465" s="12">
        <f>IF(OR($D465="",$G465=0),"",ROUND($F465*INDEX('01人员工时'!N$7:N$126,INT((ROW()-7)/4)+1)/$G465,2))</f>
        <v/>
      </c>
      <c r="S465" s="12">
        <f>IF($D465="","",SUM(K465:R465))</f>
        <v/>
      </c>
      <c r="T465" s="12">
        <f>IF($D465="","",$J465+$S465)</f>
        <v/>
      </c>
      <c r="U465" s="25">
        <f>IF($D465="","",IF($F465=0,"未维护标准",IF(ROUND($T465-$F465,2)=0,"√","差异")))</f>
        <v/>
      </c>
      <c r="V465" s="11" t="n"/>
      <c r="W465" s="9" t="n"/>
    </row>
    <row r="466" ht="18" customHeight="1">
      <c r="B466" s="26">
        <f>IF(INDEX('01人员工时'!$D$7:$D$126,INT((ROW()-7)/4)+1)&amp;""="","",INDEX('01人员工时'!$B$7:$B$126,INT((ROW()-7)/4)+1))</f>
        <v/>
      </c>
      <c r="C466" s="27">
        <f>IF($D466="","",IF(MOD(ROW()-7,4)=0,INDEX('01人员工时'!$C$7:$C$126,INT((ROW()-7)/4)+1),""))</f>
        <v/>
      </c>
      <c r="D466" s="27">
        <f>IF(INDEX('01人员工时'!$D$7:$D$126,INT((ROW()-7)/4)+1)&amp;""="","",INDEX('01人员工时'!$D$7:$D$126,INT((ROW()-7)/4)+1))</f>
        <v/>
      </c>
      <c r="E466" s="27">
        <f>IF($D466="","",INDEX('参数设置'!$K$6:$K$9,MOD(ROW()-7,4)+1))</f>
        <v/>
      </c>
      <c r="F466" s="28">
        <f>IF($D466="","",IF($V466&lt;&gt;"",$V466,IFERROR(INDEX('参数设置'!$D$17:$G$26,MATCH($D466,'参数设置'!$C$17:$C$26,0),MATCH($E466,'参数设置'!$D$16:$G$16,0)),0)))</f>
        <v/>
      </c>
      <c r="G466" s="29">
        <f>IF($D466="","",INDEX('01人员工时'!$E$7:$E$126,INT((ROW()-7)/4)+1))</f>
        <v/>
      </c>
      <c r="H466" s="29">
        <f>IF($D466="","",INDEX('01人员工时'!$O$7:$O$126,INT((ROW()-7)/4)+1))</f>
        <v/>
      </c>
      <c r="I466" s="30">
        <f>IF(OR($D466="",$G466=0),"",$H466/$G466)</f>
        <v/>
      </c>
      <c r="J466" s="31">
        <f>IF($D466="","",ROUND($F466,2)-$S466)</f>
        <v/>
      </c>
      <c r="K466" s="31">
        <f>IF(OR($D466="",$G466=0),"",ROUND($F466*INDEX('01人员工时'!G$7:G$126,INT((ROW()-7)/4)+1)/$G466,2))</f>
        <v/>
      </c>
      <c r="L466" s="31">
        <f>IF(OR($D466="",$G466=0),"",ROUND($F466*INDEX('01人员工时'!H$7:H$126,INT((ROW()-7)/4)+1)/$G466,2))</f>
        <v/>
      </c>
      <c r="M466" s="31">
        <f>IF(OR($D466="",$G466=0),"",ROUND($F466*INDEX('01人员工时'!I$7:I$126,INT((ROW()-7)/4)+1)/$G466,2))</f>
        <v/>
      </c>
      <c r="N466" s="31">
        <f>IF(OR($D466="",$G466=0),"",ROUND($F466*INDEX('01人员工时'!J$7:J$126,INT((ROW()-7)/4)+1)/$G466,2))</f>
        <v/>
      </c>
      <c r="O466" s="31">
        <f>IF(OR($D466="",$G466=0),"",ROUND($F466*INDEX('01人员工时'!K$7:K$126,INT((ROW()-7)/4)+1)/$G466,2))</f>
        <v/>
      </c>
      <c r="P466" s="31">
        <f>IF(OR($D466="",$G466=0),"",ROUND($F466*INDEX('01人员工时'!L$7:L$126,INT((ROW()-7)/4)+1)/$G466,2))</f>
        <v/>
      </c>
      <c r="Q466" s="31">
        <f>IF(OR($D466="",$G466=0),"",ROUND($F466*INDEX('01人员工时'!M$7:M$126,INT((ROW()-7)/4)+1)/$G466,2))</f>
        <v/>
      </c>
      <c r="R466" s="31">
        <f>IF(OR($D466="",$G466=0),"",ROUND($F466*INDEX('01人员工时'!N$7:N$126,INT((ROW()-7)/4)+1)/$G466,2))</f>
        <v/>
      </c>
      <c r="S466" s="31">
        <f>IF($D466="","",SUM(K466:R466))</f>
        <v/>
      </c>
      <c r="T466" s="31">
        <f>IF($D466="","",$J466+$S466)</f>
        <v/>
      </c>
      <c r="U466" s="32">
        <f>IF($D466="","",IF($F466=0,"未维护标准",IF(ROUND($T466-$F466,2)=0,"√","差异")))</f>
        <v/>
      </c>
      <c r="V466" s="33" t="n"/>
      <c r="W466" s="34" t="n"/>
    </row>
    <row r="467" ht="18" customHeight="1">
      <c r="B467" s="21">
        <f>IF(INDEX('01人员工时'!$D$7:$D$126,INT((ROW()-7)/4)+1)&amp;""="","",INDEX('01人员工时'!$B$7:$B$126,INT((ROW()-7)/4)+1))</f>
        <v/>
      </c>
      <c r="C467" s="22">
        <f>IF($D467="","",IF(MOD(ROW()-7,4)=0,INDEX('01人员工时'!$C$7:$C$126,INT((ROW()-7)/4)+1),""))</f>
        <v/>
      </c>
      <c r="D467" s="22">
        <f>IF(INDEX('01人员工时'!$D$7:$D$126,INT((ROW()-7)/4)+1)&amp;""="","",INDEX('01人员工时'!$D$7:$D$126,INT((ROW()-7)/4)+1))</f>
        <v/>
      </c>
      <c r="E467" s="22">
        <f>IF($D467="","",INDEX('参数设置'!$K$6:$K$9,MOD(ROW()-7,4)+1))</f>
        <v/>
      </c>
      <c r="F467" s="23">
        <f>IF($D467="","",IF($V467&lt;&gt;"",$V467,IFERROR(INDEX('参数设置'!$D$17:$G$26,MATCH($D467,'参数设置'!$C$17:$C$26,0),MATCH($E467,'参数设置'!$D$16:$G$16,0)),0)))</f>
        <v/>
      </c>
      <c r="G467" s="24">
        <f>IF($D467="","",INDEX('01人员工时'!$E$7:$E$126,INT((ROW()-7)/4)+1))</f>
        <v/>
      </c>
      <c r="H467" s="24">
        <f>IF($D467="","",INDEX('01人员工时'!$O$7:$O$126,INT((ROW()-7)/4)+1))</f>
        <v/>
      </c>
      <c r="I467" s="20">
        <f>IF(OR($D467="",$G467=0),"",$H467/$G467)</f>
        <v/>
      </c>
      <c r="J467" s="12">
        <f>IF($D467="","",ROUND($F467,2)-$S467)</f>
        <v/>
      </c>
      <c r="K467" s="12">
        <f>IF(OR($D467="",$G467=0),"",ROUND($F467*INDEX('01人员工时'!G$7:G$126,INT((ROW()-7)/4)+1)/$G467,2))</f>
        <v/>
      </c>
      <c r="L467" s="12">
        <f>IF(OR($D467="",$G467=0),"",ROUND($F467*INDEX('01人员工时'!H$7:H$126,INT((ROW()-7)/4)+1)/$G467,2))</f>
        <v/>
      </c>
      <c r="M467" s="12">
        <f>IF(OR($D467="",$G467=0),"",ROUND($F467*INDEX('01人员工时'!I$7:I$126,INT((ROW()-7)/4)+1)/$G467,2))</f>
        <v/>
      </c>
      <c r="N467" s="12">
        <f>IF(OR($D467="",$G467=0),"",ROUND($F467*INDEX('01人员工时'!J$7:J$126,INT((ROW()-7)/4)+1)/$G467,2))</f>
        <v/>
      </c>
      <c r="O467" s="12">
        <f>IF(OR($D467="",$G467=0),"",ROUND($F467*INDEX('01人员工时'!K$7:K$126,INT((ROW()-7)/4)+1)/$G467,2))</f>
        <v/>
      </c>
      <c r="P467" s="12">
        <f>IF(OR($D467="",$G467=0),"",ROUND($F467*INDEX('01人员工时'!L$7:L$126,INT((ROW()-7)/4)+1)/$G467,2))</f>
        <v/>
      </c>
      <c r="Q467" s="12">
        <f>IF(OR($D467="",$G467=0),"",ROUND($F467*INDEX('01人员工时'!M$7:M$126,INT((ROW()-7)/4)+1)/$G467,2))</f>
        <v/>
      </c>
      <c r="R467" s="12">
        <f>IF(OR($D467="",$G467=0),"",ROUND($F467*INDEX('01人员工时'!N$7:N$126,INT((ROW()-7)/4)+1)/$G467,2))</f>
        <v/>
      </c>
      <c r="S467" s="12">
        <f>IF($D467="","",SUM(K467:R467))</f>
        <v/>
      </c>
      <c r="T467" s="12">
        <f>IF($D467="","",$J467+$S467)</f>
        <v/>
      </c>
      <c r="U467" s="25">
        <f>IF($D467="","",IF($F467=0,"未维护标准",IF(ROUND($T467-$F467,2)=0,"√","差异")))</f>
        <v/>
      </c>
      <c r="V467" s="11" t="n"/>
      <c r="W467" s="9" t="n"/>
    </row>
    <row r="468" ht="18" customHeight="1">
      <c r="B468" s="21">
        <f>IF(INDEX('01人员工时'!$D$7:$D$126,INT((ROW()-7)/4)+1)&amp;""="","",INDEX('01人员工时'!$B$7:$B$126,INT((ROW()-7)/4)+1))</f>
        <v/>
      </c>
      <c r="C468" s="22">
        <f>IF($D468="","",IF(MOD(ROW()-7,4)=0,INDEX('01人员工时'!$C$7:$C$126,INT((ROW()-7)/4)+1),""))</f>
        <v/>
      </c>
      <c r="D468" s="22">
        <f>IF(INDEX('01人员工时'!$D$7:$D$126,INT((ROW()-7)/4)+1)&amp;""="","",INDEX('01人员工时'!$D$7:$D$126,INT((ROW()-7)/4)+1))</f>
        <v/>
      </c>
      <c r="E468" s="22">
        <f>IF($D468="","",INDEX('参数设置'!$K$6:$K$9,MOD(ROW()-7,4)+1))</f>
        <v/>
      </c>
      <c r="F468" s="23">
        <f>IF($D468="","",IF($V468&lt;&gt;"",$V468,IFERROR(INDEX('参数设置'!$D$17:$G$26,MATCH($D468,'参数设置'!$C$17:$C$26,0),MATCH($E468,'参数设置'!$D$16:$G$16,0)),0)))</f>
        <v/>
      </c>
      <c r="G468" s="24">
        <f>IF($D468="","",INDEX('01人员工时'!$E$7:$E$126,INT((ROW()-7)/4)+1))</f>
        <v/>
      </c>
      <c r="H468" s="24">
        <f>IF($D468="","",INDEX('01人员工时'!$O$7:$O$126,INT((ROW()-7)/4)+1))</f>
        <v/>
      </c>
      <c r="I468" s="20">
        <f>IF(OR($D468="",$G468=0),"",$H468/$G468)</f>
        <v/>
      </c>
      <c r="J468" s="12">
        <f>IF($D468="","",ROUND($F468,2)-$S468)</f>
        <v/>
      </c>
      <c r="K468" s="12">
        <f>IF(OR($D468="",$G468=0),"",ROUND($F468*INDEX('01人员工时'!G$7:G$126,INT((ROW()-7)/4)+1)/$G468,2))</f>
        <v/>
      </c>
      <c r="L468" s="12">
        <f>IF(OR($D468="",$G468=0),"",ROUND($F468*INDEX('01人员工时'!H$7:H$126,INT((ROW()-7)/4)+1)/$G468,2))</f>
        <v/>
      </c>
      <c r="M468" s="12">
        <f>IF(OR($D468="",$G468=0),"",ROUND($F468*INDEX('01人员工时'!I$7:I$126,INT((ROW()-7)/4)+1)/$G468,2))</f>
        <v/>
      </c>
      <c r="N468" s="12">
        <f>IF(OR($D468="",$G468=0),"",ROUND($F468*INDEX('01人员工时'!J$7:J$126,INT((ROW()-7)/4)+1)/$G468,2))</f>
        <v/>
      </c>
      <c r="O468" s="12">
        <f>IF(OR($D468="",$G468=0),"",ROUND($F468*INDEX('01人员工时'!K$7:K$126,INT((ROW()-7)/4)+1)/$G468,2))</f>
        <v/>
      </c>
      <c r="P468" s="12">
        <f>IF(OR($D468="",$G468=0),"",ROUND($F468*INDEX('01人员工时'!L$7:L$126,INT((ROW()-7)/4)+1)/$G468,2))</f>
        <v/>
      </c>
      <c r="Q468" s="12">
        <f>IF(OR($D468="",$G468=0),"",ROUND($F468*INDEX('01人员工时'!M$7:M$126,INT((ROW()-7)/4)+1)/$G468,2))</f>
        <v/>
      </c>
      <c r="R468" s="12">
        <f>IF(OR($D468="",$G468=0),"",ROUND($F468*INDEX('01人员工时'!N$7:N$126,INT((ROW()-7)/4)+1)/$G468,2))</f>
        <v/>
      </c>
      <c r="S468" s="12">
        <f>IF($D468="","",SUM(K468:R468))</f>
        <v/>
      </c>
      <c r="T468" s="12">
        <f>IF($D468="","",$J468+$S468)</f>
        <v/>
      </c>
      <c r="U468" s="25">
        <f>IF($D468="","",IF($F468=0,"未维护标准",IF(ROUND($T468-$F468,2)=0,"√","差异")))</f>
        <v/>
      </c>
      <c r="V468" s="11" t="n"/>
      <c r="W468" s="9" t="n"/>
    </row>
    <row r="469" ht="18" customHeight="1">
      <c r="B469" s="21">
        <f>IF(INDEX('01人员工时'!$D$7:$D$126,INT((ROW()-7)/4)+1)&amp;""="","",INDEX('01人员工时'!$B$7:$B$126,INT((ROW()-7)/4)+1))</f>
        <v/>
      </c>
      <c r="C469" s="22">
        <f>IF($D469="","",IF(MOD(ROW()-7,4)=0,INDEX('01人员工时'!$C$7:$C$126,INT((ROW()-7)/4)+1),""))</f>
        <v/>
      </c>
      <c r="D469" s="22">
        <f>IF(INDEX('01人员工时'!$D$7:$D$126,INT((ROW()-7)/4)+1)&amp;""="","",INDEX('01人员工时'!$D$7:$D$126,INT((ROW()-7)/4)+1))</f>
        <v/>
      </c>
      <c r="E469" s="22">
        <f>IF($D469="","",INDEX('参数设置'!$K$6:$K$9,MOD(ROW()-7,4)+1))</f>
        <v/>
      </c>
      <c r="F469" s="23">
        <f>IF($D469="","",IF($V469&lt;&gt;"",$V469,IFERROR(INDEX('参数设置'!$D$17:$G$26,MATCH($D469,'参数设置'!$C$17:$C$26,0),MATCH($E469,'参数设置'!$D$16:$G$16,0)),0)))</f>
        <v/>
      </c>
      <c r="G469" s="24">
        <f>IF($D469="","",INDEX('01人员工时'!$E$7:$E$126,INT((ROW()-7)/4)+1))</f>
        <v/>
      </c>
      <c r="H469" s="24">
        <f>IF($D469="","",INDEX('01人员工时'!$O$7:$O$126,INT((ROW()-7)/4)+1))</f>
        <v/>
      </c>
      <c r="I469" s="20">
        <f>IF(OR($D469="",$G469=0),"",$H469/$G469)</f>
        <v/>
      </c>
      <c r="J469" s="12">
        <f>IF($D469="","",ROUND($F469,2)-$S469)</f>
        <v/>
      </c>
      <c r="K469" s="12">
        <f>IF(OR($D469="",$G469=0),"",ROUND($F469*INDEX('01人员工时'!G$7:G$126,INT((ROW()-7)/4)+1)/$G469,2))</f>
        <v/>
      </c>
      <c r="L469" s="12">
        <f>IF(OR($D469="",$G469=0),"",ROUND($F469*INDEX('01人员工时'!H$7:H$126,INT((ROW()-7)/4)+1)/$G469,2))</f>
        <v/>
      </c>
      <c r="M469" s="12">
        <f>IF(OR($D469="",$G469=0),"",ROUND($F469*INDEX('01人员工时'!I$7:I$126,INT((ROW()-7)/4)+1)/$G469,2))</f>
        <v/>
      </c>
      <c r="N469" s="12">
        <f>IF(OR($D469="",$G469=0),"",ROUND($F469*INDEX('01人员工时'!J$7:J$126,INT((ROW()-7)/4)+1)/$G469,2))</f>
        <v/>
      </c>
      <c r="O469" s="12">
        <f>IF(OR($D469="",$G469=0),"",ROUND($F469*INDEX('01人员工时'!K$7:K$126,INT((ROW()-7)/4)+1)/$G469,2))</f>
        <v/>
      </c>
      <c r="P469" s="12">
        <f>IF(OR($D469="",$G469=0),"",ROUND($F469*INDEX('01人员工时'!L$7:L$126,INT((ROW()-7)/4)+1)/$G469,2))</f>
        <v/>
      </c>
      <c r="Q469" s="12">
        <f>IF(OR($D469="",$G469=0),"",ROUND($F469*INDEX('01人员工时'!M$7:M$126,INT((ROW()-7)/4)+1)/$G469,2))</f>
        <v/>
      </c>
      <c r="R469" s="12">
        <f>IF(OR($D469="",$G469=0),"",ROUND($F469*INDEX('01人员工时'!N$7:N$126,INT((ROW()-7)/4)+1)/$G469,2))</f>
        <v/>
      </c>
      <c r="S469" s="12">
        <f>IF($D469="","",SUM(K469:R469))</f>
        <v/>
      </c>
      <c r="T469" s="12">
        <f>IF($D469="","",$J469+$S469)</f>
        <v/>
      </c>
      <c r="U469" s="25">
        <f>IF($D469="","",IF($F469=0,"未维护标准",IF(ROUND($T469-$F469,2)=0,"√","差异")))</f>
        <v/>
      </c>
      <c r="V469" s="11" t="n"/>
      <c r="W469" s="9" t="n"/>
    </row>
    <row r="470" ht="18" customHeight="1">
      <c r="B470" s="26">
        <f>IF(INDEX('01人员工时'!$D$7:$D$126,INT((ROW()-7)/4)+1)&amp;""="","",INDEX('01人员工时'!$B$7:$B$126,INT((ROW()-7)/4)+1))</f>
        <v/>
      </c>
      <c r="C470" s="27">
        <f>IF($D470="","",IF(MOD(ROW()-7,4)=0,INDEX('01人员工时'!$C$7:$C$126,INT((ROW()-7)/4)+1),""))</f>
        <v/>
      </c>
      <c r="D470" s="27">
        <f>IF(INDEX('01人员工时'!$D$7:$D$126,INT((ROW()-7)/4)+1)&amp;""="","",INDEX('01人员工时'!$D$7:$D$126,INT((ROW()-7)/4)+1))</f>
        <v/>
      </c>
      <c r="E470" s="27">
        <f>IF($D470="","",INDEX('参数设置'!$K$6:$K$9,MOD(ROW()-7,4)+1))</f>
        <v/>
      </c>
      <c r="F470" s="28">
        <f>IF($D470="","",IF($V470&lt;&gt;"",$V470,IFERROR(INDEX('参数设置'!$D$17:$G$26,MATCH($D470,'参数设置'!$C$17:$C$26,0),MATCH($E470,'参数设置'!$D$16:$G$16,0)),0)))</f>
        <v/>
      </c>
      <c r="G470" s="29">
        <f>IF($D470="","",INDEX('01人员工时'!$E$7:$E$126,INT((ROW()-7)/4)+1))</f>
        <v/>
      </c>
      <c r="H470" s="29">
        <f>IF($D470="","",INDEX('01人员工时'!$O$7:$O$126,INT((ROW()-7)/4)+1))</f>
        <v/>
      </c>
      <c r="I470" s="30">
        <f>IF(OR($D470="",$G470=0),"",$H470/$G470)</f>
        <v/>
      </c>
      <c r="J470" s="31">
        <f>IF($D470="","",ROUND($F470,2)-$S470)</f>
        <v/>
      </c>
      <c r="K470" s="31">
        <f>IF(OR($D470="",$G470=0),"",ROUND($F470*INDEX('01人员工时'!G$7:G$126,INT((ROW()-7)/4)+1)/$G470,2))</f>
        <v/>
      </c>
      <c r="L470" s="31">
        <f>IF(OR($D470="",$G470=0),"",ROUND($F470*INDEX('01人员工时'!H$7:H$126,INT((ROW()-7)/4)+1)/$G470,2))</f>
        <v/>
      </c>
      <c r="M470" s="31">
        <f>IF(OR($D470="",$G470=0),"",ROUND($F470*INDEX('01人员工时'!I$7:I$126,INT((ROW()-7)/4)+1)/$G470,2))</f>
        <v/>
      </c>
      <c r="N470" s="31">
        <f>IF(OR($D470="",$G470=0),"",ROUND($F470*INDEX('01人员工时'!J$7:J$126,INT((ROW()-7)/4)+1)/$G470,2))</f>
        <v/>
      </c>
      <c r="O470" s="31">
        <f>IF(OR($D470="",$G470=0),"",ROUND($F470*INDEX('01人员工时'!K$7:K$126,INT((ROW()-7)/4)+1)/$G470,2))</f>
        <v/>
      </c>
      <c r="P470" s="31">
        <f>IF(OR($D470="",$G470=0),"",ROUND($F470*INDEX('01人员工时'!L$7:L$126,INT((ROW()-7)/4)+1)/$G470,2))</f>
        <v/>
      </c>
      <c r="Q470" s="31">
        <f>IF(OR($D470="",$G470=0),"",ROUND($F470*INDEX('01人员工时'!M$7:M$126,INT((ROW()-7)/4)+1)/$G470,2))</f>
        <v/>
      </c>
      <c r="R470" s="31">
        <f>IF(OR($D470="",$G470=0),"",ROUND($F470*INDEX('01人员工时'!N$7:N$126,INT((ROW()-7)/4)+1)/$G470,2))</f>
        <v/>
      </c>
      <c r="S470" s="31">
        <f>IF($D470="","",SUM(K470:R470))</f>
        <v/>
      </c>
      <c r="T470" s="31">
        <f>IF($D470="","",$J470+$S470)</f>
        <v/>
      </c>
      <c r="U470" s="32">
        <f>IF($D470="","",IF($F470=0,"未维护标准",IF(ROUND($T470-$F470,2)=0,"√","差异")))</f>
        <v/>
      </c>
      <c r="V470" s="33" t="n"/>
      <c r="W470" s="34" t="n"/>
    </row>
    <row r="471" ht="18" customHeight="1">
      <c r="B471" s="21">
        <f>IF(INDEX('01人员工时'!$D$7:$D$126,INT((ROW()-7)/4)+1)&amp;""="","",INDEX('01人员工时'!$B$7:$B$126,INT((ROW()-7)/4)+1))</f>
        <v/>
      </c>
      <c r="C471" s="22">
        <f>IF($D471="","",IF(MOD(ROW()-7,4)=0,INDEX('01人员工时'!$C$7:$C$126,INT((ROW()-7)/4)+1),""))</f>
        <v/>
      </c>
      <c r="D471" s="22">
        <f>IF(INDEX('01人员工时'!$D$7:$D$126,INT((ROW()-7)/4)+1)&amp;""="","",INDEX('01人员工时'!$D$7:$D$126,INT((ROW()-7)/4)+1))</f>
        <v/>
      </c>
      <c r="E471" s="22">
        <f>IF($D471="","",INDEX('参数设置'!$K$6:$K$9,MOD(ROW()-7,4)+1))</f>
        <v/>
      </c>
      <c r="F471" s="23">
        <f>IF($D471="","",IF($V471&lt;&gt;"",$V471,IFERROR(INDEX('参数设置'!$D$17:$G$26,MATCH($D471,'参数设置'!$C$17:$C$26,0),MATCH($E471,'参数设置'!$D$16:$G$16,0)),0)))</f>
        <v/>
      </c>
      <c r="G471" s="24">
        <f>IF($D471="","",INDEX('01人员工时'!$E$7:$E$126,INT((ROW()-7)/4)+1))</f>
        <v/>
      </c>
      <c r="H471" s="24">
        <f>IF($D471="","",INDEX('01人员工时'!$O$7:$O$126,INT((ROW()-7)/4)+1))</f>
        <v/>
      </c>
      <c r="I471" s="20">
        <f>IF(OR($D471="",$G471=0),"",$H471/$G471)</f>
        <v/>
      </c>
      <c r="J471" s="12">
        <f>IF($D471="","",ROUND($F471,2)-$S471)</f>
        <v/>
      </c>
      <c r="K471" s="12">
        <f>IF(OR($D471="",$G471=0),"",ROUND($F471*INDEX('01人员工时'!G$7:G$126,INT((ROW()-7)/4)+1)/$G471,2))</f>
        <v/>
      </c>
      <c r="L471" s="12">
        <f>IF(OR($D471="",$G471=0),"",ROUND($F471*INDEX('01人员工时'!H$7:H$126,INT((ROW()-7)/4)+1)/$G471,2))</f>
        <v/>
      </c>
      <c r="M471" s="12">
        <f>IF(OR($D471="",$G471=0),"",ROUND($F471*INDEX('01人员工时'!I$7:I$126,INT((ROW()-7)/4)+1)/$G471,2))</f>
        <v/>
      </c>
      <c r="N471" s="12">
        <f>IF(OR($D471="",$G471=0),"",ROUND($F471*INDEX('01人员工时'!J$7:J$126,INT((ROW()-7)/4)+1)/$G471,2))</f>
        <v/>
      </c>
      <c r="O471" s="12">
        <f>IF(OR($D471="",$G471=0),"",ROUND($F471*INDEX('01人员工时'!K$7:K$126,INT((ROW()-7)/4)+1)/$G471,2))</f>
        <v/>
      </c>
      <c r="P471" s="12">
        <f>IF(OR($D471="",$G471=0),"",ROUND($F471*INDEX('01人员工时'!L$7:L$126,INT((ROW()-7)/4)+1)/$G471,2))</f>
        <v/>
      </c>
      <c r="Q471" s="12">
        <f>IF(OR($D471="",$G471=0),"",ROUND($F471*INDEX('01人员工时'!M$7:M$126,INT((ROW()-7)/4)+1)/$G471,2))</f>
        <v/>
      </c>
      <c r="R471" s="12">
        <f>IF(OR($D471="",$G471=0),"",ROUND($F471*INDEX('01人员工时'!N$7:N$126,INT((ROW()-7)/4)+1)/$G471,2))</f>
        <v/>
      </c>
      <c r="S471" s="12">
        <f>IF($D471="","",SUM(K471:R471))</f>
        <v/>
      </c>
      <c r="T471" s="12">
        <f>IF($D471="","",$J471+$S471)</f>
        <v/>
      </c>
      <c r="U471" s="25">
        <f>IF($D471="","",IF($F471=0,"未维护标准",IF(ROUND($T471-$F471,2)=0,"√","差异")))</f>
        <v/>
      </c>
      <c r="V471" s="11" t="n"/>
      <c r="W471" s="9" t="n"/>
    </row>
    <row r="472" ht="18" customHeight="1">
      <c r="B472" s="21">
        <f>IF(INDEX('01人员工时'!$D$7:$D$126,INT((ROW()-7)/4)+1)&amp;""="","",INDEX('01人员工时'!$B$7:$B$126,INT((ROW()-7)/4)+1))</f>
        <v/>
      </c>
      <c r="C472" s="22">
        <f>IF($D472="","",IF(MOD(ROW()-7,4)=0,INDEX('01人员工时'!$C$7:$C$126,INT((ROW()-7)/4)+1),""))</f>
        <v/>
      </c>
      <c r="D472" s="22">
        <f>IF(INDEX('01人员工时'!$D$7:$D$126,INT((ROW()-7)/4)+1)&amp;""="","",INDEX('01人员工时'!$D$7:$D$126,INT((ROW()-7)/4)+1))</f>
        <v/>
      </c>
      <c r="E472" s="22">
        <f>IF($D472="","",INDEX('参数设置'!$K$6:$K$9,MOD(ROW()-7,4)+1))</f>
        <v/>
      </c>
      <c r="F472" s="23">
        <f>IF($D472="","",IF($V472&lt;&gt;"",$V472,IFERROR(INDEX('参数设置'!$D$17:$G$26,MATCH($D472,'参数设置'!$C$17:$C$26,0),MATCH($E472,'参数设置'!$D$16:$G$16,0)),0)))</f>
        <v/>
      </c>
      <c r="G472" s="24">
        <f>IF($D472="","",INDEX('01人员工时'!$E$7:$E$126,INT((ROW()-7)/4)+1))</f>
        <v/>
      </c>
      <c r="H472" s="24">
        <f>IF($D472="","",INDEX('01人员工时'!$O$7:$O$126,INT((ROW()-7)/4)+1))</f>
        <v/>
      </c>
      <c r="I472" s="20">
        <f>IF(OR($D472="",$G472=0),"",$H472/$G472)</f>
        <v/>
      </c>
      <c r="J472" s="12">
        <f>IF($D472="","",ROUND($F472,2)-$S472)</f>
        <v/>
      </c>
      <c r="K472" s="12">
        <f>IF(OR($D472="",$G472=0),"",ROUND($F472*INDEX('01人员工时'!G$7:G$126,INT((ROW()-7)/4)+1)/$G472,2))</f>
        <v/>
      </c>
      <c r="L472" s="12">
        <f>IF(OR($D472="",$G472=0),"",ROUND($F472*INDEX('01人员工时'!H$7:H$126,INT((ROW()-7)/4)+1)/$G472,2))</f>
        <v/>
      </c>
      <c r="M472" s="12">
        <f>IF(OR($D472="",$G472=0),"",ROUND($F472*INDEX('01人员工时'!I$7:I$126,INT((ROW()-7)/4)+1)/$G472,2))</f>
        <v/>
      </c>
      <c r="N472" s="12">
        <f>IF(OR($D472="",$G472=0),"",ROUND($F472*INDEX('01人员工时'!J$7:J$126,INT((ROW()-7)/4)+1)/$G472,2))</f>
        <v/>
      </c>
      <c r="O472" s="12">
        <f>IF(OR($D472="",$G472=0),"",ROUND($F472*INDEX('01人员工时'!K$7:K$126,INT((ROW()-7)/4)+1)/$G472,2))</f>
        <v/>
      </c>
      <c r="P472" s="12">
        <f>IF(OR($D472="",$G472=0),"",ROUND($F472*INDEX('01人员工时'!L$7:L$126,INT((ROW()-7)/4)+1)/$G472,2))</f>
        <v/>
      </c>
      <c r="Q472" s="12">
        <f>IF(OR($D472="",$G472=0),"",ROUND($F472*INDEX('01人员工时'!M$7:M$126,INT((ROW()-7)/4)+1)/$G472,2))</f>
        <v/>
      </c>
      <c r="R472" s="12">
        <f>IF(OR($D472="",$G472=0),"",ROUND($F472*INDEX('01人员工时'!N$7:N$126,INT((ROW()-7)/4)+1)/$G472,2))</f>
        <v/>
      </c>
      <c r="S472" s="12">
        <f>IF($D472="","",SUM(K472:R472))</f>
        <v/>
      </c>
      <c r="T472" s="12">
        <f>IF($D472="","",$J472+$S472)</f>
        <v/>
      </c>
      <c r="U472" s="25">
        <f>IF($D472="","",IF($F472=0,"未维护标准",IF(ROUND($T472-$F472,2)=0,"√","差异")))</f>
        <v/>
      </c>
      <c r="V472" s="11" t="n"/>
      <c r="W472" s="9" t="n"/>
    </row>
    <row r="473" ht="18" customHeight="1">
      <c r="B473" s="21">
        <f>IF(INDEX('01人员工时'!$D$7:$D$126,INT((ROW()-7)/4)+1)&amp;""="","",INDEX('01人员工时'!$B$7:$B$126,INT((ROW()-7)/4)+1))</f>
        <v/>
      </c>
      <c r="C473" s="22">
        <f>IF($D473="","",IF(MOD(ROW()-7,4)=0,INDEX('01人员工时'!$C$7:$C$126,INT((ROW()-7)/4)+1),""))</f>
        <v/>
      </c>
      <c r="D473" s="22">
        <f>IF(INDEX('01人员工时'!$D$7:$D$126,INT((ROW()-7)/4)+1)&amp;""="","",INDEX('01人员工时'!$D$7:$D$126,INT((ROW()-7)/4)+1))</f>
        <v/>
      </c>
      <c r="E473" s="22">
        <f>IF($D473="","",INDEX('参数设置'!$K$6:$K$9,MOD(ROW()-7,4)+1))</f>
        <v/>
      </c>
      <c r="F473" s="23">
        <f>IF($D473="","",IF($V473&lt;&gt;"",$V473,IFERROR(INDEX('参数设置'!$D$17:$G$26,MATCH($D473,'参数设置'!$C$17:$C$26,0),MATCH($E473,'参数设置'!$D$16:$G$16,0)),0)))</f>
        <v/>
      </c>
      <c r="G473" s="24">
        <f>IF($D473="","",INDEX('01人员工时'!$E$7:$E$126,INT((ROW()-7)/4)+1))</f>
        <v/>
      </c>
      <c r="H473" s="24">
        <f>IF($D473="","",INDEX('01人员工时'!$O$7:$O$126,INT((ROW()-7)/4)+1))</f>
        <v/>
      </c>
      <c r="I473" s="20">
        <f>IF(OR($D473="",$G473=0),"",$H473/$G473)</f>
        <v/>
      </c>
      <c r="J473" s="12">
        <f>IF($D473="","",ROUND($F473,2)-$S473)</f>
        <v/>
      </c>
      <c r="K473" s="12">
        <f>IF(OR($D473="",$G473=0),"",ROUND($F473*INDEX('01人员工时'!G$7:G$126,INT((ROW()-7)/4)+1)/$G473,2))</f>
        <v/>
      </c>
      <c r="L473" s="12">
        <f>IF(OR($D473="",$G473=0),"",ROUND($F473*INDEX('01人员工时'!H$7:H$126,INT((ROW()-7)/4)+1)/$G473,2))</f>
        <v/>
      </c>
      <c r="M473" s="12">
        <f>IF(OR($D473="",$G473=0),"",ROUND($F473*INDEX('01人员工时'!I$7:I$126,INT((ROW()-7)/4)+1)/$G473,2))</f>
        <v/>
      </c>
      <c r="N473" s="12">
        <f>IF(OR($D473="",$G473=0),"",ROUND($F473*INDEX('01人员工时'!J$7:J$126,INT((ROW()-7)/4)+1)/$G473,2))</f>
        <v/>
      </c>
      <c r="O473" s="12">
        <f>IF(OR($D473="",$G473=0),"",ROUND($F473*INDEX('01人员工时'!K$7:K$126,INT((ROW()-7)/4)+1)/$G473,2))</f>
        <v/>
      </c>
      <c r="P473" s="12">
        <f>IF(OR($D473="",$G473=0),"",ROUND($F473*INDEX('01人员工时'!L$7:L$126,INT((ROW()-7)/4)+1)/$G473,2))</f>
        <v/>
      </c>
      <c r="Q473" s="12">
        <f>IF(OR($D473="",$G473=0),"",ROUND($F473*INDEX('01人员工时'!M$7:M$126,INT((ROW()-7)/4)+1)/$G473,2))</f>
        <v/>
      </c>
      <c r="R473" s="12">
        <f>IF(OR($D473="",$G473=0),"",ROUND($F473*INDEX('01人员工时'!N$7:N$126,INT((ROW()-7)/4)+1)/$G473,2))</f>
        <v/>
      </c>
      <c r="S473" s="12">
        <f>IF($D473="","",SUM(K473:R473))</f>
        <v/>
      </c>
      <c r="T473" s="12">
        <f>IF($D473="","",$J473+$S473)</f>
        <v/>
      </c>
      <c r="U473" s="25">
        <f>IF($D473="","",IF($F473=0,"未维护标准",IF(ROUND($T473-$F473,2)=0,"√","差异")))</f>
        <v/>
      </c>
      <c r="V473" s="11" t="n"/>
      <c r="W473" s="9" t="n"/>
    </row>
    <row r="474" ht="18" customHeight="1">
      <c r="B474" s="26">
        <f>IF(INDEX('01人员工时'!$D$7:$D$126,INT((ROW()-7)/4)+1)&amp;""="","",INDEX('01人员工时'!$B$7:$B$126,INT((ROW()-7)/4)+1))</f>
        <v/>
      </c>
      <c r="C474" s="27">
        <f>IF($D474="","",IF(MOD(ROW()-7,4)=0,INDEX('01人员工时'!$C$7:$C$126,INT((ROW()-7)/4)+1),""))</f>
        <v/>
      </c>
      <c r="D474" s="27">
        <f>IF(INDEX('01人员工时'!$D$7:$D$126,INT((ROW()-7)/4)+1)&amp;""="","",INDEX('01人员工时'!$D$7:$D$126,INT((ROW()-7)/4)+1))</f>
        <v/>
      </c>
      <c r="E474" s="27">
        <f>IF($D474="","",INDEX('参数设置'!$K$6:$K$9,MOD(ROW()-7,4)+1))</f>
        <v/>
      </c>
      <c r="F474" s="28">
        <f>IF($D474="","",IF($V474&lt;&gt;"",$V474,IFERROR(INDEX('参数设置'!$D$17:$G$26,MATCH($D474,'参数设置'!$C$17:$C$26,0),MATCH($E474,'参数设置'!$D$16:$G$16,0)),0)))</f>
        <v/>
      </c>
      <c r="G474" s="29">
        <f>IF($D474="","",INDEX('01人员工时'!$E$7:$E$126,INT((ROW()-7)/4)+1))</f>
        <v/>
      </c>
      <c r="H474" s="29">
        <f>IF($D474="","",INDEX('01人员工时'!$O$7:$O$126,INT((ROW()-7)/4)+1))</f>
        <v/>
      </c>
      <c r="I474" s="30">
        <f>IF(OR($D474="",$G474=0),"",$H474/$G474)</f>
        <v/>
      </c>
      <c r="J474" s="31">
        <f>IF($D474="","",ROUND($F474,2)-$S474)</f>
        <v/>
      </c>
      <c r="K474" s="31">
        <f>IF(OR($D474="",$G474=0),"",ROUND($F474*INDEX('01人员工时'!G$7:G$126,INT((ROW()-7)/4)+1)/$G474,2))</f>
        <v/>
      </c>
      <c r="L474" s="31">
        <f>IF(OR($D474="",$G474=0),"",ROUND($F474*INDEX('01人员工时'!H$7:H$126,INT((ROW()-7)/4)+1)/$G474,2))</f>
        <v/>
      </c>
      <c r="M474" s="31">
        <f>IF(OR($D474="",$G474=0),"",ROUND($F474*INDEX('01人员工时'!I$7:I$126,INT((ROW()-7)/4)+1)/$G474,2))</f>
        <v/>
      </c>
      <c r="N474" s="31">
        <f>IF(OR($D474="",$G474=0),"",ROUND($F474*INDEX('01人员工时'!J$7:J$126,INT((ROW()-7)/4)+1)/$G474,2))</f>
        <v/>
      </c>
      <c r="O474" s="31">
        <f>IF(OR($D474="",$G474=0),"",ROUND($F474*INDEX('01人员工时'!K$7:K$126,INT((ROW()-7)/4)+1)/$G474,2))</f>
        <v/>
      </c>
      <c r="P474" s="31">
        <f>IF(OR($D474="",$G474=0),"",ROUND($F474*INDEX('01人员工时'!L$7:L$126,INT((ROW()-7)/4)+1)/$G474,2))</f>
        <v/>
      </c>
      <c r="Q474" s="31">
        <f>IF(OR($D474="",$G474=0),"",ROUND($F474*INDEX('01人员工时'!M$7:M$126,INT((ROW()-7)/4)+1)/$G474,2))</f>
        <v/>
      </c>
      <c r="R474" s="31">
        <f>IF(OR($D474="",$G474=0),"",ROUND($F474*INDEX('01人员工时'!N$7:N$126,INT((ROW()-7)/4)+1)/$G474,2))</f>
        <v/>
      </c>
      <c r="S474" s="31">
        <f>IF($D474="","",SUM(K474:R474))</f>
        <v/>
      </c>
      <c r="T474" s="31">
        <f>IF($D474="","",$J474+$S474)</f>
        <v/>
      </c>
      <c r="U474" s="32">
        <f>IF($D474="","",IF($F474=0,"未维护标准",IF(ROUND($T474-$F474,2)=0,"√","差异")))</f>
        <v/>
      </c>
      <c r="V474" s="33" t="n"/>
      <c r="W474" s="34" t="n"/>
    </row>
    <row r="475" ht="18" customHeight="1">
      <c r="B475" s="21">
        <f>IF(INDEX('01人员工时'!$D$7:$D$126,INT((ROW()-7)/4)+1)&amp;""="","",INDEX('01人员工时'!$B$7:$B$126,INT((ROW()-7)/4)+1))</f>
        <v/>
      </c>
      <c r="C475" s="22">
        <f>IF($D475="","",IF(MOD(ROW()-7,4)=0,INDEX('01人员工时'!$C$7:$C$126,INT((ROW()-7)/4)+1),""))</f>
        <v/>
      </c>
      <c r="D475" s="22">
        <f>IF(INDEX('01人员工时'!$D$7:$D$126,INT((ROW()-7)/4)+1)&amp;""="","",INDEX('01人员工时'!$D$7:$D$126,INT((ROW()-7)/4)+1))</f>
        <v/>
      </c>
      <c r="E475" s="22">
        <f>IF($D475="","",INDEX('参数设置'!$K$6:$K$9,MOD(ROW()-7,4)+1))</f>
        <v/>
      </c>
      <c r="F475" s="23">
        <f>IF($D475="","",IF($V475&lt;&gt;"",$V475,IFERROR(INDEX('参数设置'!$D$17:$G$26,MATCH($D475,'参数设置'!$C$17:$C$26,0),MATCH($E475,'参数设置'!$D$16:$G$16,0)),0)))</f>
        <v/>
      </c>
      <c r="G475" s="24">
        <f>IF($D475="","",INDEX('01人员工时'!$E$7:$E$126,INT((ROW()-7)/4)+1))</f>
        <v/>
      </c>
      <c r="H475" s="24">
        <f>IF($D475="","",INDEX('01人员工时'!$O$7:$O$126,INT((ROW()-7)/4)+1))</f>
        <v/>
      </c>
      <c r="I475" s="20">
        <f>IF(OR($D475="",$G475=0),"",$H475/$G475)</f>
        <v/>
      </c>
      <c r="J475" s="12">
        <f>IF($D475="","",ROUND($F475,2)-$S475)</f>
        <v/>
      </c>
      <c r="K475" s="12">
        <f>IF(OR($D475="",$G475=0),"",ROUND($F475*INDEX('01人员工时'!G$7:G$126,INT((ROW()-7)/4)+1)/$G475,2))</f>
        <v/>
      </c>
      <c r="L475" s="12">
        <f>IF(OR($D475="",$G475=0),"",ROUND($F475*INDEX('01人员工时'!H$7:H$126,INT((ROW()-7)/4)+1)/$G475,2))</f>
        <v/>
      </c>
      <c r="M475" s="12">
        <f>IF(OR($D475="",$G475=0),"",ROUND($F475*INDEX('01人员工时'!I$7:I$126,INT((ROW()-7)/4)+1)/$G475,2))</f>
        <v/>
      </c>
      <c r="N475" s="12">
        <f>IF(OR($D475="",$G475=0),"",ROUND($F475*INDEX('01人员工时'!J$7:J$126,INT((ROW()-7)/4)+1)/$G475,2))</f>
        <v/>
      </c>
      <c r="O475" s="12">
        <f>IF(OR($D475="",$G475=0),"",ROUND($F475*INDEX('01人员工时'!K$7:K$126,INT((ROW()-7)/4)+1)/$G475,2))</f>
        <v/>
      </c>
      <c r="P475" s="12">
        <f>IF(OR($D475="",$G475=0),"",ROUND($F475*INDEX('01人员工时'!L$7:L$126,INT((ROW()-7)/4)+1)/$G475,2))</f>
        <v/>
      </c>
      <c r="Q475" s="12">
        <f>IF(OR($D475="",$G475=0),"",ROUND($F475*INDEX('01人员工时'!M$7:M$126,INT((ROW()-7)/4)+1)/$G475,2))</f>
        <v/>
      </c>
      <c r="R475" s="12">
        <f>IF(OR($D475="",$G475=0),"",ROUND($F475*INDEX('01人员工时'!N$7:N$126,INT((ROW()-7)/4)+1)/$G475,2))</f>
        <v/>
      </c>
      <c r="S475" s="12">
        <f>IF($D475="","",SUM(K475:R475))</f>
        <v/>
      </c>
      <c r="T475" s="12">
        <f>IF($D475="","",$J475+$S475)</f>
        <v/>
      </c>
      <c r="U475" s="25">
        <f>IF($D475="","",IF($F475=0,"未维护标准",IF(ROUND($T475-$F475,2)=0,"√","差异")))</f>
        <v/>
      </c>
      <c r="V475" s="11" t="n"/>
      <c r="W475" s="9" t="n"/>
    </row>
    <row r="476" ht="18" customHeight="1">
      <c r="B476" s="21">
        <f>IF(INDEX('01人员工时'!$D$7:$D$126,INT((ROW()-7)/4)+1)&amp;""="","",INDEX('01人员工时'!$B$7:$B$126,INT((ROW()-7)/4)+1))</f>
        <v/>
      </c>
      <c r="C476" s="22">
        <f>IF($D476="","",IF(MOD(ROW()-7,4)=0,INDEX('01人员工时'!$C$7:$C$126,INT((ROW()-7)/4)+1),""))</f>
        <v/>
      </c>
      <c r="D476" s="22">
        <f>IF(INDEX('01人员工时'!$D$7:$D$126,INT((ROW()-7)/4)+1)&amp;""="","",INDEX('01人员工时'!$D$7:$D$126,INT((ROW()-7)/4)+1))</f>
        <v/>
      </c>
      <c r="E476" s="22">
        <f>IF($D476="","",INDEX('参数设置'!$K$6:$K$9,MOD(ROW()-7,4)+1))</f>
        <v/>
      </c>
      <c r="F476" s="23">
        <f>IF($D476="","",IF($V476&lt;&gt;"",$V476,IFERROR(INDEX('参数设置'!$D$17:$G$26,MATCH($D476,'参数设置'!$C$17:$C$26,0),MATCH($E476,'参数设置'!$D$16:$G$16,0)),0)))</f>
        <v/>
      </c>
      <c r="G476" s="24">
        <f>IF($D476="","",INDEX('01人员工时'!$E$7:$E$126,INT((ROW()-7)/4)+1))</f>
        <v/>
      </c>
      <c r="H476" s="24">
        <f>IF($D476="","",INDEX('01人员工时'!$O$7:$O$126,INT((ROW()-7)/4)+1))</f>
        <v/>
      </c>
      <c r="I476" s="20">
        <f>IF(OR($D476="",$G476=0),"",$H476/$G476)</f>
        <v/>
      </c>
      <c r="J476" s="12">
        <f>IF($D476="","",ROUND($F476,2)-$S476)</f>
        <v/>
      </c>
      <c r="K476" s="12">
        <f>IF(OR($D476="",$G476=0),"",ROUND($F476*INDEX('01人员工时'!G$7:G$126,INT((ROW()-7)/4)+1)/$G476,2))</f>
        <v/>
      </c>
      <c r="L476" s="12">
        <f>IF(OR($D476="",$G476=0),"",ROUND($F476*INDEX('01人员工时'!H$7:H$126,INT((ROW()-7)/4)+1)/$G476,2))</f>
        <v/>
      </c>
      <c r="M476" s="12">
        <f>IF(OR($D476="",$G476=0),"",ROUND($F476*INDEX('01人员工时'!I$7:I$126,INT((ROW()-7)/4)+1)/$G476,2))</f>
        <v/>
      </c>
      <c r="N476" s="12">
        <f>IF(OR($D476="",$G476=0),"",ROUND($F476*INDEX('01人员工时'!J$7:J$126,INT((ROW()-7)/4)+1)/$G476,2))</f>
        <v/>
      </c>
      <c r="O476" s="12">
        <f>IF(OR($D476="",$G476=0),"",ROUND($F476*INDEX('01人员工时'!K$7:K$126,INT((ROW()-7)/4)+1)/$G476,2))</f>
        <v/>
      </c>
      <c r="P476" s="12">
        <f>IF(OR($D476="",$G476=0),"",ROUND($F476*INDEX('01人员工时'!L$7:L$126,INT((ROW()-7)/4)+1)/$G476,2))</f>
        <v/>
      </c>
      <c r="Q476" s="12">
        <f>IF(OR($D476="",$G476=0),"",ROUND($F476*INDEX('01人员工时'!M$7:M$126,INT((ROW()-7)/4)+1)/$G476,2))</f>
        <v/>
      </c>
      <c r="R476" s="12">
        <f>IF(OR($D476="",$G476=0),"",ROUND($F476*INDEX('01人员工时'!N$7:N$126,INT((ROW()-7)/4)+1)/$G476,2))</f>
        <v/>
      </c>
      <c r="S476" s="12">
        <f>IF($D476="","",SUM(K476:R476))</f>
        <v/>
      </c>
      <c r="T476" s="12">
        <f>IF($D476="","",$J476+$S476)</f>
        <v/>
      </c>
      <c r="U476" s="25">
        <f>IF($D476="","",IF($F476=0,"未维护标准",IF(ROUND($T476-$F476,2)=0,"√","差异")))</f>
        <v/>
      </c>
      <c r="V476" s="11" t="n"/>
      <c r="W476" s="9" t="n"/>
    </row>
    <row r="477" ht="18" customHeight="1">
      <c r="B477" s="21">
        <f>IF(INDEX('01人员工时'!$D$7:$D$126,INT((ROW()-7)/4)+1)&amp;""="","",INDEX('01人员工时'!$B$7:$B$126,INT((ROW()-7)/4)+1))</f>
        <v/>
      </c>
      <c r="C477" s="22">
        <f>IF($D477="","",IF(MOD(ROW()-7,4)=0,INDEX('01人员工时'!$C$7:$C$126,INT((ROW()-7)/4)+1),""))</f>
        <v/>
      </c>
      <c r="D477" s="22">
        <f>IF(INDEX('01人员工时'!$D$7:$D$126,INT((ROW()-7)/4)+1)&amp;""="","",INDEX('01人员工时'!$D$7:$D$126,INT((ROW()-7)/4)+1))</f>
        <v/>
      </c>
      <c r="E477" s="22">
        <f>IF($D477="","",INDEX('参数设置'!$K$6:$K$9,MOD(ROW()-7,4)+1))</f>
        <v/>
      </c>
      <c r="F477" s="23">
        <f>IF($D477="","",IF($V477&lt;&gt;"",$V477,IFERROR(INDEX('参数设置'!$D$17:$G$26,MATCH($D477,'参数设置'!$C$17:$C$26,0),MATCH($E477,'参数设置'!$D$16:$G$16,0)),0)))</f>
        <v/>
      </c>
      <c r="G477" s="24">
        <f>IF($D477="","",INDEX('01人员工时'!$E$7:$E$126,INT((ROW()-7)/4)+1))</f>
        <v/>
      </c>
      <c r="H477" s="24">
        <f>IF($D477="","",INDEX('01人员工时'!$O$7:$O$126,INT((ROW()-7)/4)+1))</f>
        <v/>
      </c>
      <c r="I477" s="20">
        <f>IF(OR($D477="",$G477=0),"",$H477/$G477)</f>
        <v/>
      </c>
      <c r="J477" s="12">
        <f>IF($D477="","",ROUND($F477,2)-$S477)</f>
        <v/>
      </c>
      <c r="K477" s="12">
        <f>IF(OR($D477="",$G477=0),"",ROUND($F477*INDEX('01人员工时'!G$7:G$126,INT((ROW()-7)/4)+1)/$G477,2))</f>
        <v/>
      </c>
      <c r="L477" s="12">
        <f>IF(OR($D477="",$G477=0),"",ROUND($F477*INDEX('01人员工时'!H$7:H$126,INT((ROW()-7)/4)+1)/$G477,2))</f>
        <v/>
      </c>
      <c r="M477" s="12">
        <f>IF(OR($D477="",$G477=0),"",ROUND($F477*INDEX('01人员工时'!I$7:I$126,INT((ROW()-7)/4)+1)/$G477,2))</f>
        <v/>
      </c>
      <c r="N477" s="12">
        <f>IF(OR($D477="",$G477=0),"",ROUND($F477*INDEX('01人员工时'!J$7:J$126,INT((ROW()-7)/4)+1)/$G477,2))</f>
        <v/>
      </c>
      <c r="O477" s="12">
        <f>IF(OR($D477="",$G477=0),"",ROUND($F477*INDEX('01人员工时'!K$7:K$126,INT((ROW()-7)/4)+1)/$G477,2))</f>
        <v/>
      </c>
      <c r="P477" s="12">
        <f>IF(OR($D477="",$G477=0),"",ROUND($F477*INDEX('01人员工时'!L$7:L$126,INT((ROW()-7)/4)+1)/$G477,2))</f>
        <v/>
      </c>
      <c r="Q477" s="12">
        <f>IF(OR($D477="",$G477=0),"",ROUND($F477*INDEX('01人员工时'!M$7:M$126,INT((ROW()-7)/4)+1)/$G477,2))</f>
        <v/>
      </c>
      <c r="R477" s="12">
        <f>IF(OR($D477="",$G477=0),"",ROUND($F477*INDEX('01人员工时'!N$7:N$126,INT((ROW()-7)/4)+1)/$G477,2))</f>
        <v/>
      </c>
      <c r="S477" s="12">
        <f>IF($D477="","",SUM(K477:R477))</f>
        <v/>
      </c>
      <c r="T477" s="12">
        <f>IF($D477="","",$J477+$S477)</f>
        <v/>
      </c>
      <c r="U477" s="25">
        <f>IF($D477="","",IF($F477=0,"未维护标准",IF(ROUND($T477-$F477,2)=0,"√","差异")))</f>
        <v/>
      </c>
      <c r="V477" s="11" t="n"/>
      <c r="W477" s="9" t="n"/>
    </row>
    <row r="478" ht="18" customHeight="1">
      <c r="B478" s="26">
        <f>IF(INDEX('01人员工时'!$D$7:$D$126,INT((ROW()-7)/4)+1)&amp;""="","",INDEX('01人员工时'!$B$7:$B$126,INT((ROW()-7)/4)+1))</f>
        <v/>
      </c>
      <c r="C478" s="27">
        <f>IF($D478="","",IF(MOD(ROW()-7,4)=0,INDEX('01人员工时'!$C$7:$C$126,INT((ROW()-7)/4)+1),""))</f>
        <v/>
      </c>
      <c r="D478" s="27">
        <f>IF(INDEX('01人员工时'!$D$7:$D$126,INT((ROW()-7)/4)+1)&amp;""="","",INDEX('01人员工时'!$D$7:$D$126,INT((ROW()-7)/4)+1))</f>
        <v/>
      </c>
      <c r="E478" s="27">
        <f>IF($D478="","",INDEX('参数设置'!$K$6:$K$9,MOD(ROW()-7,4)+1))</f>
        <v/>
      </c>
      <c r="F478" s="28">
        <f>IF($D478="","",IF($V478&lt;&gt;"",$V478,IFERROR(INDEX('参数设置'!$D$17:$G$26,MATCH($D478,'参数设置'!$C$17:$C$26,0),MATCH($E478,'参数设置'!$D$16:$G$16,0)),0)))</f>
        <v/>
      </c>
      <c r="G478" s="29">
        <f>IF($D478="","",INDEX('01人员工时'!$E$7:$E$126,INT((ROW()-7)/4)+1))</f>
        <v/>
      </c>
      <c r="H478" s="29">
        <f>IF($D478="","",INDEX('01人员工时'!$O$7:$O$126,INT((ROW()-7)/4)+1))</f>
        <v/>
      </c>
      <c r="I478" s="30">
        <f>IF(OR($D478="",$G478=0),"",$H478/$G478)</f>
        <v/>
      </c>
      <c r="J478" s="31">
        <f>IF($D478="","",ROUND($F478,2)-$S478)</f>
        <v/>
      </c>
      <c r="K478" s="31">
        <f>IF(OR($D478="",$G478=0),"",ROUND($F478*INDEX('01人员工时'!G$7:G$126,INT((ROW()-7)/4)+1)/$G478,2))</f>
        <v/>
      </c>
      <c r="L478" s="31">
        <f>IF(OR($D478="",$G478=0),"",ROUND($F478*INDEX('01人员工时'!H$7:H$126,INT((ROW()-7)/4)+1)/$G478,2))</f>
        <v/>
      </c>
      <c r="M478" s="31">
        <f>IF(OR($D478="",$G478=0),"",ROUND($F478*INDEX('01人员工时'!I$7:I$126,INT((ROW()-7)/4)+1)/$G478,2))</f>
        <v/>
      </c>
      <c r="N478" s="31">
        <f>IF(OR($D478="",$G478=0),"",ROUND($F478*INDEX('01人员工时'!J$7:J$126,INT((ROW()-7)/4)+1)/$G478,2))</f>
        <v/>
      </c>
      <c r="O478" s="31">
        <f>IF(OR($D478="",$G478=0),"",ROUND($F478*INDEX('01人员工时'!K$7:K$126,INT((ROW()-7)/4)+1)/$G478,2))</f>
        <v/>
      </c>
      <c r="P478" s="31">
        <f>IF(OR($D478="",$G478=0),"",ROUND($F478*INDEX('01人员工时'!L$7:L$126,INT((ROW()-7)/4)+1)/$G478,2))</f>
        <v/>
      </c>
      <c r="Q478" s="31">
        <f>IF(OR($D478="",$G478=0),"",ROUND($F478*INDEX('01人员工时'!M$7:M$126,INT((ROW()-7)/4)+1)/$G478,2))</f>
        <v/>
      </c>
      <c r="R478" s="31">
        <f>IF(OR($D478="",$G478=0),"",ROUND($F478*INDEX('01人员工时'!N$7:N$126,INT((ROW()-7)/4)+1)/$G478,2))</f>
        <v/>
      </c>
      <c r="S478" s="31">
        <f>IF($D478="","",SUM(K478:R478))</f>
        <v/>
      </c>
      <c r="T478" s="31">
        <f>IF($D478="","",$J478+$S478)</f>
        <v/>
      </c>
      <c r="U478" s="32">
        <f>IF($D478="","",IF($F478=0,"未维护标准",IF(ROUND($T478-$F478,2)=0,"√","差异")))</f>
        <v/>
      </c>
      <c r="V478" s="33" t="n"/>
      <c r="W478" s="34" t="n"/>
    </row>
    <row r="479" ht="18" customHeight="1">
      <c r="B479" s="21">
        <f>IF(INDEX('01人员工时'!$D$7:$D$126,INT((ROW()-7)/4)+1)&amp;""="","",INDEX('01人员工时'!$B$7:$B$126,INT((ROW()-7)/4)+1))</f>
        <v/>
      </c>
      <c r="C479" s="22">
        <f>IF($D479="","",IF(MOD(ROW()-7,4)=0,INDEX('01人员工时'!$C$7:$C$126,INT((ROW()-7)/4)+1),""))</f>
        <v/>
      </c>
      <c r="D479" s="22">
        <f>IF(INDEX('01人员工时'!$D$7:$D$126,INT((ROW()-7)/4)+1)&amp;""="","",INDEX('01人员工时'!$D$7:$D$126,INT((ROW()-7)/4)+1))</f>
        <v/>
      </c>
      <c r="E479" s="22">
        <f>IF($D479="","",INDEX('参数设置'!$K$6:$K$9,MOD(ROW()-7,4)+1))</f>
        <v/>
      </c>
      <c r="F479" s="23">
        <f>IF($D479="","",IF($V479&lt;&gt;"",$V479,IFERROR(INDEX('参数设置'!$D$17:$G$26,MATCH($D479,'参数设置'!$C$17:$C$26,0),MATCH($E479,'参数设置'!$D$16:$G$16,0)),0)))</f>
        <v/>
      </c>
      <c r="G479" s="24">
        <f>IF($D479="","",INDEX('01人员工时'!$E$7:$E$126,INT((ROW()-7)/4)+1))</f>
        <v/>
      </c>
      <c r="H479" s="24">
        <f>IF($D479="","",INDEX('01人员工时'!$O$7:$O$126,INT((ROW()-7)/4)+1))</f>
        <v/>
      </c>
      <c r="I479" s="20">
        <f>IF(OR($D479="",$G479=0),"",$H479/$G479)</f>
        <v/>
      </c>
      <c r="J479" s="12">
        <f>IF($D479="","",ROUND($F479,2)-$S479)</f>
        <v/>
      </c>
      <c r="K479" s="12">
        <f>IF(OR($D479="",$G479=0),"",ROUND($F479*INDEX('01人员工时'!G$7:G$126,INT((ROW()-7)/4)+1)/$G479,2))</f>
        <v/>
      </c>
      <c r="L479" s="12">
        <f>IF(OR($D479="",$G479=0),"",ROUND($F479*INDEX('01人员工时'!H$7:H$126,INT((ROW()-7)/4)+1)/$G479,2))</f>
        <v/>
      </c>
      <c r="M479" s="12">
        <f>IF(OR($D479="",$G479=0),"",ROUND($F479*INDEX('01人员工时'!I$7:I$126,INT((ROW()-7)/4)+1)/$G479,2))</f>
        <v/>
      </c>
      <c r="N479" s="12">
        <f>IF(OR($D479="",$G479=0),"",ROUND($F479*INDEX('01人员工时'!J$7:J$126,INT((ROW()-7)/4)+1)/$G479,2))</f>
        <v/>
      </c>
      <c r="O479" s="12">
        <f>IF(OR($D479="",$G479=0),"",ROUND($F479*INDEX('01人员工时'!K$7:K$126,INT((ROW()-7)/4)+1)/$G479,2))</f>
        <v/>
      </c>
      <c r="P479" s="12">
        <f>IF(OR($D479="",$G479=0),"",ROUND($F479*INDEX('01人员工时'!L$7:L$126,INT((ROW()-7)/4)+1)/$G479,2))</f>
        <v/>
      </c>
      <c r="Q479" s="12">
        <f>IF(OR($D479="",$G479=0),"",ROUND($F479*INDEX('01人员工时'!M$7:M$126,INT((ROW()-7)/4)+1)/$G479,2))</f>
        <v/>
      </c>
      <c r="R479" s="12">
        <f>IF(OR($D479="",$G479=0),"",ROUND($F479*INDEX('01人员工时'!N$7:N$126,INT((ROW()-7)/4)+1)/$G479,2))</f>
        <v/>
      </c>
      <c r="S479" s="12">
        <f>IF($D479="","",SUM(K479:R479))</f>
        <v/>
      </c>
      <c r="T479" s="12">
        <f>IF($D479="","",$J479+$S479)</f>
        <v/>
      </c>
      <c r="U479" s="25">
        <f>IF($D479="","",IF($F479=0,"未维护标准",IF(ROUND($T479-$F479,2)=0,"√","差异")))</f>
        <v/>
      </c>
      <c r="V479" s="11" t="n"/>
      <c r="W479" s="9" t="n"/>
    </row>
    <row r="480" ht="18" customHeight="1">
      <c r="B480" s="21">
        <f>IF(INDEX('01人员工时'!$D$7:$D$126,INT((ROW()-7)/4)+1)&amp;""="","",INDEX('01人员工时'!$B$7:$B$126,INT((ROW()-7)/4)+1))</f>
        <v/>
      </c>
      <c r="C480" s="22">
        <f>IF($D480="","",IF(MOD(ROW()-7,4)=0,INDEX('01人员工时'!$C$7:$C$126,INT((ROW()-7)/4)+1),""))</f>
        <v/>
      </c>
      <c r="D480" s="22">
        <f>IF(INDEX('01人员工时'!$D$7:$D$126,INT((ROW()-7)/4)+1)&amp;""="","",INDEX('01人员工时'!$D$7:$D$126,INT((ROW()-7)/4)+1))</f>
        <v/>
      </c>
      <c r="E480" s="22">
        <f>IF($D480="","",INDEX('参数设置'!$K$6:$K$9,MOD(ROW()-7,4)+1))</f>
        <v/>
      </c>
      <c r="F480" s="23">
        <f>IF($D480="","",IF($V480&lt;&gt;"",$V480,IFERROR(INDEX('参数设置'!$D$17:$G$26,MATCH($D480,'参数设置'!$C$17:$C$26,0),MATCH($E480,'参数设置'!$D$16:$G$16,0)),0)))</f>
        <v/>
      </c>
      <c r="G480" s="24">
        <f>IF($D480="","",INDEX('01人员工时'!$E$7:$E$126,INT((ROW()-7)/4)+1))</f>
        <v/>
      </c>
      <c r="H480" s="24">
        <f>IF($D480="","",INDEX('01人员工时'!$O$7:$O$126,INT((ROW()-7)/4)+1))</f>
        <v/>
      </c>
      <c r="I480" s="20">
        <f>IF(OR($D480="",$G480=0),"",$H480/$G480)</f>
        <v/>
      </c>
      <c r="J480" s="12">
        <f>IF($D480="","",ROUND($F480,2)-$S480)</f>
        <v/>
      </c>
      <c r="K480" s="12">
        <f>IF(OR($D480="",$G480=0),"",ROUND($F480*INDEX('01人员工时'!G$7:G$126,INT((ROW()-7)/4)+1)/$G480,2))</f>
        <v/>
      </c>
      <c r="L480" s="12">
        <f>IF(OR($D480="",$G480=0),"",ROUND($F480*INDEX('01人员工时'!H$7:H$126,INT((ROW()-7)/4)+1)/$G480,2))</f>
        <v/>
      </c>
      <c r="M480" s="12">
        <f>IF(OR($D480="",$G480=0),"",ROUND($F480*INDEX('01人员工时'!I$7:I$126,INT((ROW()-7)/4)+1)/$G480,2))</f>
        <v/>
      </c>
      <c r="N480" s="12">
        <f>IF(OR($D480="",$G480=0),"",ROUND($F480*INDEX('01人员工时'!J$7:J$126,INT((ROW()-7)/4)+1)/$G480,2))</f>
        <v/>
      </c>
      <c r="O480" s="12">
        <f>IF(OR($D480="",$G480=0),"",ROUND($F480*INDEX('01人员工时'!K$7:K$126,INT((ROW()-7)/4)+1)/$G480,2))</f>
        <v/>
      </c>
      <c r="P480" s="12">
        <f>IF(OR($D480="",$G480=0),"",ROUND($F480*INDEX('01人员工时'!L$7:L$126,INT((ROW()-7)/4)+1)/$G480,2))</f>
        <v/>
      </c>
      <c r="Q480" s="12">
        <f>IF(OR($D480="",$G480=0),"",ROUND($F480*INDEX('01人员工时'!M$7:M$126,INT((ROW()-7)/4)+1)/$G480,2))</f>
        <v/>
      </c>
      <c r="R480" s="12">
        <f>IF(OR($D480="",$G480=0),"",ROUND($F480*INDEX('01人员工时'!N$7:N$126,INT((ROW()-7)/4)+1)/$G480,2))</f>
        <v/>
      </c>
      <c r="S480" s="12">
        <f>IF($D480="","",SUM(K480:R480))</f>
        <v/>
      </c>
      <c r="T480" s="12">
        <f>IF($D480="","",$J480+$S480)</f>
        <v/>
      </c>
      <c r="U480" s="25">
        <f>IF($D480="","",IF($F480=0,"未维护标准",IF(ROUND($T480-$F480,2)=0,"√","差异")))</f>
        <v/>
      </c>
      <c r="V480" s="11" t="n"/>
      <c r="W480" s="9" t="n"/>
    </row>
    <row r="481" ht="18" customHeight="1">
      <c r="B481" s="21">
        <f>IF(INDEX('01人员工时'!$D$7:$D$126,INT((ROW()-7)/4)+1)&amp;""="","",INDEX('01人员工时'!$B$7:$B$126,INT((ROW()-7)/4)+1))</f>
        <v/>
      </c>
      <c r="C481" s="22">
        <f>IF($D481="","",IF(MOD(ROW()-7,4)=0,INDEX('01人员工时'!$C$7:$C$126,INT((ROW()-7)/4)+1),""))</f>
        <v/>
      </c>
      <c r="D481" s="22">
        <f>IF(INDEX('01人员工时'!$D$7:$D$126,INT((ROW()-7)/4)+1)&amp;""="","",INDEX('01人员工时'!$D$7:$D$126,INT((ROW()-7)/4)+1))</f>
        <v/>
      </c>
      <c r="E481" s="22">
        <f>IF($D481="","",INDEX('参数设置'!$K$6:$K$9,MOD(ROW()-7,4)+1))</f>
        <v/>
      </c>
      <c r="F481" s="23">
        <f>IF($D481="","",IF($V481&lt;&gt;"",$V481,IFERROR(INDEX('参数设置'!$D$17:$G$26,MATCH($D481,'参数设置'!$C$17:$C$26,0),MATCH($E481,'参数设置'!$D$16:$G$16,0)),0)))</f>
        <v/>
      </c>
      <c r="G481" s="24">
        <f>IF($D481="","",INDEX('01人员工时'!$E$7:$E$126,INT((ROW()-7)/4)+1))</f>
        <v/>
      </c>
      <c r="H481" s="24">
        <f>IF($D481="","",INDEX('01人员工时'!$O$7:$O$126,INT((ROW()-7)/4)+1))</f>
        <v/>
      </c>
      <c r="I481" s="20">
        <f>IF(OR($D481="",$G481=0),"",$H481/$G481)</f>
        <v/>
      </c>
      <c r="J481" s="12">
        <f>IF($D481="","",ROUND($F481,2)-$S481)</f>
        <v/>
      </c>
      <c r="K481" s="12">
        <f>IF(OR($D481="",$G481=0),"",ROUND($F481*INDEX('01人员工时'!G$7:G$126,INT((ROW()-7)/4)+1)/$G481,2))</f>
        <v/>
      </c>
      <c r="L481" s="12">
        <f>IF(OR($D481="",$G481=0),"",ROUND($F481*INDEX('01人员工时'!H$7:H$126,INT((ROW()-7)/4)+1)/$G481,2))</f>
        <v/>
      </c>
      <c r="M481" s="12">
        <f>IF(OR($D481="",$G481=0),"",ROUND($F481*INDEX('01人员工时'!I$7:I$126,INT((ROW()-7)/4)+1)/$G481,2))</f>
        <v/>
      </c>
      <c r="N481" s="12">
        <f>IF(OR($D481="",$G481=0),"",ROUND($F481*INDEX('01人员工时'!J$7:J$126,INT((ROW()-7)/4)+1)/$G481,2))</f>
        <v/>
      </c>
      <c r="O481" s="12">
        <f>IF(OR($D481="",$G481=0),"",ROUND($F481*INDEX('01人员工时'!K$7:K$126,INT((ROW()-7)/4)+1)/$G481,2))</f>
        <v/>
      </c>
      <c r="P481" s="12">
        <f>IF(OR($D481="",$G481=0),"",ROUND($F481*INDEX('01人员工时'!L$7:L$126,INT((ROW()-7)/4)+1)/$G481,2))</f>
        <v/>
      </c>
      <c r="Q481" s="12">
        <f>IF(OR($D481="",$G481=0),"",ROUND($F481*INDEX('01人员工时'!M$7:M$126,INT((ROW()-7)/4)+1)/$G481,2))</f>
        <v/>
      </c>
      <c r="R481" s="12">
        <f>IF(OR($D481="",$G481=0),"",ROUND($F481*INDEX('01人员工时'!N$7:N$126,INT((ROW()-7)/4)+1)/$G481,2))</f>
        <v/>
      </c>
      <c r="S481" s="12">
        <f>IF($D481="","",SUM(K481:R481))</f>
        <v/>
      </c>
      <c r="T481" s="12">
        <f>IF($D481="","",$J481+$S481)</f>
        <v/>
      </c>
      <c r="U481" s="25">
        <f>IF($D481="","",IF($F481=0,"未维护标准",IF(ROUND($T481-$F481,2)=0,"√","差异")))</f>
        <v/>
      </c>
      <c r="V481" s="11" t="n"/>
      <c r="W481" s="9" t="n"/>
    </row>
    <row r="482" ht="18" customHeight="1">
      <c r="B482" s="26">
        <f>IF(INDEX('01人员工时'!$D$7:$D$126,INT((ROW()-7)/4)+1)&amp;""="","",INDEX('01人员工时'!$B$7:$B$126,INT((ROW()-7)/4)+1))</f>
        <v/>
      </c>
      <c r="C482" s="27">
        <f>IF($D482="","",IF(MOD(ROW()-7,4)=0,INDEX('01人员工时'!$C$7:$C$126,INT((ROW()-7)/4)+1),""))</f>
        <v/>
      </c>
      <c r="D482" s="27">
        <f>IF(INDEX('01人员工时'!$D$7:$D$126,INT((ROW()-7)/4)+1)&amp;""="","",INDEX('01人员工时'!$D$7:$D$126,INT((ROW()-7)/4)+1))</f>
        <v/>
      </c>
      <c r="E482" s="27">
        <f>IF($D482="","",INDEX('参数设置'!$K$6:$K$9,MOD(ROW()-7,4)+1))</f>
        <v/>
      </c>
      <c r="F482" s="28">
        <f>IF($D482="","",IF($V482&lt;&gt;"",$V482,IFERROR(INDEX('参数设置'!$D$17:$G$26,MATCH($D482,'参数设置'!$C$17:$C$26,0),MATCH($E482,'参数设置'!$D$16:$G$16,0)),0)))</f>
        <v/>
      </c>
      <c r="G482" s="29">
        <f>IF($D482="","",INDEX('01人员工时'!$E$7:$E$126,INT((ROW()-7)/4)+1))</f>
        <v/>
      </c>
      <c r="H482" s="29">
        <f>IF($D482="","",INDEX('01人员工时'!$O$7:$O$126,INT((ROW()-7)/4)+1))</f>
        <v/>
      </c>
      <c r="I482" s="30">
        <f>IF(OR($D482="",$G482=0),"",$H482/$G482)</f>
        <v/>
      </c>
      <c r="J482" s="31">
        <f>IF($D482="","",ROUND($F482,2)-$S482)</f>
        <v/>
      </c>
      <c r="K482" s="31">
        <f>IF(OR($D482="",$G482=0),"",ROUND($F482*INDEX('01人员工时'!G$7:G$126,INT((ROW()-7)/4)+1)/$G482,2))</f>
        <v/>
      </c>
      <c r="L482" s="31">
        <f>IF(OR($D482="",$G482=0),"",ROUND($F482*INDEX('01人员工时'!H$7:H$126,INT((ROW()-7)/4)+1)/$G482,2))</f>
        <v/>
      </c>
      <c r="M482" s="31">
        <f>IF(OR($D482="",$G482=0),"",ROUND($F482*INDEX('01人员工时'!I$7:I$126,INT((ROW()-7)/4)+1)/$G482,2))</f>
        <v/>
      </c>
      <c r="N482" s="31">
        <f>IF(OR($D482="",$G482=0),"",ROUND($F482*INDEX('01人员工时'!J$7:J$126,INT((ROW()-7)/4)+1)/$G482,2))</f>
        <v/>
      </c>
      <c r="O482" s="31">
        <f>IF(OR($D482="",$G482=0),"",ROUND($F482*INDEX('01人员工时'!K$7:K$126,INT((ROW()-7)/4)+1)/$G482,2))</f>
        <v/>
      </c>
      <c r="P482" s="31">
        <f>IF(OR($D482="",$G482=0),"",ROUND($F482*INDEX('01人员工时'!L$7:L$126,INT((ROW()-7)/4)+1)/$G482,2))</f>
        <v/>
      </c>
      <c r="Q482" s="31">
        <f>IF(OR($D482="",$G482=0),"",ROUND($F482*INDEX('01人员工时'!M$7:M$126,INT((ROW()-7)/4)+1)/$G482,2))</f>
        <v/>
      </c>
      <c r="R482" s="31">
        <f>IF(OR($D482="",$G482=0),"",ROUND($F482*INDEX('01人员工时'!N$7:N$126,INT((ROW()-7)/4)+1)/$G482,2))</f>
        <v/>
      </c>
      <c r="S482" s="31">
        <f>IF($D482="","",SUM(K482:R482))</f>
        <v/>
      </c>
      <c r="T482" s="31">
        <f>IF($D482="","",$J482+$S482)</f>
        <v/>
      </c>
      <c r="U482" s="32">
        <f>IF($D482="","",IF($F482=0,"未维护标准",IF(ROUND($T482-$F482,2)=0,"√","差异")))</f>
        <v/>
      </c>
      <c r="V482" s="33" t="n"/>
      <c r="W482" s="34" t="n"/>
    </row>
    <row r="483" ht="18" customHeight="1">
      <c r="B483" s="21">
        <f>IF(INDEX('01人员工时'!$D$7:$D$126,INT((ROW()-7)/4)+1)&amp;""="","",INDEX('01人员工时'!$B$7:$B$126,INT((ROW()-7)/4)+1))</f>
        <v/>
      </c>
      <c r="C483" s="22">
        <f>IF($D483="","",IF(MOD(ROW()-7,4)=0,INDEX('01人员工时'!$C$7:$C$126,INT((ROW()-7)/4)+1),""))</f>
        <v/>
      </c>
      <c r="D483" s="22">
        <f>IF(INDEX('01人员工时'!$D$7:$D$126,INT((ROW()-7)/4)+1)&amp;""="","",INDEX('01人员工时'!$D$7:$D$126,INT((ROW()-7)/4)+1))</f>
        <v/>
      </c>
      <c r="E483" s="22">
        <f>IF($D483="","",INDEX('参数设置'!$K$6:$K$9,MOD(ROW()-7,4)+1))</f>
        <v/>
      </c>
      <c r="F483" s="23">
        <f>IF($D483="","",IF($V483&lt;&gt;"",$V483,IFERROR(INDEX('参数设置'!$D$17:$G$26,MATCH($D483,'参数设置'!$C$17:$C$26,0),MATCH($E483,'参数设置'!$D$16:$G$16,0)),0)))</f>
        <v/>
      </c>
      <c r="G483" s="24">
        <f>IF($D483="","",INDEX('01人员工时'!$E$7:$E$126,INT((ROW()-7)/4)+1))</f>
        <v/>
      </c>
      <c r="H483" s="24">
        <f>IF($D483="","",INDEX('01人员工时'!$O$7:$O$126,INT((ROW()-7)/4)+1))</f>
        <v/>
      </c>
      <c r="I483" s="20">
        <f>IF(OR($D483="",$G483=0),"",$H483/$G483)</f>
        <v/>
      </c>
      <c r="J483" s="12">
        <f>IF($D483="","",ROUND($F483,2)-$S483)</f>
        <v/>
      </c>
      <c r="K483" s="12">
        <f>IF(OR($D483="",$G483=0),"",ROUND($F483*INDEX('01人员工时'!G$7:G$126,INT((ROW()-7)/4)+1)/$G483,2))</f>
        <v/>
      </c>
      <c r="L483" s="12">
        <f>IF(OR($D483="",$G483=0),"",ROUND($F483*INDEX('01人员工时'!H$7:H$126,INT((ROW()-7)/4)+1)/$G483,2))</f>
        <v/>
      </c>
      <c r="M483" s="12">
        <f>IF(OR($D483="",$G483=0),"",ROUND($F483*INDEX('01人员工时'!I$7:I$126,INT((ROW()-7)/4)+1)/$G483,2))</f>
        <v/>
      </c>
      <c r="N483" s="12">
        <f>IF(OR($D483="",$G483=0),"",ROUND($F483*INDEX('01人员工时'!J$7:J$126,INT((ROW()-7)/4)+1)/$G483,2))</f>
        <v/>
      </c>
      <c r="O483" s="12">
        <f>IF(OR($D483="",$G483=0),"",ROUND($F483*INDEX('01人员工时'!K$7:K$126,INT((ROW()-7)/4)+1)/$G483,2))</f>
        <v/>
      </c>
      <c r="P483" s="12">
        <f>IF(OR($D483="",$G483=0),"",ROUND($F483*INDEX('01人员工时'!L$7:L$126,INT((ROW()-7)/4)+1)/$G483,2))</f>
        <v/>
      </c>
      <c r="Q483" s="12">
        <f>IF(OR($D483="",$G483=0),"",ROUND($F483*INDEX('01人员工时'!M$7:M$126,INT((ROW()-7)/4)+1)/$G483,2))</f>
        <v/>
      </c>
      <c r="R483" s="12">
        <f>IF(OR($D483="",$G483=0),"",ROUND($F483*INDEX('01人员工时'!N$7:N$126,INT((ROW()-7)/4)+1)/$G483,2))</f>
        <v/>
      </c>
      <c r="S483" s="12">
        <f>IF($D483="","",SUM(K483:R483))</f>
        <v/>
      </c>
      <c r="T483" s="12">
        <f>IF($D483="","",$J483+$S483)</f>
        <v/>
      </c>
      <c r="U483" s="25">
        <f>IF($D483="","",IF($F483=0,"未维护标准",IF(ROUND($T483-$F483,2)=0,"√","差异")))</f>
        <v/>
      </c>
      <c r="V483" s="11" t="n"/>
      <c r="W483" s="9" t="n"/>
    </row>
    <row r="484" ht="18" customHeight="1">
      <c r="B484" s="21">
        <f>IF(INDEX('01人员工时'!$D$7:$D$126,INT((ROW()-7)/4)+1)&amp;""="","",INDEX('01人员工时'!$B$7:$B$126,INT((ROW()-7)/4)+1))</f>
        <v/>
      </c>
      <c r="C484" s="22">
        <f>IF($D484="","",IF(MOD(ROW()-7,4)=0,INDEX('01人员工时'!$C$7:$C$126,INT((ROW()-7)/4)+1),""))</f>
        <v/>
      </c>
      <c r="D484" s="22">
        <f>IF(INDEX('01人员工时'!$D$7:$D$126,INT((ROW()-7)/4)+1)&amp;""="","",INDEX('01人员工时'!$D$7:$D$126,INT((ROW()-7)/4)+1))</f>
        <v/>
      </c>
      <c r="E484" s="22">
        <f>IF($D484="","",INDEX('参数设置'!$K$6:$K$9,MOD(ROW()-7,4)+1))</f>
        <v/>
      </c>
      <c r="F484" s="23">
        <f>IF($D484="","",IF($V484&lt;&gt;"",$V484,IFERROR(INDEX('参数设置'!$D$17:$G$26,MATCH($D484,'参数设置'!$C$17:$C$26,0),MATCH($E484,'参数设置'!$D$16:$G$16,0)),0)))</f>
        <v/>
      </c>
      <c r="G484" s="24">
        <f>IF($D484="","",INDEX('01人员工时'!$E$7:$E$126,INT((ROW()-7)/4)+1))</f>
        <v/>
      </c>
      <c r="H484" s="24">
        <f>IF($D484="","",INDEX('01人员工时'!$O$7:$O$126,INT((ROW()-7)/4)+1))</f>
        <v/>
      </c>
      <c r="I484" s="20">
        <f>IF(OR($D484="",$G484=0),"",$H484/$G484)</f>
        <v/>
      </c>
      <c r="J484" s="12">
        <f>IF($D484="","",ROUND($F484,2)-$S484)</f>
        <v/>
      </c>
      <c r="K484" s="12">
        <f>IF(OR($D484="",$G484=0),"",ROUND($F484*INDEX('01人员工时'!G$7:G$126,INT((ROW()-7)/4)+1)/$G484,2))</f>
        <v/>
      </c>
      <c r="L484" s="12">
        <f>IF(OR($D484="",$G484=0),"",ROUND($F484*INDEX('01人员工时'!H$7:H$126,INT((ROW()-7)/4)+1)/$G484,2))</f>
        <v/>
      </c>
      <c r="M484" s="12">
        <f>IF(OR($D484="",$G484=0),"",ROUND($F484*INDEX('01人员工时'!I$7:I$126,INT((ROW()-7)/4)+1)/$G484,2))</f>
        <v/>
      </c>
      <c r="N484" s="12">
        <f>IF(OR($D484="",$G484=0),"",ROUND($F484*INDEX('01人员工时'!J$7:J$126,INT((ROW()-7)/4)+1)/$G484,2))</f>
        <v/>
      </c>
      <c r="O484" s="12">
        <f>IF(OR($D484="",$G484=0),"",ROUND($F484*INDEX('01人员工时'!K$7:K$126,INT((ROW()-7)/4)+1)/$G484,2))</f>
        <v/>
      </c>
      <c r="P484" s="12">
        <f>IF(OR($D484="",$G484=0),"",ROUND($F484*INDEX('01人员工时'!L$7:L$126,INT((ROW()-7)/4)+1)/$G484,2))</f>
        <v/>
      </c>
      <c r="Q484" s="12">
        <f>IF(OR($D484="",$G484=0),"",ROUND($F484*INDEX('01人员工时'!M$7:M$126,INT((ROW()-7)/4)+1)/$G484,2))</f>
        <v/>
      </c>
      <c r="R484" s="12">
        <f>IF(OR($D484="",$G484=0),"",ROUND($F484*INDEX('01人员工时'!N$7:N$126,INT((ROW()-7)/4)+1)/$G484,2))</f>
        <v/>
      </c>
      <c r="S484" s="12">
        <f>IF($D484="","",SUM(K484:R484))</f>
        <v/>
      </c>
      <c r="T484" s="12">
        <f>IF($D484="","",$J484+$S484)</f>
        <v/>
      </c>
      <c r="U484" s="25">
        <f>IF($D484="","",IF($F484=0,"未维护标准",IF(ROUND($T484-$F484,2)=0,"√","差异")))</f>
        <v/>
      </c>
      <c r="V484" s="11" t="n"/>
      <c r="W484" s="9" t="n"/>
    </row>
    <row r="485" ht="18" customHeight="1">
      <c r="B485" s="21">
        <f>IF(INDEX('01人员工时'!$D$7:$D$126,INT((ROW()-7)/4)+1)&amp;""="","",INDEX('01人员工时'!$B$7:$B$126,INT((ROW()-7)/4)+1))</f>
        <v/>
      </c>
      <c r="C485" s="22">
        <f>IF($D485="","",IF(MOD(ROW()-7,4)=0,INDEX('01人员工时'!$C$7:$C$126,INT((ROW()-7)/4)+1),""))</f>
        <v/>
      </c>
      <c r="D485" s="22">
        <f>IF(INDEX('01人员工时'!$D$7:$D$126,INT((ROW()-7)/4)+1)&amp;""="","",INDEX('01人员工时'!$D$7:$D$126,INT((ROW()-7)/4)+1))</f>
        <v/>
      </c>
      <c r="E485" s="22">
        <f>IF($D485="","",INDEX('参数设置'!$K$6:$K$9,MOD(ROW()-7,4)+1))</f>
        <v/>
      </c>
      <c r="F485" s="23">
        <f>IF($D485="","",IF($V485&lt;&gt;"",$V485,IFERROR(INDEX('参数设置'!$D$17:$G$26,MATCH($D485,'参数设置'!$C$17:$C$26,0),MATCH($E485,'参数设置'!$D$16:$G$16,0)),0)))</f>
        <v/>
      </c>
      <c r="G485" s="24">
        <f>IF($D485="","",INDEX('01人员工时'!$E$7:$E$126,INT((ROW()-7)/4)+1))</f>
        <v/>
      </c>
      <c r="H485" s="24">
        <f>IF($D485="","",INDEX('01人员工时'!$O$7:$O$126,INT((ROW()-7)/4)+1))</f>
        <v/>
      </c>
      <c r="I485" s="20">
        <f>IF(OR($D485="",$G485=0),"",$H485/$G485)</f>
        <v/>
      </c>
      <c r="J485" s="12">
        <f>IF($D485="","",ROUND($F485,2)-$S485)</f>
        <v/>
      </c>
      <c r="K485" s="12">
        <f>IF(OR($D485="",$G485=0),"",ROUND($F485*INDEX('01人员工时'!G$7:G$126,INT((ROW()-7)/4)+1)/$G485,2))</f>
        <v/>
      </c>
      <c r="L485" s="12">
        <f>IF(OR($D485="",$G485=0),"",ROUND($F485*INDEX('01人员工时'!H$7:H$126,INT((ROW()-7)/4)+1)/$G485,2))</f>
        <v/>
      </c>
      <c r="M485" s="12">
        <f>IF(OR($D485="",$G485=0),"",ROUND($F485*INDEX('01人员工时'!I$7:I$126,INT((ROW()-7)/4)+1)/$G485,2))</f>
        <v/>
      </c>
      <c r="N485" s="12">
        <f>IF(OR($D485="",$G485=0),"",ROUND($F485*INDEX('01人员工时'!J$7:J$126,INT((ROW()-7)/4)+1)/$G485,2))</f>
        <v/>
      </c>
      <c r="O485" s="12">
        <f>IF(OR($D485="",$G485=0),"",ROUND($F485*INDEX('01人员工时'!K$7:K$126,INT((ROW()-7)/4)+1)/$G485,2))</f>
        <v/>
      </c>
      <c r="P485" s="12">
        <f>IF(OR($D485="",$G485=0),"",ROUND($F485*INDEX('01人员工时'!L$7:L$126,INT((ROW()-7)/4)+1)/$G485,2))</f>
        <v/>
      </c>
      <c r="Q485" s="12">
        <f>IF(OR($D485="",$G485=0),"",ROUND($F485*INDEX('01人员工时'!M$7:M$126,INT((ROW()-7)/4)+1)/$G485,2))</f>
        <v/>
      </c>
      <c r="R485" s="12">
        <f>IF(OR($D485="",$G485=0),"",ROUND($F485*INDEX('01人员工时'!N$7:N$126,INT((ROW()-7)/4)+1)/$G485,2))</f>
        <v/>
      </c>
      <c r="S485" s="12">
        <f>IF($D485="","",SUM(K485:R485))</f>
        <v/>
      </c>
      <c r="T485" s="12">
        <f>IF($D485="","",$J485+$S485)</f>
        <v/>
      </c>
      <c r="U485" s="25">
        <f>IF($D485="","",IF($F485=0,"未维护标准",IF(ROUND($T485-$F485,2)=0,"√","差异")))</f>
        <v/>
      </c>
      <c r="V485" s="11" t="n"/>
      <c r="W485" s="9" t="n"/>
    </row>
    <row r="486" ht="18" customHeight="1">
      <c r="B486" s="26">
        <f>IF(INDEX('01人员工时'!$D$7:$D$126,INT((ROW()-7)/4)+1)&amp;""="","",INDEX('01人员工时'!$B$7:$B$126,INT((ROW()-7)/4)+1))</f>
        <v/>
      </c>
      <c r="C486" s="27">
        <f>IF($D486="","",IF(MOD(ROW()-7,4)=0,INDEX('01人员工时'!$C$7:$C$126,INT((ROW()-7)/4)+1),""))</f>
        <v/>
      </c>
      <c r="D486" s="27">
        <f>IF(INDEX('01人员工时'!$D$7:$D$126,INT((ROW()-7)/4)+1)&amp;""="","",INDEX('01人员工时'!$D$7:$D$126,INT((ROW()-7)/4)+1))</f>
        <v/>
      </c>
      <c r="E486" s="27">
        <f>IF($D486="","",INDEX('参数设置'!$K$6:$K$9,MOD(ROW()-7,4)+1))</f>
        <v/>
      </c>
      <c r="F486" s="28">
        <f>IF($D486="","",IF($V486&lt;&gt;"",$V486,IFERROR(INDEX('参数设置'!$D$17:$G$26,MATCH($D486,'参数设置'!$C$17:$C$26,0),MATCH($E486,'参数设置'!$D$16:$G$16,0)),0)))</f>
        <v/>
      </c>
      <c r="G486" s="29">
        <f>IF($D486="","",INDEX('01人员工时'!$E$7:$E$126,INT((ROW()-7)/4)+1))</f>
        <v/>
      </c>
      <c r="H486" s="29">
        <f>IF($D486="","",INDEX('01人员工时'!$O$7:$O$126,INT((ROW()-7)/4)+1))</f>
        <v/>
      </c>
      <c r="I486" s="30">
        <f>IF(OR($D486="",$G486=0),"",$H486/$G486)</f>
        <v/>
      </c>
      <c r="J486" s="31">
        <f>IF($D486="","",ROUND($F486,2)-$S486)</f>
        <v/>
      </c>
      <c r="K486" s="31">
        <f>IF(OR($D486="",$G486=0),"",ROUND($F486*INDEX('01人员工时'!G$7:G$126,INT((ROW()-7)/4)+1)/$G486,2))</f>
        <v/>
      </c>
      <c r="L486" s="31">
        <f>IF(OR($D486="",$G486=0),"",ROUND($F486*INDEX('01人员工时'!H$7:H$126,INT((ROW()-7)/4)+1)/$G486,2))</f>
        <v/>
      </c>
      <c r="M486" s="31">
        <f>IF(OR($D486="",$G486=0),"",ROUND($F486*INDEX('01人员工时'!I$7:I$126,INT((ROW()-7)/4)+1)/$G486,2))</f>
        <v/>
      </c>
      <c r="N486" s="31">
        <f>IF(OR($D486="",$G486=0),"",ROUND($F486*INDEX('01人员工时'!J$7:J$126,INT((ROW()-7)/4)+1)/$G486,2))</f>
        <v/>
      </c>
      <c r="O486" s="31">
        <f>IF(OR($D486="",$G486=0),"",ROUND($F486*INDEX('01人员工时'!K$7:K$126,INT((ROW()-7)/4)+1)/$G486,2))</f>
        <v/>
      </c>
      <c r="P486" s="31">
        <f>IF(OR($D486="",$G486=0),"",ROUND($F486*INDEX('01人员工时'!L$7:L$126,INT((ROW()-7)/4)+1)/$G486,2))</f>
        <v/>
      </c>
      <c r="Q486" s="31">
        <f>IF(OR($D486="",$G486=0),"",ROUND($F486*INDEX('01人员工时'!M$7:M$126,INT((ROW()-7)/4)+1)/$G486,2))</f>
        <v/>
      </c>
      <c r="R486" s="31">
        <f>IF(OR($D486="",$G486=0),"",ROUND($F486*INDEX('01人员工时'!N$7:N$126,INT((ROW()-7)/4)+1)/$G486,2))</f>
        <v/>
      </c>
      <c r="S486" s="31">
        <f>IF($D486="","",SUM(K486:R486))</f>
        <v/>
      </c>
      <c r="T486" s="31">
        <f>IF($D486="","",$J486+$S486)</f>
        <v/>
      </c>
      <c r="U486" s="32">
        <f>IF($D486="","",IF($F486=0,"未维护标准",IF(ROUND($T486-$F486,2)=0,"√","差异")))</f>
        <v/>
      </c>
      <c r="V486" s="33" t="n"/>
      <c r="W486" s="34" t="n"/>
    </row>
    <row r="487">
      <c r="B487" s="35" t="inlineStr">
        <is>
          <t>全年累计</t>
        </is>
      </c>
      <c r="C487" s="44" t="n"/>
      <c r="D487" s="44" t="n"/>
      <c r="E487" s="45" t="n"/>
      <c r="F487" s="36">
        <f>SUM(F7:F486)</f>
        <v/>
      </c>
      <c r="G487" s="37">
        <f>SUM(G7:G486)</f>
        <v/>
      </c>
      <c r="H487" s="37">
        <f>SUM(H7:H486)</f>
        <v/>
      </c>
      <c r="I487" s="38">
        <f>IF($G487=0,"",$H487/$G487)</f>
        <v/>
      </c>
      <c r="J487" s="36">
        <f>SUM(J7:J486)</f>
        <v/>
      </c>
      <c r="K487" s="36">
        <f>SUM(K7:K486)</f>
        <v/>
      </c>
      <c r="L487" s="36">
        <f>SUM(L7:L486)</f>
        <v/>
      </c>
      <c r="M487" s="36">
        <f>SUM(M7:M486)</f>
        <v/>
      </c>
      <c r="N487" s="36">
        <f>SUM(N7:N486)</f>
        <v/>
      </c>
      <c r="O487" s="36">
        <f>SUM(O7:O486)</f>
        <v/>
      </c>
      <c r="P487" s="36">
        <f>SUM(P7:P486)</f>
        <v/>
      </c>
      <c r="Q487" s="36">
        <f>SUM(Q7:Q486)</f>
        <v/>
      </c>
      <c r="R487" s="36">
        <f>SUM(R7:R486)</f>
        <v/>
      </c>
      <c r="S487" s="36">
        <f>SUM(S7:S486)</f>
        <v/>
      </c>
      <c r="T487" s="36">
        <f>SUM(T7:T486)</f>
        <v/>
      </c>
      <c r="U487" s="35" t="n"/>
      <c r="V487" s="35" t="n"/>
      <c r="W487" s="35" t="n"/>
    </row>
    <row r="489">
      <c r="B489" s="6" t="inlineStr">
        <is>
          <t>说明：某项目分摊额＝费用总额×该项目工时÷当月总工时；非研发承担额＝费用总额−研发各项目合计（含尾差），保证“非研发＋各项目＝合计＝费用总额”。</t>
        </is>
      </c>
    </row>
    <row r="490">
      <c r="B490" s="6" t="inlineStr">
        <is>
          <t>【本月实际金额（覆盖）】列留空时按【参数设置】页标准取数；填入数字则以填入数为准。</t>
        </is>
      </c>
    </row>
  </sheetData>
  <mergeCells count="17">
    <mergeCell ref="B2:W2"/>
    <mergeCell ref="V4:V6"/>
    <mergeCell ref="H4:H6"/>
    <mergeCell ref="S5:S6"/>
    <mergeCell ref="D4:D6"/>
    <mergeCell ref="W4:W6"/>
    <mergeCell ref="J5:J6"/>
    <mergeCell ref="B4:B6"/>
    <mergeCell ref="T4:T6"/>
    <mergeCell ref="U4:U6"/>
    <mergeCell ref="E4:E6"/>
    <mergeCell ref="G4:G6"/>
    <mergeCell ref="I4:I6"/>
    <mergeCell ref="J4:S4"/>
    <mergeCell ref="B487:E487"/>
    <mergeCell ref="C4:C6"/>
    <mergeCell ref="F4:F6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R150"/>
  <sheetViews>
    <sheetView showGridLines="0" workbookViewId="0">
      <pane xSplit="7" ySplit="6" topLeftCell="H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6" customWidth="1" min="18" max="18"/>
  </cols>
  <sheetData>
    <row r="2" ht="30" customHeight="1">
      <c r="B2" s="1" t="inlineStr">
        <is>
          <t>2026年  研发设备工时（研发部报送数据，粘贴区）</t>
        </is>
      </c>
    </row>
    <row r="3">
      <c r="Q3" s="13" t="inlineStr">
        <is>
          <t>数据来源：</t>
        </is>
      </c>
      <c r="R3" s="14" t="inlineStr">
        <is>
          <t>研发部工时台账</t>
        </is>
      </c>
    </row>
    <row r="4" ht="20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设备编号</t>
        </is>
      </c>
      <c r="E4" s="5" t="inlineStr">
        <is>
          <t>设备名称</t>
        </is>
      </c>
      <c r="F4" s="5" t="inlineStr">
        <is>
          <t>运行总工时
（小时）</t>
        </is>
      </c>
      <c r="G4" s="5" t="inlineStr">
        <is>
          <t>非研发活动工时
（小时）</t>
        </is>
      </c>
      <c r="H4" s="5" t="inlineStr">
        <is>
          <t>各项目分配工时（小时）</t>
        </is>
      </c>
      <c r="I4" s="44" t="n"/>
      <c r="J4" s="44" t="n"/>
      <c r="K4" s="44" t="n"/>
      <c r="L4" s="44" t="n"/>
      <c r="M4" s="44" t="n"/>
      <c r="N4" s="44" t="n"/>
      <c r="O4" s="44" t="n"/>
      <c r="P4" s="45" t="n"/>
      <c r="Q4" s="5" t="inlineStr">
        <is>
          <t>分摊系数</t>
        </is>
      </c>
      <c r="R4" s="5" t="inlineStr">
        <is>
          <t>备注</t>
        </is>
      </c>
    </row>
    <row r="5" ht="20" customHeight="1">
      <c r="B5" s="46" t="n"/>
      <c r="C5" s="46" t="n"/>
      <c r="D5" s="46" t="n"/>
      <c r="E5" s="46" t="n"/>
      <c r="F5" s="46" t="n"/>
      <c r="G5" s="46" t="n"/>
      <c r="H5" s="15">
        <f>'参数设置'!$C$6</f>
        <v/>
      </c>
      <c r="I5" s="15">
        <f>'参数设置'!$C$7</f>
        <v/>
      </c>
      <c r="J5" s="15">
        <f>'参数设置'!$C$8</f>
        <v/>
      </c>
      <c r="K5" s="15">
        <f>'参数设置'!$C$9</f>
        <v/>
      </c>
      <c r="L5" s="15">
        <f>'参数设置'!$C$10</f>
        <v/>
      </c>
      <c r="M5" s="15">
        <f>'参数设置'!$C$11</f>
        <v/>
      </c>
      <c r="N5" s="15">
        <f>'参数设置'!$C$12</f>
        <v/>
      </c>
      <c r="O5" s="15">
        <f>'参数设置'!$C$13</f>
        <v/>
      </c>
      <c r="P5" s="5" t="inlineStr">
        <is>
          <t>合计</t>
        </is>
      </c>
      <c r="Q5" s="16" t="inlineStr">
        <is>
          <t>研发工时/总工时</t>
        </is>
      </c>
      <c r="R5" s="46" t="n"/>
    </row>
    <row r="6" ht="20" customHeight="1">
      <c r="B6" s="47" t="n"/>
      <c r="C6" s="47" t="n"/>
      <c r="D6" s="47" t="n"/>
      <c r="E6" s="47" t="n"/>
      <c r="F6" s="47" t="n"/>
      <c r="G6" s="47" t="n"/>
      <c r="H6" s="15">
        <f>'参数设置'!$D$6</f>
        <v/>
      </c>
      <c r="I6" s="15">
        <f>'参数设置'!$D$7</f>
        <v/>
      </c>
      <c r="J6" s="15">
        <f>'参数设置'!$D$8</f>
        <v/>
      </c>
      <c r="K6" s="15">
        <f>'参数设置'!$D$9</f>
        <v/>
      </c>
      <c r="L6" s="15">
        <f>'参数设置'!$D$10</f>
        <v/>
      </c>
      <c r="M6" s="15">
        <f>'参数设置'!$D$11</f>
        <v/>
      </c>
      <c r="N6" s="15">
        <f>'参数设置'!$D$12</f>
        <v/>
      </c>
      <c r="O6" s="15">
        <f>'参数设置'!$D$13</f>
        <v/>
      </c>
      <c r="P6" s="47" t="n"/>
      <c r="Q6" s="47" t="n"/>
      <c r="R6" s="47" t="n"/>
    </row>
    <row r="7" ht="19" customHeight="1">
      <c r="B7" s="17" t="n">
        <v>9</v>
      </c>
      <c r="C7" s="8" t="n">
        <v>1</v>
      </c>
      <c r="D7" s="8" t="inlineStr">
        <is>
          <t>046</t>
        </is>
      </c>
      <c r="E7" s="9" t="inlineStr">
        <is>
          <t>贴合分条机</t>
        </is>
      </c>
      <c r="F7" s="18" t="n">
        <v>180</v>
      </c>
      <c r="G7" s="18" t="n">
        <v>36</v>
      </c>
      <c r="H7" s="18" t="n">
        <v>36</v>
      </c>
      <c r="I7" s="18" t="n">
        <v>36</v>
      </c>
      <c r="J7" s="18" t="n"/>
      <c r="K7" s="18" t="n">
        <v>36</v>
      </c>
      <c r="L7" s="18" t="n">
        <v>36</v>
      </c>
      <c r="M7" s="18" t="n"/>
      <c r="N7" s="18" t="n"/>
      <c r="O7" s="18" t="n"/>
      <c r="P7" s="19">
        <f>IF($D7="","",SUM(H7:O7))</f>
        <v/>
      </c>
      <c r="Q7" s="20">
        <f>IF(OR($D7="",$F7=0),"",$P7/$F7)</f>
        <v/>
      </c>
      <c r="R7" s="9" t="inlineStr">
        <is>
          <t>示例数据，启用前请清空</t>
        </is>
      </c>
    </row>
    <row r="8" ht="19" customHeight="1">
      <c r="B8" s="17" t="n">
        <v>9</v>
      </c>
      <c r="C8" s="8" t="n">
        <v>2</v>
      </c>
      <c r="D8" s="8" t="inlineStr">
        <is>
          <t>054</t>
        </is>
      </c>
      <c r="E8" s="9" t="inlineStr">
        <is>
          <t>风淋室</t>
        </is>
      </c>
      <c r="F8" s="18" t="n">
        <v>180</v>
      </c>
      <c r="G8" s="18" t="n">
        <v>72</v>
      </c>
      <c r="H8" s="18" t="n"/>
      <c r="I8" s="18" t="n">
        <v>36</v>
      </c>
      <c r="J8" s="18" t="n">
        <v>36</v>
      </c>
      <c r="K8" s="18" t="n">
        <v>36</v>
      </c>
      <c r="L8" s="18" t="n"/>
      <c r="M8" s="18" t="n"/>
      <c r="N8" s="18" t="n"/>
      <c r="O8" s="18" t="n"/>
      <c r="P8" s="19">
        <f>IF($D8="","",SUM(H8:O8))</f>
        <v/>
      </c>
      <c r="Q8" s="20">
        <f>IF(OR($D8="",$F8=0),"",$P8/$F8)</f>
        <v/>
      </c>
      <c r="R8" s="9" t="n"/>
    </row>
    <row r="9" ht="19" customHeight="1">
      <c r="B9" s="17" t="n">
        <v>9</v>
      </c>
      <c r="C9" s="8" t="n">
        <v>3</v>
      </c>
      <c r="D9" s="8" t="inlineStr">
        <is>
          <t>084</t>
        </is>
      </c>
      <c r="E9" s="9" t="inlineStr">
        <is>
          <t>1450分条机</t>
        </is>
      </c>
      <c r="F9" s="18" t="n">
        <v>180</v>
      </c>
      <c r="G9" s="18" t="n">
        <v>36</v>
      </c>
      <c r="H9" s="18" t="n">
        <v>36</v>
      </c>
      <c r="I9" s="18" t="n">
        <v>36</v>
      </c>
      <c r="J9" s="18" t="n">
        <v>36</v>
      </c>
      <c r="K9" s="18" t="n"/>
      <c r="L9" s="18" t="n">
        <v>36</v>
      </c>
      <c r="M9" s="18" t="n"/>
      <c r="N9" s="18" t="n"/>
      <c r="O9" s="18" t="n"/>
      <c r="P9" s="19">
        <f>IF($D9="","",SUM(H9:O9))</f>
        <v/>
      </c>
      <c r="Q9" s="20">
        <f>IF(OR($D9="",$F9=0),"",$P9/$F9)</f>
        <v/>
      </c>
      <c r="R9" s="9" t="n"/>
    </row>
    <row r="10" ht="19" customHeight="1">
      <c r="B10" s="17" t="n">
        <v>9</v>
      </c>
      <c r="C10" s="8" t="n">
        <v>4</v>
      </c>
      <c r="D10" s="8" t="inlineStr">
        <is>
          <t>083</t>
        </is>
      </c>
      <c r="E10" s="9" t="inlineStr">
        <is>
          <t>650贴合机</t>
        </is>
      </c>
      <c r="F10" s="18" t="n">
        <v>180</v>
      </c>
      <c r="G10" s="18" t="n">
        <v>72</v>
      </c>
      <c r="H10" s="18" t="n"/>
      <c r="I10" s="18" t="n"/>
      <c r="J10" s="18" t="n">
        <v>36</v>
      </c>
      <c r="K10" s="18" t="n">
        <v>36</v>
      </c>
      <c r="L10" s="18" t="n">
        <v>36</v>
      </c>
      <c r="M10" s="18" t="n"/>
      <c r="N10" s="18" t="n"/>
      <c r="O10" s="18" t="n"/>
      <c r="P10" s="19">
        <f>IF($D10="","",SUM(H10:O10))</f>
        <v/>
      </c>
      <c r="Q10" s="20">
        <f>IF(OR($D10="",$F10=0),"",$P10/$F10)</f>
        <v/>
      </c>
      <c r="R10" s="9" t="n"/>
    </row>
    <row r="11" ht="19" customHeight="1">
      <c r="B11" s="17" t="n">
        <v>9</v>
      </c>
      <c r="C11" s="8" t="n">
        <v>5</v>
      </c>
      <c r="D11" s="8" t="inlineStr">
        <is>
          <t>072</t>
        </is>
      </c>
      <c r="E11" s="9" t="inlineStr">
        <is>
          <t>650表面卷曲分条机</t>
        </is>
      </c>
      <c r="F11" s="18" t="n">
        <v>180</v>
      </c>
      <c r="G11" s="18" t="n">
        <v>108</v>
      </c>
      <c r="H11" s="18" t="n"/>
      <c r="I11" s="18" t="n"/>
      <c r="J11" s="18" t="n">
        <v>36</v>
      </c>
      <c r="K11" s="18" t="n"/>
      <c r="L11" s="18" t="n">
        <v>36</v>
      </c>
      <c r="M11" s="18" t="n"/>
      <c r="N11" s="18" t="n"/>
      <c r="O11" s="18" t="n"/>
      <c r="P11" s="19">
        <f>IF($D11="","",SUM(H11:O11))</f>
        <v/>
      </c>
      <c r="Q11" s="20">
        <f>IF(OR($D11="",$F11=0),"",$P11/$F11)</f>
        <v/>
      </c>
      <c r="R11" s="9" t="n"/>
    </row>
    <row r="12" ht="19" customHeight="1">
      <c r="B12" s="17" t="n">
        <v>9</v>
      </c>
      <c r="C12" s="8" t="n">
        <v>6</v>
      </c>
      <c r="D12" s="8" t="inlineStr">
        <is>
          <t>082</t>
        </is>
      </c>
      <c r="E12" s="9" t="inlineStr">
        <is>
          <t>精密双轴分切机</t>
        </is>
      </c>
      <c r="F12" s="18" t="n">
        <v>180</v>
      </c>
      <c r="G12" s="18" t="n">
        <v>144</v>
      </c>
      <c r="H12" s="18" t="n"/>
      <c r="I12" s="18" t="n"/>
      <c r="J12" s="18" t="n">
        <v>36</v>
      </c>
      <c r="K12" s="18" t="n"/>
      <c r="L12" s="18" t="n"/>
      <c r="M12" s="18" t="n"/>
      <c r="N12" s="18" t="n"/>
      <c r="O12" s="18" t="n"/>
      <c r="P12" s="19">
        <f>IF($D12="","",SUM(H12:O12))</f>
        <v/>
      </c>
      <c r="Q12" s="20">
        <f>IF(OR($D12="",$F12=0),"",$P12/$F12)</f>
        <v/>
      </c>
      <c r="R12" s="9" t="n"/>
    </row>
    <row r="13" ht="19" customHeight="1">
      <c r="B13" s="17" t="n">
        <v>9</v>
      </c>
      <c r="C13" s="8" t="n">
        <v>7</v>
      </c>
      <c r="D13" s="8" t="inlineStr">
        <is>
          <t>071</t>
        </is>
      </c>
      <c r="E13" s="9" t="inlineStr">
        <is>
          <t>高精密立板式涂布机</t>
        </is>
      </c>
      <c r="F13" s="18" t="n">
        <v>180</v>
      </c>
      <c r="G13" s="18" t="n">
        <v>144</v>
      </c>
      <c r="H13" s="18" t="n"/>
      <c r="I13" s="18" t="n"/>
      <c r="J13" s="18" t="n">
        <v>36</v>
      </c>
      <c r="K13" s="18" t="n"/>
      <c r="L13" s="18" t="n"/>
      <c r="M13" s="18" t="n"/>
      <c r="N13" s="18" t="n"/>
      <c r="O13" s="18" t="n"/>
      <c r="P13" s="19">
        <f>IF($D13="","",SUM(H13:O13))</f>
        <v/>
      </c>
      <c r="Q13" s="20">
        <f>IF(OR($D13="",$F13=0),"",$P13/$F13)</f>
        <v/>
      </c>
      <c r="R13" s="9" t="n"/>
    </row>
    <row r="14" ht="19" customHeight="1">
      <c r="B14" s="17" t="n">
        <v>9</v>
      </c>
      <c r="C14" s="8" t="n">
        <v>8</v>
      </c>
      <c r="D14" s="8" t="inlineStr">
        <is>
          <t>080</t>
        </is>
      </c>
      <c r="E14" s="9" t="inlineStr">
        <is>
          <t>傅里叶变换红外光谱仪</t>
        </is>
      </c>
      <c r="F14" s="18" t="n">
        <v>180</v>
      </c>
      <c r="G14" s="18" t="n">
        <v>180</v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9">
        <f>IF($D14="","",SUM(H14:O14))</f>
        <v/>
      </c>
      <c r="Q14" s="20">
        <f>IF(OR($D14="",$F14=0),"",$P14/$F14)</f>
        <v/>
      </c>
      <c r="R14" s="9" t="n"/>
    </row>
    <row r="15" ht="19" customHeight="1">
      <c r="B15" s="17" t="n">
        <v>9</v>
      </c>
      <c r="C15" s="8" t="n">
        <v>9</v>
      </c>
      <c r="D15" s="8" t="inlineStr">
        <is>
          <t>086</t>
        </is>
      </c>
      <c r="E15" s="9" t="inlineStr">
        <is>
          <t>1300高精密复卷机</t>
        </is>
      </c>
      <c r="F15" s="18" t="n">
        <v>180</v>
      </c>
      <c r="G15" s="18" t="n">
        <v>144</v>
      </c>
      <c r="H15" s="18" t="n"/>
      <c r="I15" s="18" t="n">
        <v>36</v>
      </c>
      <c r="J15" s="18" t="n"/>
      <c r="K15" s="18" t="n"/>
      <c r="L15" s="18" t="n"/>
      <c r="M15" s="18" t="n"/>
      <c r="N15" s="18" t="n"/>
      <c r="O15" s="18" t="n"/>
      <c r="P15" s="19">
        <f>IF($D15="","",SUM(H15:O15))</f>
        <v/>
      </c>
      <c r="Q15" s="20">
        <f>IF(OR($D15="",$F15=0),"",$P15/$F15)</f>
        <v/>
      </c>
      <c r="R15" s="9" t="n"/>
    </row>
    <row r="16" ht="19" customHeight="1">
      <c r="B16" s="17" t="n">
        <v>9</v>
      </c>
      <c r="C16" s="8" t="n">
        <v>10</v>
      </c>
      <c r="D16" s="8" t="inlineStr">
        <is>
          <t>079</t>
        </is>
      </c>
      <c r="E16" s="9" t="inlineStr">
        <is>
          <t>1200MM泡棉分条机</t>
        </is>
      </c>
      <c r="F16" s="18" t="n">
        <v>180</v>
      </c>
      <c r="G16" s="18" t="n">
        <v>144</v>
      </c>
      <c r="H16" s="18" t="n"/>
      <c r="I16" s="18" t="n">
        <v>36</v>
      </c>
      <c r="J16" s="18" t="n"/>
      <c r="K16" s="18" t="n"/>
      <c r="L16" s="18" t="n"/>
      <c r="M16" s="18" t="n"/>
      <c r="N16" s="18" t="n"/>
      <c r="O16" s="18" t="n"/>
      <c r="P16" s="19">
        <f>IF($D16="","",SUM(H16:O16))</f>
        <v/>
      </c>
      <c r="Q16" s="20">
        <f>IF(OR($D16="",$F16=0),"",$P16/$F16)</f>
        <v/>
      </c>
      <c r="R16" s="9" t="n"/>
    </row>
    <row r="17" ht="19" customHeight="1">
      <c r="B17" s="17" t="n">
        <v>9</v>
      </c>
      <c r="C17" s="8" t="n">
        <v>11</v>
      </c>
      <c r="D17" s="8" t="inlineStr">
        <is>
          <t>081</t>
        </is>
      </c>
      <c r="E17" s="9" t="inlineStr">
        <is>
          <t>表面电阻测试仪</t>
        </is>
      </c>
      <c r="F17" s="18" t="n">
        <v>180</v>
      </c>
      <c r="G17" s="18" t="n">
        <v>0</v>
      </c>
      <c r="H17" s="18" t="n">
        <v>36</v>
      </c>
      <c r="I17" s="18" t="n">
        <v>36</v>
      </c>
      <c r="J17" s="18" t="n">
        <v>36</v>
      </c>
      <c r="K17" s="18" t="n">
        <v>36</v>
      </c>
      <c r="L17" s="18" t="n">
        <v>36</v>
      </c>
      <c r="M17" s="18" t="n"/>
      <c r="N17" s="18" t="n"/>
      <c r="O17" s="18" t="n"/>
      <c r="P17" s="19">
        <f>IF($D17="","",SUM(H17:O17))</f>
        <v/>
      </c>
      <c r="Q17" s="20">
        <f>IF(OR($D17="",$F17=0),"",$P17/$F17)</f>
        <v/>
      </c>
      <c r="R17" s="9" t="n"/>
    </row>
    <row r="18" ht="19" customHeight="1">
      <c r="B18" s="17" t="n"/>
      <c r="C18" s="8" t="n"/>
      <c r="D18" s="8" t="n"/>
      <c r="E18" s="9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9">
        <f>IF($D18="","",SUM(H18:O18))</f>
        <v/>
      </c>
      <c r="Q18" s="20">
        <f>IF(OR($D18="",$F18=0),"",$P18/$F18)</f>
        <v/>
      </c>
      <c r="R18" s="9" t="n"/>
    </row>
    <row r="19" ht="19" customHeight="1">
      <c r="B19" s="17" t="n"/>
      <c r="C19" s="8" t="n"/>
      <c r="D19" s="8" t="n"/>
      <c r="E19" s="9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9">
        <f>IF($D19="","",SUM(H19:O19))</f>
        <v/>
      </c>
      <c r="Q19" s="20">
        <f>IF(OR($D19="",$F19=0),"",$P19/$F19)</f>
        <v/>
      </c>
      <c r="R19" s="9" t="n"/>
    </row>
    <row r="20" ht="19" customHeight="1">
      <c r="B20" s="17" t="n"/>
      <c r="C20" s="8" t="n"/>
      <c r="D20" s="8" t="n"/>
      <c r="E20" s="9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9">
        <f>IF($D20="","",SUM(H20:O20))</f>
        <v/>
      </c>
      <c r="Q20" s="20">
        <f>IF(OR($D20="",$F20=0),"",$P20/$F20)</f>
        <v/>
      </c>
      <c r="R20" s="9" t="n"/>
    </row>
    <row r="21" ht="19" customHeight="1">
      <c r="B21" s="17" t="n"/>
      <c r="C21" s="8" t="n"/>
      <c r="D21" s="8" t="n"/>
      <c r="E21" s="9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9">
        <f>IF($D21="","",SUM(H21:O21))</f>
        <v/>
      </c>
      <c r="Q21" s="20">
        <f>IF(OR($D21="",$F21=0),"",$P21/$F21)</f>
        <v/>
      </c>
      <c r="R21" s="9" t="n"/>
    </row>
    <row r="22" ht="19" customHeight="1">
      <c r="B22" s="17" t="n"/>
      <c r="C22" s="8" t="n"/>
      <c r="D22" s="8" t="n"/>
      <c r="E22" s="9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>
        <f>IF($D22="","",SUM(H22:O22))</f>
        <v/>
      </c>
      <c r="Q22" s="20">
        <f>IF(OR($D22="",$F22=0),"",$P22/$F22)</f>
        <v/>
      </c>
      <c r="R22" s="9" t="n"/>
    </row>
    <row r="23" ht="19" customHeight="1">
      <c r="B23" s="17" t="n"/>
      <c r="C23" s="8" t="n"/>
      <c r="D23" s="8" t="n"/>
      <c r="E23" s="9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>
        <f>IF($D23="","",SUM(H23:O23))</f>
        <v/>
      </c>
      <c r="Q23" s="20">
        <f>IF(OR($D23="",$F23=0),"",$P23/$F23)</f>
        <v/>
      </c>
      <c r="R23" s="9" t="n"/>
    </row>
    <row r="24" ht="19" customHeight="1">
      <c r="B24" s="17" t="n"/>
      <c r="C24" s="8" t="n"/>
      <c r="D24" s="8" t="n"/>
      <c r="E24" s="9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9">
        <f>IF($D24="","",SUM(H24:O24))</f>
        <v/>
      </c>
      <c r="Q24" s="20">
        <f>IF(OR($D24="",$F24=0),"",$P24/$F24)</f>
        <v/>
      </c>
      <c r="R24" s="9" t="n"/>
    </row>
    <row r="25" ht="19" customHeight="1">
      <c r="B25" s="17" t="n"/>
      <c r="C25" s="8" t="n"/>
      <c r="D25" s="8" t="n"/>
      <c r="E25" s="9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>
        <f>IF($D25="","",SUM(H25:O25))</f>
        <v/>
      </c>
      <c r="Q25" s="20">
        <f>IF(OR($D25="",$F25=0),"",$P25/$F25)</f>
        <v/>
      </c>
      <c r="R25" s="9" t="n"/>
    </row>
    <row r="26" ht="19" customHeight="1">
      <c r="B26" s="17" t="n"/>
      <c r="C26" s="8" t="n"/>
      <c r="D26" s="8" t="n"/>
      <c r="E26" s="9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9">
        <f>IF($D26="","",SUM(H26:O26))</f>
        <v/>
      </c>
      <c r="Q26" s="20">
        <f>IF(OR($D26="",$F26=0),"",$P26/$F26)</f>
        <v/>
      </c>
      <c r="R26" s="9" t="n"/>
    </row>
    <row r="27" ht="19" customHeight="1">
      <c r="B27" s="17" t="n"/>
      <c r="C27" s="8" t="n"/>
      <c r="D27" s="8" t="n"/>
      <c r="E27" s="9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9">
        <f>IF($D27="","",SUM(H27:O27))</f>
        <v/>
      </c>
      <c r="Q27" s="20">
        <f>IF(OR($D27="",$F27=0),"",$P27/$F27)</f>
        <v/>
      </c>
      <c r="R27" s="9" t="n"/>
    </row>
    <row r="28" ht="19" customHeight="1">
      <c r="B28" s="17" t="n"/>
      <c r="C28" s="8" t="n"/>
      <c r="D28" s="8" t="n"/>
      <c r="E28" s="9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9">
        <f>IF($D28="","",SUM(H28:O28))</f>
        <v/>
      </c>
      <c r="Q28" s="20">
        <f>IF(OR($D28="",$F28=0),"",$P28/$F28)</f>
        <v/>
      </c>
      <c r="R28" s="9" t="n"/>
    </row>
    <row r="29" ht="19" customHeight="1">
      <c r="B29" s="17" t="n"/>
      <c r="C29" s="8" t="n"/>
      <c r="D29" s="8" t="n"/>
      <c r="E29" s="9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9">
        <f>IF($D29="","",SUM(H29:O29))</f>
        <v/>
      </c>
      <c r="Q29" s="20">
        <f>IF(OR($D29="",$F29=0),"",$P29/$F29)</f>
        <v/>
      </c>
      <c r="R29" s="9" t="n"/>
    </row>
    <row r="30" ht="19" customHeight="1">
      <c r="B30" s="17" t="n"/>
      <c r="C30" s="8" t="n"/>
      <c r="D30" s="8" t="n"/>
      <c r="E30" s="9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9">
        <f>IF($D30="","",SUM(H30:O30))</f>
        <v/>
      </c>
      <c r="Q30" s="20">
        <f>IF(OR($D30="",$F30=0),"",$P30/$F30)</f>
        <v/>
      </c>
      <c r="R30" s="9" t="n"/>
    </row>
    <row r="31" ht="19" customHeight="1">
      <c r="B31" s="17" t="n"/>
      <c r="C31" s="8" t="n"/>
      <c r="D31" s="8" t="n"/>
      <c r="E31" s="9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9">
        <f>IF($D31="","",SUM(H31:O31))</f>
        <v/>
      </c>
      <c r="Q31" s="20">
        <f>IF(OR($D31="",$F31=0),"",$P31/$F31)</f>
        <v/>
      </c>
      <c r="R31" s="9" t="n"/>
    </row>
    <row r="32" ht="19" customHeight="1">
      <c r="B32" s="17" t="n"/>
      <c r="C32" s="8" t="n"/>
      <c r="D32" s="8" t="n"/>
      <c r="E32" s="9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9">
        <f>IF($D32="","",SUM(H32:O32))</f>
        <v/>
      </c>
      <c r="Q32" s="20">
        <f>IF(OR($D32="",$F32=0),"",$P32/$F32)</f>
        <v/>
      </c>
      <c r="R32" s="9" t="n"/>
    </row>
    <row r="33" ht="19" customHeight="1">
      <c r="B33" s="17" t="n"/>
      <c r="C33" s="8" t="n"/>
      <c r="D33" s="8" t="n"/>
      <c r="E33" s="9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9">
        <f>IF($D33="","",SUM(H33:O33))</f>
        <v/>
      </c>
      <c r="Q33" s="20">
        <f>IF(OR($D33="",$F33=0),"",$P33/$F33)</f>
        <v/>
      </c>
      <c r="R33" s="9" t="n"/>
    </row>
    <row r="34" ht="19" customHeight="1">
      <c r="B34" s="17" t="n"/>
      <c r="C34" s="8" t="n"/>
      <c r="D34" s="8" t="n"/>
      <c r="E34" s="9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9">
        <f>IF($D34="","",SUM(H34:O34))</f>
        <v/>
      </c>
      <c r="Q34" s="20">
        <f>IF(OR($D34="",$F34=0),"",$P34/$F34)</f>
        <v/>
      </c>
      <c r="R34" s="9" t="n"/>
    </row>
    <row r="35" ht="19" customHeight="1">
      <c r="B35" s="17" t="n"/>
      <c r="C35" s="8" t="n"/>
      <c r="D35" s="8" t="n"/>
      <c r="E35" s="9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9">
        <f>IF($D35="","",SUM(H35:O35))</f>
        <v/>
      </c>
      <c r="Q35" s="20">
        <f>IF(OR($D35="",$F35=0),"",$P35/$F35)</f>
        <v/>
      </c>
      <c r="R35" s="9" t="n"/>
    </row>
    <row r="36" ht="19" customHeight="1">
      <c r="B36" s="17" t="n"/>
      <c r="C36" s="8" t="n"/>
      <c r="D36" s="8" t="n"/>
      <c r="E36" s="9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9">
        <f>IF($D36="","",SUM(H36:O36))</f>
        <v/>
      </c>
      <c r="Q36" s="20">
        <f>IF(OR($D36="",$F36=0),"",$P36/$F36)</f>
        <v/>
      </c>
      <c r="R36" s="9" t="n"/>
    </row>
    <row r="37" ht="19" customHeight="1">
      <c r="B37" s="17" t="n"/>
      <c r="C37" s="8" t="n"/>
      <c r="D37" s="8" t="n"/>
      <c r="E37" s="9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9">
        <f>IF($D37="","",SUM(H37:O37))</f>
        <v/>
      </c>
      <c r="Q37" s="20">
        <f>IF(OR($D37="",$F37=0),"",$P37/$F37)</f>
        <v/>
      </c>
      <c r="R37" s="9" t="n"/>
    </row>
    <row r="38" ht="19" customHeight="1">
      <c r="B38" s="17" t="n"/>
      <c r="C38" s="8" t="n"/>
      <c r="D38" s="8" t="n"/>
      <c r="E38" s="9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9">
        <f>IF($D38="","",SUM(H38:O38))</f>
        <v/>
      </c>
      <c r="Q38" s="20">
        <f>IF(OR($D38="",$F38=0),"",$P38/$F38)</f>
        <v/>
      </c>
      <c r="R38" s="9" t="n"/>
    </row>
    <row r="39" ht="19" customHeight="1">
      <c r="B39" s="17" t="n"/>
      <c r="C39" s="8" t="n"/>
      <c r="D39" s="8" t="n"/>
      <c r="E39" s="9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9">
        <f>IF($D39="","",SUM(H39:O39))</f>
        <v/>
      </c>
      <c r="Q39" s="20">
        <f>IF(OR($D39="",$F39=0),"",$P39/$F39)</f>
        <v/>
      </c>
      <c r="R39" s="9" t="n"/>
    </row>
    <row r="40" ht="19" customHeight="1">
      <c r="B40" s="17" t="n"/>
      <c r="C40" s="8" t="n"/>
      <c r="D40" s="8" t="n"/>
      <c r="E40" s="9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9">
        <f>IF($D40="","",SUM(H40:O40))</f>
        <v/>
      </c>
      <c r="Q40" s="20">
        <f>IF(OR($D40="",$F40=0),"",$P40/$F40)</f>
        <v/>
      </c>
      <c r="R40" s="9" t="n"/>
    </row>
    <row r="41" ht="19" customHeight="1">
      <c r="B41" s="17" t="n"/>
      <c r="C41" s="8" t="n"/>
      <c r="D41" s="8" t="n"/>
      <c r="E41" s="9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9">
        <f>IF($D41="","",SUM(H41:O41))</f>
        <v/>
      </c>
      <c r="Q41" s="20">
        <f>IF(OR($D41="",$F41=0),"",$P41/$F41)</f>
        <v/>
      </c>
      <c r="R41" s="9" t="n"/>
    </row>
    <row r="42" ht="19" customHeight="1">
      <c r="B42" s="17" t="n"/>
      <c r="C42" s="8" t="n"/>
      <c r="D42" s="8" t="n"/>
      <c r="E42" s="9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9">
        <f>IF($D42="","",SUM(H42:O42))</f>
        <v/>
      </c>
      <c r="Q42" s="20">
        <f>IF(OR($D42="",$F42=0),"",$P42/$F42)</f>
        <v/>
      </c>
      <c r="R42" s="9" t="n"/>
    </row>
    <row r="43" ht="19" customHeight="1">
      <c r="B43" s="17" t="n"/>
      <c r="C43" s="8" t="n"/>
      <c r="D43" s="8" t="n"/>
      <c r="E43" s="9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9">
        <f>IF($D43="","",SUM(H43:O43))</f>
        <v/>
      </c>
      <c r="Q43" s="20">
        <f>IF(OR($D43="",$F43=0),"",$P43/$F43)</f>
        <v/>
      </c>
      <c r="R43" s="9" t="n"/>
    </row>
    <row r="44" ht="19" customHeight="1">
      <c r="B44" s="17" t="n"/>
      <c r="C44" s="8" t="n"/>
      <c r="D44" s="8" t="n"/>
      <c r="E44" s="9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9">
        <f>IF($D44="","",SUM(H44:O44))</f>
        <v/>
      </c>
      <c r="Q44" s="20">
        <f>IF(OR($D44="",$F44=0),"",$P44/$F44)</f>
        <v/>
      </c>
      <c r="R44" s="9" t="n"/>
    </row>
    <row r="45" ht="19" customHeight="1">
      <c r="B45" s="17" t="n"/>
      <c r="C45" s="8" t="n"/>
      <c r="D45" s="8" t="n"/>
      <c r="E45" s="9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9">
        <f>IF($D45="","",SUM(H45:O45))</f>
        <v/>
      </c>
      <c r="Q45" s="20">
        <f>IF(OR($D45="",$F45=0),"",$P45/$F45)</f>
        <v/>
      </c>
      <c r="R45" s="9" t="n"/>
    </row>
    <row r="46" ht="19" customHeight="1">
      <c r="B46" s="17" t="n"/>
      <c r="C46" s="8" t="n"/>
      <c r="D46" s="8" t="n"/>
      <c r="E46" s="9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9">
        <f>IF($D46="","",SUM(H46:O46))</f>
        <v/>
      </c>
      <c r="Q46" s="20">
        <f>IF(OR($D46="",$F46=0),"",$P46/$F46)</f>
        <v/>
      </c>
      <c r="R46" s="9" t="n"/>
    </row>
    <row r="47" ht="19" customHeight="1">
      <c r="B47" s="17" t="n"/>
      <c r="C47" s="8" t="n"/>
      <c r="D47" s="8" t="n"/>
      <c r="E47" s="9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9">
        <f>IF($D47="","",SUM(H47:O47))</f>
        <v/>
      </c>
      <c r="Q47" s="20">
        <f>IF(OR($D47="",$F47=0),"",$P47/$F47)</f>
        <v/>
      </c>
      <c r="R47" s="9" t="n"/>
    </row>
    <row r="48" ht="19" customHeight="1">
      <c r="B48" s="17" t="n"/>
      <c r="C48" s="8" t="n"/>
      <c r="D48" s="8" t="n"/>
      <c r="E48" s="9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9">
        <f>IF($D48="","",SUM(H48:O48))</f>
        <v/>
      </c>
      <c r="Q48" s="20">
        <f>IF(OR($D48="",$F48=0),"",$P48/$F48)</f>
        <v/>
      </c>
      <c r="R48" s="9" t="n"/>
    </row>
    <row r="49" ht="19" customHeight="1">
      <c r="B49" s="17" t="n"/>
      <c r="C49" s="8" t="n"/>
      <c r="D49" s="8" t="n"/>
      <c r="E49" s="9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9">
        <f>IF($D49="","",SUM(H49:O49))</f>
        <v/>
      </c>
      <c r="Q49" s="20">
        <f>IF(OR($D49="",$F49=0),"",$P49/$F49)</f>
        <v/>
      </c>
      <c r="R49" s="9" t="n"/>
    </row>
    <row r="50" ht="19" customHeight="1">
      <c r="B50" s="17" t="n"/>
      <c r="C50" s="8" t="n"/>
      <c r="D50" s="8" t="n"/>
      <c r="E50" s="9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9">
        <f>IF($D50="","",SUM(H50:O50))</f>
        <v/>
      </c>
      <c r="Q50" s="20">
        <f>IF(OR($D50="",$F50=0),"",$P50/$F50)</f>
        <v/>
      </c>
      <c r="R50" s="9" t="n"/>
    </row>
    <row r="51" ht="19" customHeight="1">
      <c r="B51" s="17" t="n"/>
      <c r="C51" s="8" t="n"/>
      <c r="D51" s="8" t="n"/>
      <c r="E51" s="9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9">
        <f>IF($D51="","",SUM(H51:O51))</f>
        <v/>
      </c>
      <c r="Q51" s="20">
        <f>IF(OR($D51="",$F51=0),"",$P51/$F51)</f>
        <v/>
      </c>
      <c r="R51" s="9" t="n"/>
    </row>
    <row r="52" ht="19" customHeight="1">
      <c r="B52" s="17" t="n"/>
      <c r="C52" s="8" t="n"/>
      <c r="D52" s="8" t="n"/>
      <c r="E52" s="9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9">
        <f>IF($D52="","",SUM(H52:O52))</f>
        <v/>
      </c>
      <c r="Q52" s="20">
        <f>IF(OR($D52="",$F52=0),"",$P52/$F52)</f>
        <v/>
      </c>
      <c r="R52" s="9" t="n"/>
    </row>
    <row r="53" ht="19" customHeight="1">
      <c r="B53" s="17" t="n"/>
      <c r="C53" s="8" t="n"/>
      <c r="D53" s="8" t="n"/>
      <c r="E53" s="9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9">
        <f>IF($D53="","",SUM(H53:O53))</f>
        <v/>
      </c>
      <c r="Q53" s="20">
        <f>IF(OR($D53="",$F53=0),"",$P53/$F53)</f>
        <v/>
      </c>
      <c r="R53" s="9" t="n"/>
    </row>
    <row r="54" ht="19" customHeight="1">
      <c r="B54" s="17" t="n"/>
      <c r="C54" s="8" t="n"/>
      <c r="D54" s="8" t="n"/>
      <c r="E54" s="9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9">
        <f>IF($D54="","",SUM(H54:O54))</f>
        <v/>
      </c>
      <c r="Q54" s="20">
        <f>IF(OR($D54="",$F54=0),"",$P54/$F54)</f>
        <v/>
      </c>
      <c r="R54" s="9" t="n"/>
    </row>
    <row r="55" ht="19" customHeight="1">
      <c r="B55" s="17" t="n"/>
      <c r="C55" s="8" t="n"/>
      <c r="D55" s="8" t="n"/>
      <c r="E55" s="9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9">
        <f>IF($D55="","",SUM(H55:O55))</f>
        <v/>
      </c>
      <c r="Q55" s="20">
        <f>IF(OR($D55="",$F55=0),"",$P55/$F55)</f>
        <v/>
      </c>
      <c r="R55" s="9" t="n"/>
    </row>
    <row r="56" ht="19" customHeight="1">
      <c r="B56" s="17" t="n"/>
      <c r="C56" s="8" t="n"/>
      <c r="D56" s="8" t="n"/>
      <c r="E56" s="9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9">
        <f>IF($D56="","",SUM(H56:O56))</f>
        <v/>
      </c>
      <c r="Q56" s="20">
        <f>IF(OR($D56="",$F56=0),"",$P56/$F56)</f>
        <v/>
      </c>
      <c r="R56" s="9" t="n"/>
    </row>
    <row r="57" ht="19" customHeight="1">
      <c r="B57" s="17" t="n"/>
      <c r="C57" s="8" t="n"/>
      <c r="D57" s="8" t="n"/>
      <c r="E57" s="9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9">
        <f>IF($D57="","",SUM(H57:O57))</f>
        <v/>
      </c>
      <c r="Q57" s="20">
        <f>IF(OR($D57="",$F57=0),"",$P57/$F57)</f>
        <v/>
      </c>
      <c r="R57" s="9" t="n"/>
    </row>
    <row r="58" ht="19" customHeight="1">
      <c r="B58" s="17" t="n"/>
      <c r="C58" s="8" t="n"/>
      <c r="D58" s="8" t="n"/>
      <c r="E58" s="9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9">
        <f>IF($D58="","",SUM(H58:O58))</f>
        <v/>
      </c>
      <c r="Q58" s="20">
        <f>IF(OR($D58="",$F58=0),"",$P58/$F58)</f>
        <v/>
      </c>
      <c r="R58" s="9" t="n"/>
    </row>
    <row r="59" ht="19" customHeight="1">
      <c r="B59" s="17" t="n"/>
      <c r="C59" s="8" t="n"/>
      <c r="D59" s="8" t="n"/>
      <c r="E59" s="9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9">
        <f>IF($D59="","",SUM(H59:O59))</f>
        <v/>
      </c>
      <c r="Q59" s="20">
        <f>IF(OR($D59="",$F59=0),"",$P59/$F59)</f>
        <v/>
      </c>
      <c r="R59" s="9" t="n"/>
    </row>
    <row r="60" ht="19" customHeight="1">
      <c r="B60" s="17" t="n"/>
      <c r="C60" s="8" t="n"/>
      <c r="D60" s="8" t="n"/>
      <c r="E60" s="9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9">
        <f>IF($D60="","",SUM(H60:O60))</f>
        <v/>
      </c>
      <c r="Q60" s="20">
        <f>IF(OR($D60="",$F60=0),"",$P60/$F60)</f>
        <v/>
      </c>
      <c r="R60" s="9" t="n"/>
    </row>
    <row r="61" ht="19" customHeight="1">
      <c r="B61" s="17" t="n"/>
      <c r="C61" s="8" t="n"/>
      <c r="D61" s="8" t="n"/>
      <c r="E61" s="9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9">
        <f>IF($D61="","",SUM(H61:O61))</f>
        <v/>
      </c>
      <c r="Q61" s="20">
        <f>IF(OR($D61="",$F61=0),"",$P61/$F61)</f>
        <v/>
      </c>
      <c r="R61" s="9" t="n"/>
    </row>
    <row r="62" ht="19" customHeight="1">
      <c r="B62" s="17" t="n"/>
      <c r="C62" s="8" t="n"/>
      <c r="D62" s="8" t="n"/>
      <c r="E62" s="9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9">
        <f>IF($D62="","",SUM(H62:O62))</f>
        <v/>
      </c>
      <c r="Q62" s="20">
        <f>IF(OR($D62="",$F62=0),"",$P62/$F62)</f>
        <v/>
      </c>
      <c r="R62" s="9" t="n"/>
    </row>
    <row r="63" ht="19" customHeight="1">
      <c r="B63" s="17" t="n"/>
      <c r="C63" s="8" t="n"/>
      <c r="D63" s="8" t="n"/>
      <c r="E63" s="9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9">
        <f>IF($D63="","",SUM(H63:O63))</f>
        <v/>
      </c>
      <c r="Q63" s="20">
        <f>IF(OR($D63="",$F63=0),"",$P63/$F63)</f>
        <v/>
      </c>
      <c r="R63" s="9" t="n"/>
    </row>
    <row r="64" ht="19" customHeight="1">
      <c r="B64" s="17" t="n"/>
      <c r="C64" s="8" t="n"/>
      <c r="D64" s="8" t="n"/>
      <c r="E64" s="9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9">
        <f>IF($D64="","",SUM(H64:O64))</f>
        <v/>
      </c>
      <c r="Q64" s="20">
        <f>IF(OR($D64="",$F64=0),"",$P64/$F64)</f>
        <v/>
      </c>
      <c r="R64" s="9" t="n"/>
    </row>
    <row r="65" ht="19" customHeight="1">
      <c r="B65" s="17" t="n"/>
      <c r="C65" s="8" t="n"/>
      <c r="D65" s="8" t="n"/>
      <c r="E65" s="9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9">
        <f>IF($D65="","",SUM(H65:O65))</f>
        <v/>
      </c>
      <c r="Q65" s="20">
        <f>IF(OR($D65="",$F65=0),"",$P65/$F65)</f>
        <v/>
      </c>
      <c r="R65" s="9" t="n"/>
    </row>
    <row r="66" ht="19" customHeight="1">
      <c r="B66" s="17" t="n"/>
      <c r="C66" s="8" t="n"/>
      <c r="D66" s="8" t="n"/>
      <c r="E66" s="9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9">
        <f>IF($D66="","",SUM(H66:O66))</f>
        <v/>
      </c>
      <c r="Q66" s="20">
        <f>IF(OR($D66="",$F66=0),"",$P66/$F66)</f>
        <v/>
      </c>
      <c r="R66" s="9" t="n"/>
    </row>
    <row r="67" ht="19" customHeight="1">
      <c r="B67" s="17" t="n"/>
      <c r="C67" s="8" t="n"/>
      <c r="D67" s="8" t="n"/>
      <c r="E67" s="9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9">
        <f>IF($D67="","",SUM(H67:O67))</f>
        <v/>
      </c>
      <c r="Q67" s="20">
        <f>IF(OR($D67="",$F67=0),"",$P67/$F67)</f>
        <v/>
      </c>
      <c r="R67" s="9" t="n"/>
    </row>
    <row r="68" ht="19" customHeight="1">
      <c r="B68" s="17" t="n"/>
      <c r="C68" s="8" t="n"/>
      <c r="D68" s="8" t="n"/>
      <c r="E68" s="9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9">
        <f>IF($D68="","",SUM(H68:O68))</f>
        <v/>
      </c>
      <c r="Q68" s="20">
        <f>IF(OR($D68="",$F68=0),"",$P68/$F68)</f>
        <v/>
      </c>
      <c r="R68" s="9" t="n"/>
    </row>
    <row r="69" ht="19" customHeight="1">
      <c r="B69" s="17" t="n"/>
      <c r="C69" s="8" t="n"/>
      <c r="D69" s="8" t="n"/>
      <c r="E69" s="9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9">
        <f>IF($D69="","",SUM(H69:O69))</f>
        <v/>
      </c>
      <c r="Q69" s="20">
        <f>IF(OR($D69="",$F69=0),"",$P69/$F69)</f>
        <v/>
      </c>
      <c r="R69" s="9" t="n"/>
    </row>
    <row r="70" ht="19" customHeight="1">
      <c r="B70" s="17" t="n"/>
      <c r="C70" s="8" t="n"/>
      <c r="D70" s="8" t="n"/>
      <c r="E70" s="9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9">
        <f>IF($D70="","",SUM(H70:O70))</f>
        <v/>
      </c>
      <c r="Q70" s="20">
        <f>IF(OR($D70="",$F70=0),"",$P70/$F70)</f>
        <v/>
      </c>
      <c r="R70" s="9" t="n"/>
    </row>
    <row r="71" ht="19" customHeight="1">
      <c r="B71" s="17" t="n"/>
      <c r="C71" s="8" t="n"/>
      <c r="D71" s="8" t="n"/>
      <c r="E71" s="9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9">
        <f>IF($D71="","",SUM(H71:O71))</f>
        <v/>
      </c>
      <c r="Q71" s="20">
        <f>IF(OR($D71="",$F71=0),"",$P71/$F71)</f>
        <v/>
      </c>
      <c r="R71" s="9" t="n"/>
    </row>
    <row r="72" ht="19" customHeight="1">
      <c r="B72" s="17" t="n"/>
      <c r="C72" s="8" t="n"/>
      <c r="D72" s="8" t="n"/>
      <c r="E72" s="9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9">
        <f>IF($D72="","",SUM(H72:O72))</f>
        <v/>
      </c>
      <c r="Q72" s="20">
        <f>IF(OR($D72="",$F72=0),"",$P72/$F72)</f>
        <v/>
      </c>
      <c r="R72" s="9" t="n"/>
    </row>
    <row r="73" ht="19" customHeight="1">
      <c r="B73" s="17" t="n"/>
      <c r="C73" s="8" t="n"/>
      <c r="D73" s="8" t="n"/>
      <c r="E73" s="9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9">
        <f>IF($D73="","",SUM(H73:O73))</f>
        <v/>
      </c>
      <c r="Q73" s="20">
        <f>IF(OR($D73="",$F73=0),"",$P73/$F73)</f>
        <v/>
      </c>
      <c r="R73" s="9" t="n"/>
    </row>
    <row r="74" ht="19" customHeight="1">
      <c r="B74" s="17" t="n"/>
      <c r="C74" s="8" t="n"/>
      <c r="D74" s="8" t="n"/>
      <c r="E74" s="9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9">
        <f>IF($D74="","",SUM(H74:O74))</f>
        <v/>
      </c>
      <c r="Q74" s="20">
        <f>IF(OR($D74="",$F74=0),"",$P74/$F74)</f>
        <v/>
      </c>
      <c r="R74" s="9" t="n"/>
    </row>
    <row r="75" ht="19" customHeight="1">
      <c r="B75" s="17" t="n"/>
      <c r="C75" s="8" t="n"/>
      <c r="D75" s="8" t="n"/>
      <c r="E75" s="9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9">
        <f>IF($D75="","",SUM(H75:O75))</f>
        <v/>
      </c>
      <c r="Q75" s="20">
        <f>IF(OR($D75="",$F75=0),"",$P75/$F75)</f>
        <v/>
      </c>
      <c r="R75" s="9" t="n"/>
    </row>
    <row r="76" ht="19" customHeight="1">
      <c r="B76" s="17" t="n"/>
      <c r="C76" s="8" t="n"/>
      <c r="D76" s="8" t="n"/>
      <c r="E76" s="9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9">
        <f>IF($D76="","",SUM(H76:O76))</f>
        <v/>
      </c>
      <c r="Q76" s="20">
        <f>IF(OR($D76="",$F76=0),"",$P76/$F76)</f>
        <v/>
      </c>
      <c r="R76" s="9" t="n"/>
    </row>
    <row r="77" ht="19" customHeight="1">
      <c r="B77" s="17" t="n"/>
      <c r="C77" s="8" t="n"/>
      <c r="D77" s="8" t="n"/>
      <c r="E77" s="9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9">
        <f>IF($D77="","",SUM(H77:O77))</f>
        <v/>
      </c>
      <c r="Q77" s="20">
        <f>IF(OR($D77="",$F77=0),"",$P77/$F77)</f>
        <v/>
      </c>
      <c r="R77" s="9" t="n"/>
    </row>
    <row r="78" ht="19" customHeight="1">
      <c r="B78" s="17" t="n"/>
      <c r="C78" s="8" t="n"/>
      <c r="D78" s="8" t="n"/>
      <c r="E78" s="9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9">
        <f>IF($D78="","",SUM(H78:O78))</f>
        <v/>
      </c>
      <c r="Q78" s="20">
        <f>IF(OR($D78="",$F78=0),"",$P78/$F78)</f>
        <v/>
      </c>
      <c r="R78" s="9" t="n"/>
    </row>
    <row r="79" ht="19" customHeight="1">
      <c r="B79" s="17" t="n"/>
      <c r="C79" s="8" t="n"/>
      <c r="D79" s="8" t="n"/>
      <c r="E79" s="9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9">
        <f>IF($D79="","",SUM(H79:O79))</f>
        <v/>
      </c>
      <c r="Q79" s="20">
        <f>IF(OR($D79="",$F79=0),"",$P79/$F79)</f>
        <v/>
      </c>
      <c r="R79" s="9" t="n"/>
    </row>
    <row r="80" ht="19" customHeight="1">
      <c r="B80" s="17" t="n"/>
      <c r="C80" s="8" t="n"/>
      <c r="D80" s="8" t="n"/>
      <c r="E80" s="9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9">
        <f>IF($D80="","",SUM(H80:O80))</f>
        <v/>
      </c>
      <c r="Q80" s="20">
        <f>IF(OR($D80="",$F80=0),"",$P80/$F80)</f>
        <v/>
      </c>
      <c r="R80" s="9" t="n"/>
    </row>
    <row r="81" ht="19" customHeight="1">
      <c r="B81" s="17" t="n"/>
      <c r="C81" s="8" t="n"/>
      <c r="D81" s="8" t="n"/>
      <c r="E81" s="9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9">
        <f>IF($D81="","",SUM(H81:O81))</f>
        <v/>
      </c>
      <c r="Q81" s="20">
        <f>IF(OR($D81="",$F81=0),"",$P81/$F81)</f>
        <v/>
      </c>
      <c r="R81" s="9" t="n"/>
    </row>
    <row r="82" ht="19" customHeight="1">
      <c r="B82" s="17" t="n"/>
      <c r="C82" s="8" t="n"/>
      <c r="D82" s="8" t="n"/>
      <c r="E82" s="9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9">
        <f>IF($D82="","",SUM(H82:O82))</f>
        <v/>
      </c>
      <c r="Q82" s="20">
        <f>IF(OR($D82="",$F82=0),"",$P82/$F82)</f>
        <v/>
      </c>
      <c r="R82" s="9" t="n"/>
    </row>
    <row r="83" ht="19" customHeight="1">
      <c r="B83" s="17" t="n"/>
      <c r="C83" s="8" t="n"/>
      <c r="D83" s="8" t="n"/>
      <c r="E83" s="9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9">
        <f>IF($D83="","",SUM(H83:O83))</f>
        <v/>
      </c>
      <c r="Q83" s="20">
        <f>IF(OR($D83="",$F83=0),"",$P83/$F83)</f>
        <v/>
      </c>
      <c r="R83" s="9" t="n"/>
    </row>
    <row r="84" ht="19" customHeight="1">
      <c r="B84" s="17" t="n"/>
      <c r="C84" s="8" t="n"/>
      <c r="D84" s="8" t="n"/>
      <c r="E84" s="9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9">
        <f>IF($D84="","",SUM(H84:O84))</f>
        <v/>
      </c>
      <c r="Q84" s="20">
        <f>IF(OR($D84="",$F84=0),"",$P84/$F84)</f>
        <v/>
      </c>
      <c r="R84" s="9" t="n"/>
    </row>
    <row r="85" ht="19" customHeight="1">
      <c r="B85" s="17" t="n"/>
      <c r="C85" s="8" t="n"/>
      <c r="D85" s="8" t="n"/>
      <c r="E85" s="9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9">
        <f>IF($D85="","",SUM(H85:O85))</f>
        <v/>
      </c>
      <c r="Q85" s="20">
        <f>IF(OR($D85="",$F85=0),"",$P85/$F85)</f>
        <v/>
      </c>
      <c r="R85" s="9" t="n"/>
    </row>
    <row r="86" ht="19" customHeight="1">
      <c r="B86" s="17" t="n"/>
      <c r="C86" s="8" t="n"/>
      <c r="D86" s="8" t="n"/>
      <c r="E86" s="9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9">
        <f>IF($D86="","",SUM(H86:O86))</f>
        <v/>
      </c>
      <c r="Q86" s="20">
        <f>IF(OR($D86="",$F86=0),"",$P86/$F86)</f>
        <v/>
      </c>
      <c r="R86" s="9" t="n"/>
    </row>
    <row r="87" ht="19" customHeight="1">
      <c r="B87" s="17" t="n"/>
      <c r="C87" s="8" t="n"/>
      <c r="D87" s="8" t="n"/>
      <c r="E87" s="9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9">
        <f>IF($D87="","",SUM(H87:O87))</f>
        <v/>
      </c>
      <c r="Q87" s="20">
        <f>IF(OR($D87="",$F87=0),"",$P87/$F87)</f>
        <v/>
      </c>
      <c r="R87" s="9" t="n"/>
    </row>
    <row r="88" ht="19" customHeight="1">
      <c r="B88" s="17" t="n"/>
      <c r="C88" s="8" t="n"/>
      <c r="D88" s="8" t="n"/>
      <c r="E88" s="9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9">
        <f>IF($D88="","",SUM(H88:O88))</f>
        <v/>
      </c>
      <c r="Q88" s="20">
        <f>IF(OR($D88="",$F88=0),"",$P88/$F88)</f>
        <v/>
      </c>
      <c r="R88" s="9" t="n"/>
    </row>
    <row r="89" ht="19" customHeight="1">
      <c r="B89" s="17" t="n"/>
      <c r="C89" s="8" t="n"/>
      <c r="D89" s="8" t="n"/>
      <c r="E89" s="9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9">
        <f>IF($D89="","",SUM(H89:O89))</f>
        <v/>
      </c>
      <c r="Q89" s="20">
        <f>IF(OR($D89="",$F89=0),"",$P89/$F89)</f>
        <v/>
      </c>
      <c r="R89" s="9" t="n"/>
    </row>
    <row r="90" ht="19" customHeight="1">
      <c r="B90" s="17" t="n"/>
      <c r="C90" s="8" t="n"/>
      <c r="D90" s="8" t="n"/>
      <c r="E90" s="9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9">
        <f>IF($D90="","",SUM(H90:O90))</f>
        <v/>
      </c>
      <c r="Q90" s="20">
        <f>IF(OR($D90="",$F90=0),"",$P90/$F90)</f>
        <v/>
      </c>
      <c r="R90" s="9" t="n"/>
    </row>
    <row r="91" ht="19" customHeight="1">
      <c r="B91" s="17" t="n"/>
      <c r="C91" s="8" t="n"/>
      <c r="D91" s="8" t="n"/>
      <c r="E91" s="9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9">
        <f>IF($D91="","",SUM(H91:O91))</f>
        <v/>
      </c>
      <c r="Q91" s="20">
        <f>IF(OR($D91="",$F91=0),"",$P91/$F91)</f>
        <v/>
      </c>
      <c r="R91" s="9" t="n"/>
    </row>
    <row r="92" ht="19" customHeight="1">
      <c r="B92" s="17" t="n"/>
      <c r="C92" s="8" t="n"/>
      <c r="D92" s="8" t="n"/>
      <c r="E92" s="9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9">
        <f>IF($D92="","",SUM(H92:O92))</f>
        <v/>
      </c>
      <c r="Q92" s="20">
        <f>IF(OR($D92="",$F92=0),"",$P92/$F92)</f>
        <v/>
      </c>
      <c r="R92" s="9" t="n"/>
    </row>
    <row r="93" ht="19" customHeight="1">
      <c r="B93" s="17" t="n"/>
      <c r="C93" s="8" t="n"/>
      <c r="D93" s="8" t="n"/>
      <c r="E93" s="9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9">
        <f>IF($D93="","",SUM(H93:O93))</f>
        <v/>
      </c>
      <c r="Q93" s="20">
        <f>IF(OR($D93="",$F93=0),"",$P93/$F93)</f>
        <v/>
      </c>
      <c r="R93" s="9" t="n"/>
    </row>
    <row r="94" ht="19" customHeight="1">
      <c r="B94" s="17" t="n"/>
      <c r="C94" s="8" t="n"/>
      <c r="D94" s="8" t="n"/>
      <c r="E94" s="9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9">
        <f>IF($D94="","",SUM(H94:O94))</f>
        <v/>
      </c>
      <c r="Q94" s="20">
        <f>IF(OR($D94="",$F94=0),"",$P94/$F94)</f>
        <v/>
      </c>
      <c r="R94" s="9" t="n"/>
    </row>
    <row r="95" ht="19" customHeight="1">
      <c r="B95" s="17" t="n"/>
      <c r="C95" s="8" t="n"/>
      <c r="D95" s="8" t="n"/>
      <c r="E95" s="9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9">
        <f>IF($D95="","",SUM(H95:O95))</f>
        <v/>
      </c>
      <c r="Q95" s="20">
        <f>IF(OR($D95="",$F95=0),"",$P95/$F95)</f>
        <v/>
      </c>
      <c r="R95" s="9" t="n"/>
    </row>
    <row r="96" ht="19" customHeight="1">
      <c r="B96" s="17" t="n"/>
      <c r="C96" s="8" t="n"/>
      <c r="D96" s="8" t="n"/>
      <c r="E96" s="9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9">
        <f>IF($D96="","",SUM(H96:O96))</f>
        <v/>
      </c>
      <c r="Q96" s="20">
        <f>IF(OR($D96="",$F96=0),"",$P96/$F96)</f>
        <v/>
      </c>
      <c r="R96" s="9" t="n"/>
    </row>
    <row r="97" ht="19" customHeight="1">
      <c r="B97" s="17" t="n"/>
      <c r="C97" s="8" t="n"/>
      <c r="D97" s="8" t="n"/>
      <c r="E97" s="9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9">
        <f>IF($D97="","",SUM(H97:O97))</f>
        <v/>
      </c>
      <c r="Q97" s="20">
        <f>IF(OR($D97="",$F97=0),"",$P97/$F97)</f>
        <v/>
      </c>
      <c r="R97" s="9" t="n"/>
    </row>
    <row r="98" ht="19" customHeight="1">
      <c r="B98" s="17" t="n"/>
      <c r="C98" s="8" t="n"/>
      <c r="D98" s="8" t="n"/>
      <c r="E98" s="9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9">
        <f>IF($D98="","",SUM(H98:O98))</f>
        <v/>
      </c>
      <c r="Q98" s="20">
        <f>IF(OR($D98="",$F98=0),"",$P98/$F98)</f>
        <v/>
      </c>
      <c r="R98" s="9" t="n"/>
    </row>
    <row r="99" ht="19" customHeight="1">
      <c r="B99" s="17" t="n"/>
      <c r="C99" s="8" t="n"/>
      <c r="D99" s="8" t="n"/>
      <c r="E99" s="9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9">
        <f>IF($D99="","",SUM(H99:O99))</f>
        <v/>
      </c>
      <c r="Q99" s="20">
        <f>IF(OR($D99="",$F99=0),"",$P99/$F99)</f>
        <v/>
      </c>
      <c r="R99" s="9" t="n"/>
    </row>
    <row r="100" ht="19" customHeight="1">
      <c r="B100" s="17" t="n"/>
      <c r="C100" s="8" t="n"/>
      <c r="D100" s="8" t="n"/>
      <c r="E100" s="9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9">
        <f>IF($D100="","",SUM(H100:O100))</f>
        <v/>
      </c>
      <c r="Q100" s="20">
        <f>IF(OR($D100="",$F100=0),"",$P100/$F100)</f>
        <v/>
      </c>
      <c r="R100" s="9" t="n"/>
    </row>
    <row r="101" ht="19" customHeight="1">
      <c r="B101" s="17" t="n"/>
      <c r="C101" s="8" t="n"/>
      <c r="D101" s="8" t="n"/>
      <c r="E101" s="9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9">
        <f>IF($D101="","",SUM(H101:O101))</f>
        <v/>
      </c>
      <c r="Q101" s="20">
        <f>IF(OR($D101="",$F101=0),"",$P101/$F101)</f>
        <v/>
      </c>
      <c r="R101" s="9" t="n"/>
    </row>
    <row r="102" ht="19" customHeight="1">
      <c r="B102" s="17" t="n"/>
      <c r="C102" s="8" t="n"/>
      <c r="D102" s="8" t="n"/>
      <c r="E102" s="9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9">
        <f>IF($D102="","",SUM(H102:O102))</f>
        <v/>
      </c>
      <c r="Q102" s="20">
        <f>IF(OR($D102="",$F102=0),"",$P102/$F102)</f>
        <v/>
      </c>
      <c r="R102" s="9" t="n"/>
    </row>
    <row r="103" ht="19" customHeight="1">
      <c r="B103" s="17" t="n"/>
      <c r="C103" s="8" t="n"/>
      <c r="D103" s="8" t="n"/>
      <c r="E103" s="9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9">
        <f>IF($D103="","",SUM(H103:O103))</f>
        <v/>
      </c>
      <c r="Q103" s="20">
        <f>IF(OR($D103="",$F103=0),"",$P103/$F103)</f>
        <v/>
      </c>
      <c r="R103" s="9" t="n"/>
    </row>
    <row r="104" ht="19" customHeight="1">
      <c r="B104" s="17" t="n"/>
      <c r="C104" s="8" t="n"/>
      <c r="D104" s="8" t="n"/>
      <c r="E104" s="9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9">
        <f>IF($D104="","",SUM(H104:O104))</f>
        <v/>
      </c>
      <c r="Q104" s="20">
        <f>IF(OR($D104="",$F104=0),"",$P104/$F104)</f>
        <v/>
      </c>
      <c r="R104" s="9" t="n"/>
    </row>
    <row r="105" ht="19" customHeight="1">
      <c r="B105" s="17" t="n"/>
      <c r="C105" s="8" t="n"/>
      <c r="D105" s="8" t="n"/>
      <c r="E105" s="9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9">
        <f>IF($D105="","",SUM(H105:O105))</f>
        <v/>
      </c>
      <c r="Q105" s="20">
        <f>IF(OR($D105="",$F105=0),"",$P105/$F105)</f>
        <v/>
      </c>
      <c r="R105" s="9" t="n"/>
    </row>
    <row r="106" ht="19" customHeight="1">
      <c r="B106" s="17" t="n"/>
      <c r="C106" s="8" t="n"/>
      <c r="D106" s="8" t="n"/>
      <c r="E106" s="9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9">
        <f>IF($D106="","",SUM(H106:O106))</f>
        <v/>
      </c>
      <c r="Q106" s="20">
        <f>IF(OR($D106="",$F106=0),"",$P106/$F106)</f>
        <v/>
      </c>
      <c r="R106" s="9" t="n"/>
    </row>
    <row r="107" ht="19" customHeight="1">
      <c r="B107" s="17" t="n"/>
      <c r="C107" s="8" t="n"/>
      <c r="D107" s="8" t="n"/>
      <c r="E107" s="9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9">
        <f>IF($D107="","",SUM(H107:O107))</f>
        <v/>
      </c>
      <c r="Q107" s="20">
        <f>IF(OR($D107="",$F107=0),"",$P107/$F107)</f>
        <v/>
      </c>
      <c r="R107" s="9" t="n"/>
    </row>
    <row r="108" ht="19" customHeight="1">
      <c r="B108" s="17" t="n"/>
      <c r="C108" s="8" t="n"/>
      <c r="D108" s="8" t="n"/>
      <c r="E108" s="9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9">
        <f>IF($D108="","",SUM(H108:O108))</f>
        <v/>
      </c>
      <c r="Q108" s="20">
        <f>IF(OR($D108="",$F108=0),"",$P108/$F108)</f>
        <v/>
      </c>
      <c r="R108" s="9" t="n"/>
    </row>
    <row r="109" ht="19" customHeight="1">
      <c r="B109" s="17" t="n"/>
      <c r="C109" s="8" t="n"/>
      <c r="D109" s="8" t="n"/>
      <c r="E109" s="9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9">
        <f>IF($D109="","",SUM(H109:O109))</f>
        <v/>
      </c>
      <c r="Q109" s="20">
        <f>IF(OR($D109="",$F109=0),"",$P109/$F109)</f>
        <v/>
      </c>
      <c r="R109" s="9" t="n"/>
    </row>
    <row r="110" ht="19" customHeight="1">
      <c r="B110" s="17" t="n"/>
      <c r="C110" s="8" t="n"/>
      <c r="D110" s="8" t="n"/>
      <c r="E110" s="9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9">
        <f>IF($D110="","",SUM(H110:O110))</f>
        <v/>
      </c>
      <c r="Q110" s="20">
        <f>IF(OR($D110="",$F110=0),"",$P110/$F110)</f>
        <v/>
      </c>
      <c r="R110" s="9" t="n"/>
    </row>
    <row r="111" ht="19" customHeight="1">
      <c r="B111" s="17" t="n"/>
      <c r="C111" s="8" t="n"/>
      <c r="D111" s="8" t="n"/>
      <c r="E111" s="9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9">
        <f>IF($D111="","",SUM(H111:O111))</f>
        <v/>
      </c>
      <c r="Q111" s="20">
        <f>IF(OR($D111="",$F111=0),"",$P111/$F111)</f>
        <v/>
      </c>
      <c r="R111" s="9" t="n"/>
    </row>
    <row r="112" ht="19" customHeight="1">
      <c r="B112" s="17" t="n"/>
      <c r="C112" s="8" t="n"/>
      <c r="D112" s="8" t="n"/>
      <c r="E112" s="9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9">
        <f>IF($D112="","",SUM(H112:O112))</f>
        <v/>
      </c>
      <c r="Q112" s="20">
        <f>IF(OR($D112="",$F112=0),"",$P112/$F112)</f>
        <v/>
      </c>
      <c r="R112" s="9" t="n"/>
    </row>
    <row r="113" ht="19" customHeight="1">
      <c r="B113" s="17" t="n"/>
      <c r="C113" s="8" t="n"/>
      <c r="D113" s="8" t="n"/>
      <c r="E113" s="9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9">
        <f>IF($D113="","",SUM(H113:O113))</f>
        <v/>
      </c>
      <c r="Q113" s="20">
        <f>IF(OR($D113="",$F113=0),"",$P113/$F113)</f>
        <v/>
      </c>
      <c r="R113" s="9" t="n"/>
    </row>
    <row r="114" ht="19" customHeight="1">
      <c r="B114" s="17" t="n"/>
      <c r="C114" s="8" t="n"/>
      <c r="D114" s="8" t="n"/>
      <c r="E114" s="9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9">
        <f>IF($D114="","",SUM(H114:O114))</f>
        <v/>
      </c>
      <c r="Q114" s="20">
        <f>IF(OR($D114="",$F114=0),"",$P114/$F114)</f>
        <v/>
      </c>
      <c r="R114" s="9" t="n"/>
    </row>
    <row r="115" ht="19" customHeight="1">
      <c r="B115" s="17" t="n"/>
      <c r="C115" s="8" t="n"/>
      <c r="D115" s="8" t="n"/>
      <c r="E115" s="9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9">
        <f>IF($D115="","",SUM(H115:O115))</f>
        <v/>
      </c>
      <c r="Q115" s="20">
        <f>IF(OR($D115="",$F115=0),"",$P115/$F115)</f>
        <v/>
      </c>
      <c r="R115" s="9" t="n"/>
    </row>
    <row r="116" ht="19" customHeight="1">
      <c r="B116" s="17" t="n"/>
      <c r="C116" s="8" t="n"/>
      <c r="D116" s="8" t="n"/>
      <c r="E116" s="9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9">
        <f>IF($D116="","",SUM(H116:O116))</f>
        <v/>
      </c>
      <c r="Q116" s="20">
        <f>IF(OR($D116="",$F116=0),"",$P116/$F116)</f>
        <v/>
      </c>
      <c r="R116" s="9" t="n"/>
    </row>
    <row r="117" ht="19" customHeight="1">
      <c r="B117" s="17" t="n"/>
      <c r="C117" s="8" t="n"/>
      <c r="D117" s="8" t="n"/>
      <c r="E117" s="9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9">
        <f>IF($D117="","",SUM(H117:O117))</f>
        <v/>
      </c>
      <c r="Q117" s="20">
        <f>IF(OR($D117="",$F117=0),"",$P117/$F117)</f>
        <v/>
      </c>
      <c r="R117" s="9" t="n"/>
    </row>
    <row r="118" ht="19" customHeight="1">
      <c r="B118" s="17" t="n"/>
      <c r="C118" s="8" t="n"/>
      <c r="D118" s="8" t="n"/>
      <c r="E118" s="9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9">
        <f>IF($D118="","",SUM(H118:O118))</f>
        <v/>
      </c>
      <c r="Q118" s="20">
        <f>IF(OR($D118="",$F118=0),"",$P118/$F118)</f>
        <v/>
      </c>
      <c r="R118" s="9" t="n"/>
    </row>
    <row r="119" ht="19" customHeight="1">
      <c r="B119" s="17" t="n"/>
      <c r="C119" s="8" t="n"/>
      <c r="D119" s="8" t="n"/>
      <c r="E119" s="9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9">
        <f>IF($D119="","",SUM(H119:O119))</f>
        <v/>
      </c>
      <c r="Q119" s="20">
        <f>IF(OR($D119="",$F119=0),"",$P119/$F119)</f>
        <v/>
      </c>
      <c r="R119" s="9" t="n"/>
    </row>
    <row r="120" ht="19" customHeight="1">
      <c r="B120" s="17" t="n"/>
      <c r="C120" s="8" t="n"/>
      <c r="D120" s="8" t="n"/>
      <c r="E120" s="9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9">
        <f>IF($D120="","",SUM(H120:O120))</f>
        <v/>
      </c>
      <c r="Q120" s="20">
        <f>IF(OR($D120="",$F120=0),"",$P120/$F120)</f>
        <v/>
      </c>
      <c r="R120" s="9" t="n"/>
    </row>
    <row r="121" ht="19" customHeight="1">
      <c r="B121" s="17" t="n"/>
      <c r="C121" s="8" t="n"/>
      <c r="D121" s="8" t="n"/>
      <c r="E121" s="9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9">
        <f>IF($D121="","",SUM(H121:O121))</f>
        <v/>
      </c>
      <c r="Q121" s="20">
        <f>IF(OR($D121="",$F121=0),"",$P121/$F121)</f>
        <v/>
      </c>
      <c r="R121" s="9" t="n"/>
    </row>
    <row r="122" ht="19" customHeight="1">
      <c r="B122" s="17" t="n"/>
      <c r="C122" s="8" t="n"/>
      <c r="D122" s="8" t="n"/>
      <c r="E122" s="9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9">
        <f>IF($D122="","",SUM(H122:O122))</f>
        <v/>
      </c>
      <c r="Q122" s="20">
        <f>IF(OR($D122="",$F122=0),"",$P122/$F122)</f>
        <v/>
      </c>
      <c r="R122" s="9" t="n"/>
    </row>
    <row r="123" ht="19" customHeight="1">
      <c r="B123" s="17" t="n"/>
      <c r="C123" s="8" t="n"/>
      <c r="D123" s="8" t="n"/>
      <c r="E123" s="9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9">
        <f>IF($D123="","",SUM(H123:O123))</f>
        <v/>
      </c>
      <c r="Q123" s="20">
        <f>IF(OR($D123="",$F123=0),"",$P123/$F123)</f>
        <v/>
      </c>
      <c r="R123" s="9" t="n"/>
    </row>
    <row r="124" ht="19" customHeight="1">
      <c r="B124" s="17" t="n"/>
      <c r="C124" s="8" t="n"/>
      <c r="D124" s="8" t="n"/>
      <c r="E124" s="9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9">
        <f>IF($D124="","",SUM(H124:O124))</f>
        <v/>
      </c>
      <c r="Q124" s="20">
        <f>IF(OR($D124="",$F124=0),"",$P124/$F124)</f>
        <v/>
      </c>
      <c r="R124" s="9" t="n"/>
    </row>
    <row r="125" ht="19" customHeight="1">
      <c r="B125" s="17" t="n"/>
      <c r="C125" s="8" t="n"/>
      <c r="D125" s="8" t="n"/>
      <c r="E125" s="9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9">
        <f>IF($D125="","",SUM(H125:O125))</f>
        <v/>
      </c>
      <c r="Q125" s="20">
        <f>IF(OR($D125="",$F125=0),"",$P125/$F125)</f>
        <v/>
      </c>
      <c r="R125" s="9" t="n"/>
    </row>
    <row r="126" ht="19" customHeight="1">
      <c r="B126" s="17" t="n"/>
      <c r="C126" s="8" t="n"/>
      <c r="D126" s="8" t="n"/>
      <c r="E126" s="9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9">
        <f>IF($D126="","",SUM(H126:O126))</f>
        <v/>
      </c>
      <c r="Q126" s="20">
        <f>IF(OR($D126="",$F126=0),"",$P126/$F126)</f>
        <v/>
      </c>
      <c r="R126" s="9" t="n"/>
    </row>
    <row r="127" ht="19" customHeight="1">
      <c r="B127" s="17" t="n"/>
      <c r="C127" s="8" t="n"/>
      <c r="D127" s="8" t="n"/>
      <c r="E127" s="9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9">
        <f>IF($D127="","",SUM(H127:O127))</f>
        <v/>
      </c>
      <c r="Q127" s="20">
        <f>IF(OR($D127="",$F127=0),"",$P127/$F127)</f>
        <v/>
      </c>
      <c r="R127" s="9" t="n"/>
    </row>
    <row r="128" ht="19" customHeight="1">
      <c r="B128" s="17" t="n"/>
      <c r="C128" s="8" t="n"/>
      <c r="D128" s="8" t="n"/>
      <c r="E128" s="9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9">
        <f>IF($D128="","",SUM(H128:O128))</f>
        <v/>
      </c>
      <c r="Q128" s="20">
        <f>IF(OR($D128="",$F128=0),"",$P128/$F128)</f>
        <v/>
      </c>
      <c r="R128" s="9" t="n"/>
    </row>
    <row r="129" ht="19" customHeight="1">
      <c r="B129" s="17" t="n"/>
      <c r="C129" s="8" t="n"/>
      <c r="D129" s="8" t="n"/>
      <c r="E129" s="9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9">
        <f>IF($D129="","",SUM(H129:O129))</f>
        <v/>
      </c>
      <c r="Q129" s="20">
        <f>IF(OR($D129="",$F129=0),"",$P129/$F129)</f>
        <v/>
      </c>
      <c r="R129" s="9" t="n"/>
    </row>
    <row r="130" ht="19" customHeight="1">
      <c r="B130" s="17" t="n"/>
      <c r="C130" s="8" t="n"/>
      <c r="D130" s="8" t="n"/>
      <c r="E130" s="9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9">
        <f>IF($D130="","",SUM(H130:O130))</f>
        <v/>
      </c>
      <c r="Q130" s="20">
        <f>IF(OR($D130="",$F130=0),"",$P130/$F130)</f>
        <v/>
      </c>
      <c r="R130" s="9" t="n"/>
    </row>
    <row r="131" ht="19" customHeight="1">
      <c r="B131" s="17" t="n"/>
      <c r="C131" s="8" t="n"/>
      <c r="D131" s="8" t="n"/>
      <c r="E131" s="9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9">
        <f>IF($D131="","",SUM(H131:O131))</f>
        <v/>
      </c>
      <c r="Q131" s="20">
        <f>IF(OR($D131="",$F131=0),"",$P131/$F131)</f>
        <v/>
      </c>
      <c r="R131" s="9" t="n"/>
    </row>
    <row r="132" ht="19" customHeight="1">
      <c r="B132" s="17" t="n"/>
      <c r="C132" s="8" t="n"/>
      <c r="D132" s="8" t="n"/>
      <c r="E132" s="9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9">
        <f>IF($D132="","",SUM(H132:O132))</f>
        <v/>
      </c>
      <c r="Q132" s="20">
        <f>IF(OR($D132="",$F132=0),"",$P132/$F132)</f>
        <v/>
      </c>
      <c r="R132" s="9" t="n"/>
    </row>
    <row r="133" ht="19" customHeight="1">
      <c r="B133" s="17" t="n"/>
      <c r="C133" s="8" t="n"/>
      <c r="D133" s="8" t="n"/>
      <c r="E133" s="9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9">
        <f>IF($D133="","",SUM(H133:O133))</f>
        <v/>
      </c>
      <c r="Q133" s="20">
        <f>IF(OR($D133="",$F133=0),"",$P133/$F133)</f>
        <v/>
      </c>
      <c r="R133" s="9" t="n"/>
    </row>
    <row r="134" ht="19" customHeight="1">
      <c r="B134" s="17" t="n"/>
      <c r="C134" s="8" t="n"/>
      <c r="D134" s="8" t="n"/>
      <c r="E134" s="9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9">
        <f>IF($D134="","",SUM(H134:O134))</f>
        <v/>
      </c>
      <c r="Q134" s="20">
        <f>IF(OR($D134="",$F134=0),"",$P134/$F134)</f>
        <v/>
      </c>
      <c r="R134" s="9" t="n"/>
    </row>
    <row r="135" ht="19" customHeight="1">
      <c r="B135" s="17" t="n"/>
      <c r="C135" s="8" t="n"/>
      <c r="D135" s="8" t="n"/>
      <c r="E135" s="9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9">
        <f>IF($D135="","",SUM(H135:O135))</f>
        <v/>
      </c>
      <c r="Q135" s="20">
        <f>IF(OR($D135="",$F135=0),"",$P135/$F135)</f>
        <v/>
      </c>
      <c r="R135" s="9" t="n"/>
    </row>
    <row r="136" ht="19" customHeight="1">
      <c r="B136" s="17" t="n"/>
      <c r="C136" s="8" t="n"/>
      <c r="D136" s="8" t="n"/>
      <c r="E136" s="9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9">
        <f>IF($D136="","",SUM(H136:O136))</f>
        <v/>
      </c>
      <c r="Q136" s="20">
        <f>IF(OR($D136="",$F136=0),"",$P136/$F136)</f>
        <v/>
      </c>
      <c r="R136" s="9" t="n"/>
    </row>
    <row r="137" ht="19" customHeight="1">
      <c r="B137" s="17" t="n"/>
      <c r="C137" s="8" t="n"/>
      <c r="D137" s="8" t="n"/>
      <c r="E137" s="9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9">
        <f>IF($D137="","",SUM(H137:O137))</f>
        <v/>
      </c>
      <c r="Q137" s="20">
        <f>IF(OR($D137="",$F137=0),"",$P137/$F137)</f>
        <v/>
      </c>
      <c r="R137" s="9" t="n"/>
    </row>
    <row r="138" ht="19" customHeight="1">
      <c r="B138" s="17" t="n"/>
      <c r="C138" s="8" t="n"/>
      <c r="D138" s="8" t="n"/>
      <c r="E138" s="9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9">
        <f>IF($D138="","",SUM(H138:O138))</f>
        <v/>
      </c>
      <c r="Q138" s="20">
        <f>IF(OR($D138="",$F138=0),"",$P138/$F138)</f>
        <v/>
      </c>
      <c r="R138" s="9" t="n"/>
    </row>
    <row r="139" ht="19" customHeight="1">
      <c r="B139" s="17" t="n"/>
      <c r="C139" s="8" t="n"/>
      <c r="D139" s="8" t="n"/>
      <c r="E139" s="9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9">
        <f>IF($D139="","",SUM(H139:O139))</f>
        <v/>
      </c>
      <c r="Q139" s="20">
        <f>IF(OR($D139="",$F139=0),"",$P139/$F139)</f>
        <v/>
      </c>
      <c r="R139" s="9" t="n"/>
    </row>
    <row r="140" ht="19" customHeight="1">
      <c r="B140" s="17" t="n"/>
      <c r="C140" s="8" t="n"/>
      <c r="D140" s="8" t="n"/>
      <c r="E140" s="9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9">
        <f>IF($D140="","",SUM(H140:O140))</f>
        <v/>
      </c>
      <c r="Q140" s="20">
        <f>IF(OR($D140="",$F140=0),"",$P140/$F140)</f>
        <v/>
      </c>
      <c r="R140" s="9" t="n"/>
    </row>
    <row r="141" ht="19" customHeight="1">
      <c r="B141" s="17" t="n"/>
      <c r="C141" s="8" t="n"/>
      <c r="D141" s="8" t="n"/>
      <c r="E141" s="9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9">
        <f>IF($D141="","",SUM(H141:O141))</f>
        <v/>
      </c>
      <c r="Q141" s="20">
        <f>IF(OR($D141="",$F141=0),"",$P141/$F141)</f>
        <v/>
      </c>
      <c r="R141" s="9" t="n"/>
    </row>
    <row r="142" ht="19" customHeight="1">
      <c r="B142" s="17" t="n"/>
      <c r="C142" s="8" t="n"/>
      <c r="D142" s="8" t="n"/>
      <c r="E142" s="9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9">
        <f>IF($D142="","",SUM(H142:O142))</f>
        <v/>
      </c>
      <c r="Q142" s="20">
        <f>IF(OR($D142="",$F142=0),"",$P142/$F142)</f>
        <v/>
      </c>
      <c r="R142" s="9" t="n"/>
    </row>
    <row r="143" ht="19" customHeight="1">
      <c r="B143" s="17" t="n"/>
      <c r="C143" s="8" t="n"/>
      <c r="D143" s="8" t="n"/>
      <c r="E143" s="9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9">
        <f>IF($D143="","",SUM(H143:O143))</f>
        <v/>
      </c>
      <c r="Q143" s="20">
        <f>IF(OR($D143="",$F143=0),"",$P143/$F143)</f>
        <v/>
      </c>
      <c r="R143" s="9" t="n"/>
    </row>
    <row r="144" ht="19" customHeight="1">
      <c r="B144" s="17" t="n"/>
      <c r="C144" s="8" t="n"/>
      <c r="D144" s="8" t="n"/>
      <c r="E144" s="9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9">
        <f>IF($D144="","",SUM(H144:O144))</f>
        <v/>
      </c>
      <c r="Q144" s="20">
        <f>IF(OR($D144="",$F144=0),"",$P144/$F144)</f>
        <v/>
      </c>
      <c r="R144" s="9" t="n"/>
    </row>
    <row r="145" ht="19" customHeight="1">
      <c r="B145" s="17" t="n"/>
      <c r="C145" s="8" t="n"/>
      <c r="D145" s="8" t="n"/>
      <c r="E145" s="9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9">
        <f>IF($D145="","",SUM(H145:O145))</f>
        <v/>
      </c>
      <c r="Q145" s="20">
        <f>IF(OR($D145="",$F145=0),"",$P145/$F145)</f>
        <v/>
      </c>
      <c r="R145" s="9" t="n"/>
    </row>
    <row r="146" ht="19" customHeight="1">
      <c r="B146" s="17" t="n"/>
      <c r="C146" s="8" t="n"/>
      <c r="D146" s="8" t="n"/>
      <c r="E146" s="9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9">
        <f>IF($D146="","",SUM(H146:O146))</f>
        <v/>
      </c>
      <c r="Q146" s="20">
        <f>IF(OR($D146="",$F146=0),"",$P146/$F146)</f>
        <v/>
      </c>
      <c r="R146" s="9" t="n"/>
    </row>
    <row r="147" ht="19" customHeight="1">
      <c r="B147" s="17" t="n"/>
      <c r="C147" s="8" t="n"/>
      <c r="D147" s="8" t="n"/>
      <c r="E147" s="9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9">
        <f>IF($D147="","",SUM(H147:O147))</f>
        <v/>
      </c>
      <c r="Q147" s="20">
        <f>IF(OR($D147="",$F147=0),"",$P147/$F147)</f>
        <v/>
      </c>
      <c r="R147" s="9" t="n"/>
    </row>
    <row r="148" ht="19" customHeight="1">
      <c r="B148" s="17" t="n"/>
      <c r="C148" s="8" t="n"/>
      <c r="D148" s="8" t="n"/>
      <c r="E148" s="9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9">
        <f>IF($D148="","",SUM(H148:O148))</f>
        <v/>
      </c>
      <c r="Q148" s="20">
        <f>IF(OR($D148="",$F148=0),"",$P148/$F148)</f>
        <v/>
      </c>
      <c r="R148" s="9" t="n"/>
    </row>
    <row r="149" ht="19" customHeight="1">
      <c r="B149" s="17" t="n"/>
      <c r="C149" s="8" t="n"/>
      <c r="D149" s="8" t="n"/>
      <c r="E149" s="9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9">
        <f>IF($D149="","",SUM(H149:O149))</f>
        <v/>
      </c>
      <c r="Q149" s="20">
        <f>IF(OR($D149="",$F149=0),"",$P149/$F149)</f>
        <v/>
      </c>
      <c r="R149" s="9" t="n"/>
    </row>
    <row r="150" ht="19" customHeight="1">
      <c r="B150" s="17" t="n"/>
      <c r="C150" s="8" t="n"/>
      <c r="D150" s="8" t="n"/>
      <c r="E150" s="9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9">
        <f>IF($D150="","",SUM(H150:O150))</f>
        <v/>
      </c>
      <c r="Q150" s="20">
        <f>IF(OR($D150="",$F150=0),"",$P150/$F150)</f>
        <v/>
      </c>
      <c r="R150" s="9" t="n"/>
    </row>
  </sheetData>
  <mergeCells count="11">
    <mergeCell ref="D4:D6"/>
    <mergeCell ref="P5:P6"/>
    <mergeCell ref="Q5:Q6"/>
    <mergeCell ref="B4:B6"/>
    <mergeCell ref="R4:R6"/>
    <mergeCell ref="E4:E6"/>
    <mergeCell ref="H4:P4"/>
    <mergeCell ref="B2:R2"/>
    <mergeCell ref="G4:G6"/>
    <mergeCell ref="C4:C6"/>
    <mergeCell ref="F4:F6"/>
  </mergeCells>
  <dataValidations count="1">
    <dataValidation sqref="B7:B150" showDropDown="0" showInputMessage="0" showErrorMessage="1" allowBlank="1" errorTitle="月份有误" error="请填写 1—12 的数字月份" type="whole" operator="between">
      <formula1>1</formula1>
      <formula2>12</formula2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W154"/>
  <sheetViews>
    <sheetView showGridLines="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22" customWidth="1" min="5" max="5"/>
    <col width="12" customWidth="1" min="6" max="6"/>
    <col width="11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0" customWidth="1" min="21" max="21"/>
    <col width="13" customWidth="1" min="22" max="22"/>
    <col width="16" customWidth="1" min="23" max="23"/>
  </cols>
  <sheetData>
    <row r="2" ht="30" customHeight="1">
      <c r="B2" s="1" t="inlineStr">
        <is>
          <t>2026年  研发设备折旧费分摊表（按工时分摊）</t>
        </is>
      </c>
    </row>
    <row r="4" ht="22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设备编号</t>
        </is>
      </c>
      <c r="E4" s="5" t="inlineStr">
        <is>
          <t>设备名称</t>
        </is>
      </c>
      <c r="F4" s="5" t="inlineStr">
        <is>
          <t>月折旧额
（元）</t>
        </is>
      </c>
      <c r="G4" s="5" t="inlineStr">
        <is>
          <t>当月总工时
（小时）</t>
        </is>
      </c>
      <c r="H4" s="5" t="inlineStr">
        <is>
          <t>其中：研发
工时（小时）</t>
        </is>
      </c>
      <c r="I4" s="5" t="inlineStr">
        <is>
          <t>研发工时
占比</t>
        </is>
      </c>
      <c r="J4" s="5" t="inlineStr">
        <is>
          <t>费用分摊（元）</t>
        </is>
      </c>
      <c r="K4" s="44" t="n"/>
      <c r="L4" s="44" t="n"/>
      <c r="M4" s="44" t="n"/>
      <c r="N4" s="44" t="n"/>
      <c r="O4" s="44" t="n"/>
      <c r="P4" s="44" t="n"/>
      <c r="Q4" s="44" t="n"/>
      <c r="R4" s="44" t="n"/>
      <c r="S4" s="45" t="n"/>
      <c r="T4" s="5" t="inlineStr">
        <is>
          <t>合计
（元）</t>
        </is>
      </c>
      <c r="U4" s="5" t="inlineStr">
        <is>
          <t>校验</t>
        </is>
      </c>
      <c r="V4" s="5" t="inlineStr">
        <is>
          <t>本月实际
金额（覆盖）</t>
        </is>
      </c>
      <c r="W4" s="5" t="inlineStr">
        <is>
          <t>备注</t>
        </is>
      </c>
    </row>
    <row r="5" ht="22" customHeight="1">
      <c r="B5" s="46" t="n"/>
      <c r="C5" s="46" t="n"/>
      <c r="D5" s="46" t="n"/>
      <c r="E5" s="46" t="n"/>
      <c r="F5" s="46" t="n"/>
      <c r="G5" s="46" t="n"/>
      <c r="H5" s="46" t="n"/>
      <c r="I5" s="46" t="n"/>
      <c r="J5" s="16" t="inlineStr">
        <is>
          <t>非研发
承担</t>
        </is>
      </c>
      <c r="K5" s="15">
        <f>'参数设置'!$C$6</f>
        <v/>
      </c>
      <c r="L5" s="15">
        <f>'参数设置'!$C$7</f>
        <v/>
      </c>
      <c r="M5" s="15">
        <f>'参数设置'!$C$8</f>
        <v/>
      </c>
      <c r="N5" s="15">
        <f>'参数设置'!$C$9</f>
        <v/>
      </c>
      <c r="O5" s="15">
        <f>'参数设置'!$C$10</f>
        <v/>
      </c>
      <c r="P5" s="15">
        <f>'参数设置'!$C$11</f>
        <v/>
      </c>
      <c r="Q5" s="15">
        <f>'参数设置'!$C$12</f>
        <v/>
      </c>
      <c r="R5" s="15">
        <f>'参数设置'!$C$13</f>
        <v/>
      </c>
      <c r="S5" s="16" t="inlineStr">
        <is>
          <t>研发
合计</t>
        </is>
      </c>
      <c r="T5" s="46" t="n"/>
      <c r="U5" s="46" t="n"/>
      <c r="V5" s="46" t="n"/>
      <c r="W5" s="46" t="n"/>
    </row>
    <row r="6" ht="22" customHeight="1"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15">
        <f>'参数设置'!$D$6</f>
        <v/>
      </c>
      <c r="L6" s="15">
        <f>'参数设置'!$D$7</f>
        <v/>
      </c>
      <c r="M6" s="15">
        <f>'参数设置'!$D$8</f>
        <v/>
      </c>
      <c r="N6" s="15">
        <f>'参数设置'!$D$9</f>
        <v/>
      </c>
      <c r="O6" s="15">
        <f>'参数设置'!$D$10</f>
        <v/>
      </c>
      <c r="P6" s="15">
        <f>'参数设置'!$D$11</f>
        <v/>
      </c>
      <c r="Q6" s="15">
        <f>'参数设置'!$D$12</f>
        <v/>
      </c>
      <c r="R6" s="15">
        <f>'参数设置'!$D$13</f>
        <v/>
      </c>
      <c r="S6" s="47" t="n"/>
      <c r="T6" s="47" t="n"/>
      <c r="U6" s="47" t="n"/>
      <c r="V6" s="47" t="n"/>
      <c r="W6" s="47" t="n"/>
    </row>
    <row r="7" ht="18" customHeight="1">
      <c r="B7" s="21">
        <f>IF('03设备工时'!$D7="","",'03设备工时'!$B7)</f>
        <v/>
      </c>
      <c r="C7" s="22">
        <f>IF('03设备工时'!$D7="","",'03设备工时'!$C7)</f>
        <v/>
      </c>
      <c r="D7" s="22">
        <f>IF('03设备工时'!$D7="","",'03设备工时'!$D7)</f>
        <v/>
      </c>
      <c r="E7" s="39">
        <f>IF($D7="","",'03设备工时'!$E7)</f>
        <v/>
      </c>
      <c r="F7" s="23">
        <f>IF($D7="","",IF($V7&lt;&gt;"",$V7,IFERROR(INDEX('参数设置'!$E$30:$E$44,MATCH($D7,'参数设置'!$C$30:$C$44,0)),0)))</f>
        <v/>
      </c>
      <c r="G7" s="24">
        <f>IF($D7="","",'03设备工时'!$F7)</f>
        <v/>
      </c>
      <c r="H7" s="24">
        <f>IF($D7="","",'03设备工时'!$P7)</f>
        <v/>
      </c>
      <c r="I7" s="20">
        <f>IF(OR($D7="",$G7=0),"",$H7/$G7)</f>
        <v/>
      </c>
      <c r="J7" s="12">
        <f>IF($D7="","",ROUND($F7,2)-$S7)</f>
        <v/>
      </c>
      <c r="K7" s="12">
        <f>IF(OR($D7="",$G7=0),"",ROUND($F7*'03设备工时'!H7/$G7,2))</f>
        <v/>
      </c>
      <c r="L7" s="12">
        <f>IF(OR($D7="",$G7=0),"",ROUND($F7*'03设备工时'!I7/$G7,2))</f>
        <v/>
      </c>
      <c r="M7" s="12">
        <f>IF(OR($D7="",$G7=0),"",ROUND($F7*'03设备工时'!J7/$G7,2))</f>
        <v/>
      </c>
      <c r="N7" s="12">
        <f>IF(OR($D7="",$G7=0),"",ROUND($F7*'03设备工时'!K7/$G7,2))</f>
        <v/>
      </c>
      <c r="O7" s="12">
        <f>IF(OR($D7="",$G7=0),"",ROUND($F7*'03设备工时'!L7/$G7,2))</f>
        <v/>
      </c>
      <c r="P7" s="12">
        <f>IF(OR($D7="",$G7=0),"",ROUND($F7*'03设备工时'!M7/$G7,2))</f>
        <v/>
      </c>
      <c r="Q7" s="12">
        <f>IF(OR($D7="",$G7=0),"",ROUND($F7*'03设备工时'!N7/$G7,2))</f>
        <v/>
      </c>
      <c r="R7" s="12">
        <f>IF(OR($D7="",$G7=0),"",ROUND($F7*'03设备工时'!O7/$G7,2))</f>
        <v/>
      </c>
      <c r="S7" s="12">
        <f>IF($D7="","",SUM(K7:R7))</f>
        <v/>
      </c>
      <c r="T7" s="12">
        <f>IF($D7="","",$J7+$S7)</f>
        <v/>
      </c>
      <c r="U7" s="25">
        <f>IF($D7="","",IF($F7=0,"未维护折旧额",IF(ROUND($T7-$F7,2)=0,"√","差异")))</f>
        <v/>
      </c>
      <c r="V7" s="11" t="n"/>
      <c r="W7" s="39">
        <f>IF($D7="","",IFERROR(INDEX('参数设置'!$F$30:$F$44,MATCH($D7,'参数设置'!$C$30:$C$44,0)),""))</f>
        <v/>
      </c>
    </row>
    <row r="8" ht="18" customHeight="1">
      <c r="B8" s="21">
        <f>IF('03设备工时'!$D8="","",'03设备工时'!$B8)</f>
        <v/>
      </c>
      <c r="C8" s="22">
        <f>IF('03设备工时'!$D8="","",'03设备工时'!$C8)</f>
        <v/>
      </c>
      <c r="D8" s="22">
        <f>IF('03设备工时'!$D8="","",'03设备工时'!$D8)</f>
        <v/>
      </c>
      <c r="E8" s="39">
        <f>IF($D8="","",'03设备工时'!$E8)</f>
        <v/>
      </c>
      <c r="F8" s="23">
        <f>IF($D8="","",IF($V8&lt;&gt;"",$V8,IFERROR(INDEX('参数设置'!$E$30:$E$44,MATCH($D8,'参数设置'!$C$30:$C$44,0)),0)))</f>
        <v/>
      </c>
      <c r="G8" s="24">
        <f>IF($D8="","",'03设备工时'!$F8)</f>
        <v/>
      </c>
      <c r="H8" s="24">
        <f>IF($D8="","",'03设备工时'!$P8)</f>
        <v/>
      </c>
      <c r="I8" s="20">
        <f>IF(OR($D8="",$G8=0),"",$H8/$G8)</f>
        <v/>
      </c>
      <c r="J8" s="12">
        <f>IF($D8="","",ROUND($F8,2)-$S8)</f>
        <v/>
      </c>
      <c r="K8" s="12">
        <f>IF(OR($D8="",$G8=0),"",ROUND($F8*'03设备工时'!H8/$G8,2))</f>
        <v/>
      </c>
      <c r="L8" s="12">
        <f>IF(OR($D8="",$G8=0),"",ROUND($F8*'03设备工时'!I8/$G8,2))</f>
        <v/>
      </c>
      <c r="M8" s="12">
        <f>IF(OR($D8="",$G8=0),"",ROUND($F8*'03设备工时'!J8/$G8,2))</f>
        <v/>
      </c>
      <c r="N8" s="12">
        <f>IF(OR($D8="",$G8=0),"",ROUND($F8*'03设备工时'!K8/$G8,2))</f>
        <v/>
      </c>
      <c r="O8" s="12">
        <f>IF(OR($D8="",$G8=0),"",ROUND($F8*'03设备工时'!L8/$G8,2))</f>
        <v/>
      </c>
      <c r="P8" s="12">
        <f>IF(OR($D8="",$G8=0),"",ROUND($F8*'03设备工时'!M8/$G8,2))</f>
        <v/>
      </c>
      <c r="Q8" s="12">
        <f>IF(OR($D8="",$G8=0),"",ROUND($F8*'03设备工时'!N8/$G8,2))</f>
        <v/>
      </c>
      <c r="R8" s="12">
        <f>IF(OR($D8="",$G8=0),"",ROUND($F8*'03设备工时'!O8/$G8,2))</f>
        <v/>
      </c>
      <c r="S8" s="12">
        <f>IF($D8="","",SUM(K8:R8))</f>
        <v/>
      </c>
      <c r="T8" s="12">
        <f>IF($D8="","",$J8+$S8)</f>
        <v/>
      </c>
      <c r="U8" s="25">
        <f>IF($D8="","",IF($F8=0,"未维护折旧额",IF(ROUND($T8-$F8,2)=0,"√","差异")))</f>
        <v/>
      </c>
      <c r="V8" s="11" t="n"/>
      <c r="W8" s="39">
        <f>IF($D8="","",IFERROR(INDEX('参数设置'!$F$30:$F$44,MATCH($D8,'参数设置'!$C$30:$C$44,0)),""))</f>
        <v/>
      </c>
    </row>
    <row r="9" ht="18" customHeight="1">
      <c r="B9" s="21">
        <f>IF('03设备工时'!$D9="","",'03设备工时'!$B9)</f>
        <v/>
      </c>
      <c r="C9" s="22">
        <f>IF('03设备工时'!$D9="","",'03设备工时'!$C9)</f>
        <v/>
      </c>
      <c r="D9" s="22">
        <f>IF('03设备工时'!$D9="","",'03设备工时'!$D9)</f>
        <v/>
      </c>
      <c r="E9" s="39">
        <f>IF($D9="","",'03设备工时'!$E9)</f>
        <v/>
      </c>
      <c r="F9" s="23">
        <f>IF($D9="","",IF($V9&lt;&gt;"",$V9,IFERROR(INDEX('参数设置'!$E$30:$E$44,MATCH($D9,'参数设置'!$C$30:$C$44,0)),0)))</f>
        <v/>
      </c>
      <c r="G9" s="24">
        <f>IF($D9="","",'03设备工时'!$F9)</f>
        <v/>
      </c>
      <c r="H9" s="24">
        <f>IF($D9="","",'03设备工时'!$P9)</f>
        <v/>
      </c>
      <c r="I9" s="20">
        <f>IF(OR($D9="",$G9=0),"",$H9/$G9)</f>
        <v/>
      </c>
      <c r="J9" s="12">
        <f>IF($D9="","",ROUND($F9,2)-$S9)</f>
        <v/>
      </c>
      <c r="K9" s="12">
        <f>IF(OR($D9="",$G9=0),"",ROUND($F9*'03设备工时'!H9/$G9,2))</f>
        <v/>
      </c>
      <c r="L9" s="12">
        <f>IF(OR($D9="",$G9=0),"",ROUND($F9*'03设备工时'!I9/$G9,2))</f>
        <v/>
      </c>
      <c r="M9" s="12">
        <f>IF(OR($D9="",$G9=0),"",ROUND($F9*'03设备工时'!J9/$G9,2))</f>
        <v/>
      </c>
      <c r="N9" s="12">
        <f>IF(OR($D9="",$G9=0),"",ROUND($F9*'03设备工时'!K9/$G9,2))</f>
        <v/>
      </c>
      <c r="O9" s="12">
        <f>IF(OR($D9="",$G9=0),"",ROUND($F9*'03设备工时'!L9/$G9,2))</f>
        <v/>
      </c>
      <c r="P9" s="12">
        <f>IF(OR($D9="",$G9=0),"",ROUND($F9*'03设备工时'!M9/$G9,2))</f>
        <v/>
      </c>
      <c r="Q9" s="12">
        <f>IF(OR($D9="",$G9=0),"",ROUND($F9*'03设备工时'!N9/$G9,2))</f>
        <v/>
      </c>
      <c r="R9" s="12">
        <f>IF(OR($D9="",$G9=0),"",ROUND($F9*'03设备工时'!O9/$G9,2))</f>
        <v/>
      </c>
      <c r="S9" s="12">
        <f>IF($D9="","",SUM(K9:R9))</f>
        <v/>
      </c>
      <c r="T9" s="12">
        <f>IF($D9="","",$J9+$S9)</f>
        <v/>
      </c>
      <c r="U9" s="25">
        <f>IF($D9="","",IF($F9=0,"未维护折旧额",IF(ROUND($T9-$F9,2)=0,"√","差异")))</f>
        <v/>
      </c>
      <c r="V9" s="11" t="n"/>
      <c r="W9" s="39">
        <f>IF($D9="","",IFERROR(INDEX('参数设置'!$F$30:$F$44,MATCH($D9,'参数设置'!$C$30:$C$44,0)),""))</f>
        <v/>
      </c>
    </row>
    <row r="10" ht="18" customHeight="1">
      <c r="B10" s="21">
        <f>IF('03设备工时'!$D10="","",'03设备工时'!$B10)</f>
        <v/>
      </c>
      <c r="C10" s="22">
        <f>IF('03设备工时'!$D10="","",'03设备工时'!$C10)</f>
        <v/>
      </c>
      <c r="D10" s="22">
        <f>IF('03设备工时'!$D10="","",'03设备工时'!$D10)</f>
        <v/>
      </c>
      <c r="E10" s="39">
        <f>IF($D10="","",'03设备工时'!$E10)</f>
        <v/>
      </c>
      <c r="F10" s="23">
        <f>IF($D10="","",IF($V10&lt;&gt;"",$V10,IFERROR(INDEX('参数设置'!$E$30:$E$44,MATCH($D10,'参数设置'!$C$30:$C$44,0)),0)))</f>
        <v/>
      </c>
      <c r="G10" s="24">
        <f>IF($D10="","",'03设备工时'!$F10)</f>
        <v/>
      </c>
      <c r="H10" s="24">
        <f>IF($D10="","",'03设备工时'!$P10)</f>
        <v/>
      </c>
      <c r="I10" s="20">
        <f>IF(OR($D10="",$G10=0),"",$H10/$G10)</f>
        <v/>
      </c>
      <c r="J10" s="12">
        <f>IF($D10="","",ROUND($F10,2)-$S10)</f>
        <v/>
      </c>
      <c r="K10" s="12">
        <f>IF(OR($D10="",$G10=0),"",ROUND($F10*'03设备工时'!H10/$G10,2))</f>
        <v/>
      </c>
      <c r="L10" s="12">
        <f>IF(OR($D10="",$G10=0),"",ROUND($F10*'03设备工时'!I10/$G10,2))</f>
        <v/>
      </c>
      <c r="M10" s="12">
        <f>IF(OR($D10="",$G10=0),"",ROUND($F10*'03设备工时'!J10/$G10,2))</f>
        <v/>
      </c>
      <c r="N10" s="12">
        <f>IF(OR($D10="",$G10=0),"",ROUND($F10*'03设备工时'!K10/$G10,2))</f>
        <v/>
      </c>
      <c r="O10" s="12">
        <f>IF(OR($D10="",$G10=0),"",ROUND($F10*'03设备工时'!L10/$G10,2))</f>
        <v/>
      </c>
      <c r="P10" s="12">
        <f>IF(OR($D10="",$G10=0),"",ROUND($F10*'03设备工时'!M10/$G10,2))</f>
        <v/>
      </c>
      <c r="Q10" s="12">
        <f>IF(OR($D10="",$G10=0),"",ROUND($F10*'03设备工时'!N10/$G10,2))</f>
        <v/>
      </c>
      <c r="R10" s="12">
        <f>IF(OR($D10="",$G10=0),"",ROUND($F10*'03设备工时'!O10/$G10,2))</f>
        <v/>
      </c>
      <c r="S10" s="12">
        <f>IF($D10="","",SUM(K10:R10))</f>
        <v/>
      </c>
      <c r="T10" s="12">
        <f>IF($D10="","",$J10+$S10)</f>
        <v/>
      </c>
      <c r="U10" s="25">
        <f>IF($D10="","",IF($F10=0,"未维护折旧额",IF(ROUND($T10-$F10,2)=0,"√","差异")))</f>
        <v/>
      </c>
      <c r="V10" s="11" t="n"/>
      <c r="W10" s="39">
        <f>IF($D10="","",IFERROR(INDEX('参数设置'!$F$30:$F$44,MATCH($D10,'参数设置'!$C$30:$C$44,0)),""))</f>
        <v/>
      </c>
    </row>
    <row r="11" ht="18" customHeight="1">
      <c r="B11" s="21">
        <f>IF('03设备工时'!$D11="","",'03设备工时'!$B11)</f>
        <v/>
      </c>
      <c r="C11" s="22">
        <f>IF('03设备工时'!$D11="","",'03设备工时'!$C11)</f>
        <v/>
      </c>
      <c r="D11" s="22">
        <f>IF('03设备工时'!$D11="","",'03设备工时'!$D11)</f>
        <v/>
      </c>
      <c r="E11" s="39">
        <f>IF($D11="","",'03设备工时'!$E11)</f>
        <v/>
      </c>
      <c r="F11" s="23">
        <f>IF($D11="","",IF($V11&lt;&gt;"",$V11,IFERROR(INDEX('参数设置'!$E$30:$E$44,MATCH($D11,'参数设置'!$C$30:$C$44,0)),0)))</f>
        <v/>
      </c>
      <c r="G11" s="24">
        <f>IF($D11="","",'03设备工时'!$F11)</f>
        <v/>
      </c>
      <c r="H11" s="24">
        <f>IF($D11="","",'03设备工时'!$P11)</f>
        <v/>
      </c>
      <c r="I11" s="20">
        <f>IF(OR($D11="",$G11=0),"",$H11/$G11)</f>
        <v/>
      </c>
      <c r="J11" s="12">
        <f>IF($D11="","",ROUND($F11,2)-$S11)</f>
        <v/>
      </c>
      <c r="K11" s="12">
        <f>IF(OR($D11="",$G11=0),"",ROUND($F11*'03设备工时'!H11/$G11,2))</f>
        <v/>
      </c>
      <c r="L11" s="12">
        <f>IF(OR($D11="",$G11=0),"",ROUND($F11*'03设备工时'!I11/$G11,2))</f>
        <v/>
      </c>
      <c r="M11" s="12">
        <f>IF(OR($D11="",$G11=0),"",ROUND($F11*'03设备工时'!J11/$G11,2))</f>
        <v/>
      </c>
      <c r="N11" s="12">
        <f>IF(OR($D11="",$G11=0),"",ROUND($F11*'03设备工时'!K11/$G11,2))</f>
        <v/>
      </c>
      <c r="O11" s="12">
        <f>IF(OR($D11="",$G11=0),"",ROUND($F11*'03设备工时'!L11/$G11,2))</f>
        <v/>
      </c>
      <c r="P11" s="12">
        <f>IF(OR($D11="",$G11=0),"",ROUND($F11*'03设备工时'!M11/$G11,2))</f>
        <v/>
      </c>
      <c r="Q11" s="12">
        <f>IF(OR($D11="",$G11=0),"",ROUND($F11*'03设备工时'!N11/$G11,2))</f>
        <v/>
      </c>
      <c r="R11" s="12">
        <f>IF(OR($D11="",$G11=0),"",ROUND($F11*'03设备工时'!O11/$G11,2))</f>
        <v/>
      </c>
      <c r="S11" s="12">
        <f>IF($D11="","",SUM(K11:R11))</f>
        <v/>
      </c>
      <c r="T11" s="12">
        <f>IF($D11="","",$J11+$S11)</f>
        <v/>
      </c>
      <c r="U11" s="25">
        <f>IF($D11="","",IF($F11=0,"未维护折旧额",IF(ROUND($T11-$F11,2)=0,"√","差异")))</f>
        <v/>
      </c>
      <c r="V11" s="11" t="n"/>
      <c r="W11" s="39">
        <f>IF($D11="","",IFERROR(INDEX('参数设置'!$F$30:$F$44,MATCH($D11,'参数设置'!$C$30:$C$44,0)),""))</f>
        <v/>
      </c>
    </row>
    <row r="12" ht="18" customHeight="1">
      <c r="B12" s="21">
        <f>IF('03设备工时'!$D12="","",'03设备工时'!$B12)</f>
        <v/>
      </c>
      <c r="C12" s="22">
        <f>IF('03设备工时'!$D12="","",'03设备工时'!$C12)</f>
        <v/>
      </c>
      <c r="D12" s="22">
        <f>IF('03设备工时'!$D12="","",'03设备工时'!$D12)</f>
        <v/>
      </c>
      <c r="E12" s="39">
        <f>IF($D12="","",'03设备工时'!$E12)</f>
        <v/>
      </c>
      <c r="F12" s="23">
        <f>IF($D12="","",IF($V12&lt;&gt;"",$V12,IFERROR(INDEX('参数设置'!$E$30:$E$44,MATCH($D12,'参数设置'!$C$30:$C$44,0)),0)))</f>
        <v/>
      </c>
      <c r="G12" s="24">
        <f>IF($D12="","",'03设备工时'!$F12)</f>
        <v/>
      </c>
      <c r="H12" s="24">
        <f>IF($D12="","",'03设备工时'!$P12)</f>
        <v/>
      </c>
      <c r="I12" s="20">
        <f>IF(OR($D12="",$G12=0),"",$H12/$G12)</f>
        <v/>
      </c>
      <c r="J12" s="12">
        <f>IF($D12="","",ROUND($F12,2)-$S12)</f>
        <v/>
      </c>
      <c r="K12" s="12">
        <f>IF(OR($D12="",$G12=0),"",ROUND($F12*'03设备工时'!H12/$G12,2))</f>
        <v/>
      </c>
      <c r="L12" s="12">
        <f>IF(OR($D12="",$G12=0),"",ROUND($F12*'03设备工时'!I12/$G12,2))</f>
        <v/>
      </c>
      <c r="M12" s="12">
        <f>IF(OR($D12="",$G12=0),"",ROUND($F12*'03设备工时'!J12/$G12,2))</f>
        <v/>
      </c>
      <c r="N12" s="12">
        <f>IF(OR($D12="",$G12=0),"",ROUND($F12*'03设备工时'!K12/$G12,2))</f>
        <v/>
      </c>
      <c r="O12" s="12">
        <f>IF(OR($D12="",$G12=0),"",ROUND($F12*'03设备工时'!L12/$G12,2))</f>
        <v/>
      </c>
      <c r="P12" s="12">
        <f>IF(OR($D12="",$G12=0),"",ROUND($F12*'03设备工时'!M12/$G12,2))</f>
        <v/>
      </c>
      <c r="Q12" s="12">
        <f>IF(OR($D12="",$G12=0),"",ROUND($F12*'03设备工时'!N12/$G12,2))</f>
        <v/>
      </c>
      <c r="R12" s="12">
        <f>IF(OR($D12="",$G12=0),"",ROUND($F12*'03设备工时'!O12/$G12,2))</f>
        <v/>
      </c>
      <c r="S12" s="12">
        <f>IF($D12="","",SUM(K12:R12))</f>
        <v/>
      </c>
      <c r="T12" s="12">
        <f>IF($D12="","",$J12+$S12)</f>
        <v/>
      </c>
      <c r="U12" s="25">
        <f>IF($D12="","",IF($F12=0,"未维护折旧额",IF(ROUND($T12-$F12,2)=0,"√","差异")))</f>
        <v/>
      </c>
      <c r="V12" s="11" t="n"/>
      <c r="W12" s="39">
        <f>IF($D12="","",IFERROR(INDEX('参数设置'!$F$30:$F$44,MATCH($D12,'参数设置'!$C$30:$C$44,0)),""))</f>
        <v/>
      </c>
    </row>
    <row r="13" ht="18" customHeight="1">
      <c r="B13" s="21">
        <f>IF('03设备工时'!$D13="","",'03设备工时'!$B13)</f>
        <v/>
      </c>
      <c r="C13" s="22">
        <f>IF('03设备工时'!$D13="","",'03设备工时'!$C13)</f>
        <v/>
      </c>
      <c r="D13" s="22">
        <f>IF('03设备工时'!$D13="","",'03设备工时'!$D13)</f>
        <v/>
      </c>
      <c r="E13" s="39">
        <f>IF($D13="","",'03设备工时'!$E13)</f>
        <v/>
      </c>
      <c r="F13" s="23">
        <f>IF($D13="","",IF($V13&lt;&gt;"",$V13,IFERROR(INDEX('参数设置'!$E$30:$E$44,MATCH($D13,'参数设置'!$C$30:$C$44,0)),0)))</f>
        <v/>
      </c>
      <c r="G13" s="24">
        <f>IF($D13="","",'03设备工时'!$F13)</f>
        <v/>
      </c>
      <c r="H13" s="24">
        <f>IF($D13="","",'03设备工时'!$P13)</f>
        <v/>
      </c>
      <c r="I13" s="20">
        <f>IF(OR($D13="",$G13=0),"",$H13/$G13)</f>
        <v/>
      </c>
      <c r="J13" s="12">
        <f>IF($D13="","",ROUND($F13,2)-$S13)</f>
        <v/>
      </c>
      <c r="K13" s="12">
        <f>IF(OR($D13="",$G13=0),"",ROUND($F13*'03设备工时'!H13/$G13,2))</f>
        <v/>
      </c>
      <c r="L13" s="12">
        <f>IF(OR($D13="",$G13=0),"",ROUND($F13*'03设备工时'!I13/$G13,2))</f>
        <v/>
      </c>
      <c r="M13" s="12">
        <f>IF(OR($D13="",$G13=0),"",ROUND($F13*'03设备工时'!J13/$G13,2))</f>
        <v/>
      </c>
      <c r="N13" s="12">
        <f>IF(OR($D13="",$G13=0),"",ROUND($F13*'03设备工时'!K13/$G13,2))</f>
        <v/>
      </c>
      <c r="O13" s="12">
        <f>IF(OR($D13="",$G13=0),"",ROUND($F13*'03设备工时'!L13/$G13,2))</f>
        <v/>
      </c>
      <c r="P13" s="12">
        <f>IF(OR($D13="",$G13=0),"",ROUND($F13*'03设备工时'!M13/$G13,2))</f>
        <v/>
      </c>
      <c r="Q13" s="12">
        <f>IF(OR($D13="",$G13=0),"",ROUND($F13*'03设备工时'!N13/$G13,2))</f>
        <v/>
      </c>
      <c r="R13" s="12">
        <f>IF(OR($D13="",$G13=0),"",ROUND($F13*'03设备工时'!O13/$G13,2))</f>
        <v/>
      </c>
      <c r="S13" s="12">
        <f>IF($D13="","",SUM(K13:R13))</f>
        <v/>
      </c>
      <c r="T13" s="12">
        <f>IF($D13="","",$J13+$S13)</f>
        <v/>
      </c>
      <c r="U13" s="25">
        <f>IF($D13="","",IF($F13=0,"未维护折旧额",IF(ROUND($T13-$F13,2)=0,"√","差异")))</f>
        <v/>
      </c>
      <c r="V13" s="11" t="n"/>
      <c r="W13" s="39">
        <f>IF($D13="","",IFERROR(INDEX('参数设置'!$F$30:$F$44,MATCH($D13,'参数设置'!$C$30:$C$44,0)),""))</f>
        <v/>
      </c>
    </row>
    <row r="14" ht="18" customHeight="1">
      <c r="B14" s="21">
        <f>IF('03设备工时'!$D14="","",'03设备工时'!$B14)</f>
        <v/>
      </c>
      <c r="C14" s="22">
        <f>IF('03设备工时'!$D14="","",'03设备工时'!$C14)</f>
        <v/>
      </c>
      <c r="D14" s="22">
        <f>IF('03设备工时'!$D14="","",'03设备工时'!$D14)</f>
        <v/>
      </c>
      <c r="E14" s="39">
        <f>IF($D14="","",'03设备工时'!$E14)</f>
        <v/>
      </c>
      <c r="F14" s="23">
        <f>IF($D14="","",IF($V14&lt;&gt;"",$V14,IFERROR(INDEX('参数设置'!$E$30:$E$44,MATCH($D14,'参数设置'!$C$30:$C$44,0)),0)))</f>
        <v/>
      </c>
      <c r="G14" s="24">
        <f>IF($D14="","",'03设备工时'!$F14)</f>
        <v/>
      </c>
      <c r="H14" s="24">
        <f>IF($D14="","",'03设备工时'!$P14)</f>
        <v/>
      </c>
      <c r="I14" s="20">
        <f>IF(OR($D14="",$G14=0),"",$H14/$G14)</f>
        <v/>
      </c>
      <c r="J14" s="12">
        <f>IF($D14="","",ROUND($F14,2)-$S14)</f>
        <v/>
      </c>
      <c r="K14" s="12">
        <f>IF(OR($D14="",$G14=0),"",ROUND($F14*'03设备工时'!H14/$G14,2))</f>
        <v/>
      </c>
      <c r="L14" s="12">
        <f>IF(OR($D14="",$G14=0),"",ROUND($F14*'03设备工时'!I14/$G14,2))</f>
        <v/>
      </c>
      <c r="M14" s="12">
        <f>IF(OR($D14="",$G14=0),"",ROUND($F14*'03设备工时'!J14/$G14,2))</f>
        <v/>
      </c>
      <c r="N14" s="12">
        <f>IF(OR($D14="",$G14=0),"",ROUND($F14*'03设备工时'!K14/$G14,2))</f>
        <v/>
      </c>
      <c r="O14" s="12">
        <f>IF(OR($D14="",$G14=0),"",ROUND($F14*'03设备工时'!L14/$G14,2))</f>
        <v/>
      </c>
      <c r="P14" s="12">
        <f>IF(OR($D14="",$G14=0),"",ROUND($F14*'03设备工时'!M14/$G14,2))</f>
        <v/>
      </c>
      <c r="Q14" s="12">
        <f>IF(OR($D14="",$G14=0),"",ROUND($F14*'03设备工时'!N14/$G14,2))</f>
        <v/>
      </c>
      <c r="R14" s="12">
        <f>IF(OR($D14="",$G14=0),"",ROUND($F14*'03设备工时'!O14/$G14,2))</f>
        <v/>
      </c>
      <c r="S14" s="12">
        <f>IF($D14="","",SUM(K14:R14))</f>
        <v/>
      </c>
      <c r="T14" s="12">
        <f>IF($D14="","",$J14+$S14)</f>
        <v/>
      </c>
      <c r="U14" s="25">
        <f>IF($D14="","",IF($F14=0,"未维护折旧额",IF(ROUND($T14-$F14,2)=0,"√","差异")))</f>
        <v/>
      </c>
      <c r="V14" s="11" t="n"/>
      <c r="W14" s="39">
        <f>IF($D14="","",IFERROR(INDEX('参数设置'!$F$30:$F$44,MATCH($D14,'参数设置'!$C$30:$C$44,0)),""))</f>
        <v/>
      </c>
    </row>
    <row r="15" ht="18" customHeight="1">
      <c r="B15" s="21">
        <f>IF('03设备工时'!$D15="","",'03设备工时'!$B15)</f>
        <v/>
      </c>
      <c r="C15" s="22">
        <f>IF('03设备工时'!$D15="","",'03设备工时'!$C15)</f>
        <v/>
      </c>
      <c r="D15" s="22">
        <f>IF('03设备工时'!$D15="","",'03设备工时'!$D15)</f>
        <v/>
      </c>
      <c r="E15" s="39">
        <f>IF($D15="","",'03设备工时'!$E15)</f>
        <v/>
      </c>
      <c r="F15" s="23">
        <f>IF($D15="","",IF($V15&lt;&gt;"",$V15,IFERROR(INDEX('参数设置'!$E$30:$E$44,MATCH($D15,'参数设置'!$C$30:$C$44,0)),0)))</f>
        <v/>
      </c>
      <c r="G15" s="24">
        <f>IF($D15="","",'03设备工时'!$F15)</f>
        <v/>
      </c>
      <c r="H15" s="24">
        <f>IF($D15="","",'03设备工时'!$P15)</f>
        <v/>
      </c>
      <c r="I15" s="20">
        <f>IF(OR($D15="",$G15=0),"",$H15/$G15)</f>
        <v/>
      </c>
      <c r="J15" s="12">
        <f>IF($D15="","",ROUND($F15,2)-$S15)</f>
        <v/>
      </c>
      <c r="K15" s="12">
        <f>IF(OR($D15="",$G15=0),"",ROUND($F15*'03设备工时'!H15/$G15,2))</f>
        <v/>
      </c>
      <c r="L15" s="12">
        <f>IF(OR($D15="",$G15=0),"",ROUND($F15*'03设备工时'!I15/$G15,2))</f>
        <v/>
      </c>
      <c r="M15" s="12">
        <f>IF(OR($D15="",$G15=0),"",ROUND($F15*'03设备工时'!J15/$G15,2))</f>
        <v/>
      </c>
      <c r="N15" s="12">
        <f>IF(OR($D15="",$G15=0),"",ROUND($F15*'03设备工时'!K15/$G15,2))</f>
        <v/>
      </c>
      <c r="O15" s="12">
        <f>IF(OR($D15="",$G15=0),"",ROUND($F15*'03设备工时'!L15/$G15,2))</f>
        <v/>
      </c>
      <c r="P15" s="12">
        <f>IF(OR($D15="",$G15=0),"",ROUND($F15*'03设备工时'!M15/$G15,2))</f>
        <v/>
      </c>
      <c r="Q15" s="12">
        <f>IF(OR($D15="",$G15=0),"",ROUND($F15*'03设备工时'!N15/$G15,2))</f>
        <v/>
      </c>
      <c r="R15" s="12">
        <f>IF(OR($D15="",$G15=0),"",ROUND($F15*'03设备工时'!O15/$G15,2))</f>
        <v/>
      </c>
      <c r="S15" s="12">
        <f>IF($D15="","",SUM(K15:R15))</f>
        <v/>
      </c>
      <c r="T15" s="12">
        <f>IF($D15="","",$J15+$S15)</f>
        <v/>
      </c>
      <c r="U15" s="25">
        <f>IF($D15="","",IF($F15=0,"未维护折旧额",IF(ROUND($T15-$F15,2)=0,"√","差异")))</f>
        <v/>
      </c>
      <c r="V15" s="11" t="n"/>
      <c r="W15" s="39">
        <f>IF($D15="","",IFERROR(INDEX('参数设置'!$F$30:$F$44,MATCH($D15,'参数设置'!$C$30:$C$44,0)),""))</f>
        <v/>
      </c>
    </row>
    <row r="16" ht="18" customHeight="1">
      <c r="B16" s="21">
        <f>IF('03设备工时'!$D16="","",'03设备工时'!$B16)</f>
        <v/>
      </c>
      <c r="C16" s="22">
        <f>IF('03设备工时'!$D16="","",'03设备工时'!$C16)</f>
        <v/>
      </c>
      <c r="D16" s="22">
        <f>IF('03设备工时'!$D16="","",'03设备工时'!$D16)</f>
        <v/>
      </c>
      <c r="E16" s="39">
        <f>IF($D16="","",'03设备工时'!$E16)</f>
        <v/>
      </c>
      <c r="F16" s="23">
        <f>IF($D16="","",IF($V16&lt;&gt;"",$V16,IFERROR(INDEX('参数设置'!$E$30:$E$44,MATCH($D16,'参数设置'!$C$30:$C$44,0)),0)))</f>
        <v/>
      </c>
      <c r="G16" s="24">
        <f>IF($D16="","",'03设备工时'!$F16)</f>
        <v/>
      </c>
      <c r="H16" s="24">
        <f>IF($D16="","",'03设备工时'!$P16)</f>
        <v/>
      </c>
      <c r="I16" s="20">
        <f>IF(OR($D16="",$G16=0),"",$H16/$G16)</f>
        <v/>
      </c>
      <c r="J16" s="12">
        <f>IF($D16="","",ROUND($F16,2)-$S16)</f>
        <v/>
      </c>
      <c r="K16" s="12">
        <f>IF(OR($D16="",$G16=0),"",ROUND($F16*'03设备工时'!H16/$G16,2))</f>
        <v/>
      </c>
      <c r="L16" s="12">
        <f>IF(OR($D16="",$G16=0),"",ROUND($F16*'03设备工时'!I16/$G16,2))</f>
        <v/>
      </c>
      <c r="M16" s="12">
        <f>IF(OR($D16="",$G16=0),"",ROUND($F16*'03设备工时'!J16/$G16,2))</f>
        <v/>
      </c>
      <c r="N16" s="12">
        <f>IF(OR($D16="",$G16=0),"",ROUND($F16*'03设备工时'!K16/$G16,2))</f>
        <v/>
      </c>
      <c r="O16" s="12">
        <f>IF(OR($D16="",$G16=0),"",ROUND($F16*'03设备工时'!L16/$G16,2))</f>
        <v/>
      </c>
      <c r="P16" s="12">
        <f>IF(OR($D16="",$G16=0),"",ROUND($F16*'03设备工时'!M16/$G16,2))</f>
        <v/>
      </c>
      <c r="Q16" s="12">
        <f>IF(OR($D16="",$G16=0),"",ROUND($F16*'03设备工时'!N16/$G16,2))</f>
        <v/>
      </c>
      <c r="R16" s="12">
        <f>IF(OR($D16="",$G16=0),"",ROUND($F16*'03设备工时'!O16/$G16,2))</f>
        <v/>
      </c>
      <c r="S16" s="12">
        <f>IF($D16="","",SUM(K16:R16))</f>
        <v/>
      </c>
      <c r="T16" s="12">
        <f>IF($D16="","",$J16+$S16)</f>
        <v/>
      </c>
      <c r="U16" s="25">
        <f>IF($D16="","",IF($F16=0,"未维护折旧额",IF(ROUND($T16-$F16,2)=0,"√","差异")))</f>
        <v/>
      </c>
      <c r="V16" s="11" t="n"/>
      <c r="W16" s="39">
        <f>IF($D16="","",IFERROR(INDEX('参数设置'!$F$30:$F$44,MATCH($D16,'参数设置'!$C$30:$C$44,0)),""))</f>
        <v/>
      </c>
    </row>
    <row r="17" ht="18" customHeight="1">
      <c r="B17" s="21">
        <f>IF('03设备工时'!$D17="","",'03设备工时'!$B17)</f>
        <v/>
      </c>
      <c r="C17" s="22">
        <f>IF('03设备工时'!$D17="","",'03设备工时'!$C17)</f>
        <v/>
      </c>
      <c r="D17" s="22">
        <f>IF('03设备工时'!$D17="","",'03设备工时'!$D17)</f>
        <v/>
      </c>
      <c r="E17" s="39">
        <f>IF($D17="","",'03设备工时'!$E17)</f>
        <v/>
      </c>
      <c r="F17" s="23">
        <f>IF($D17="","",IF($V17&lt;&gt;"",$V17,IFERROR(INDEX('参数设置'!$E$30:$E$44,MATCH($D17,'参数设置'!$C$30:$C$44,0)),0)))</f>
        <v/>
      </c>
      <c r="G17" s="24">
        <f>IF($D17="","",'03设备工时'!$F17)</f>
        <v/>
      </c>
      <c r="H17" s="24">
        <f>IF($D17="","",'03设备工时'!$P17)</f>
        <v/>
      </c>
      <c r="I17" s="20">
        <f>IF(OR($D17="",$G17=0),"",$H17/$G17)</f>
        <v/>
      </c>
      <c r="J17" s="12">
        <f>IF($D17="","",ROUND($F17,2)-$S17)</f>
        <v/>
      </c>
      <c r="K17" s="12">
        <f>IF(OR($D17="",$G17=0),"",ROUND($F17*'03设备工时'!H17/$G17,2))</f>
        <v/>
      </c>
      <c r="L17" s="12">
        <f>IF(OR($D17="",$G17=0),"",ROUND($F17*'03设备工时'!I17/$G17,2))</f>
        <v/>
      </c>
      <c r="M17" s="12">
        <f>IF(OR($D17="",$G17=0),"",ROUND($F17*'03设备工时'!J17/$G17,2))</f>
        <v/>
      </c>
      <c r="N17" s="12">
        <f>IF(OR($D17="",$G17=0),"",ROUND($F17*'03设备工时'!K17/$G17,2))</f>
        <v/>
      </c>
      <c r="O17" s="12">
        <f>IF(OR($D17="",$G17=0),"",ROUND($F17*'03设备工时'!L17/$G17,2))</f>
        <v/>
      </c>
      <c r="P17" s="12">
        <f>IF(OR($D17="",$G17=0),"",ROUND($F17*'03设备工时'!M17/$G17,2))</f>
        <v/>
      </c>
      <c r="Q17" s="12">
        <f>IF(OR($D17="",$G17=0),"",ROUND($F17*'03设备工时'!N17/$G17,2))</f>
        <v/>
      </c>
      <c r="R17" s="12">
        <f>IF(OR($D17="",$G17=0),"",ROUND($F17*'03设备工时'!O17/$G17,2))</f>
        <v/>
      </c>
      <c r="S17" s="12">
        <f>IF($D17="","",SUM(K17:R17))</f>
        <v/>
      </c>
      <c r="T17" s="12">
        <f>IF($D17="","",$J17+$S17)</f>
        <v/>
      </c>
      <c r="U17" s="25">
        <f>IF($D17="","",IF($F17=0,"未维护折旧额",IF(ROUND($T17-$F17,2)=0,"√","差异")))</f>
        <v/>
      </c>
      <c r="V17" s="11" t="n"/>
      <c r="W17" s="39">
        <f>IF($D17="","",IFERROR(INDEX('参数设置'!$F$30:$F$44,MATCH($D17,'参数设置'!$C$30:$C$44,0)),""))</f>
        <v/>
      </c>
    </row>
    <row r="18" ht="18" customHeight="1">
      <c r="B18" s="21">
        <f>IF('03设备工时'!$D18="","",'03设备工时'!$B18)</f>
        <v/>
      </c>
      <c r="C18" s="22">
        <f>IF('03设备工时'!$D18="","",'03设备工时'!$C18)</f>
        <v/>
      </c>
      <c r="D18" s="22">
        <f>IF('03设备工时'!$D18="","",'03设备工时'!$D18)</f>
        <v/>
      </c>
      <c r="E18" s="39">
        <f>IF($D18="","",'03设备工时'!$E18)</f>
        <v/>
      </c>
      <c r="F18" s="23">
        <f>IF($D18="","",IF($V18&lt;&gt;"",$V18,IFERROR(INDEX('参数设置'!$E$30:$E$44,MATCH($D18,'参数设置'!$C$30:$C$44,0)),0)))</f>
        <v/>
      </c>
      <c r="G18" s="24">
        <f>IF($D18="","",'03设备工时'!$F18)</f>
        <v/>
      </c>
      <c r="H18" s="24">
        <f>IF($D18="","",'03设备工时'!$P18)</f>
        <v/>
      </c>
      <c r="I18" s="20">
        <f>IF(OR($D18="",$G18=0),"",$H18/$G18)</f>
        <v/>
      </c>
      <c r="J18" s="12">
        <f>IF($D18="","",ROUND($F18,2)-$S18)</f>
        <v/>
      </c>
      <c r="K18" s="12">
        <f>IF(OR($D18="",$G18=0),"",ROUND($F18*'03设备工时'!H18/$G18,2))</f>
        <v/>
      </c>
      <c r="L18" s="12">
        <f>IF(OR($D18="",$G18=0),"",ROUND($F18*'03设备工时'!I18/$G18,2))</f>
        <v/>
      </c>
      <c r="M18" s="12">
        <f>IF(OR($D18="",$G18=0),"",ROUND($F18*'03设备工时'!J18/$G18,2))</f>
        <v/>
      </c>
      <c r="N18" s="12">
        <f>IF(OR($D18="",$G18=0),"",ROUND($F18*'03设备工时'!K18/$G18,2))</f>
        <v/>
      </c>
      <c r="O18" s="12">
        <f>IF(OR($D18="",$G18=0),"",ROUND($F18*'03设备工时'!L18/$G18,2))</f>
        <v/>
      </c>
      <c r="P18" s="12">
        <f>IF(OR($D18="",$G18=0),"",ROUND($F18*'03设备工时'!M18/$G18,2))</f>
        <v/>
      </c>
      <c r="Q18" s="12">
        <f>IF(OR($D18="",$G18=0),"",ROUND($F18*'03设备工时'!N18/$G18,2))</f>
        <v/>
      </c>
      <c r="R18" s="12">
        <f>IF(OR($D18="",$G18=0),"",ROUND($F18*'03设备工时'!O18/$G18,2))</f>
        <v/>
      </c>
      <c r="S18" s="12">
        <f>IF($D18="","",SUM(K18:R18))</f>
        <v/>
      </c>
      <c r="T18" s="12">
        <f>IF($D18="","",$J18+$S18)</f>
        <v/>
      </c>
      <c r="U18" s="25">
        <f>IF($D18="","",IF($F18=0,"未维护折旧额",IF(ROUND($T18-$F18,2)=0,"√","差异")))</f>
        <v/>
      </c>
      <c r="V18" s="11" t="n"/>
      <c r="W18" s="39">
        <f>IF($D18="","",IFERROR(INDEX('参数设置'!$F$30:$F$44,MATCH($D18,'参数设置'!$C$30:$C$44,0)),""))</f>
        <v/>
      </c>
    </row>
    <row r="19" ht="18" customHeight="1">
      <c r="B19" s="21">
        <f>IF('03设备工时'!$D19="","",'03设备工时'!$B19)</f>
        <v/>
      </c>
      <c r="C19" s="22">
        <f>IF('03设备工时'!$D19="","",'03设备工时'!$C19)</f>
        <v/>
      </c>
      <c r="D19" s="22">
        <f>IF('03设备工时'!$D19="","",'03设备工时'!$D19)</f>
        <v/>
      </c>
      <c r="E19" s="39">
        <f>IF($D19="","",'03设备工时'!$E19)</f>
        <v/>
      </c>
      <c r="F19" s="23">
        <f>IF($D19="","",IF($V19&lt;&gt;"",$V19,IFERROR(INDEX('参数设置'!$E$30:$E$44,MATCH($D19,'参数设置'!$C$30:$C$44,0)),0)))</f>
        <v/>
      </c>
      <c r="G19" s="24">
        <f>IF($D19="","",'03设备工时'!$F19)</f>
        <v/>
      </c>
      <c r="H19" s="24">
        <f>IF($D19="","",'03设备工时'!$P19)</f>
        <v/>
      </c>
      <c r="I19" s="20">
        <f>IF(OR($D19="",$G19=0),"",$H19/$G19)</f>
        <v/>
      </c>
      <c r="J19" s="12">
        <f>IF($D19="","",ROUND($F19,2)-$S19)</f>
        <v/>
      </c>
      <c r="K19" s="12">
        <f>IF(OR($D19="",$G19=0),"",ROUND($F19*'03设备工时'!H19/$G19,2))</f>
        <v/>
      </c>
      <c r="L19" s="12">
        <f>IF(OR($D19="",$G19=0),"",ROUND($F19*'03设备工时'!I19/$G19,2))</f>
        <v/>
      </c>
      <c r="M19" s="12">
        <f>IF(OR($D19="",$G19=0),"",ROUND($F19*'03设备工时'!J19/$G19,2))</f>
        <v/>
      </c>
      <c r="N19" s="12">
        <f>IF(OR($D19="",$G19=0),"",ROUND($F19*'03设备工时'!K19/$G19,2))</f>
        <v/>
      </c>
      <c r="O19" s="12">
        <f>IF(OR($D19="",$G19=0),"",ROUND($F19*'03设备工时'!L19/$G19,2))</f>
        <v/>
      </c>
      <c r="P19" s="12">
        <f>IF(OR($D19="",$G19=0),"",ROUND($F19*'03设备工时'!M19/$G19,2))</f>
        <v/>
      </c>
      <c r="Q19" s="12">
        <f>IF(OR($D19="",$G19=0),"",ROUND($F19*'03设备工时'!N19/$G19,2))</f>
        <v/>
      </c>
      <c r="R19" s="12">
        <f>IF(OR($D19="",$G19=0),"",ROUND($F19*'03设备工时'!O19/$G19,2))</f>
        <v/>
      </c>
      <c r="S19" s="12">
        <f>IF($D19="","",SUM(K19:R19))</f>
        <v/>
      </c>
      <c r="T19" s="12">
        <f>IF($D19="","",$J19+$S19)</f>
        <v/>
      </c>
      <c r="U19" s="25">
        <f>IF($D19="","",IF($F19=0,"未维护折旧额",IF(ROUND($T19-$F19,2)=0,"√","差异")))</f>
        <v/>
      </c>
      <c r="V19" s="11" t="n"/>
      <c r="W19" s="39">
        <f>IF($D19="","",IFERROR(INDEX('参数设置'!$F$30:$F$44,MATCH($D19,'参数设置'!$C$30:$C$44,0)),""))</f>
        <v/>
      </c>
    </row>
    <row r="20" ht="18" customHeight="1">
      <c r="B20" s="21">
        <f>IF('03设备工时'!$D20="","",'03设备工时'!$B20)</f>
        <v/>
      </c>
      <c r="C20" s="22">
        <f>IF('03设备工时'!$D20="","",'03设备工时'!$C20)</f>
        <v/>
      </c>
      <c r="D20" s="22">
        <f>IF('03设备工时'!$D20="","",'03设备工时'!$D20)</f>
        <v/>
      </c>
      <c r="E20" s="39">
        <f>IF($D20="","",'03设备工时'!$E20)</f>
        <v/>
      </c>
      <c r="F20" s="23">
        <f>IF($D20="","",IF($V20&lt;&gt;"",$V20,IFERROR(INDEX('参数设置'!$E$30:$E$44,MATCH($D20,'参数设置'!$C$30:$C$44,0)),0)))</f>
        <v/>
      </c>
      <c r="G20" s="24">
        <f>IF($D20="","",'03设备工时'!$F20)</f>
        <v/>
      </c>
      <c r="H20" s="24">
        <f>IF($D20="","",'03设备工时'!$P20)</f>
        <v/>
      </c>
      <c r="I20" s="20">
        <f>IF(OR($D20="",$G20=0),"",$H20/$G20)</f>
        <v/>
      </c>
      <c r="J20" s="12">
        <f>IF($D20="","",ROUND($F20,2)-$S20)</f>
        <v/>
      </c>
      <c r="K20" s="12">
        <f>IF(OR($D20="",$G20=0),"",ROUND($F20*'03设备工时'!H20/$G20,2))</f>
        <v/>
      </c>
      <c r="L20" s="12">
        <f>IF(OR($D20="",$G20=0),"",ROUND($F20*'03设备工时'!I20/$G20,2))</f>
        <v/>
      </c>
      <c r="M20" s="12">
        <f>IF(OR($D20="",$G20=0),"",ROUND($F20*'03设备工时'!J20/$G20,2))</f>
        <v/>
      </c>
      <c r="N20" s="12">
        <f>IF(OR($D20="",$G20=0),"",ROUND($F20*'03设备工时'!K20/$G20,2))</f>
        <v/>
      </c>
      <c r="O20" s="12">
        <f>IF(OR($D20="",$G20=0),"",ROUND($F20*'03设备工时'!L20/$G20,2))</f>
        <v/>
      </c>
      <c r="P20" s="12">
        <f>IF(OR($D20="",$G20=0),"",ROUND($F20*'03设备工时'!M20/$G20,2))</f>
        <v/>
      </c>
      <c r="Q20" s="12">
        <f>IF(OR($D20="",$G20=0),"",ROUND($F20*'03设备工时'!N20/$G20,2))</f>
        <v/>
      </c>
      <c r="R20" s="12">
        <f>IF(OR($D20="",$G20=0),"",ROUND($F20*'03设备工时'!O20/$G20,2))</f>
        <v/>
      </c>
      <c r="S20" s="12">
        <f>IF($D20="","",SUM(K20:R20))</f>
        <v/>
      </c>
      <c r="T20" s="12">
        <f>IF($D20="","",$J20+$S20)</f>
        <v/>
      </c>
      <c r="U20" s="25">
        <f>IF($D20="","",IF($F20=0,"未维护折旧额",IF(ROUND($T20-$F20,2)=0,"√","差异")))</f>
        <v/>
      </c>
      <c r="V20" s="11" t="n"/>
      <c r="W20" s="39">
        <f>IF($D20="","",IFERROR(INDEX('参数设置'!$F$30:$F$44,MATCH($D20,'参数设置'!$C$30:$C$44,0)),""))</f>
        <v/>
      </c>
    </row>
    <row r="21" ht="18" customHeight="1">
      <c r="B21" s="21">
        <f>IF('03设备工时'!$D21="","",'03设备工时'!$B21)</f>
        <v/>
      </c>
      <c r="C21" s="22">
        <f>IF('03设备工时'!$D21="","",'03设备工时'!$C21)</f>
        <v/>
      </c>
      <c r="D21" s="22">
        <f>IF('03设备工时'!$D21="","",'03设备工时'!$D21)</f>
        <v/>
      </c>
      <c r="E21" s="39">
        <f>IF($D21="","",'03设备工时'!$E21)</f>
        <v/>
      </c>
      <c r="F21" s="23">
        <f>IF($D21="","",IF($V21&lt;&gt;"",$V21,IFERROR(INDEX('参数设置'!$E$30:$E$44,MATCH($D21,'参数设置'!$C$30:$C$44,0)),0)))</f>
        <v/>
      </c>
      <c r="G21" s="24">
        <f>IF($D21="","",'03设备工时'!$F21)</f>
        <v/>
      </c>
      <c r="H21" s="24">
        <f>IF($D21="","",'03设备工时'!$P21)</f>
        <v/>
      </c>
      <c r="I21" s="20">
        <f>IF(OR($D21="",$G21=0),"",$H21/$G21)</f>
        <v/>
      </c>
      <c r="J21" s="12">
        <f>IF($D21="","",ROUND($F21,2)-$S21)</f>
        <v/>
      </c>
      <c r="K21" s="12">
        <f>IF(OR($D21="",$G21=0),"",ROUND($F21*'03设备工时'!H21/$G21,2))</f>
        <v/>
      </c>
      <c r="L21" s="12">
        <f>IF(OR($D21="",$G21=0),"",ROUND($F21*'03设备工时'!I21/$G21,2))</f>
        <v/>
      </c>
      <c r="M21" s="12">
        <f>IF(OR($D21="",$G21=0),"",ROUND($F21*'03设备工时'!J21/$G21,2))</f>
        <v/>
      </c>
      <c r="N21" s="12">
        <f>IF(OR($D21="",$G21=0),"",ROUND($F21*'03设备工时'!K21/$G21,2))</f>
        <v/>
      </c>
      <c r="O21" s="12">
        <f>IF(OR($D21="",$G21=0),"",ROUND($F21*'03设备工时'!L21/$G21,2))</f>
        <v/>
      </c>
      <c r="P21" s="12">
        <f>IF(OR($D21="",$G21=0),"",ROUND($F21*'03设备工时'!M21/$G21,2))</f>
        <v/>
      </c>
      <c r="Q21" s="12">
        <f>IF(OR($D21="",$G21=0),"",ROUND($F21*'03设备工时'!N21/$G21,2))</f>
        <v/>
      </c>
      <c r="R21" s="12">
        <f>IF(OR($D21="",$G21=0),"",ROUND($F21*'03设备工时'!O21/$G21,2))</f>
        <v/>
      </c>
      <c r="S21" s="12">
        <f>IF($D21="","",SUM(K21:R21))</f>
        <v/>
      </c>
      <c r="T21" s="12">
        <f>IF($D21="","",$J21+$S21)</f>
        <v/>
      </c>
      <c r="U21" s="25">
        <f>IF($D21="","",IF($F21=0,"未维护折旧额",IF(ROUND($T21-$F21,2)=0,"√","差异")))</f>
        <v/>
      </c>
      <c r="V21" s="11" t="n"/>
      <c r="W21" s="39">
        <f>IF($D21="","",IFERROR(INDEX('参数设置'!$F$30:$F$44,MATCH($D21,'参数设置'!$C$30:$C$44,0)),""))</f>
        <v/>
      </c>
    </row>
    <row r="22" ht="18" customHeight="1">
      <c r="B22" s="21">
        <f>IF('03设备工时'!$D22="","",'03设备工时'!$B22)</f>
        <v/>
      </c>
      <c r="C22" s="22">
        <f>IF('03设备工时'!$D22="","",'03设备工时'!$C22)</f>
        <v/>
      </c>
      <c r="D22" s="22">
        <f>IF('03设备工时'!$D22="","",'03设备工时'!$D22)</f>
        <v/>
      </c>
      <c r="E22" s="39">
        <f>IF($D22="","",'03设备工时'!$E22)</f>
        <v/>
      </c>
      <c r="F22" s="23">
        <f>IF($D22="","",IF($V22&lt;&gt;"",$V22,IFERROR(INDEX('参数设置'!$E$30:$E$44,MATCH($D22,'参数设置'!$C$30:$C$44,0)),0)))</f>
        <v/>
      </c>
      <c r="G22" s="24">
        <f>IF($D22="","",'03设备工时'!$F22)</f>
        <v/>
      </c>
      <c r="H22" s="24">
        <f>IF($D22="","",'03设备工时'!$P22)</f>
        <v/>
      </c>
      <c r="I22" s="20">
        <f>IF(OR($D22="",$G22=0),"",$H22/$G22)</f>
        <v/>
      </c>
      <c r="J22" s="12">
        <f>IF($D22="","",ROUND($F22,2)-$S22)</f>
        <v/>
      </c>
      <c r="K22" s="12">
        <f>IF(OR($D22="",$G22=0),"",ROUND($F22*'03设备工时'!H22/$G22,2))</f>
        <v/>
      </c>
      <c r="L22" s="12">
        <f>IF(OR($D22="",$G22=0),"",ROUND($F22*'03设备工时'!I22/$G22,2))</f>
        <v/>
      </c>
      <c r="M22" s="12">
        <f>IF(OR($D22="",$G22=0),"",ROUND($F22*'03设备工时'!J22/$G22,2))</f>
        <v/>
      </c>
      <c r="N22" s="12">
        <f>IF(OR($D22="",$G22=0),"",ROUND($F22*'03设备工时'!K22/$G22,2))</f>
        <v/>
      </c>
      <c r="O22" s="12">
        <f>IF(OR($D22="",$G22=0),"",ROUND($F22*'03设备工时'!L22/$G22,2))</f>
        <v/>
      </c>
      <c r="P22" s="12">
        <f>IF(OR($D22="",$G22=0),"",ROUND($F22*'03设备工时'!M22/$G22,2))</f>
        <v/>
      </c>
      <c r="Q22" s="12">
        <f>IF(OR($D22="",$G22=0),"",ROUND($F22*'03设备工时'!N22/$G22,2))</f>
        <v/>
      </c>
      <c r="R22" s="12">
        <f>IF(OR($D22="",$G22=0),"",ROUND($F22*'03设备工时'!O22/$G22,2))</f>
        <v/>
      </c>
      <c r="S22" s="12">
        <f>IF($D22="","",SUM(K22:R22))</f>
        <v/>
      </c>
      <c r="T22" s="12">
        <f>IF($D22="","",$J22+$S22)</f>
        <v/>
      </c>
      <c r="U22" s="25">
        <f>IF($D22="","",IF($F22=0,"未维护折旧额",IF(ROUND($T22-$F22,2)=0,"√","差异")))</f>
        <v/>
      </c>
      <c r="V22" s="11" t="n"/>
      <c r="W22" s="39">
        <f>IF($D22="","",IFERROR(INDEX('参数设置'!$F$30:$F$44,MATCH($D22,'参数设置'!$C$30:$C$44,0)),""))</f>
        <v/>
      </c>
    </row>
    <row r="23" ht="18" customHeight="1">
      <c r="B23" s="21">
        <f>IF('03设备工时'!$D23="","",'03设备工时'!$B23)</f>
        <v/>
      </c>
      <c r="C23" s="22">
        <f>IF('03设备工时'!$D23="","",'03设备工时'!$C23)</f>
        <v/>
      </c>
      <c r="D23" s="22">
        <f>IF('03设备工时'!$D23="","",'03设备工时'!$D23)</f>
        <v/>
      </c>
      <c r="E23" s="39">
        <f>IF($D23="","",'03设备工时'!$E23)</f>
        <v/>
      </c>
      <c r="F23" s="23">
        <f>IF($D23="","",IF($V23&lt;&gt;"",$V23,IFERROR(INDEX('参数设置'!$E$30:$E$44,MATCH($D23,'参数设置'!$C$30:$C$44,0)),0)))</f>
        <v/>
      </c>
      <c r="G23" s="24">
        <f>IF($D23="","",'03设备工时'!$F23)</f>
        <v/>
      </c>
      <c r="H23" s="24">
        <f>IF($D23="","",'03设备工时'!$P23)</f>
        <v/>
      </c>
      <c r="I23" s="20">
        <f>IF(OR($D23="",$G23=0),"",$H23/$G23)</f>
        <v/>
      </c>
      <c r="J23" s="12">
        <f>IF($D23="","",ROUND($F23,2)-$S23)</f>
        <v/>
      </c>
      <c r="K23" s="12">
        <f>IF(OR($D23="",$G23=0),"",ROUND($F23*'03设备工时'!H23/$G23,2))</f>
        <v/>
      </c>
      <c r="L23" s="12">
        <f>IF(OR($D23="",$G23=0),"",ROUND($F23*'03设备工时'!I23/$G23,2))</f>
        <v/>
      </c>
      <c r="M23" s="12">
        <f>IF(OR($D23="",$G23=0),"",ROUND($F23*'03设备工时'!J23/$G23,2))</f>
        <v/>
      </c>
      <c r="N23" s="12">
        <f>IF(OR($D23="",$G23=0),"",ROUND($F23*'03设备工时'!K23/$G23,2))</f>
        <v/>
      </c>
      <c r="O23" s="12">
        <f>IF(OR($D23="",$G23=0),"",ROUND($F23*'03设备工时'!L23/$G23,2))</f>
        <v/>
      </c>
      <c r="P23" s="12">
        <f>IF(OR($D23="",$G23=0),"",ROUND($F23*'03设备工时'!M23/$G23,2))</f>
        <v/>
      </c>
      <c r="Q23" s="12">
        <f>IF(OR($D23="",$G23=0),"",ROUND($F23*'03设备工时'!N23/$G23,2))</f>
        <v/>
      </c>
      <c r="R23" s="12">
        <f>IF(OR($D23="",$G23=0),"",ROUND($F23*'03设备工时'!O23/$G23,2))</f>
        <v/>
      </c>
      <c r="S23" s="12">
        <f>IF($D23="","",SUM(K23:R23))</f>
        <v/>
      </c>
      <c r="T23" s="12">
        <f>IF($D23="","",$J23+$S23)</f>
        <v/>
      </c>
      <c r="U23" s="25">
        <f>IF($D23="","",IF($F23=0,"未维护折旧额",IF(ROUND($T23-$F23,2)=0,"√","差异")))</f>
        <v/>
      </c>
      <c r="V23" s="11" t="n"/>
      <c r="W23" s="39">
        <f>IF($D23="","",IFERROR(INDEX('参数设置'!$F$30:$F$44,MATCH($D23,'参数设置'!$C$30:$C$44,0)),""))</f>
        <v/>
      </c>
    </row>
    <row r="24" ht="18" customHeight="1">
      <c r="B24" s="21">
        <f>IF('03设备工时'!$D24="","",'03设备工时'!$B24)</f>
        <v/>
      </c>
      <c r="C24" s="22">
        <f>IF('03设备工时'!$D24="","",'03设备工时'!$C24)</f>
        <v/>
      </c>
      <c r="D24" s="22">
        <f>IF('03设备工时'!$D24="","",'03设备工时'!$D24)</f>
        <v/>
      </c>
      <c r="E24" s="39">
        <f>IF($D24="","",'03设备工时'!$E24)</f>
        <v/>
      </c>
      <c r="F24" s="23">
        <f>IF($D24="","",IF($V24&lt;&gt;"",$V24,IFERROR(INDEX('参数设置'!$E$30:$E$44,MATCH($D24,'参数设置'!$C$30:$C$44,0)),0)))</f>
        <v/>
      </c>
      <c r="G24" s="24">
        <f>IF($D24="","",'03设备工时'!$F24)</f>
        <v/>
      </c>
      <c r="H24" s="24">
        <f>IF($D24="","",'03设备工时'!$P24)</f>
        <v/>
      </c>
      <c r="I24" s="20">
        <f>IF(OR($D24="",$G24=0),"",$H24/$G24)</f>
        <v/>
      </c>
      <c r="J24" s="12">
        <f>IF($D24="","",ROUND($F24,2)-$S24)</f>
        <v/>
      </c>
      <c r="K24" s="12">
        <f>IF(OR($D24="",$G24=0),"",ROUND($F24*'03设备工时'!H24/$G24,2))</f>
        <v/>
      </c>
      <c r="L24" s="12">
        <f>IF(OR($D24="",$G24=0),"",ROUND($F24*'03设备工时'!I24/$G24,2))</f>
        <v/>
      </c>
      <c r="M24" s="12">
        <f>IF(OR($D24="",$G24=0),"",ROUND($F24*'03设备工时'!J24/$G24,2))</f>
        <v/>
      </c>
      <c r="N24" s="12">
        <f>IF(OR($D24="",$G24=0),"",ROUND($F24*'03设备工时'!K24/$G24,2))</f>
        <v/>
      </c>
      <c r="O24" s="12">
        <f>IF(OR($D24="",$G24=0),"",ROUND($F24*'03设备工时'!L24/$G24,2))</f>
        <v/>
      </c>
      <c r="P24" s="12">
        <f>IF(OR($D24="",$G24=0),"",ROUND($F24*'03设备工时'!M24/$G24,2))</f>
        <v/>
      </c>
      <c r="Q24" s="12">
        <f>IF(OR($D24="",$G24=0),"",ROUND($F24*'03设备工时'!N24/$G24,2))</f>
        <v/>
      </c>
      <c r="R24" s="12">
        <f>IF(OR($D24="",$G24=0),"",ROUND($F24*'03设备工时'!O24/$G24,2))</f>
        <v/>
      </c>
      <c r="S24" s="12">
        <f>IF($D24="","",SUM(K24:R24))</f>
        <v/>
      </c>
      <c r="T24" s="12">
        <f>IF($D24="","",$J24+$S24)</f>
        <v/>
      </c>
      <c r="U24" s="25">
        <f>IF($D24="","",IF($F24=0,"未维护折旧额",IF(ROUND($T24-$F24,2)=0,"√","差异")))</f>
        <v/>
      </c>
      <c r="V24" s="11" t="n"/>
      <c r="W24" s="39">
        <f>IF($D24="","",IFERROR(INDEX('参数设置'!$F$30:$F$44,MATCH($D24,'参数设置'!$C$30:$C$44,0)),""))</f>
        <v/>
      </c>
    </row>
    <row r="25" ht="18" customHeight="1">
      <c r="B25" s="21">
        <f>IF('03设备工时'!$D25="","",'03设备工时'!$B25)</f>
        <v/>
      </c>
      <c r="C25" s="22">
        <f>IF('03设备工时'!$D25="","",'03设备工时'!$C25)</f>
        <v/>
      </c>
      <c r="D25" s="22">
        <f>IF('03设备工时'!$D25="","",'03设备工时'!$D25)</f>
        <v/>
      </c>
      <c r="E25" s="39">
        <f>IF($D25="","",'03设备工时'!$E25)</f>
        <v/>
      </c>
      <c r="F25" s="23">
        <f>IF($D25="","",IF($V25&lt;&gt;"",$V25,IFERROR(INDEX('参数设置'!$E$30:$E$44,MATCH($D25,'参数设置'!$C$30:$C$44,0)),0)))</f>
        <v/>
      </c>
      <c r="G25" s="24">
        <f>IF($D25="","",'03设备工时'!$F25)</f>
        <v/>
      </c>
      <c r="H25" s="24">
        <f>IF($D25="","",'03设备工时'!$P25)</f>
        <v/>
      </c>
      <c r="I25" s="20">
        <f>IF(OR($D25="",$G25=0),"",$H25/$G25)</f>
        <v/>
      </c>
      <c r="J25" s="12">
        <f>IF($D25="","",ROUND($F25,2)-$S25)</f>
        <v/>
      </c>
      <c r="K25" s="12">
        <f>IF(OR($D25="",$G25=0),"",ROUND($F25*'03设备工时'!H25/$G25,2))</f>
        <v/>
      </c>
      <c r="L25" s="12">
        <f>IF(OR($D25="",$G25=0),"",ROUND($F25*'03设备工时'!I25/$G25,2))</f>
        <v/>
      </c>
      <c r="M25" s="12">
        <f>IF(OR($D25="",$G25=0),"",ROUND($F25*'03设备工时'!J25/$G25,2))</f>
        <v/>
      </c>
      <c r="N25" s="12">
        <f>IF(OR($D25="",$G25=0),"",ROUND($F25*'03设备工时'!K25/$G25,2))</f>
        <v/>
      </c>
      <c r="O25" s="12">
        <f>IF(OR($D25="",$G25=0),"",ROUND($F25*'03设备工时'!L25/$G25,2))</f>
        <v/>
      </c>
      <c r="P25" s="12">
        <f>IF(OR($D25="",$G25=0),"",ROUND($F25*'03设备工时'!M25/$G25,2))</f>
        <v/>
      </c>
      <c r="Q25" s="12">
        <f>IF(OR($D25="",$G25=0),"",ROUND($F25*'03设备工时'!N25/$G25,2))</f>
        <v/>
      </c>
      <c r="R25" s="12">
        <f>IF(OR($D25="",$G25=0),"",ROUND($F25*'03设备工时'!O25/$G25,2))</f>
        <v/>
      </c>
      <c r="S25" s="12">
        <f>IF($D25="","",SUM(K25:R25))</f>
        <v/>
      </c>
      <c r="T25" s="12">
        <f>IF($D25="","",$J25+$S25)</f>
        <v/>
      </c>
      <c r="U25" s="25">
        <f>IF($D25="","",IF($F25=0,"未维护折旧额",IF(ROUND($T25-$F25,2)=0,"√","差异")))</f>
        <v/>
      </c>
      <c r="V25" s="11" t="n"/>
      <c r="W25" s="39">
        <f>IF($D25="","",IFERROR(INDEX('参数设置'!$F$30:$F$44,MATCH($D25,'参数设置'!$C$30:$C$44,0)),""))</f>
        <v/>
      </c>
    </row>
    <row r="26" ht="18" customHeight="1">
      <c r="B26" s="21">
        <f>IF('03设备工时'!$D26="","",'03设备工时'!$B26)</f>
        <v/>
      </c>
      <c r="C26" s="22">
        <f>IF('03设备工时'!$D26="","",'03设备工时'!$C26)</f>
        <v/>
      </c>
      <c r="D26" s="22">
        <f>IF('03设备工时'!$D26="","",'03设备工时'!$D26)</f>
        <v/>
      </c>
      <c r="E26" s="39">
        <f>IF($D26="","",'03设备工时'!$E26)</f>
        <v/>
      </c>
      <c r="F26" s="23">
        <f>IF($D26="","",IF($V26&lt;&gt;"",$V26,IFERROR(INDEX('参数设置'!$E$30:$E$44,MATCH($D26,'参数设置'!$C$30:$C$44,0)),0)))</f>
        <v/>
      </c>
      <c r="G26" s="24">
        <f>IF($D26="","",'03设备工时'!$F26)</f>
        <v/>
      </c>
      <c r="H26" s="24">
        <f>IF($D26="","",'03设备工时'!$P26)</f>
        <v/>
      </c>
      <c r="I26" s="20">
        <f>IF(OR($D26="",$G26=0),"",$H26/$G26)</f>
        <v/>
      </c>
      <c r="J26" s="12">
        <f>IF($D26="","",ROUND($F26,2)-$S26)</f>
        <v/>
      </c>
      <c r="K26" s="12">
        <f>IF(OR($D26="",$G26=0),"",ROUND($F26*'03设备工时'!H26/$G26,2))</f>
        <v/>
      </c>
      <c r="L26" s="12">
        <f>IF(OR($D26="",$G26=0),"",ROUND($F26*'03设备工时'!I26/$G26,2))</f>
        <v/>
      </c>
      <c r="M26" s="12">
        <f>IF(OR($D26="",$G26=0),"",ROUND($F26*'03设备工时'!J26/$G26,2))</f>
        <v/>
      </c>
      <c r="N26" s="12">
        <f>IF(OR($D26="",$G26=0),"",ROUND($F26*'03设备工时'!K26/$G26,2))</f>
        <v/>
      </c>
      <c r="O26" s="12">
        <f>IF(OR($D26="",$G26=0),"",ROUND($F26*'03设备工时'!L26/$G26,2))</f>
        <v/>
      </c>
      <c r="P26" s="12">
        <f>IF(OR($D26="",$G26=0),"",ROUND($F26*'03设备工时'!M26/$G26,2))</f>
        <v/>
      </c>
      <c r="Q26" s="12">
        <f>IF(OR($D26="",$G26=0),"",ROUND($F26*'03设备工时'!N26/$G26,2))</f>
        <v/>
      </c>
      <c r="R26" s="12">
        <f>IF(OR($D26="",$G26=0),"",ROUND($F26*'03设备工时'!O26/$G26,2))</f>
        <v/>
      </c>
      <c r="S26" s="12">
        <f>IF($D26="","",SUM(K26:R26))</f>
        <v/>
      </c>
      <c r="T26" s="12">
        <f>IF($D26="","",$J26+$S26)</f>
        <v/>
      </c>
      <c r="U26" s="25">
        <f>IF($D26="","",IF($F26=0,"未维护折旧额",IF(ROUND($T26-$F26,2)=0,"√","差异")))</f>
        <v/>
      </c>
      <c r="V26" s="11" t="n"/>
      <c r="W26" s="39">
        <f>IF($D26="","",IFERROR(INDEX('参数设置'!$F$30:$F$44,MATCH($D26,'参数设置'!$C$30:$C$44,0)),""))</f>
        <v/>
      </c>
    </row>
    <row r="27" ht="18" customHeight="1">
      <c r="B27" s="21">
        <f>IF('03设备工时'!$D27="","",'03设备工时'!$B27)</f>
        <v/>
      </c>
      <c r="C27" s="22">
        <f>IF('03设备工时'!$D27="","",'03设备工时'!$C27)</f>
        <v/>
      </c>
      <c r="D27" s="22">
        <f>IF('03设备工时'!$D27="","",'03设备工时'!$D27)</f>
        <v/>
      </c>
      <c r="E27" s="39">
        <f>IF($D27="","",'03设备工时'!$E27)</f>
        <v/>
      </c>
      <c r="F27" s="23">
        <f>IF($D27="","",IF($V27&lt;&gt;"",$V27,IFERROR(INDEX('参数设置'!$E$30:$E$44,MATCH($D27,'参数设置'!$C$30:$C$44,0)),0)))</f>
        <v/>
      </c>
      <c r="G27" s="24">
        <f>IF($D27="","",'03设备工时'!$F27)</f>
        <v/>
      </c>
      <c r="H27" s="24">
        <f>IF($D27="","",'03设备工时'!$P27)</f>
        <v/>
      </c>
      <c r="I27" s="20">
        <f>IF(OR($D27="",$G27=0),"",$H27/$G27)</f>
        <v/>
      </c>
      <c r="J27" s="12">
        <f>IF($D27="","",ROUND($F27,2)-$S27)</f>
        <v/>
      </c>
      <c r="K27" s="12">
        <f>IF(OR($D27="",$G27=0),"",ROUND($F27*'03设备工时'!H27/$G27,2))</f>
        <v/>
      </c>
      <c r="L27" s="12">
        <f>IF(OR($D27="",$G27=0),"",ROUND($F27*'03设备工时'!I27/$G27,2))</f>
        <v/>
      </c>
      <c r="M27" s="12">
        <f>IF(OR($D27="",$G27=0),"",ROUND($F27*'03设备工时'!J27/$G27,2))</f>
        <v/>
      </c>
      <c r="N27" s="12">
        <f>IF(OR($D27="",$G27=0),"",ROUND($F27*'03设备工时'!K27/$G27,2))</f>
        <v/>
      </c>
      <c r="O27" s="12">
        <f>IF(OR($D27="",$G27=0),"",ROUND($F27*'03设备工时'!L27/$G27,2))</f>
        <v/>
      </c>
      <c r="P27" s="12">
        <f>IF(OR($D27="",$G27=0),"",ROUND($F27*'03设备工时'!M27/$G27,2))</f>
        <v/>
      </c>
      <c r="Q27" s="12">
        <f>IF(OR($D27="",$G27=0),"",ROUND($F27*'03设备工时'!N27/$G27,2))</f>
        <v/>
      </c>
      <c r="R27" s="12">
        <f>IF(OR($D27="",$G27=0),"",ROUND($F27*'03设备工时'!O27/$G27,2))</f>
        <v/>
      </c>
      <c r="S27" s="12">
        <f>IF($D27="","",SUM(K27:R27))</f>
        <v/>
      </c>
      <c r="T27" s="12">
        <f>IF($D27="","",$J27+$S27)</f>
        <v/>
      </c>
      <c r="U27" s="25">
        <f>IF($D27="","",IF($F27=0,"未维护折旧额",IF(ROUND($T27-$F27,2)=0,"√","差异")))</f>
        <v/>
      </c>
      <c r="V27" s="11" t="n"/>
      <c r="W27" s="39">
        <f>IF($D27="","",IFERROR(INDEX('参数设置'!$F$30:$F$44,MATCH($D27,'参数设置'!$C$30:$C$44,0)),""))</f>
        <v/>
      </c>
    </row>
    <row r="28" ht="18" customHeight="1">
      <c r="B28" s="21">
        <f>IF('03设备工时'!$D28="","",'03设备工时'!$B28)</f>
        <v/>
      </c>
      <c r="C28" s="22">
        <f>IF('03设备工时'!$D28="","",'03设备工时'!$C28)</f>
        <v/>
      </c>
      <c r="D28" s="22">
        <f>IF('03设备工时'!$D28="","",'03设备工时'!$D28)</f>
        <v/>
      </c>
      <c r="E28" s="39">
        <f>IF($D28="","",'03设备工时'!$E28)</f>
        <v/>
      </c>
      <c r="F28" s="23">
        <f>IF($D28="","",IF($V28&lt;&gt;"",$V28,IFERROR(INDEX('参数设置'!$E$30:$E$44,MATCH($D28,'参数设置'!$C$30:$C$44,0)),0)))</f>
        <v/>
      </c>
      <c r="G28" s="24">
        <f>IF($D28="","",'03设备工时'!$F28)</f>
        <v/>
      </c>
      <c r="H28" s="24">
        <f>IF($D28="","",'03设备工时'!$P28)</f>
        <v/>
      </c>
      <c r="I28" s="20">
        <f>IF(OR($D28="",$G28=0),"",$H28/$G28)</f>
        <v/>
      </c>
      <c r="J28" s="12">
        <f>IF($D28="","",ROUND($F28,2)-$S28)</f>
        <v/>
      </c>
      <c r="K28" s="12">
        <f>IF(OR($D28="",$G28=0),"",ROUND($F28*'03设备工时'!H28/$G28,2))</f>
        <v/>
      </c>
      <c r="L28" s="12">
        <f>IF(OR($D28="",$G28=0),"",ROUND($F28*'03设备工时'!I28/$G28,2))</f>
        <v/>
      </c>
      <c r="M28" s="12">
        <f>IF(OR($D28="",$G28=0),"",ROUND($F28*'03设备工时'!J28/$G28,2))</f>
        <v/>
      </c>
      <c r="N28" s="12">
        <f>IF(OR($D28="",$G28=0),"",ROUND($F28*'03设备工时'!K28/$G28,2))</f>
        <v/>
      </c>
      <c r="O28" s="12">
        <f>IF(OR($D28="",$G28=0),"",ROUND($F28*'03设备工时'!L28/$G28,2))</f>
        <v/>
      </c>
      <c r="P28" s="12">
        <f>IF(OR($D28="",$G28=0),"",ROUND($F28*'03设备工时'!M28/$G28,2))</f>
        <v/>
      </c>
      <c r="Q28" s="12">
        <f>IF(OR($D28="",$G28=0),"",ROUND($F28*'03设备工时'!N28/$G28,2))</f>
        <v/>
      </c>
      <c r="R28" s="12">
        <f>IF(OR($D28="",$G28=0),"",ROUND($F28*'03设备工时'!O28/$G28,2))</f>
        <v/>
      </c>
      <c r="S28" s="12">
        <f>IF($D28="","",SUM(K28:R28))</f>
        <v/>
      </c>
      <c r="T28" s="12">
        <f>IF($D28="","",$J28+$S28)</f>
        <v/>
      </c>
      <c r="U28" s="25">
        <f>IF($D28="","",IF($F28=0,"未维护折旧额",IF(ROUND($T28-$F28,2)=0,"√","差异")))</f>
        <v/>
      </c>
      <c r="V28" s="11" t="n"/>
      <c r="W28" s="39">
        <f>IF($D28="","",IFERROR(INDEX('参数设置'!$F$30:$F$44,MATCH($D28,'参数设置'!$C$30:$C$44,0)),""))</f>
        <v/>
      </c>
    </row>
    <row r="29" ht="18" customHeight="1">
      <c r="B29" s="21">
        <f>IF('03设备工时'!$D29="","",'03设备工时'!$B29)</f>
        <v/>
      </c>
      <c r="C29" s="22">
        <f>IF('03设备工时'!$D29="","",'03设备工时'!$C29)</f>
        <v/>
      </c>
      <c r="D29" s="22">
        <f>IF('03设备工时'!$D29="","",'03设备工时'!$D29)</f>
        <v/>
      </c>
      <c r="E29" s="39">
        <f>IF($D29="","",'03设备工时'!$E29)</f>
        <v/>
      </c>
      <c r="F29" s="23">
        <f>IF($D29="","",IF($V29&lt;&gt;"",$V29,IFERROR(INDEX('参数设置'!$E$30:$E$44,MATCH($D29,'参数设置'!$C$30:$C$44,0)),0)))</f>
        <v/>
      </c>
      <c r="G29" s="24">
        <f>IF($D29="","",'03设备工时'!$F29)</f>
        <v/>
      </c>
      <c r="H29" s="24">
        <f>IF($D29="","",'03设备工时'!$P29)</f>
        <v/>
      </c>
      <c r="I29" s="20">
        <f>IF(OR($D29="",$G29=0),"",$H29/$G29)</f>
        <v/>
      </c>
      <c r="J29" s="12">
        <f>IF($D29="","",ROUND($F29,2)-$S29)</f>
        <v/>
      </c>
      <c r="K29" s="12">
        <f>IF(OR($D29="",$G29=0),"",ROUND($F29*'03设备工时'!H29/$G29,2))</f>
        <v/>
      </c>
      <c r="L29" s="12">
        <f>IF(OR($D29="",$G29=0),"",ROUND($F29*'03设备工时'!I29/$G29,2))</f>
        <v/>
      </c>
      <c r="M29" s="12">
        <f>IF(OR($D29="",$G29=0),"",ROUND($F29*'03设备工时'!J29/$G29,2))</f>
        <v/>
      </c>
      <c r="N29" s="12">
        <f>IF(OR($D29="",$G29=0),"",ROUND($F29*'03设备工时'!K29/$G29,2))</f>
        <v/>
      </c>
      <c r="O29" s="12">
        <f>IF(OR($D29="",$G29=0),"",ROUND($F29*'03设备工时'!L29/$G29,2))</f>
        <v/>
      </c>
      <c r="P29" s="12">
        <f>IF(OR($D29="",$G29=0),"",ROUND($F29*'03设备工时'!M29/$G29,2))</f>
        <v/>
      </c>
      <c r="Q29" s="12">
        <f>IF(OR($D29="",$G29=0),"",ROUND($F29*'03设备工时'!N29/$G29,2))</f>
        <v/>
      </c>
      <c r="R29" s="12">
        <f>IF(OR($D29="",$G29=0),"",ROUND($F29*'03设备工时'!O29/$G29,2))</f>
        <v/>
      </c>
      <c r="S29" s="12">
        <f>IF($D29="","",SUM(K29:R29))</f>
        <v/>
      </c>
      <c r="T29" s="12">
        <f>IF($D29="","",$J29+$S29)</f>
        <v/>
      </c>
      <c r="U29" s="25">
        <f>IF($D29="","",IF($F29=0,"未维护折旧额",IF(ROUND($T29-$F29,2)=0,"√","差异")))</f>
        <v/>
      </c>
      <c r="V29" s="11" t="n"/>
      <c r="W29" s="39">
        <f>IF($D29="","",IFERROR(INDEX('参数设置'!$F$30:$F$44,MATCH($D29,'参数设置'!$C$30:$C$44,0)),""))</f>
        <v/>
      </c>
    </row>
    <row r="30" ht="18" customHeight="1">
      <c r="B30" s="21">
        <f>IF('03设备工时'!$D30="","",'03设备工时'!$B30)</f>
        <v/>
      </c>
      <c r="C30" s="22">
        <f>IF('03设备工时'!$D30="","",'03设备工时'!$C30)</f>
        <v/>
      </c>
      <c r="D30" s="22">
        <f>IF('03设备工时'!$D30="","",'03设备工时'!$D30)</f>
        <v/>
      </c>
      <c r="E30" s="39">
        <f>IF($D30="","",'03设备工时'!$E30)</f>
        <v/>
      </c>
      <c r="F30" s="23">
        <f>IF($D30="","",IF($V30&lt;&gt;"",$V30,IFERROR(INDEX('参数设置'!$E$30:$E$44,MATCH($D30,'参数设置'!$C$30:$C$44,0)),0)))</f>
        <v/>
      </c>
      <c r="G30" s="24">
        <f>IF($D30="","",'03设备工时'!$F30)</f>
        <v/>
      </c>
      <c r="H30" s="24">
        <f>IF($D30="","",'03设备工时'!$P30)</f>
        <v/>
      </c>
      <c r="I30" s="20">
        <f>IF(OR($D30="",$G30=0),"",$H30/$G30)</f>
        <v/>
      </c>
      <c r="J30" s="12">
        <f>IF($D30="","",ROUND($F30,2)-$S30)</f>
        <v/>
      </c>
      <c r="K30" s="12">
        <f>IF(OR($D30="",$G30=0),"",ROUND($F30*'03设备工时'!H30/$G30,2))</f>
        <v/>
      </c>
      <c r="L30" s="12">
        <f>IF(OR($D30="",$G30=0),"",ROUND($F30*'03设备工时'!I30/$G30,2))</f>
        <v/>
      </c>
      <c r="M30" s="12">
        <f>IF(OR($D30="",$G30=0),"",ROUND($F30*'03设备工时'!J30/$G30,2))</f>
        <v/>
      </c>
      <c r="N30" s="12">
        <f>IF(OR($D30="",$G30=0),"",ROUND($F30*'03设备工时'!K30/$G30,2))</f>
        <v/>
      </c>
      <c r="O30" s="12">
        <f>IF(OR($D30="",$G30=0),"",ROUND($F30*'03设备工时'!L30/$G30,2))</f>
        <v/>
      </c>
      <c r="P30" s="12">
        <f>IF(OR($D30="",$G30=0),"",ROUND($F30*'03设备工时'!M30/$G30,2))</f>
        <v/>
      </c>
      <c r="Q30" s="12">
        <f>IF(OR($D30="",$G30=0),"",ROUND($F30*'03设备工时'!N30/$G30,2))</f>
        <v/>
      </c>
      <c r="R30" s="12">
        <f>IF(OR($D30="",$G30=0),"",ROUND($F30*'03设备工时'!O30/$G30,2))</f>
        <v/>
      </c>
      <c r="S30" s="12">
        <f>IF($D30="","",SUM(K30:R30))</f>
        <v/>
      </c>
      <c r="T30" s="12">
        <f>IF($D30="","",$J30+$S30)</f>
        <v/>
      </c>
      <c r="U30" s="25">
        <f>IF($D30="","",IF($F30=0,"未维护折旧额",IF(ROUND($T30-$F30,2)=0,"√","差异")))</f>
        <v/>
      </c>
      <c r="V30" s="11" t="n"/>
      <c r="W30" s="39">
        <f>IF($D30="","",IFERROR(INDEX('参数设置'!$F$30:$F$44,MATCH($D30,'参数设置'!$C$30:$C$44,0)),""))</f>
        <v/>
      </c>
    </row>
    <row r="31" ht="18" customHeight="1">
      <c r="B31" s="21">
        <f>IF('03设备工时'!$D31="","",'03设备工时'!$B31)</f>
        <v/>
      </c>
      <c r="C31" s="22">
        <f>IF('03设备工时'!$D31="","",'03设备工时'!$C31)</f>
        <v/>
      </c>
      <c r="D31" s="22">
        <f>IF('03设备工时'!$D31="","",'03设备工时'!$D31)</f>
        <v/>
      </c>
      <c r="E31" s="39">
        <f>IF($D31="","",'03设备工时'!$E31)</f>
        <v/>
      </c>
      <c r="F31" s="23">
        <f>IF($D31="","",IF($V31&lt;&gt;"",$V31,IFERROR(INDEX('参数设置'!$E$30:$E$44,MATCH($D31,'参数设置'!$C$30:$C$44,0)),0)))</f>
        <v/>
      </c>
      <c r="G31" s="24">
        <f>IF($D31="","",'03设备工时'!$F31)</f>
        <v/>
      </c>
      <c r="H31" s="24">
        <f>IF($D31="","",'03设备工时'!$P31)</f>
        <v/>
      </c>
      <c r="I31" s="20">
        <f>IF(OR($D31="",$G31=0),"",$H31/$G31)</f>
        <v/>
      </c>
      <c r="J31" s="12">
        <f>IF($D31="","",ROUND($F31,2)-$S31)</f>
        <v/>
      </c>
      <c r="K31" s="12">
        <f>IF(OR($D31="",$G31=0),"",ROUND($F31*'03设备工时'!H31/$G31,2))</f>
        <v/>
      </c>
      <c r="L31" s="12">
        <f>IF(OR($D31="",$G31=0),"",ROUND($F31*'03设备工时'!I31/$G31,2))</f>
        <v/>
      </c>
      <c r="M31" s="12">
        <f>IF(OR($D31="",$G31=0),"",ROUND($F31*'03设备工时'!J31/$G31,2))</f>
        <v/>
      </c>
      <c r="N31" s="12">
        <f>IF(OR($D31="",$G31=0),"",ROUND($F31*'03设备工时'!K31/$G31,2))</f>
        <v/>
      </c>
      <c r="O31" s="12">
        <f>IF(OR($D31="",$G31=0),"",ROUND($F31*'03设备工时'!L31/$G31,2))</f>
        <v/>
      </c>
      <c r="P31" s="12">
        <f>IF(OR($D31="",$G31=0),"",ROUND($F31*'03设备工时'!M31/$G31,2))</f>
        <v/>
      </c>
      <c r="Q31" s="12">
        <f>IF(OR($D31="",$G31=0),"",ROUND($F31*'03设备工时'!N31/$G31,2))</f>
        <v/>
      </c>
      <c r="R31" s="12">
        <f>IF(OR($D31="",$G31=0),"",ROUND($F31*'03设备工时'!O31/$G31,2))</f>
        <v/>
      </c>
      <c r="S31" s="12">
        <f>IF($D31="","",SUM(K31:R31))</f>
        <v/>
      </c>
      <c r="T31" s="12">
        <f>IF($D31="","",$J31+$S31)</f>
        <v/>
      </c>
      <c r="U31" s="25">
        <f>IF($D31="","",IF($F31=0,"未维护折旧额",IF(ROUND($T31-$F31,2)=0,"√","差异")))</f>
        <v/>
      </c>
      <c r="V31" s="11" t="n"/>
      <c r="W31" s="39">
        <f>IF($D31="","",IFERROR(INDEX('参数设置'!$F$30:$F$44,MATCH($D31,'参数设置'!$C$30:$C$44,0)),""))</f>
        <v/>
      </c>
    </row>
    <row r="32" ht="18" customHeight="1">
      <c r="B32" s="21">
        <f>IF('03设备工时'!$D32="","",'03设备工时'!$B32)</f>
        <v/>
      </c>
      <c r="C32" s="22">
        <f>IF('03设备工时'!$D32="","",'03设备工时'!$C32)</f>
        <v/>
      </c>
      <c r="D32" s="22">
        <f>IF('03设备工时'!$D32="","",'03设备工时'!$D32)</f>
        <v/>
      </c>
      <c r="E32" s="39">
        <f>IF($D32="","",'03设备工时'!$E32)</f>
        <v/>
      </c>
      <c r="F32" s="23">
        <f>IF($D32="","",IF($V32&lt;&gt;"",$V32,IFERROR(INDEX('参数设置'!$E$30:$E$44,MATCH($D32,'参数设置'!$C$30:$C$44,0)),0)))</f>
        <v/>
      </c>
      <c r="G32" s="24">
        <f>IF($D32="","",'03设备工时'!$F32)</f>
        <v/>
      </c>
      <c r="H32" s="24">
        <f>IF($D32="","",'03设备工时'!$P32)</f>
        <v/>
      </c>
      <c r="I32" s="20">
        <f>IF(OR($D32="",$G32=0),"",$H32/$G32)</f>
        <v/>
      </c>
      <c r="J32" s="12">
        <f>IF($D32="","",ROUND($F32,2)-$S32)</f>
        <v/>
      </c>
      <c r="K32" s="12">
        <f>IF(OR($D32="",$G32=0),"",ROUND($F32*'03设备工时'!H32/$G32,2))</f>
        <v/>
      </c>
      <c r="L32" s="12">
        <f>IF(OR($D32="",$G32=0),"",ROUND($F32*'03设备工时'!I32/$G32,2))</f>
        <v/>
      </c>
      <c r="M32" s="12">
        <f>IF(OR($D32="",$G32=0),"",ROUND($F32*'03设备工时'!J32/$G32,2))</f>
        <v/>
      </c>
      <c r="N32" s="12">
        <f>IF(OR($D32="",$G32=0),"",ROUND($F32*'03设备工时'!K32/$G32,2))</f>
        <v/>
      </c>
      <c r="O32" s="12">
        <f>IF(OR($D32="",$G32=0),"",ROUND($F32*'03设备工时'!L32/$G32,2))</f>
        <v/>
      </c>
      <c r="P32" s="12">
        <f>IF(OR($D32="",$G32=0),"",ROUND($F32*'03设备工时'!M32/$G32,2))</f>
        <v/>
      </c>
      <c r="Q32" s="12">
        <f>IF(OR($D32="",$G32=0),"",ROUND($F32*'03设备工时'!N32/$G32,2))</f>
        <v/>
      </c>
      <c r="R32" s="12">
        <f>IF(OR($D32="",$G32=0),"",ROUND($F32*'03设备工时'!O32/$G32,2))</f>
        <v/>
      </c>
      <c r="S32" s="12">
        <f>IF($D32="","",SUM(K32:R32))</f>
        <v/>
      </c>
      <c r="T32" s="12">
        <f>IF($D32="","",$J32+$S32)</f>
        <v/>
      </c>
      <c r="U32" s="25">
        <f>IF($D32="","",IF($F32=0,"未维护折旧额",IF(ROUND($T32-$F32,2)=0,"√","差异")))</f>
        <v/>
      </c>
      <c r="V32" s="11" t="n"/>
      <c r="W32" s="39">
        <f>IF($D32="","",IFERROR(INDEX('参数设置'!$F$30:$F$44,MATCH($D32,'参数设置'!$C$30:$C$44,0)),""))</f>
        <v/>
      </c>
    </row>
    <row r="33" ht="18" customHeight="1">
      <c r="B33" s="21">
        <f>IF('03设备工时'!$D33="","",'03设备工时'!$B33)</f>
        <v/>
      </c>
      <c r="C33" s="22">
        <f>IF('03设备工时'!$D33="","",'03设备工时'!$C33)</f>
        <v/>
      </c>
      <c r="D33" s="22">
        <f>IF('03设备工时'!$D33="","",'03设备工时'!$D33)</f>
        <v/>
      </c>
      <c r="E33" s="39">
        <f>IF($D33="","",'03设备工时'!$E33)</f>
        <v/>
      </c>
      <c r="F33" s="23">
        <f>IF($D33="","",IF($V33&lt;&gt;"",$V33,IFERROR(INDEX('参数设置'!$E$30:$E$44,MATCH($D33,'参数设置'!$C$30:$C$44,0)),0)))</f>
        <v/>
      </c>
      <c r="G33" s="24">
        <f>IF($D33="","",'03设备工时'!$F33)</f>
        <v/>
      </c>
      <c r="H33" s="24">
        <f>IF($D33="","",'03设备工时'!$P33)</f>
        <v/>
      </c>
      <c r="I33" s="20">
        <f>IF(OR($D33="",$G33=0),"",$H33/$G33)</f>
        <v/>
      </c>
      <c r="J33" s="12">
        <f>IF($D33="","",ROUND($F33,2)-$S33)</f>
        <v/>
      </c>
      <c r="K33" s="12">
        <f>IF(OR($D33="",$G33=0),"",ROUND($F33*'03设备工时'!H33/$G33,2))</f>
        <v/>
      </c>
      <c r="L33" s="12">
        <f>IF(OR($D33="",$G33=0),"",ROUND($F33*'03设备工时'!I33/$G33,2))</f>
        <v/>
      </c>
      <c r="M33" s="12">
        <f>IF(OR($D33="",$G33=0),"",ROUND($F33*'03设备工时'!J33/$G33,2))</f>
        <v/>
      </c>
      <c r="N33" s="12">
        <f>IF(OR($D33="",$G33=0),"",ROUND($F33*'03设备工时'!K33/$G33,2))</f>
        <v/>
      </c>
      <c r="O33" s="12">
        <f>IF(OR($D33="",$G33=0),"",ROUND($F33*'03设备工时'!L33/$G33,2))</f>
        <v/>
      </c>
      <c r="P33" s="12">
        <f>IF(OR($D33="",$G33=0),"",ROUND($F33*'03设备工时'!M33/$G33,2))</f>
        <v/>
      </c>
      <c r="Q33" s="12">
        <f>IF(OR($D33="",$G33=0),"",ROUND($F33*'03设备工时'!N33/$G33,2))</f>
        <v/>
      </c>
      <c r="R33" s="12">
        <f>IF(OR($D33="",$G33=0),"",ROUND($F33*'03设备工时'!O33/$G33,2))</f>
        <v/>
      </c>
      <c r="S33" s="12">
        <f>IF($D33="","",SUM(K33:R33))</f>
        <v/>
      </c>
      <c r="T33" s="12">
        <f>IF($D33="","",$J33+$S33)</f>
        <v/>
      </c>
      <c r="U33" s="25">
        <f>IF($D33="","",IF($F33=0,"未维护折旧额",IF(ROUND($T33-$F33,2)=0,"√","差异")))</f>
        <v/>
      </c>
      <c r="V33" s="11" t="n"/>
      <c r="W33" s="39">
        <f>IF($D33="","",IFERROR(INDEX('参数设置'!$F$30:$F$44,MATCH($D33,'参数设置'!$C$30:$C$44,0)),""))</f>
        <v/>
      </c>
    </row>
    <row r="34" ht="18" customHeight="1">
      <c r="B34" s="21">
        <f>IF('03设备工时'!$D34="","",'03设备工时'!$B34)</f>
        <v/>
      </c>
      <c r="C34" s="22">
        <f>IF('03设备工时'!$D34="","",'03设备工时'!$C34)</f>
        <v/>
      </c>
      <c r="D34" s="22">
        <f>IF('03设备工时'!$D34="","",'03设备工时'!$D34)</f>
        <v/>
      </c>
      <c r="E34" s="39">
        <f>IF($D34="","",'03设备工时'!$E34)</f>
        <v/>
      </c>
      <c r="F34" s="23">
        <f>IF($D34="","",IF($V34&lt;&gt;"",$V34,IFERROR(INDEX('参数设置'!$E$30:$E$44,MATCH($D34,'参数设置'!$C$30:$C$44,0)),0)))</f>
        <v/>
      </c>
      <c r="G34" s="24">
        <f>IF($D34="","",'03设备工时'!$F34)</f>
        <v/>
      </c>
      <c r="H34" s="24">
        <f>IF($D34="","",'03设备工时'!$P34)</f>
        <v/>
      </c>
      <c r="I34" s="20">
        <f>IF(OR($D34="",$G34=0),"",$H34/$G34)</f>
        <v/>
      </c>
      <c r="J34" s="12">
        <f>IF($D34="","",ROUND($F34,2)-$S34)</f>
        <v/>
      </c>
      <c r="K34" s="12">
        <f>IF(OR($D34="",$G34=0),"",ROUND($F34*'03设备工时'!H34/$G34,2))</f>
        <v/>
      </c>
      <c r="L34" s="12">
        <f>IF(OR($D34="",$G34=0),"",ROUND($F34*'03设备工时'!I34/$G34,2))</f>
        <v/>
      </c>
      <c r="M34" s="12">
        <f>IF(OR($D34="",$G34=0),"",ROUND($F34*'03设备工时'!J34/$G34,2))</f>
        <v/>
      </c>
      <c r="N34" s="12">
        <f>IF(OR($D34="",$G34=0),"",ROUND($F34*'03设备工时'!K34/$G34,2))</f>
        <v/>
      </c>
      <c r="O34" s="12">
        <f>IF(OR($D34="",$G34=0),"",ROUND($F34*'03设备工时'!L34/$G34,2))</f>
        <v/>
      </c>
      <c r="P34" s="12">
        <f>IF(OR($D34="",$G34=0),"",ROUND($F34*'03设备工时'!M34/$G34,2))</f>
        <v/>
      </c>
      <c r="Q34" s="12">
        <f>IF(OR($D34="",$G34=0),"",ROUND($F34*'03设备工时'!N34/$G34,2))</f>
        <v/>
      </c>
      <c r="R34" s="12">
        <f>IF(OR($D34="",$G34=0),"",ROUND($F34*'03设备工时'!O34/$G34,2))</f>
        <v/>
      </c>
      <c r="S34" s="12">
        <f>IF($D34="","",SUM(K34:R34))</f>
        <v/>
      </c>
      <c r="T34" s="12">
        <f>IF($D34="","",$J34+$S34)</f>
        <v/>
      </c>
      <c r="U34" s="25">
        <f>IF($D34="","",IF($F34=0,"未维护折旧额",IF(ROUND($T34-$F34,2)=0,"√","差异")))</f>
        <v/>
      </c>
      <c r="V34" s="11" t="n"/>
      <c r="W34" s="39">
        <f>IF($D34="","",IFERROR(INDEX('参数设置'!$F$30:$F$44,MATCH($D34,'参数设置'!$C$30:$C$44,0)),""))</f>
        <v/>
      </c>
    </row>
    <row r="35" ht="18" customHeight="1">
      <c r="B35" s="21">
        <f>IF('03设备工时'!$D35="","",'03设备工时'!$B35)</f>
        <v/>
      </c>
      <c r="C35" s="22">
        <f>IF('03设备工时'!$D35="","",'03设备工时'!$C35)</f>
        <v/>
      </c>
      <c r="D35" s="22">
        <f>IF('03设备工时'!$D35="","",'03设备工时'!$D35)</f>
        <v/>
      </c>
      <c r="E35" s="39">
        <f>IF($D35="","",'03设备工时'!$E35)</f>
        <v/>
      </c>
      <c r="F35" s="23">
        <f>IF($D35="","",IF($V35&lt;&gt;"",$V35,IFERROR(INDEX('参数设置'!$E$30:$E$44,MATCH($D35,'参数设置'!$C$30:$C$44,0)),0)))</f>
        <v/>
      </c>
      <c r="G35" s="24">
        <f>IF($D35="","",'03设备工时'!$F35)</f>
        <v/>
      </c>
      <c r="H35" s="24">
        <f>IF($D35="","",'03设备工时'!$P35)</f>
        <v/>
      </c>
      <c r="I35" s="20">
        <f>IF(OR($D35="",$G35=0),"",$H35/$G35)</f>
        <v/>
      </c>
      <c r="J35" s="12">
        <f>IF($D35="","",ROUND($F35,2)-$S35)</f>
        <v/>
      </c>
      <c r="K35" s="12">
        <f>IF(OR($D35="",$G35=0),"",ROUND($F35*'03设备工时'!H35/$G35,2))</f>
        <v/>
      </c>
      <c r="L35" s="12">
        <f>IF(OR($D35="",$G35=0),"",ROUND($F35*'03设备工时'!I35/$G35,2))</f>
        <v/>
      </c>
      <c r="M35" s="12">
        <f>IF(OR($D35="",$G35=0),"",ROUND($F35*'03设备工时'!J35/$G35,2))</f>
        <v/>
      </c>
      <c r="N35" s="12">
        <f>IF(OR($D35="",$G35=0),"",ROUND($F35*'03设备工时'!K35/$G35,2))</f>
        <v/>
      </c>
      <c r="O35" s="12">
        <f>IF(OR($D35="",$G35=0),"",ROUND($F35*'03设备工时'!L35/$G35,2))</f>
        <v/>
      </c>
      <c r="P35" s="12">
        <f>IF(OR($D35="",$G35=0),"",ROUND($F35*'03设备工时'!M35/$G35,2))</f>
        <v/>
      </c>
      <c r="Q35" s="12">
        <f>IF(OR($D35="",$G35=0),"",ROUND($F35*'03设备工时'!N35/$G35,2))</f>
        <v/>
      </c>
      <c r="R35" s="12">
        <f>IF(OR($D35="",$G35=0),"",ROUND($F35*'03设备工时'!O35/$G35,2))</f>
        <v/>
      </c>
      <c r="S35" s="12">
        <f>IF($D35="","",SUM(K35:R35))</f>
        <v/>
      </c>
      <c r="T35" s="12">
        <f>IF($D35="","",$J35+$S35)</f>
        <v/>
      </c>
      <c r="U35" s="25">
        <f>IF($D35="","",IF($F35=0,"未维护折旧额",IF(ROUND($T35-$F35,2)=0,"√","差异")))</f>
        <v/>
      </c>
      <c r="V35" s="11" t="n"/>
      <c r="W35" s="39">
        <f>IF($D35="","",IFERROR(INDEX('参数设置'!$F$30:$F$44,MATCH($D35,'参数设置'!$C$30:$C$44,0)),""))</f>
        <v/>
      </c>
    </row>
    <row r="36" ht="18" customHeight="1">
      <c r="B36" s="21">
        <f>IF('03设备工时'!$D36="","",'03设备工时'!$B36)</f>
        <v/>
      </c>
      <c r="C36" s="22">
        <f>IF('03设备工时'!$D36="","",'03设备工时'!$C36)</f>
        <v/>
      </c>
      <c r="D36" s="22">
        <f>IF('03设备工时'!$D36="","",'03设备工时'!$D36)</f>
        <v/>
      </c>
      <c r="E36" s="39">
        <f>IF($D36="","",'03设备工时'!$E36)</f>
        <v/>
      </c>
      <c r="F36" s="23">
        <f>IF($D36="","",IF($V36&lt;&gt;"",$V36,IFERROR(INDEX('参数设置'!$E$30:$E$44,MATCH($D36,'参数设置'!$C$30:$C$44,0)),0)))</f>
        <v/>
      </c>
      <c r="G36" s="24">
        <f>IF($D36="","",'03设备工时'!$F36)</f>
        <v/>
      </c>
      <c r="H36" s="24">
        <f>IF($D36="","",'03设备工时'!$P36)</f>
        <v/>
      </c>
      <c r="I36" s="20">
        <f>IF(OR($D36="",$G36=0),"",$H36/$G36)</f>
        <v/>
      </c>
      <c r="J36" s="12">
        <f>IF($D36="","",ROUND($F36,2)-$S36)</f>
        <v/>
      </c>
      <c r="K36" s="12">
        <f>IF(OR($D36="",$G36=0),"",ROUND($F36*'03设备工时'!H36/$G36,2))</f>
        <v/>
      </c>
      <c r="L36" s="12">
        <f>IF(OR($D36="",$G36=0),"",ROUND($F36*'03设备工时'!I36/$G36,2))</f>
        <v/>
      </c>
      <c r="M36" s="12">
        <f>IF(OR($D36="",$G36=0),"",ROUND($F36*'03设备工时'!J36/$G36,2))</f>
        <v/>
      </c>
      <c r="N36" s="12">
        <f>IF(OR($D36="",$G36=0),"",ROUND($F36*'03设备工时'!K36/$G36,2))</f>
        <v/>
      </c>
      <c r="O36" s="12">
        <f>IF(OR($D36="",$G36=0),"",ROUND($F36*'03设备工时'!L36/$G36,2))</f>
        <v/>
      </c>
      <c r="P36" s="12">
        <f>IF(OR($D36="",$G36=0),"",ROUND($F36*'03设备工时'!M36/$G36,2))</f>
        <v/>
      </c>
      <c r="Q36" s="12">
        <f>IF(OR($D36="",$G36=0),"",ROUND($F36*'03设备工时'!N36/$G36,2))</f>
        <v/>
      </c>
      <c r="R36" s="12">
        <f>IF(OR($D36="",$G36=0),"",ROUND($F36*'03设备工时'!O36/$G36,2))</f>
        <v/>
      </c>
      <c r="S36" s="12">
        <f>IF($D36="","",SUM(K36:R36))</f>
        <v/>
      </c>
      <c r="T36" s="12">
        <f>IF($D36="","",$J36+$S36)</f>
        <v/>
      </c>
      <c r="U36" s="25">
        <f>IF($D36="","",IF($F36=0,"未维护折旧额",IF(ROUND($T36-$F36,2)=0,"√","差异")))</f>
        <v/>
      </c>
      <c r="V36" s="11" t="n"/>
      <c r="W36" s="39">
        <f>IF($D36="","",IFERROR(INDEX('参数设置'!$F$30:$F$44,MATCH($D36,'参数设置'!$C$30:$C$44,0)),""))</f>
        <v/>
      </c>
    </row>
    <row r="37" ht="18" customHeight="1">
      <c r="B37" s="21">
        <f>IF('03设备工时'!$D37="","",'03设备工时'!$B37)</f>
        <v/>
      </c>
      <c r="C37" s="22">
        <f>IF('03设备工时'!$D37="","",'03设备工时'!$C37)</f>
        <v/>
      </c>
      <c r="D37" s="22">
        <f>IF('03设备工时'!$D37="","",'03设备工时'!$D37)</f>
        <v/>
      </c>
      <c r="E37" s="39">
        <f>IF($D37="","",'03设备工时'!$E37)</f>
        <v/>
      </c>
      <c r="F37" s="23">
        <f>IF($D37="","",IF($V37&lt;&gt;"",$V37,IFERROR(INDEX('参数设置'!$E$30:$E$44,MATCH($D37,'参数设置'!$C$30:$C$44,0)),0)))</f>
        <v/>
      </c>
      <c r="G37" s="24">
        <f>IF($D37="","",'03设备工时'!$F37)</f>
        <v/>
      </c>
      <c r="H37" s="24">
        <f>IF($D37="","",'03设备工时'!$P37)</f>
        <v/>
      </c>
      <c r="I37" s="20">
        <f>IF(OR($D37="",$G37=0),"",$H37/$G37)</f>
        <v/>
      </c>
      <c r="J37" s="12">
        <f>IF($D37="","",ROUND($F37,2)-$S37)</f>
        <v/>
      </c>
      <c r="K37" s="12">
        <f>IF(OR($D37="",$G37=0),"",ROUND($F37*'03设备工时'!H37/$G37,2))</f>
        <v/>
      </c>
      <c r="L37" s="12">
        <f>IF(OR($D37="",$G37=0),"",ROUND($F37*'03设备工时'!I37/$G37,2))</f>
        <v/>
      </c>
      <c r="M37" s="12">
        <f>IF(OR($D37="",$G37=0),"",ROUND($F37*'03设备工时'!J37/$G37,2))</f>
        <v/>
      </c>
      <c r="N37" s="12">
        <f>IF(OR($D37="",$G37=0),"",ROUND($F37*'03设备工时'!K37/$G37,2))</f>
        <v/>
      </c>
      <c r="O37" s="12">
        <f>IF(OR($D37="",$G37=0),"",ROUND($F37*'03设备工时'!L37/$G37,2))</f>
        <v/>
      </c>
      <c r="P37" s="12">
        <f>IF(OR($D37="",$G37=0),"",ROUND($F37*'03设备工时'!M37/$G37,2))</f>
        <v/>
      </c>
      <c r="Q37" s="12">
        <f>IF(OR($D37="",$G37=0),"",ROUND($F37*'03设备工时'!N37/$G37,2))</f>
        <v/>
      </c>
      <c r="R37" s="12">
        <f>IF(OR($D37="",$G37=0),"",ROUND($F37*'03设备工时'!O37/$G37,2))</f>
        <v/>
      </c>
      <c r="S37" s="12">
        <f>IF($D37="","",SUM(K37:R37))</f>
        <v/>
      </c>
      <c r="T37" s="12">
        <f>IF($D37="","",$J37+$S37)</f>
        <v/>
      </c>
      <c r="U37" s="25">
        <f>IF($D37="","",IF($F37=0,"未维护折旧额",IF(ROUND($T37-$F37,2)=0,"√","差异")))</f>
        <v/>
      </c>
      <c r="V37" s="11" t="n"/>
      <c r="W37" s="39">
        <f>IF($D37="","",IFERROR(INDEX('参数设置'!$F$30:$F$44,MATCH($D37,'参数设置'!$C$30:$C$44,0)),""))</f>
        <v/>
      </c>
    </row>
    <row r="38" ht="18" customHeight="1">
      <c r="B38" s="21">
        <f>IF('03设备工时'!$D38="","",'03设备工时'!$B38)</f>
        <v/>
      </c>
      <c r="C38" s="22">
        <f>IF('03设备工时'!$D38="","",'03设备工时'!$C38)</f>
        <v/>
      </c>
      <c r="D38" s="22">
        <f>IF('03设备工时'!$D38="","",'03设备工时'!$D38)</f>
        <v/>
      </c>
      <c r="E38" s="39">
        <f>IF($D38="","",'03设备工时'!$E38)</f>
        <v/>
      </c>
      <c r="F38" s="23">
        <f>IF($D38="","",IF($V38&lt;&gt;"",$V38,IFERROR(INDEX('参数设置'!$E$30:$E$44,MATCH($D38,'参数设置'!$C$30:$C$44,0)),0)))</f>
        <v/>
      </c>
      <c r="G38" s="24">
        <f>IF($D38="","",'03设备工时'!$F38)</f>
        <v/>
      </c>
      <c r="H38" s="24">
        <f>IF($D38="","",'03设备工时'!$P38)</f>
        <v/>
      </c>
      <c r="I38" s="20">
        <f>IF(OR($D38="",$G38=0),"",$H38/$G38)</f>
        <v/>
      </c>
      <c r="J38" s="12">
        <f>IF($D38="","",ROUND($F38,2)-$S38)</f>
        <v/>
      </c>
      <c r="K38" s="12">
        <f>IF(OR($D38="",$G38=0),"",ROUND($F38*'03设备工时'!H38/$G38,2))</f>
        <v/>
      </c>
      <c r="L38" s="12">
        <f>IF(OR($D38="",$G38=0),"",ROUND($F38*'03设备工时'!I38/$G38,2))</f>
        <v/>
      </c>
      <c r="M38" s="12">
        <f>IF(OR($D38="",$G38=0),"",ROUND($F38*'03设备工时'!J38/$G38,2))</f>
        <v/>
      </c>
      <c r="N38" s="12">
        <f>IF(OR($D38="",$G38=0),"",ROUND($F38*'03设备工时'!K38/$G38,2))</f>
        <v/>
      </c>
      <c r="O38" s="12">
        <f>IF(OR($D38="",$G38=0),"",ROUND($F38*'03设备工时'!L38/$G38,2))</f>
        <v/>
      </c>
      <c r="P38" s="12">
        <f>IF(OR($D38="",$G38=0),"",ROUND($F38*'03设备工时'!M38/$G38,2))</f>
        <v/>
      </c>
      <c r="Q38" s="12">
        <f>IF(OR($D38="",$G38=0),"",ROUND($F38*'03设备工时'!N38/$G38,2))</f>
        <v/>
      </c>
      <c r="R38" s="12">
        <f>IF(OR($D38="",$G38=0),"",ROUND($F38*'03设备工时'!O38/$G38,2))</f>
        <v/>
      </c>
      <c r="S38" s="12">
        <f>IF($D38="","",SUM(K38:R38))</f>
        <v/>
      </c>
      <c r="T38" s="12">
        <f>IF($D38="","",$J38+$S38)</f>
        <v/>
      </c>
      <c r="U38" s="25">
        <f>IF($D38="","",IF($F38=0,"未维护折旧额",IF(ROUND($T38-$F38,2)=0,"√","差异")))</f>
        <v/>
      </c>
      <c r="V38" s="11" t="n"/>
      <c r="W38" s="39">
        <f>IF($D38="","",IFERROR(INDEX('参数设置'!$F$30:$F$44,MATCH($D38,'参数设置'!$C$30:$C$44,0)),""))</f>
        <v/>
      </c>
    </row>
    <row r="39" ht="18" customHeight="1">
      <c r="B39" s="21">
        <f>IF('03设备工时'!$D39="","",'03设备工时'!$B39)</f>
        <v/>
      </c>
      <c r="C39" s="22">
        <f>IF('03设备工时'!$D39="","",'03设备工时'!$C39)</f>
        <v/>
      </c>
      <c r="D39" s="22">
        <f>IF('03设备工时'!$D39="","",'03设备工时'!$D39)</f>
        <v/>
      </c>
      <c r="E39" s="39">
        <f>IF($D39="","",'03设备工时'!$E39)</f>
        <v/>
      </c>
      <c r="F39" s="23">
        <f>IF($D39="","",IF($V39&lt;&gt;"",$V39,IFERROR(INDEX('参数设置'!$E$30:$E$44,MATCH($D39,'参数设置'!$C$30:$C$44,0)),0)))</f>
        <v/>
      </c>
      <c r="G39" s="24">
        <f>IF($D39="","",'03设备工时'!$F39)</f>
        <v/>
      </c>
      <c r="H39" s="24">
        <f>IF($D39="","",'03设备工时'!$P39)</f>
        <v/>
      </c>
      <c r="I39" s="20">
        <f>IF(OR($D39="",$G39=0),"",$H39/$G39)</f>
        <v/>
      </c>
      <c r="J39" s="12">
        <f>IF($D39="","",ROUND($F39,2)-$S39)</f>
        <v/>
      </c>
      <c r="K39" s="12">
        <f>IF(OR($D39="",$G39=0),"",ROUND($F39*'03设备工时'!H39/$G39,2))</f>
        <v/>
      </c>
      <c r="L39" s="12">
        <f>IF(OR($D39="",$G39=0),"",ROUND($F39*'03设备工时'!I39/$G39,2))</f>
        <v/>
      </c>
      <c r="M39" s="12">
        <f>IF(OR($D39="",$G39=0),"",ROUND($F39*'03设备工时'!J39/$G39,2))</f>
        <v/>
      </c>
      <c r="N39" s="12">
        <f>IF(OR($D39="",$G39=0),"",ROUND($F39*'03设备工时'!K39/$G39,2))</f>
        <v/>
      </c>
      <c r="O39" s="12">
        <f>IF(OR($D39="",$G39=0),"",ROUND($F39*'03设备工时'!L39/$G39,2))</f>
        <v/>
      </c>
      <c r="P39" s="12">
        <f>IF(OR($D39="",$G39=0),"",ROUND($F39*'03设备工时'!M39/$G39,2))</f>
        <v/>
      </c>
      <c r="Q39" s="12">
        <f>IF(OR($D39="",$G39=0),"",ROUND($F39*'03设备工时'!N39/$G39,2))</f>
        <v/>
      </c>
      <c r="R39" s="12">
        <f>IF(OR($D39="",$G39=0),"",ROUND($F39*'03设备工时'!O39/$G39,2))</f>
        <v/>
      </c>
      <c r="S39" s="12">
        <f>IF($D39="","",SUM(K39:R39))</f>
        <v/>
      </c>
      <c r="T39" s="12">
        <f>IF($D39="","",$J39+$S39)</f>
        <v/>
      </c>
      <c r="U39" s="25">
        <f>IF($D39="","",IF($F39=0,"未维护折旧额",IF(ROUND($T39-$F39,2)=0,"√","差异")))</f>
        <v/>
      </c>
      <c r="V39" s="11" t="n"/>
      <c r="W39" s="39">
        <f>IF($D39="","",IFERROR(INDEX('参数设置'!$F$30:$F$44,MATCH($D39,'参数设置'!$C$30:$C$44,0)),""))</f>
        <v/>
      </c>
    </row>
    <row r="40" ht="18" customHeight="1">
      <c r="B40" s="21">
        <f>IF('03设备工时'!$D40="","",'03设备工时'!$B40)</f>
        <v/>
      </c>
      <c r="C40" s="22">
        <f>IF('03设备工时'!$D40="","",'03设备工时'!$C40)</f>
        <v/>
      </c>
      <c r="D40" s="22">
        <f>IF('03设备工时'!$D40="","",'03设备工时'!$D40)</f>
        <v/>
      </c>
      <c r="E40" s="39">
        <f>IF($D40="","",'03设备工时'!$E40)</f>
        <v/>
      </c>
      <c r="F40" s="23">
        <f>IF($D40="","",IF($V40&lt;&gt;"",$V40,IFERROR(INDEX('参数设置'!$E$30:$E$44,MATCH($D40,'参数设置'!$C$30:$C$44,0)),0)))</f>
        <v/>
      </c>
      <c r="G40" s="24">
        <f>IF($D40="","",'03设备工时'!$F40)</f>
        <v/>
      </c>
      <c r="H40" s="24">
        <f>IF($D40="","",'03设备工时'!$P40)</f>
        <v/>
      </c>
      <c r="I40" s="20">
        <f>IF(OR($D40="",$G40=0),"",$H40/$G40)</f>
        <v/>
      </c>
      <c r="J40" s="12">
        <f>IF($D40="","",ROUND($F40,2)-$S40)</f>
        <v/>
      </c>
      <c r="K40" s="12">
        <f>IF(OR($D40="",$G40=0),"",ROUND($F40*'03设备工时'!H40/$G40,2))</f>
        <v/>
      </c>
      <c r="L40" s="12">
        <f>IF(OR($D40="",$G40=0),"",ROUND($F40*'03设备工时'!I40/$G40,2))</f>
        <v/>
      </c>
      <c r="M40" s="12">
        <f>IF(OR($D40="",$G40=0),"",ROUND($F40*'03设备工时'!J40/$G40,2))</f>
        <v/>
      </c>
      <c r="N40" s="12">
        <f>IF(OR($D40="",$G40=0),"",ROUND($F40*'03设备工时'!K40/$G40,2))</f>
        <v/>
      </c>
      <c r="O40" s="12">
        <f>IF(OR($D40="",$G40=0),"",ROUND($F40*'03设备工时'!L40/$G40,2))</f>
        <v/>
      </c>
      <c r="P40" s="12">
        <f>IF(OR($D40="",$G40=0),"",ROUND($F40*'03设备工时'!M40/$G40,2))</f>
        <v/>
      </c>
      <c r="Q40" s="12">
        <f>IF(OR($D40="",$G40=0),"",ROUND($F40*'03设备工时'!N40/$G40,2))</f>
        <v/>
      </c>
      <c r="R40" s="12">
        <f>IF(OR($D40="",$G40=0),"",ROUND($F40*'03设备工时'!O40/$G40,2))</f>
        <v/>
      </c>
      <c r="S40" s="12">
        <f>IF($D40="","",SUM(K40:R40))</f>
        <v/>
      </c>
      <c r="T40" s="12">
        <f>IF($D40="","",$J40+$S40)</f>
        <v/>
      </c>
      <c r="U40" s="25">
        <f>IF($D40="","",IF($F40=0,"未维护折旧额",IF(ROUND($T40-$F40,2)=0,"√","差异")))</f>
        <v/>
      </c>
      <c r="V40" s="11" t="n"/>
      <c r="W40" s="39">
        <f>IF($D40="","",IFERROR(INDEX('参数设置'!$F$30:$F$44,MATCH($D40,'参数设置'!$C$30:$C$44,0)),""))</f>
        <v/>
      </c>
    </row>
    <row r="41" ht="18" customHeight="1">
      <c r="B41" s="21">
        <f>IF('03设备工时'!$D41="","",'03设备工时'!$B41)</f>
        <v/>
      </c>
      <c r="C41" s="22">
        <f>IF('03设备工时'!$D41="","",'03设备工时'!$C41)</f>
        <v/>
      </c>
      <c r="D41" s="22">
        <f>IF('03设备工时'!$D41="","",'03设备工时'!$D41)</f>
        <v/>
      </c>
      <c r="E41" s="39">
        <f>IF($D41="","",'03设备工时'!$E41)</f>
        <v/>
      </c>
      <c r="F41" s="23">
        <f>IF($D41="","",IF($V41&lt;&gt;"",$V41,IFERROR(INDEX('参数设置'!$E$30:$E$44,MATCH($D41,'参数设置'!$C$30:$C$44,0)),0)))</f>
        <v/>
      </c>
      <c r="G41" s="24">
        <f>IF($D41="","",'03设备工时'!$F41)</f>
        <v/>
      </c>
      <c r="H41" s="24">
        <f>IF($D41="","",'03设备工时'!$P41)</f>
        <v/>
      </c>
      <c r="I41" s="20">
        <f>IF(OR($D41="",$G41=0),"",$H41/$G41)</f>
        <v/>
      </c>
      <c r="J41" s="12">
        <f>IF($D41="","",ROUND($F41,2)-$S41)</f>
        <v/>
      </c>
      <c r="K41" s="12">
        <f>IF(OR($D41="",$G41=0),"",ROUND($F41*'03设备工时'!H41/$G41,2))</f>
        <v/>
      </c>
      <c r="L41" s="12">
        <f>IF(OR($D41="",$G41=0),"",ROUND($F41*'03设备工时'!I41/$G41,2))</f>
        <v/>
      </c>
      <c r="M41" s="12">
        <f>IF(OR($D41="",$G41=0),"",ROUND($F41*'03设备工时'!J41/$G41,2))</f>
        <v/>
      </c>
      <c r="N41" s="12">
        <f>IF(OR($D41="",$G41=0),"",ROUND($F41*'03设备工时'!K41/$G41,2))</f>
        <v/>
      </c>
      <c r="O41" s="12">
        <f>IF(OR($D41="",$G41=0),"",ROUND($F41*'03设备工时'!L41/$G41,2))</f>
        <v/>
      </c>
      <c r="P41" s="12">
        <f>IF(OR($D41="",$G41=0),"",ROUND($F41*'03设备工时'!M41/$G41,2))</f>
        <v/>
      </c>
      <c r="Q41" s="12">
        <f>IF(OR($D41="",$G41=0),"",ROUND($F41*'03设备工时'!N41/$G41,2))</f>
        <v/>
      </c>
      <c r="R41" s="12">
        <f>IF(OR($D41="",$G41=0),"",ROUND($F41*'03设备工时'!O41/$G41,2))</f>
        <v/>
      </c>
      <c r="S41" s="12">
        <f>IF($D41="","",SUM(K41:R41))</f>
        <v/>
      </c>
      <c r="T41" s="12">
        <f>IF($D41="","",$J41+$S41)</f>
        <v/>
      </c>
      <c r="U41" s="25">
        <f>IF($D41="","",IF($F41=0,"未维护折旧额",IF(ROUND($T41-$F41,2)=0,"√","差异")))</f>
        <v/>
      </c>
      <c r="V41" s="11" t="n"/>
      <c r="W41" s="39">
        <f>IF($D41="","",IFERROR(INDEX('参数设置'!$F$30:$F$44,MATCH($D41,'参数设置'!$C$30:$C$44,0)),""))</f>
        <v/>
      </c>
    </row>
    <row r="42" ht="18" customHeight="1">
      <c r="B42" s="21">
        <f>IF('03设备工时'!$D42="","",'03设备工时'!$B42)</f>
        <v/>
      </c>
      <c r="C42" s="22">
        <f>IF('03设备工时'!$D42="","",'03设备工时'!$C42)</f>
        <v/>
      </c>
      <c r="D42" s="22">
        <f>IF('03设备工时'!$D42="","",'03设备工时'!$D42)</f>
        <v/>
      </c>
      <c r="E42" s="39">
        <f>IF($D42="","",'03设备工时'!$E42)</f>
        <v/>
      </c>
      <c r="F42" s="23">
        <f>IF($D42="","",IF($V42&lt;&gt;"",$V42,IFERROR(INDEX('参数设置'!$E$30:$E$44,MATCH($D42,'参数设置'!$C$30:$C$44,0)),0)))</f>
        <v/>
      </c>
      <c r="G42" s="24">
        <f>IF($D42="","",'03设备工时'!$F42)</f>
        <v/>
      </c>
      <c r="H42" s="24">
        <f>IF($D42="","",'03设备工时'!$P42)</f>
        <v/>
      </c>
      <c r="I42" s="20">
        <f>IF(OR($D42="",$G42=0),"",$H42/$G42)</f>
        <v/>
      </c>
      <c r="J42" s="12">
        <f>IF($D42="","",ROUND($F42,2)-$S42)</f>
        <v/>
      </c>
      <c r="K42" s="12">
        <f>IF(OR($D42="",$G42=0),"",ROUND($F42*'03设备工时'!H42/$G42,2))</f>
        <v/>
      </c>
      <c r="L42" s="12">
        <f>IF(OR($D42="",$G42=0),"",ROUND($F42*'03设备工时'!I42/$G42,2))</f>
        <v/>
      </c>
      <c r="M42" s="12">
        <f>IF(OR($D42="",$G42=0),"",ROUND($F42*'03设备工时'!J42/$G42,2))</f>
        <v/>
      </c>
      <c r="N42" s="12">
        <f>IF(OR($D42="",$G42=0),"",ROUND($F42*'03设备工时'!K42/$G42,2))</f>
        <v/>
      </c>
      <c r="O42" s="12">
        <f>IF(OR($D42="",$G42=0),"",ROUND($F42*'03设备工时'!L42/$G42,2))</f>
        <v/>
      </c>
      <c r="P42" s="12">
        <f>IF(OR($D42="",$G42=0),"",ROUND($F42*'03设备工时'!M42/$G42,2))</f>
        <v/>
      </c>
      <c r="Q42" s="12">
        <f>IF(OR($D42="",$G42=0),"",ROUND($F42*'03设备工时'!N42/$G42,2))</f>
        <v/>
      </c>
      <c r="R42" s="12">
        <f>IF(OR($D42="",$G42=0),"",ROUND($F42*'03设备工时'!O42/$G42,2))</f>
        <v/>
      </c>
      <c r="S42" s="12">
        <f>IF($D42="","",SUM(K42:R42))</f>
        <v/>
      </c>
      <c r="T42" s="12">
        <f>IF($D42="","",$J42+$S42)</f>
        <v/>
      </c>
      <c r="U42" s="25">
        <f>IF($D42="","",IF($F42=0,"未维护折旧额",IF(ROUND($T42-$F42,2)=0,"√","差异")))</f>
        <v/>
      </c>
      <c r="V42" s="11" t="n"/>
      <c r="W42" s="39">
        <f>IF($D42="","",IFERROR(INDEX('参数设置'!$F$30:$F$44,MATCH($D42,'参数设置'!$C$30:$C$44,0)),""))</f>
        <v/>
      </c>
    </row>
    <row r="43" ht="18" customHeight="1">
      <c r="B43" s="21">
        <f>IF('03设备工时'!$D43="","",'03设备工时'!$B43)</f>
        <v/>
      </c>
      <c r="C43" s="22">
        <f>IF('03设备工时'!$D43="","",'03设备工时'!$C43)</f>
        <v/>
      </c>
      <c r="D43" s="22">
        <f>IF('03设备工时'!$D43="","",'03设备工时'!$D43)</f>
        <v/>
      </c>
      <c r="E43" s="39">
        <f>IF($D43="","",'03设备工时'!$E43)</f>
        <v/>
      </c>
      <c r="F43" s="23">
        <f>IF($D43="","",IF($V43&lt;&gt;"",$V43,IFERROR(INDEX('参数设置'!$E$30:$E$44,MATCH($D43,'参数设置'!$C$30:$C$44,0)),0)))</f>
        <v/>
      </c>
      <c r="G43" s="24">
        <f>IF($D43="","",'03设备工时'!$F43)</f>
        <v/>
      </c>
      <c r="H43" s="24">
        <f>IF($D43="","",'03设备工时'!$P43)</f>
        <v/>
      </c>
      <c r="I43" s="20">
        <f>IF(OR($D43="",$G43=0),"",$H43/$G43)</f>
        <v/>
      </c>
      <c r="J43" s="12">
        <f>IF($D43="","",ROUND($F43,2)-$S43)</f>
        <v/>
      </c>
      <c r="K43" s="12">
        <f>IF(OR($D43="",$G43=0),"",ROUND($F43*'03设备工时'!H43/$G43,2))</f>
        <v/>
      </c>
      <c r="L43" s="12">
        <f>IF(OR($D43="",$G43=0),"",ROUND($F43*'03设备工时'!I43/$G43,2))</f>
        <v/>
      </c>
      <c r="M43" s="12">
        <f>IF(OR($D43="",$G43=0),"",ROUND($F43*'03设备工时'!J43/$G43,2))</f>
        <v/>
      </c>
      <c r="N43" s="12">
        <f>IF(OR($D43="",$G43=0),"",ROUND($F43*'03设备工时'!K43/$G43,2))</f>
        <v/>
      </c>
      <c r="O43" s="12">
        <f>IF(OR($D43="",$G43=0),"",ROUND($F43*'03设备工时'!L43/$G43,2))</f>
        <v/>
      </c>
      <c r="P43" s="12">
        <f>IF(OR($D43="",$G43=0),"",ROUND($F43*'03设备工时'!M43/$G43,2))</f>
        <v/>
      </c>
      <c r="Q43" s="12">
        <f>IF(OR($D43="",$G43=0),"",ROUND($F43*'03设备工时'!N43/$G43,2))</f>
        <v/>
      </c>
      <c r="R43" s="12">
        <f>IF(OR($D43="",$G43=0),"",ROUND($F43*'03设备工时'!O43/$G43,2))</f>
        <v/>
      </c>
      <c r="S43" s="12">
        <f>IF($D43="","",SUM(K43:R43))</f>
        <v/>
      </c>
      <c r="T43" s="12">
        <f>IF($D43="","",$J43+$S43)</f>
        <v/>
      </c>
      <c r="U43" s="25">
        <f>IF($D43="","",IF($F43=0,"未维护折旧额",IF(ROUND($T43-$F43,2)=0,"√","差异")))</f>
        <v/>
      </c>
      <c r="V43" s="11" t="n"/>
      <c r="W43" s="39">
        <f>IF($D43="","",IFERROR(INDEX('参数设置'!$F$30:$F$44,MATCH($D43,'参数设置'!$C$30:$C$44,0)),""))</f>
        <v/>
      </c>
    </row>
    <row r="44" ht="18" customHeight="1">
      <c r="B44" s="21">
        <f>IF('03设备工时'!$D44="","",'03设备工时'!$B44)</f>
        <v/>
      </c>
      <c r="C44" s="22">
        <f>IF('03设备工时'!$D44="","",'03设备工时'!$C44)</f>
        <v/>
      </c>
      <c r="D44" s="22">
        <f>IF('03设备工时'!$D44="","",'03设备工时'!$D44)</f>
        <v/>
      </c>
      <c r="E44" s="39">
        <f>IF($D44="","",'03设备工时'!$E44)</f>
        <v/>
      </c>
      <c r="F44" s="23">
        <f>IF($D44="","",IF($V44&lt;&gt;"",$V44,IFERROR(INDEX('参数设置'!$E$30:$E$44,MATCH($D44,'参数设置'!$C$30:$C$44,0)),0)))</f>
        <v/>
      </c>
      <c r="G44" s="24">
        <f>IF($D44="","",'03设备工时'!$F44)</f>
        <v/>
      </c>
      <c r="H44" s="24">
        <f>IF($D44="","",'03设备工时'!$P44)</f>
        <v/>
      </c>
      <c r="I44" s="20">
        <f>IF(OR($D44="",$G44=0),"",$H44/$G44)</f>
        <v/>
      </c>
      <c r="J44" s="12">
        <f>IF($D44="","",ROUND($F44,2)-$S44)</f>
        <v/>
      </c>
      <c r="K44" s="12">
        <f>IF(OR($D44="",$G44=0),"",ROUND($F44*'03设备工时'!H44/$G44,2))</f>
        <v/>
      </c>
      <c r="L44" s="12">
        <f>IF(OR($D44="",$G44=0),"",ROUND($F44*'03设备工时'!I44/$G44,2))</f>
        <v/>
      </c>
      <c r="M44" s="12">
        <f>IF(OR($D44="",$G44=0),"",ROUND($F44*'03设备工时'!J44/$G44,2))</f>
        <v/>
      </c>
      <c r="N44" s="12">
        <f>IF(OR($D44="",$G44=0),"",ROUND($F44*'03设备工时'!K44/$G44,2))</f>
        <v/>
      </c>
      <c r="O44" s="12">
        <f>IF(OR($D44="",$G44=0),"",ROUND($F44*'03设备工时'!L44/$G44,2))</f>
        <v/>
      </c>
      <c r="P44" s="12">
        <f>IF(OR($D44="",$G44=0),"",ROUND($F44*'03设备工时'!M44/$G44,2))</f>
        <v/>
      </c>
      <c r="Q44" s="12">
        <f>IF(OR($D44="",$G44=0),"",ROUND($F44*'03设备工时'!N44/$G44,2))</f>
        <v/>
      </c>
      <c r="R44" s="12">
        <f>IF(OR($D44="",$G44=0),"",ROUND($F44*'03设备工时'!O44/$G44,2))</f>
        <v/>
      </c>
      <c r="S44" s="12">
        <f>IF($D44="","",SUM(K44:R44))</f>
        <v/>
      </c>
      <c r="T44" s="12">
        <f>IF($D44="","",$J44+$S44)</f>
        <v/>
      </c>
      <c r="U44" s="25">
        <f>IF($D44="","",IF($F44=0,"未维护折旧额",IF(ROUND($T44-$F44,2)=0,"√","差异")))</f>
        <v/>
      </c>
      <c r="V44" s="11" t="n"/>
      <c r="W44" s="39">
        <f>IF($D44="","",IFERROR(INDEX('参数设置'!$F$30:$F$44,MATCH($D44,'参数设置'!$C$30:$C$44,0)),""))</f>
        <v/>
      </c>
    </row>
    <row r="45" ht="18" customHeight="1">
      <c r="B45" s="21">
        <f>IF('03设备工时'!$D45="","",'03设备工时'!$B45)</f>
        <v/>
      </c>
      <c r="C45" s="22">
        <f>IF('03设备工时'!$D45="","",'03设备工时'!$C45)</f>
        <v/>
      </c>
      <c r="D45" s="22">
        <f>IF('03设备工时'!$D45="","",'03设备工时'!$D45)</f>
        <v/>
      </c>
      <c r="E45" s="39">
        <f>IF($D45="","",'03设备工时'!$E45)</f>
        <v/>
      </c>
      <c r="F45" s="23">
        <f>IF($D45="","",IF($V45&lt;&gt;"",$V45,IFERROR(INDEX('参数设置'!$E$30:$E$44,MATCH($D45,'参数设置'!$C$30:$C$44,0)),0)))</f>
        <v/>
      </c>
      <c r="G45" s="24">
        <f>IF($D45="","",'03设备工时'!$F45)</f>
        <v/>
      </c>
      <c r="H45" s="24">
        <f>IF($D45="","",'03设备工时'!$P45)</f>
        <v/>
      </c>
      <c r="I45" s="20">
        <f>IF(OR($D45="",$G45=0),"",$H45/$G45)</f>
        <v/>
      </c>
      <c r="J45" s="12">
        <f>IF($D45="","",ROUND($F45,2)-$S45)</f>
        <v/>
      </c>
      <c r="K45" s="12">
        <f>IF(OR($D45="",$G45=0),"",ROUND($F45*'03设备工时'!H45/$G45,2))</f>
        <v/>
      </c>
      <c r="L45" s="12">
        <f>IF(OR($D45="",$G45=0),"",ROUND($F45*'03设备工时'!I45/$G45,2))</f>
        <v/>
      </c>
      <c r="M45" s="12">
        <f>IF(OR($D45="",$G45=0),"",ROUND($F45*'03设备工时'!J45/$G45,2))</f>
        <v/>
      </c>
      <c r="N45" s="12">
        <f>IF(OR($D45="",$G45=0),"",ROUND($F45*'03设备工时'!K45/$G45,2))</f>
        <v/>
      </c>
      <c r="O45" s="12">
        <f>IF(OR($D45="",$G45=0),"",ROUND($F45*'03设备工时'!L45/$G45,2))</f>
        <v/>
      </c>
      <c r="P45" s="12">
        <f>IF(OR($D45="",$G45=0),"",ROUND($F45*'03设备工时'!M45/$G45,2))</f>
        <v/>
      </c>
      <c r="Q45" s="12">
        <f>IF(OR($D45="",$G45=0),"",ROUND($F45*'03设备工时'!N45/$G45,2))</f>
        <v/>
      </c>
      <c r="R45" s="12">
        <f>IF(OR($D45="",$G45=0),"",ROUND($F45*'03设备工时'!O45/$G45,2))</f>
        <v/>
      </c>
      <c r="S45" s="12">
        <f>IF($D45="","",SUM(K45:R45))</f>
        <v/>
      </c>
      <c r="T45" s="12">
        <f>IF($D45="","",$J45+$S45)</f>
        <v/>
      </c>
      <c r="U45" s="25">
        <f>IF($D45="","",IF($F45=0,"未维护折旧额",IF(ROUND($T45-$F45,2)=0,"√","差异")))</f>
        <v/>
      </c>
      <c r="V45" s="11" t="n"/>
      <c r="W45" s="39">
        <f>IF($D45="","",IFERROR(INDEX('参数设置'!$F$30:$F$44,MATCH($D45,'参数设置'!$C$30:$C$44,0)),""))</f>
        <v/>
      </c>
    </row>
    <row r="46" ht="18" customHeight="1">
      <c r="B46" s="21">
        <f>IF('03设备工时'!$D46="","",'03设备工时'!$B46)</f>
        <v/>
      </c>
      <c r="C46" s="22">
        <f>IF('03设备工时'!$D46="","",'03设备工时'!$C46)</f>
        <v/>
      </c>
      <c r="D46" s="22">
        <f>IF('03设备工时'!$D46="","",'03设备工时'!$D46)</f>
        <v/>
      </c>
      <c r="E46" s="39">
        <f>IF($D46="","",'03设备工时'!$E46)</f>
        <v/>
      </c>
      <c r="F46" s="23">
        <f>IF($D46="","",IF($V46&lt;&gt;"",$V46,IFERROR(INDEX('参数设置'!$E$30:$E$44,MATCH($D46,'参数设置'!$C$30:$C$44,0)),0)))</f>
        <v/>
      </c>
      <c r="G46" s="24">
        <f>IF($D46="","",'03设备工时'!$F46)</f>
        <v/>
      </c>
      <c r="H46" s="24">
        <f>IF($D46="","",'03设备工时'!$P46)</f>
        <v/>
      </c>
      <c r="I46" s="20">
        <f>IF(OR($D46="",$G46=0),"",$H46/$G46)</f>
        <v/>
      </c>
      <c r="J46" s="12">
        <f>IF($D46="","",ROUND($F46,2)-$S46)</f>
        <v/>
      </c>
      <c r="K46" s="12">
        <f>IF(OR($D46="",$G46=0),"",ROUND($F46*'03设备工时'!H46/$G46,2))</f>
        <v/>
      </c>
      <c r="L46" s="12">
        <f>IF(OR($D46="",$G46=0),"",ROUND($F46*'03设备工时'!I46/$G46,2))</f>
        <v/>
      </c>
      <c r="M46" s="12">
        <f>IF(OR($D46="",$G46=0),"",ROUND($F46*'03设备工时'!J46/$G46,2))</f>
        <v/>
      </c>
      <c r="N46" s="12">
        <f>IF(OR($D46="",$G46=0),"",ROUND($F46*'03设备工时'!K46/$G46,2))</f>
        <v/>
      </c>
      <c r="O46" s="12">
        <f>IF(OR($D46="",$G46=0),"",ROUND($F46*'03设备工时'!L46/$G46,2))</f>
        <v/>
      </c>
      <c r="P46" s="12">
        <f>IF(OR($D46="",$G46=0),"",ROUND($F46*'03设备工时'!M46/$G46,2))</f>
        <v/>
      </c>
      <c r="Q46" s="12">
        <f>IF(OR($D46="",$G46=0),"",ROUND($F46*'03设备工时'!N46/$G46,2))</f>
        <v/>
      </c>
      <c r="R46" s="12">
        <f>IF(OR($D46="",$G46=0),"",ROUND($F46*'03设备工时'!O46/$G46,2))</f>
        <v/>
      </c>
      <c r="S46" s="12">
        <f>IF($D46="","",SUM(K46:R46))</f>
        <v/>
      </c>
      <c r="T46" s="12">
        <f>IF($D46="","",$J46+$S46)</f>
        <v/>
      </c>
      <c r="U46" s="25">
        <f>IF($D46="","",IF($F46=0,"未维护折旧额",IF(ROUND($T46-$F46,2)=0,"√","差异")))</f>
        <v/>
      </c>
      <c r="V46" s="11" t="n"/>
      <c r="W46" s="39">
        <f>IF($D46="","",IFERROR(INDEX('参数设置'!$F$30:$F$44,MATCH($D46,'参数设置'!$C$30:$C$44,0)),""))</f>
        <v/>
      </c>
    </row>
    <row r="47" ht="18" customHeight="1">
      <c r="B47" s="21">
        <f>IF('03设备工时'!$D47="","",'03设备工时'!$B47)</f>
        <v/>
      </c>
      <c r="C47" s="22">
        <f>IF('03设备工时'!$D47="","",'03设备工时'!$C47)</f>
        <v/>
      </c>
      <c r="D47" s="22">
        <f>IF('03设备工时'!$D47="","",'03设备工时'!$D47)</f>
        <v/>
      </c>
      <c r="E47" s="39">
        <f>IF($D47="","",'03设备工时'!$E47)</f>
        <v/>
      </c>
      <c r="F47" s="23">
        <f>IF($D47="","",IF($V47&lt;&gt;"",$V47,IFERROR(INDEX('参数设置'!$E$30:$E$44,MATCH($D47,'参数设置'!$C$30:$C$44,0)),0)))</f>
        <v/>
      </c>
      <c r="G47" s="24">
        <f>IF($D47="","",'03设备工时'!$F47)</f>
        <v/>
      </c>
      <c r="H47" s="24">
        <f>IF($D47="","",'03设备工时'!$P47)</f>
        <v/>
      </c>
      <c r="I47" s="20">
        <f>IF(OR($D47="",$G47=0),"",$H47/$G47)</f>
        <v/>
      </c>
      <c r="J47" s="12">
        <f>IF($D47="","",ROUND($F47,2)-$S47)</f>
        <v/>
      </c>
      <c r="K47" s="12">
        <f>IF(OR($D47="",$G47=0),"",ROUND($F47*'03设备工时'!H47/$G47,2))</f>
        <v/>
      </c>
      <c r="L47" s="12">
        <f>IF(OR($D47="",$G47=0),"",ROUND($F47*'03设备工时'!I47/$G47,2))</f>
        <v/>
      </c>
      <c r="M47" s="12">
        <f>IF(OR($D47="",$G47=0),"",ROUND($F47*'03设备工时'!J47/$G47,2))</f>
        <v/>
      </c>
      <c r="N47" s="12">
        <f>IF(OR($D47="",$G47=0),"",ROUND($F47*'03设备工时'!K47/$G47,2))</f>
        <v/>
      </c>
      <c r="O47" s="12">
        <f>IF(OR($D47="",$G47=0),"",ROUND($F47*'03设备工时'!L47/$G47,2))</f>
        <v/>
      </c>
      <c r="P47" s="12">
        <f>IF(OR($D47="",$G47=0),"",ROUND($F47*'03设备工时'!M47/$G47,2))</f>
        <v/>
      </c>
      <c r="Q47" s="12">
        <f>IF(OR($D47="",$G47=0),"",ROUND($F47*'03设备工时'!N47/$G47,2))</f>
        <v/>
      </c>
      <c r="R47" s="12">
        <f>IF(OR($D47="",$G47=0),"",ROUND($F47*'03设备工时'!O47/$G47,2))</f>
        <v/>
      </c>
      <c r="S47" s="12">
        <f>IF($D47="","",SUM(K47:R47))</f>
        <v/>
      </c>
      <c r="T47" s="12">
        <f>IF($D47="","",$J47+$S47)</f>
        <v/>
      </c>
      <c r="U47" s="25">
        <f>IF($D47="","",IF($F47=0,"未维护折旧额",IF(ROUND($T47-$F47,2)=0,"√","差异")))</f>
        <v/>
      </c>
      <c r="V47" s="11" t="n"/>
      <c r="W47" s="39">
        <f>IF($D47="","",IFERROR(INDEX('参数设置'!$F$30:$F$44,MATCH($D47,'参数设置'!$C$30:$C$44,0)),""))</f>
        <v/>
      </c>
    </row>
    <row r="48" ht="18" customHeight="1">
      <c r="B48" s="21">
        <f>IF('03设备工时'!$D48="","",'03设备工时'!$B48)</f>
        <v/>
      </c>
      <c r="C48" s="22">
        <f>IF('03设备工时'!$D48="","",'03设备工时'!$C48)</f>
        <v/>
      </c>
      <c r="D48" s="22">
        <f>IF('03设备工时'!$D48="","",'03设备工时'!$D48)</f>
        <v/>
      </c>
      <c r="E48" s="39">
        <f>IF($D48="","",'03设备工时'!$E48)</f>
        <v/>
      </c>
      <c r="F48" s="23">
        <f>IF($D48="","",IF($V48&lt;&gt;"",$V48,IFERROR(INDEX('参数设置'!$E$30:$E$44,MATCH($D48,'参数设置'!$C$30:$C$44,0)),0)))</f>
        <v/>
      </c>
      <c r="G48" s="24">
        <f>IF($D48="","",'03设备工时'!$F48)</f>
        <v/>
      </c>
      <c r="H48" s="24">
        <f>IF($D48="","",'03设备工时'!$P48)</f>
        <v/>
      </c>
      <c r="I48" s="20">
        <f>IF(OR($D48="",$G48=0),"",$H48/$G48)</f>
        <v/>
      </c>
      <c r="J48" s="12">
        <f>IF($D48="","",ROUND($F48,2)-$S48)</f>
        <v/>
      </c>
      <c r="K48" s="12">
        <f>IF(OR($D48="",$G48=0),"",ROUND($F48*'03设备工时'!H48/$G48,2))</f>
        <v/>
      </c>
      <c r="L48" s="12">
        <f>IF(OR($D48="",$G48=0),"",ROUND($F48*'03设备工时'!I48/$G48,2))</f>
        <v/>
      </c>
      <c r="M48" s="12">
        <f>IF(OR($D48="",$G48=0),"",ROUND($F48*'03设备工时'!J48/$G48,2))</f>
        <v/>
      </c>
      <c r="N48" s="12">
        <f>IF(OR($D48="",$G48=0),"",ROUND($F48*'03设备工时'!K48/$G48,2))</f>
        <v/>
      </c>
      <c r="O48" s="12">
        <f>IF(OR($D48="",$G48=0),"",ROUND($F48*'03设备工时'!L48/$G48,2))</f>
        <v/>
      </c>
      <c r="P48" s="12">
        <f>IF(OR($D48="",$G48=0),"",ROUND($F48*'03设备工时'!M48/$G48,2))</f>
        <v/>
      </c>
      <c r="Q48" s="12">
        <f>IF(OR($D48="",$G48=0),"",ROUND($F48*'03设备工时'!N48/$G48,2))</f>
        <v/>
      </c>
      <c r="R48" s="12">
        <f>IF(OR($D48="",$G48=0),"",ROUND($F48*'03设备工时'!O48/$G48,2))</f>
        <v/>
      </c>
      <c r="S48" s="12">
        <f>IF($D48="","",SUM(K48:R48))</f>
        <v/>
      </c>
      <c r="T48" s="12">
        <f>IF($D48="","",$J48+$S48)</f>
        <v/>
      </c>
      <c r="U48" s="25">
        <f>IF($D48="","",IF($F48=0,"未维护折旧额",IF(ROUND($T48-$F48,2)=0,"√","差异")))</f>
        <v/>
      </c>
      <c r="V48" s="11" t="n"/>
      <c r="W48" s="39">
        <f>IF($D48="","",IFERROR(INDEX('参数设置'!$F$30:$F$44,MATCH($D48,'参数设置'!$C$30:$C$44,0)),""))</f>
        <v/>
      </c>
    </row>
    <row r="49" ht="18" customHeight="1">
      <c r="B49" s="21">
        <f>IF('03设备工时'!$D49="","",'03设备工时'!$B49)</f>
        <v/>
      </c>
      <c r="C49" s="22">
        <f>IF('03设备工时'!$D49="","",'03设备工时'!$C49)</f>
        <v/>
      </c>
      <c r="D49" s="22">
        <f>IF('03设备工时'!$D49="","",'03设备工时'!$D49)</f>
        <v/>
      </c>
      <c r="E49" s="39">
        <f>IF($D49="","",'03设备工时'!$E49)</f>
        <v/>
      </c>
      <c r="F49" s="23">
        <f>IF($D49="","",IF($V49&lt;&gt;"",$V49,IFERROR(INDEX('参数设置'!$E$30:$E$44,MATCH($D49,'参数设置'!$C$30:$C$44,0)),0)))</f>
        <v/>
      </c>
      <c r="G49" s="24">
        <f>IF($D49="","",'03设备工时'!$F49)</f>
        <v/>
      </c>
      <c r="H49" s="24">
        <f>IF($D49="","",'03设备工时'!$P49)</f>
        <v/>
      </c>
      <c r="I49" s="20">
        <f>IF(OR($D49="",$G49=0),"",$H49/$G49)</f>
        <v/>
      </c>
      <c r="J49" s="12">
        <f>IF($D49="","",ROUND($F49,2)-$S49)</f>
        <v/>
      </c>
      <c r="K49" s="12">
        <f>IF(OR($D49="",$G49=0),"",ROUND($F49*'03设备工时'!H49/$G49,2))</f>
        <v/>
      </c>
      <c r="L49" s="12">
        <f>IF(OR($D49="",$G49=0),"",ROUND($F49*'03设备工时'!I49/$G49,2))</f>
        <v/>
      </c>
      <c r="M49" s="12">
        <f>IF(OR($D49="",$G49=0),"",ROUND($F49*'03设备工时'!J49/$G49,2))</f>
        <v/>
      </c>
      <c r="N49" s="12">
        <f>IF(OR($D49="",$G49=0),"",ROUND($F49*'03设备工时'!K49/$G49,2))</f>
        <v/>
      </c>
      <c r="O49" s="12">
        <f>IF(OR($D49="",$G49=0),"",ROUND($F49*'03设备工时'!L49/$G49,2))</f>
        <v/>
      </c>
      <c r="P49" s="12">
        <f>IF(OR($D49="",$G49=0),"",ROUND($F49*'03设备工时'!M49/$G49,2))</f>
        <v/>
      </c>
      <c r="Q49" s="12">
        <f>IF(OR($D49="",$G49=0),"",ROUND($F49*'03设备工时'!N49/$G49,2))</f>
        <v/>
      </c>
      <c r="R49" s="12">
        <f>IF(OR($D49="",$G49=0),"",ROUND($F49*'03设备工时'!O49/$G49,2))</f>
        <v/>
      </c>
      <c r="S49" s="12">
        <f>IF($D49="","",SUM(K49:R49))</f>
        <v/>
      </c>
      <c r="T49" s="12">
        <f>IF($D49="","",$J49+$S49)</f>
        <v/>
      </c>
      <c r="U49" s="25">
        <f>IF($D49="","",IF($F49=0,"未维护折旧额",IF(ROUND($T49-$F49,2)=0,"√","差异")))</f>
        <v/>
      </c>
      <c r="V49" s="11" t="n"/>
      <c r="W49" s="39">
        <f>IF($D49="","",IFERROR(INDEX('参数设置'!$F$30:$F$44,MATCH($D49,'参数设置'!$C$30:$C$44,0)),""))</f>
        <v/>
      </c>
    </row>
    <row r="50" ht="18" customHeight="1">
      <c r="B50" s="21">
        <f>IF('03设备工时'!$D50="","",'03设备工时'!$B50)</f>
        <v/>
      </c>
      <c r="C50" s="22">
        <f>IF('03设备工时'!$D50="","",'03设备工时'!$C50)</f>
        <v/>
      </c>
      <c r="D50" s="22">
        <f>IF('03设备工时'!$D50="","",'03设备工时'!$D50)</f>
        <v/>
      </c>
      <c r="E50" s="39">
        <f>IF($D50="","",'03设备工时'!$E50)</f>
        <v/>
      </c>
      <c r="F50" s="23">
        <f>IF($D50="","",IF($V50&lt;&gt;"",$V50,IFERROR(INDEX('参数设置'!$E$30:$E$44,MATCH($D50,'参数设置'!$C$30:$C$44,0)),0)))</f>
        <v/>
      </c>
      <c r="G50" s="24">
        <f>IF($D50="","",'03设备工时'!$F50)</f>
        <v/>
      </c>
      <c r="H50" s="24">
        <f>IF($D50="","",'03设备工时'!$P50)</f>
        <v/>
      </c>
      <c r="I50" s="20">
        <f>IF(OR($D50="",$G50=0),"",$H50/$G50)</f>
        <v/>
      </c>
      <c r="J50" s="12">
        <f>IF($D50="","",ROUND($F50,2)-$S50)</f>
        <v/>
      </c>
      <c r="K50" s="12">
        <f>IF(OR($D50="",$G50=0),"",ROUND($F50*'03设备工时'!H50/$G50,2))</f>
        <v/>
      </c>
      <c r="L50" s="12">
        <f>IF(OR($D50="",$G50=0),"",ROUND($F50*'03设备工时'!I50/$G50,2))</f>
        <v/>
      </c>
      <c r="M50" s="12">
        <f>IF(OR($D50="",$G50=0),"",ROUND($F50*'03设备工时'!J50/$G50,2))</f>
        <v/>
      </c>
      <c r="N50" s="12">
        <f>IF(OR($D50="",$G50=0),"",ROUND($F50*'03设备工时'!K50/$G50,2))</f>
        <v/>
      </c>
      <c r="O50" s="12">
        <f>IF(OR($D50="",$G50=0),"",ROUND($F50*'03设备工时'!L50/$G50,2))</f>
        <v/>
      </c>
      <c r="P50" s="12">
        <f>IF(OR($D50="",$G50=0),"",ROUND($F50*'03设备工时'!M50/$G50,2))</f>
        <v/>
      </c>
      <c r="Q50" s="12">
        <f>IF(OR($D50="",$G50=0),"",ROUND($F50*'03设备工时'!N50/$G50,2))</f>
        <v/>
      </c>
      <c r="R50" s="12">
        <f>IF(OR($D50="",$G50=0),"",ROUND($F50*'03设备工时'!O50/$G50,2))</f>
        <v/>
      </c>
      <c r="S50" s="12">
        <f>IF($D50="","",SUM(K50:R50))</f>
        <v/>
      </c>
      <c r="T50" s="12">
        <f>IF($D50="","",$J50+$S50)</f>
        <v/>
      </c>
      <c r="U50" s="25">
        <f>IF($D50="","",IF($F50=0,"未维护折旧额",IF(ROUND($T50-$F50,2)=0,"√","差异")))</f>
        <v/>
      </c>
      <c r="V50" s="11" t="n"/>
      <c r="W50" s="39">
        <f>IF($D50="","",IFERROR(INDEX('参数设置'!$F$30:$F$44,MATCH($D50,'参数设置'!$C$30:$C$44,0)),""))</f>
        <v/>
      </c>
    </row>
    <row r="51" ht="18" customHeight="1">
      <c r="B51" s="21">
        <f>IF('03设备工时'!$D51="","",'03设备工时'!$B51)</f>
        <v/>
      </c>
      <c r="C51" s="22">
        <f>IF('03设备工时'!$D51="","",'03设备工时'!$C51)</f>
        <v/>
      </c>
      <c r="D51" s="22">
        <f>IF('03设备工时'!$D51="","",'03设备工时'!$D51)</f>
        <v/>
      </c>
      <c r="E51" s="39">
        <f>IF($D51="","",'03设备工时'!$E51)</f>
        <v/>
      </c>
      <c r="F51" s="23">
        <f>IF($D51="","",IF($V51&lt;&gt;"",$V51,IFERROR(INDEX('参数设置'!$E$30:$E$44,MATCH($D51,'参数设置'!$C$30:$C$44,0)),0)))</f>
        <v/>
      </c>
      <c r="G51" s="24">
        <f>IF($D51="","",'03设备工时'!$F51)</f>
        <v/>
      </c>
      <c r="H51" s="24">
        <f>IF($D51="","",'03设备工时'!$P51)</f>
        <v/>
      </c>
      <c r="I51" s="20">
        <f>IF(OR($D51="",$G51=0),"",$H51/$G51)</f>
        <v/>
      </c>
      <c r="J51" s="12">
        <f>IF($D51="","",ROUND($F51,2)-$S51)</f>
        <v/>
      </c>
      <c r="K51" s="12">
        <f>IF(OR($D51="",$G51=0),"",ROUND($F51*'03设备工时'!H51/$G51,2))</f>
        <v/>
      </c>
      <c r="L51" s="12">
        <f>IF(OR($D51="",$G51=0),"",ROUND($F51*'03设备工时'!I51/$G51,2))</f>
        <v/>
      </c>
      <c r="M51" s="12">
        <f>IF(OR($D51="",$G51=0),"",ROUND($F51*'03设备工时'!J51/$G51,2))</f>
        <v/>
      </c>
      <c r="N51" s="12">
        <f>IF(OR($D51="",$G51=0),"",ROUND($F51*'03设备工时'!K51/$G51,2))</f>
        <v/>
      </c>
      <c r="O51" s="12">
        <f>IF(OR($D51="",$G51=0),"",ROUND($F51*'03设备工时'!L51/$G51,2))</f>
        <v/>
      </c>
      <c r="P51" s="12">
        <f>IF(OR($D51="",$G51=0),"",ROUND($F51*'03设备工时'!M51/$G51,2))</f>
        <v/>
      </c>
      <c r="Q51" s="12">
        <f>IF(OR($D51="",$G51=0),"",ROUND($F51*'03设备工时'!N51/$G51,2))</f>
        <v/>
      </c>
      <c r="R51" s="12">
        <f>IF(OR($D51="",$G51=0),"",ROUND($F51*'03设备工时'!O51/$G51,2))</f>
        <v/>
      </c>
      <c r="S51" s="12">
        <f>IF($D51="","",SUM(K51:R51))</f>
        <v/>
      </c>
      <c r="T51" s="12">
        <f>IF($D51="","",$J51+$S51)</f>
        <v/>
      </c>
      <c r="U51" s="25">
        <f>IF($D51="","",IF($F51=0,"未维护折旧额",IF(ROUND($T51-$F51,2)=0,"√","差异")))</f>
        <v/>
      </c>
      <c r="V51" s="11" t="n"/>
      <c r="W51" s="39">
        <f>IF($D51="","",IFERROR(INDEX('参数设置'!$F$30:$F$44,MATCH($D51,'参数设置'!$C$30:$C$44,0)),""))</f>
        <v/>
      </c>
    </row>
    <row r="52" ht="18" customHeight="1">
      <c r="B52" s="21">
        <f>IF('03设备工时'!$D52="","",'03设备工时'!$B52)</f>
        <v/>
      </c>
      <c r="C52" s="22">
        <f>IF('03设备工时'!$D52="","",'03设备工时'!$C52)</f>
        <v/>
      </c>
      <c r="D52" s="22">
        <f>IF('03设备工时'!$D52="","",'03设备工时'!$D52)</f>
        <v/>
      </c>
      <c r="E52" s="39">
        <f>IF($D52="","",'03设备工时'!$E52)</f>
        <v/>
      </c>
      <c r="F52" s="23">
        <f>IF($D52="","",IF($V52&lt;&gt;"",$V52,IFERROR(INDEX('参数设置'!$E$30:$E$44,MATCH($D52,'参数设置'!$C$30:$C$44,0)),0)))</f>
        <v/>
      </c>
      <c r="G52" s="24">
        <f>IF($D52="","",'03设备工时'!$F52)</f>
        <v/>
      </c>
      <c r="H52" s="24">
        <f>IF($D52="","",'03设备工时'!$P52)</f>
        <v/>
      </c>
      <c r="I52" s="20">
        <f>IF(OR($D52="",$G52=0),"",$H52/$G52)</f>
        <v/>
      </c>
      <c r="J52" s="12">
        <f>IF($D52="","",ROUND($F52,2)-$S52)</f>
        <v/>
      </c>
      <c r="K52" s="12">
        <f>IF(OR($D52="",$G52=0),"",ROUND($F52*'03设备工时'!H52/$G52,2))</f>
        <v/>
      </c>
      <c r="L52" s="12">
        <f>IF(OR($D52="",$G52=0),"",ROUND($F52*'03设备工时'!I52/$G52,2))</f>
        <v/>
      </c>
      <c r="M52" s="12">
        <f>IF(OR($D52="",$G52=0),"",ROUND($F52*'03设备工时'!J52/$G52,2))</f>
        <v/>
      </c>
      <c r="N52" s="12">
        <f>IF(OR($D52="",$G52=0),"",ROUND($F52*'03设备工时'!K52/$G52,2))</f>
        <v/>
      </c>
      <c r="O52" s="12">
        <f>IF(OR($D52="",$G52=0),"",ROUND($F52*'03设备工时'!L52/$G52,2))</f>
        <v/>
      </c>
      <c r="P52" s="12">
        <f>IF(OR($D52="",$G52=0),"",ROUND($F52*'03设备工时'!M52/$G52,2))</f>
        <v/>
      </c>
      <c r="Q52" s="12">
        <f>IF(OR($D52="",$G52=0),"",ROUND($F52*'03设备工时'!N52/$G52,2))</f>
        <v/>
      </c>
      <c r="R52" s="12">
        <f>IF(OR($D52="",$G52=0),"",ROUND($F52*'03设备工时'!O52/$G52,2))</f>
        <v/>
      </c>
      <c r="S52" s="12">
        <f>IF($D52="","",SUM(K52:R52))</f>
        <v/>
      </c>
      <c r="T52" s="12">
        <f>IF($D52="","",$J52+$S52)</f>
        <v/>
      </c>
      <c r="U52" s="25">
        <f>IF($D52="","",IF($F52=0,"未维护折旧额",IF(ROUND($T52-$F52,2)=0,"√","差异")))</f>
        <v/>
      </c>
      <c r="V52" s="11" t="n"/>
      <c r="W52" s="39">
        <f>IF($D52="","",IFERROR(INDEX('参数设置'!$F$30:$F$44,MATCH($D52,'参数设置'!$C$30:$C$44,0)),""))</f>
        <v/>
      </c>
    </row>
    <row r="53" ht="18" customHeight="1">
      <c r="B53" s="21">
        <f>IF('03设备工时'!$D53="","",'03设备工时'!$B53)</f>
        <v/>
      </c>
      <c r="C53" s="22">
        <f>IF('03设备工时'!$D53="","",'03设备工时'!$C53)</f>
        <v/>
      </c>
      <c r="D53" s="22">
        <f>IF('03设备工时'!$D53="","",'03设备工时'!$D53)</f>
        <v/>
      </c>
      <c r="E53" s="39">
        <f>IF($D53="","",'03设备工时'!$E53)</f>
        <v/>
      </c>
      <c r="F53" s="23">
        <f>IF($D53="","",IF($V53&lt;&gt;"",$V53,IFERROR(INDEX('参数设置'!$E$30:$E$44,MATCH($D53,'参数设置'!$C$30:$C$44,0)),0)))</f>
        <v/>
      </c>
      <c r="G53" s="24">
        <f>IF($D53="","",'03设备工时'!$F53)</f>
        <v/>
      </c>
      <c r="H53" s="24">
        <f>IF($D53="","",'03设备工时'!$P53)</f>
        <v/>
      </c>
      <c r="I53" s="20">
        <f>IF(OR($D53="",$G53=0),"",$H53/$G53)</f>
        <v/>
      </c>
      <c r="J53" s="12">
        <f>IF($D53="","",ROUND($F53,2)-$S53)</f>
        <v/>
      </c>
      <c r="K53" s="12">
        <f>IF(OR($D53="",$G53=0),"",ROUND($F53*'03设备工时'!H53/$G53,2))</f>
        <v/>
      </c>
      <c r="L53" s="12">
        <f>IF(OR($D53="",$G53=0),"",ROUND($F53*'03设备工时'!I53/$G53,2))</f>
        <v/>
      </c>
      <c r="M53" s="12">
        <f>IF(OR($D53="",$G53=0),"",ROUND($F53*'03设备工时'!J53/$G53,2))</f>
        <v/>
      </c>
      <c r="N53" s="12">
        <f>IF(OR($D53="",$G53=0),"",ROUND($F53*'03设备工时'!K53/$G53,2))</f>
        <v/>
      </c>
      <c r="O53" s="12">
        <f>IF(OR($D53="",$G53=0),"",ROUND($F53*'03设备工时'!L53/$G53,2))</f>
        <v/>
      </c>
      <c r="P53" s="12">
        <f>IF(OR($D53="",$G53=0),"",ROUND($F53*'03设备工时'!M53/$G53,2))</f>
        <v/>
      </c>
      <c r="Q53" s="12">
        <f>IF(OR($D53="",$G53=0),"",ROUND($F53*'03设备工时'!N53/$G53,2))</f>
        <v/>
      </c>
      <c r="R53" s="12">
        <f>IF(OR($D53="",$G53=0),"",ROUND($F53*'03设备工时'!O53/$G53,2))</f>
        <v/>
      </c>
      <c r="S53" s="12">
        <f>IF($D53="","",SUM(K53:R53))</f>
        <v/>
      </c>
      <c r="T53" s="12">
        <f>IF($D53="","",$J53+$S53)</f>
        <v/>
      </c>
      <c r="U53" s="25">
        <f>IF($D53="","",IF($F53=0,"未维护折旧额",IF(ROUND($T53-$F53,2)=0,"√","差异")))</f>
        <v/>
      </c>
      <c r="V53" s="11" t="n"/>
      <c r="W53" s="39">
        <f>IF($D53="","",IFERROR(INDEX('参数设置'!$F$30:$F$44,MATCH($D53,'参数设置'!$C$30:$C$44,0)),""))</f>
        <v/>
      </c>
    </row>
    <row r="54" ht="18" customHeight="1">
      <c r="B54" s="21">
        <f>IF('03设备工时'!$D54="","",'03设备工时'!$B54)</f>
        <v/>
      </c>
      <c r="C54" s="22">
        <f>IF('03设备工时'!$D54="","",'03设备工时'!$C54)</f>
        <v/>
      </c>
      <c r="D54" s="22">
        <f>IF('03设备工时'!$D54="","",'03设备工时'!$D54)</f>
        <v/>
      </c>
      <c r="E54" s="39">
        <f>IF($D54="","",'03设备工时'!$E54)</f>
        <v/>
      </c>
      <c r="F54" s="23">
        <f>IF($D54="","",IF($V54&lt;&gt;"",$V54,IFERROR(INDEX('参数设置'!$E$30:$E$44,MATCH($D54,'参数设置'!$C$30:$C$44,0)),0)))</f>
        <v/>
      </c>
      <c r="G54" s="24">
        <f>IF($D54="","",'03设备工时'!$F54)</f>
        <v/>
      </c>
      <c r="H54" s="24">
        <f>IF($D54="","",'03设备工时'!$P54)</f>
        <v/>
      </c>
      <c r="I54" s="20">
        <f>IF(OR($D54="",$G54=0),"",$H54/$G54)</f>
        <v/>
      </c>
      <c r="J54" s="12">
        <f>IF($D54="","",ROUND($F54,2)-$S54)</f>
        <v/>
      </c>
      <c r="K54" s="12">
        <f>IF(OR($D54="",$G54=0),"",ROUND($F54*'03设备工时'!H54/$G54,2))</f>
        <v/>
      </c>
      <c r="L54" s="12">
        <f>IF(OR($D54="",$G54=0),"",ROUND($F54*'03设备工时'!I54/$G54,2))</f>
        <v/>
      </c>
      <c r="M54" s="12">
        <f>IF(OR($D54="",$G54=0),"",ROUND($F54*'03设备工时'!J54/$G54,2))</f>
        <v/>
      </c>
      <c r="N54" s="12">
        <f>IF(OR($D54="",$G54=0),"",ROUND($F54*'03设备工时'!K54/$G54,2))</f>
        <v/>
      </c>
      <c r="O54" s="12">
        <f>IF(OR($D54="",$G54=0),"",ROUND($F54*'03设备工时'!L54/$G54,2))</f>
        <v/>
      </c>
      <c r="P54" s="12">
        <f>IF(OR($D54="",$G54=0),"",ROUND($F54*'03设备工时'!M54/$G54,2))</f>
        <v/>
      </c>
      <c r="Q54" s="12">
        <f>IF(OR($D54="",$G54=0),"",ROUND($F54*'03设备工时'!N54/$G54,2))</f>
        <v/>
      </c>
      <c r="R54" s="12">
        <f>IF(OR($D54="",$G54=0),"",ROUND($F54*'03设备工时'!O54/$G54,2))</f>
        <v/>
      </c>
      <c r="S54" s="12">
        <f>IF($D54="","",SUM(K54:R54))</f>
        <v/>
      </c>
      <c r="T54" s="12">
        <f>IF($D54="","",$J54+$S54)</f>
        <v/>
      </c>
      <c r="U54" s="25">
        <f>IF($D54="","",IF($F54=0,"未维护折旧额",IF(ROUND($T54-$F54,2)=0,"√","差异")))</f>
        <v/>
      </c>
      <c r="V54" s="11" t="n"/>
      <c r="W54" s="39">
        <f>IF($D54="","",IFERROR(INDEX('参数设置'!$F$30:$F$44,MATCH($D54,'参数设置'!$C$30:$C$44,0)),""))</f>
        <v/>
      </c>
    </row>
    <row r="55" ht="18" customHeight="1">
      <c r="B55" s="21">
        <f>IF('03设备工时'!$D55="","",'03设备工时'!$B55)</f>
        <v/>
      </c>
      <c r="C55" s="22">
        <f>IF('03设备工时'!$D55="","",'03设备工时'!$C55)</f>
        <v/>
      </c>
      <c r="D55" s="22">
        <f>IF('03设备工时'!$D55="","",'03设备工时'!$D55)</f>
        <v/>
      </c>
      <c r="E55" s="39">
        <f>IF($D55="","",'03设备工时'!$E55)</f>
        <v/>
      </c>
      <c r="F55" s="23">
        <f>IF($D55="","",IF($V55&lt;&gt;"",$V55,IFERROR(INDEX('参数设置'!$E$30:$E$44,MATCH($D55,'参数设置'!$C$30:$C$44,0)),0)))</f>
        <v/>
      </c>
      <c r="G55" s="24">
        <f>IF($D55="","",'03设备工时'!$F55)</f>
        <v/>
      </c>
      <c r="H55" s="24">
        <f>IF($D55="","",'03设备工时'!$P55)</f>
        <v/>
      </c>
      <c r="I55" s="20">
        <f>IF(OR($D55="",$G55=0),"",$H55/$G55)</f>
        <v/>
      </c>
      <c r="J55" s="12">
        <f>IF($D55="","",ROUND($F55,2)-$S55)</f>
        <v/>
      </c>
      <c r="K55" s="12">
        <f>IF(OR($D55="",$G55=0),"",ROUND($F55*'03设备工时'!H55/$G55,2))</f>
        <v/>
      </c>
      <c r="L55" s="12">
        <f>IF(OR($D55="",$G55=0),"",ROUND($F55*'03设备工时'!I55/$G55,2))</f>
        <v/>
      </c>
      <c r="M55" s="12">
        <f>IF(OR($D55="",$G55=0),"",ROUND($F55*'03设备工时'!J55/$G55,2))</f>
        <v/>
      </c>
      <c r="N55" s="12">
        <f>IF(OR($D55="",$G55=0),"",ROUND($F55*'03设备工时'!K55/$G55,2))</f>
        <v/>
      </c>
      <c r="O55" s="12">
        <f>IF(OR($D55="",$G55=0),"",ROUND($F55*'03设备工时'!L55/$G55,2))</f>
        <v/>
      </c>
      <c r="P55" s="12">
        <f>IF(OR($D55="",$G55=0),"",ROUND($F55*'03设备工时'!M55/$G55,2))</f>
        <v/>
      </c>
      <c r="Q55" s="12">
        <f>IF(OR($D55="",$G55=0),"",ROUND($F55*'03设备工时'!N55/$G55,2))</f>
        <v/>
      </c>
      <c r="R55" s="12">
        <f>IF(OR($D55="",$G55=0),"",ROUND($F55*'03设备工时'!O55/$G55,2))</f>
        <v/>
      </c>
      <c r="S55" s="12">
        <f>IF($D55="","",SUM(K55:R55))</f>
        <v/>
      </c>
      <c r="T55" s="12">
        <f>IF($D55="","",$J55+$S55)</f>
        <v/>
      </c>
      <c r="U55" s="25">
        <f>IF($D55="","",IF($F55=0,"未维护折旧额",IF(ROUND($T55-$F55,2)=0,"√","差异")))</f>
        <v/>
      </c>
      <c r="V55" s="11" t="n"/>
      <c r="W55" s="39">
        <f>IF($D55="","",IFERROR(INDEX('参数设置'!$F$30:$F$44,MATCH($D55,'参数设置'!$C$30:$C$44,0)),""))</f>
        <v/>
      </c>
    </row>
    <row r="56" ht="18" customHeight="1">
      <c r="B56" s="21">
        <f>IF('03设备工时'!$D56="","",'03设备工时'!$B56)</f>
        <v/>
      </c>
      <c r="C56" s="22">
        <f>IF('03设备工时'!$D56="","",'03设备工时'!$C56)</f>
        <v/>
      </c>
      <c r="D56" s="22">
        <f>IF('03设备工时'!$D56="","",'03设备工时'!$D56)</f>
        <v/>
      </c>
      <c r="E56" s="39">
        <f>IF($D56="","",'03设备工时'!$E56)</f>
        <v/>
      </c>
      <c r="F56" s="23">
        <f>IF($D56="","",IF($V56&lt;&gt;"",$V56,IFERROR(INDEX('参数设置'!$E$30:$E$44,MATCH($D56,'参数设置'!$C$30:$C$44,0)),0)))</f>
        <v/>
      </c>
      <c r="G56" s="24">
        <f>IF($D56="","",'03设备工时'!$F56)</f>
        <v/>
      </c>
      <c r="H56" s="24">
        <f>IF($D56="","",'03设备工时'!$P56)</f>
        <v/>
      </c>
      <c r="I56" s="20">
        <f>IF(OR($D56="",$G56=0),"",$H56/$G56)</f>
        <v/>
      </c>
      <c r="J56" s="12">
        <f>IF($D56="","",ROUND($F56,2)-$S56)</f>
        <v/>
      </c>
      <c r="K56" s="12">
        <f>IF(OR($D56="",$G56=0),"",ROUND($F56*'03设备工时'!H56/$G56,2))</f>
        <v/>
      </c>
      <c r="L56" s="12">
        <f>IF(OR($D56="",$G56=0),"",ROUND($F56*'03设备工时'!I56/$G56,2))</f>
        <v/>
      </c>
      <c r="M56" s="12">
        <f>IF(OR($D56="",$G56=0),"",ROUND($F56*'03设备工时'!J56/$G56,2))</f>
        <v/>
      </c>
      <c r="N56" s="12">
        <f>IF(OR($D56="",$G56=0),"",ROUND($F56*'03设备工时'!K56/$G56,2))</f>
        <v/>
      </c>
      <c r="O56" s="12">
        <f>IF(OR($D56="",$G56=0),"",ROUND($F56*'03设备工时'!L56/$G56,2))</f>
        <v/>
      </c>
      <c r="P56" s="12">
        <f>IF(OR($D56="",$G56=0),"",ROUND($F56*'03设备工时'!M56/$G56,2))</f>
        <v/>
      </c>
      <c r="Q56" s="12">
        <f>IF(OR($D56="",$G56=0),"",ROUND($F56*'03设备工时'!N56/$G56,2))</f>
        <v/>
      </c>
      <c r="R56" s="12">
        <f>IF(OR($D56="",$G56=0),"",ROUND($F56*'03设备工时'!O56/$G56,2))</f>
        <v/>
      </c>
      <c r="S56" s="12">
        <f>IF($D56="","",SUM(K56:R56))</f>
        <v/>
      </c>
      <c r="T56" s="12">
        <f>IF($D56="","",$J56+$S56)</f>
        <v/>
      </c>
      <c r="U56" s="25">
        <f>IF($D56="","",IF($F56=0,"未维护折旧额",IF(ROUND($T56-$F56,2)=0,"√","差异")))</f>
        <v/>
      </c>
      <c r="V56" s="11" t="n"/>
      <c r="W56" s="39">
        <f>IF($D56="","",IFERROR(INDEX('参数设置'!$F$30:$F$44,MATCH($D56,'参数设置'!$C$30:$C$44,0)),""))</f>
        <v/>
      </c>
    </row>
    <row r="57" ht="18" customHeight="1">
      <c r="B57" s="21">
        <f>IF('03设备工时'!$D57="","",'03设备工时'!$B57)</f>
        <v/>
      </c>
      <c r="C57" s="22">
        <f>IF('03设备工时'!$D57="","",'03设备工时'!$C57)</f>
        <v/>
      </c>
      <c r="D57" s="22">
        <f>IF('03设备工时'!$D57="","",'03设备工时'!$D57)</f>
        <v/>
      </c>
      <c r="E57" s="39">
        <f>IF($D57="","",'03设备工时'!$E57)</f>
        <v/>
      </c>
      <c r="F57" s="23">
        <f>IF($D57="","",IF($V57&lt;&gt;"",$V57,IFERROR(INDEX('参数设置'!$E$30:$E$44,MATCH($D57,'参数设置'!$C$30:$C$44,0)),0)))</f>
        <v/>
      </c>
      <c r="G57" s="24">
        <f>IF($D57="","",'03设备工时'!$F57)</f>
        <v/>
      </c>
      <c r="H57" s="24">
        <f>IF($D57="","",'03设备工时'!$P57)</f>
        <v/>
      </c>
      <c r="I57" s="20">
        <f>IF(OR($D57="",$G57=0),"",$H57/$G57)</f>
        <v/>
      </c>
      <c r="J57" s="12">
        <f>IF($D57="","",ROUND($F57,2)-$S57)</f>
        <v/>
      </c>
      <c r="K57" s="12">
        <f>IF(OR($D57="",$G57=0),"",ROUND($F57*'03设备工时'!H57/$G57,2))</f>
        <v/>
      </c>
      <c r="L57" s="12">
        <f>IF(OR($D57="",$G57=0),"",ROUND($F57*'03设备工时'!I57/$G57,2))</f>
        <v/>
      </c>
      <c r="M57" s="12">
        <f>IF(OR($D57="",$G57=0),"",ROUND($F57*'03设备工时'!J57/$G57,2))</f>
        <v/>
      </c>
      <c r="N57" s="12">
        <f>IF(OR($D57="",$G57=0),"",ROUND($F57*'03设备工时'!K57/$G57,2))</f>
        <v/>
      </c>
      <c r="O57" s="12">
        <f>IF(OR($D57="",$G57=0),"",ROUND($F57*'03设备工时'!L57/$G57,2))</f>
        <v/>
      </c>
      <c r="P57" s="12">
        <f>IF(OR($D57="",$G57=0),"",ROUND($F57*'03设备工时'!M57/$G57,2))</f>
        <v/>
      </c>
      <c r="Q57" s="12">
        <f>IF(OR($D57="",$G57=0),"",ROUND($F57*'03设备工时'!N57/$G57,2))</f>
        <v/>
      </c>
      <c r="R57" s="12">
        <f>IF(OR($D57="",$G57=0),"",ROUND($F57*'03设备工时'!O57/$G57,2))</f>
        <v/>
      </c>
      <c r="S57" s="12">
        <f>IF($D57="","",SUM(K57:R57))</f>
        <v/>
      </c>
      <c r="T57" s="12">
        <f>IF($D57="","",$J57+$S57)</f>
        <v/>
      </c>
      <c r="U57" s="25">
        <f>IF($D57="","",IF($F57=0,"未维护折旧额",IF(ROUND($T57-$F57,2)=0,"√","差异")))</f>
        <v/>
      </c>
      <c r="V57" s="11" t="n"/>
      <c r="W57" s="39">
        <f>IF($D57="","",IFERROR(INDEX('参数设置'!$F$30:$F$44,MATCH($D57,'参数设置'!$C$30:$C$44,0)),""))</f>
        <v/>
      </c>
    </row>
    <row r="58" ht="18" customHeight="1">
      <c r="B58" s="21">
        <f>IF('03设备工时'!$D58="","",'03设备工时'!$B58)</f>
        <v/>
      </c>
      <c r="C58" s="22">
        <f>IF('03设备工时'!$D58="","",'03设备工时'!$C58)</f>
        <v/>
      </c>
      <c r="D58" s="22">
        <f>IF('03设备工时'!$D58="","",'03设备工时'!$D58)</f>
        <v/>
      </c>
      <c r="E58" s="39">
        <f>IF($D58="","",'03设备工时'!$E58)</f>
        <v/>
      </c>
      <c r="F58" s="23">
        <f>IF($D58="","",IF($V58&lt;&gt;"",$V58,IFERROR(INDEX('参数设置'!$E$30:$E$44,MATCH($D58,'参数设置'!$C$30:$C$44,0)),0)))</f>
        <v/>
      </c>
      <c r="G58" s="24">
        <f>IF($D58="","",'03设备工时'!$F58)</f>
        <v/>
      </c>
      <c r="H58" s="24">
        <f>IF($D58="","",'03设备工时'!$P58)</f>
        <v/>
      </c>
      <c r="I58" s="20">
        <f>IF(OR($D58="",$G58=0),"",$H58/$G58)</f>
        <v/>
      </c>
      <c r="J58" s="12">
        <f>IF($D58="","",ROUND($F58,2)-$S58)</f>
        <v/>
      </c>
      <c r="K58" s="12">
        <f>IF(OR($D58="",$G58=0),"",ROUND($F58*'03设备工时'!H58/$G58,2))</f>
        <v/>
      </c>
      <c r="L58" s="12">
        <f>IF(OR($D58="",$G58=0),"",ROUND($F58*'03设备工时'!I58/$G58,2))</f>
        <v/>
      </c>
      <c r="M58" s="12">
        <f>IF(OR($D58="",$G58=0),"",ROUND($F58*'03设备工时'!J58/$G58,2))</f>
        <v/>
      </c>
      <c r="N58" s="12">
        <f>IF(OR($D58="",$G58=0),"",ROUND($F58*'03设备工时'!K58/$G58,2))</f>
        <v/>
      </c>
      <c r="O58" s="12">
        <f>IF(OR($D58="",$G58=0),"",ROUND($F58*'03设备工时'!L58/$G58,2))</f>
        <v/>
      </c>
      <c r="P58" s="12">
        <f>IF(OR($D58="",$G58=0),"",ROUND($F58*'03设备工时'!M58/$G58,2))</f>
        <v/>
      </c>
      <c r="Q58" s="12">
        <f>IF(OR($D58="",$G58=0),"",ROUND($F58*'03设备工时'!N58/$G58,2))</f>
        <v/>
      </c>
      <c r="R58" s="12">
        <f>IF(OR($D58="",$G58=0),"",ROUND($F58*'03设备工时'!O58/$G58,2))</f>
        <v/>
      </c>
      <c r="S58" s="12">
        <f>IF($D58="","",SUM(K58:R58))</f>
        <v/>
      </c>
      <c r="T58" s="12">
        <f>IF($D58="","",$J58+$S58)</f>
        <v/>
      </c>
      <c r="U58" s="25">
        <f>IF($D58="","",IF($F58=0,"未维护折旧额",IF(ROUND($T58-$F58,2)=0,"√","差异")))</f>
        <v/>
      </c>
      <c r="V58" s="11" t="n"/>
      <c r="W58" s="39">
        <f>IF($D58="","",IFERROR(INDEX('参数设置'!$F$30:$F$44,MATCH($D58,'参数设置'!$C$30:$C$44,0)),""))</f>
        <v/>
      </c>
    </row>
    <row r="59" ht="18" customHeight="1">
      <c r="B59" s="21">
        <f>IF('03设备工时'!$D59="","",'03设备工时'!$B59)</f>
        <v/>
      </c>
      <c r="C59" s="22">
        <f>IF('03设备工时'!$D59="","",'03设备工时'!$C59)</f>
        <v/>
      </c>
      <c r="D59" s="22">
        <f>IF('03设备工时'!$D59="","",'03设备工时'!$D59)</f>
        <v/>
      </c>
      <c r="E59" s="39">
        <f>IF($D59="","",'03设备工时'!$E59)</f>
        <v/>
      </c>
      <c r="F59" s="23">
        <f>IF($D59="","",IF($V59&lt;&gt;"",$V59,IFERROR(INDEX('参数设置'!$E$30:$E$44,MATCH($D59,'参数设置'!$C$30:$C$44,0)),0)))</f>
        <v/>
      </c>
      <c r="G59" s="24">
        <f>IF($D59="","",'03设备工时'!$F59)</f>
        <v/>
      </c>
      <c r="H59" s="24">
        <f>IF($D59="","",'03设备工时'!$P59)</f>
        <v/>
      </c>
      <c r="I59" s="20">
        <f>IF(OR($D59="",$G59=0),"",$H59/$G59)</f>
        <v/>
      </c>
      <c r="J59" s="12">
        <f>IF($D59="","",ROUND($F59,2)-$S59)</f>
        <v/>
      </c>
      <c r="K59" s="12">
        <f>IF(OR($D59="",$G59=0),"",ROUND($F59*'03设备工时'!H59/$G59,2))</f>
        <v/>
      </c>
      <c r="L59" s="12">
        <f>IF(OR($D59="",$G59=0),"",ROUND($F59*'03设备工时'!I59/$G59,2))</f>
        <v/>
      </c>
      <c r="M59" s="12">
        <f>IF(OR($D59="",$G59=0),"",ROUND($F59*'03设备工时'!J59/$G59,2))</f>
        <v/>
      </c>
      <c r="N59" s="12">
        <f>IF(OR($D59="",$G59=0),"",ROUND($F59*'03设备工时'!K59/$G59,2))</f>
        <v/>
      </c>
      <c r="O59" s="12">
        <f>IF(OR($D59="",$G59=0),"",ROUND($F59*'03设备工时'!L59/$G59,2))</f>
        <v/>
      </c>
      <c r="P59" s="12">
        <f>IF(OR($D59="",$G59=0),"",ROUND($F59*'03设备工时'!M59/$G59,2))</f>
        <v/>
      </c>
      <c r="Q59" s="12">
        <f>IF(OR($D59="",$G59=0),"",ROUND($F59*'03设备工时'!N59/$G59,2))</f>
        <v/>
      </c>
      <c r="R59" s="12">
        <f>IF(OR($D59="",$G59=0),"",ROUND($F59*'03设备工时'!O59/$G59,2))</f>
        <v/>
      </c>
      <c r="S59" s="12">
        <f>IF($D59="","",SUM(K59:R59))</f>
        <v/>
      </c>
      <c r="T59" s="12">
        <f>IF($D59="","",$J59+$S59)</f>
        <v/>
      </c>
      <c r="U59" s="25">
        <f>IF($D59="","",IF($F59=0,"未维护折旧额",IF(ROUND($T59-$F59,2)=0,"√","差异")))</f>
        <v/>
      </c>
      <c r="V59" s="11" t="n"/>
      <c r="W59" s="39">
        <f>IF($D59="","",IFERROR(INDEX('参数设置'!$F$30:$F$44,MATCH($D59,'参数设置'!$C$30:$C$44,0)),""))</f>
        <v/>
      </c>
    </row>
    <row r="60" ht="18" customHeight="1">
      <c r="B60" s="21">
        <f>IF('03设备工时'!$D60="","",'03设备工时'!$B60)</f>
        <v/>
      </c>
      <c r="C60" s="22">
        <f>IF('03设备工时'!$D60="","",'03设备工时'!$C60)</f>
        <v/>
      </c>
      <c r="D60" s="22">
        <f>IF('03设备工时'!$D60="","",'03设备工时'!$D60)</f>
        <v/>
      </c>
      <c r="E60" s="39">
        <f>IF($D60="","",'03设备工时'!$E60)</f>
        <v/>
      </c>
      <c r="F60" s="23">
        <f>IF($D60="","",IF($V60&lt;&gt;"",$V60,IFERROR(INDEX('参数设置'!$E$30:$E$44,MATCH($D60,'参数设置'!$C$30:$C$44,0)),0)))</f>
        <v/>
      </c>
      <c r="G60" s="24">
        <f>IF($D60="","",'03设备工时'!$F60)</f>
        <v/>
      </c>
      <c r="H60" s="24">
        <f>IF($D60="","",'03设备工时'!$P60)</f>
        <v/>
      </c>
      <c r="I60" s="20">
        <f>IF(OR($D60="",$G60=0),"",$H60/$G60)</f>
        <v/>
      </c>
      <c r="J60" s="12">
        <f>IF($D60="","",ROUND($F60,2)-$S60)</f>
        <v/>
      </c>
      <c r="K60" s="12">
        <f>IF(OR($D60="",$G60=0),"",ROUND($F60*'03设备工时'!H60/$G60,2))</f>
        <v/>
      </c>
      <c r="L60" s="12">
        <f>IF(OR($D60="",$G60=0),"",ROUND($F60*'03设备工时'!I60/$G60,2))</f>
        <v/>
      </c>
      <c r="M60" s="12">
        <f>IF(OR($D60="",$G60=0),"",ROUND($F60*'03设备工时'!J60/$G60,2))</f>
        <v/>
      </c>
      <c r="N60" s="12">
        <f>IF(OR($D60="",$G60=0),"",ROUND($F60*'03设备工时'!K60/$G60,2))</f>
        <v/>
      </c>
      <c r="O60" s="12">
        <f>IF(OR($D60="",$G60=0),"",ROUND($F60*'03设备工时'!L60/$G60,2))</f>
        <v/>
      </c>
      <c r="P60" s="12">
        <f>IF(OR($D60="",$G60=0),"",ROUND($F60*'03设备工时'!M60/$G60,2))</f>
        <v/>
      </c>
      <c r="Q60" s="12">
        <f>IF(OR($D60="",$G60=0),"",ROUND($F60*'03设备工时'!N60/$G60,2))</f>
        <v/>
      </c>
      <c r="R60" s="12">
        <f>IF(OR($D60="",$G60=0),"",ROUND($F60*'03设备工时'!O60/$G60,2))</f>
        <v/>
      </c>
      <c r="S60" s="12">
        <f>IF($D60="","",SUM(K60:R60))</f>
        <v/>
      </c>
      <c r="T60" s="12">
        <f>IF($D60="","",$J60+$S60)</f>
        <v/>
      </c>
      <c r="U60" s="25">
        <f>IF($D60="","",IF($F60=0,"未维护折旧额",IF(ROUND($T60-$F60,2)=0,"√","差异")))</f>
        <v/>
      </c>
      <c r="V60" s="11" t="n"/>
      <c r="W60" s="39">
        <f>IF($D60="","",IFERROR(INDEX('参数设置'!$F$30:$F$44,MATCH($D60,'参数设置'!$C$30:$C$44,0)),""))</f>
        <v/>
      </c>
    </row>
    <row r="61" ht="18" customHeight="1">
      <c r="B61" s="21">
        <f>IF('03设备工时'!$D61="","",'03设备工时'!$B61)</f>
        <v/>
      </c>
      <c r="C61" s="22">
        <f>IF('03设备工时'!$D61="","",'03设备工时'!$C61)</f>
        <v/>
      </c>
      <c r="D61" s="22">
        <f>IF('03设备工时'!$D61="","",'03设备工时'!$D61)</f>
        <v/>
      </c>
      <c r="E61" s="39">
        <f>IF($D61="","",'03设备工时'!$E61)</f>
        <v/>
      </c>
      <c r="F61" s="23">
        <f>IF($D61="","",IF($V61&lt;&gt;"",$V61,IFERROR(INDEX('参数设置'!$E$30:$E$44,MATCH($D61,'参数设置'!$C$30:$C$44,0)),0)))</f>
        <v/>
      </c>
      <c r="G61" s="24">
        <f>IF($D61="","",'03设备工时'!$F61)</f>
        <v/>
      </c>
      <c r="H61" s="24">
        <f>IF($D61="","",'03设备工时'!$P61)</f>
        <v/>
      </c>
      <c r="I61" s="20">
        <f>IF(OR($D61="",$G61=0),"",$H61/$G61)</f>
        <v/>
      </c>
      <c r="J61" s="12">
        <f>IF($D61="","",ROUND($F61,2)-$S61)</f>
        <v/>
      </c>
      <c r="K61" s="12">
        <f>IF(OR($D61="",$G61=0),"",ROUND($F61*'03设备工时'!H61/$G61,2))</f>
        <v/>
      </c>
      <c r="L61" s="12">
        <f>IF(OR($D61="",$G61=0),"",ROUND($F61*'03设备工时'!I61/$G61,2))</f>
        <v/>
      </c>
      <c r="M61" s="12">
        <f>IF(OR($D61="",$G61=0),"",ROUND($F61*'03设备工时'!J61/$G61,2))</f>
        <v/>
      </c>
      <c r="N61" s="12">
        <f>IF(OR($D61="",$G61=0),"",ROUND($F61*'03设备工时'!K61/$G61,2))</f>
        <v/>
      </c>
      <c r="O61" s="12">
        <f>IF(OR($D61="",$G61=0),"",ROUND($F61*'03设备工时'!L61/$G61,2))</f>
        <v/>
      </c>
      <c r="P61" s="12">
        <f>IF(OR($D61="",$G61=0),"",ROUND($F61*'03设备工时'!M61/$G61,2))</f>
        <v/>
      </c>
      <c r="Q61" s="12">
        <f>IF(OR($D61="",$G61=0),"",ROUND($F61*'03设备工时'!N61/$G61,2))</f>
        <v/>
      </c>
      <c r="R61" s="12">
        <f>IF(OR($D61="",$G61=0),"",ROUND($F61*'03设备工时'!O61/$G61,2))</f>
        <v/>
      </c>
      <c r="S61" s="12">
        <f>IF($D61="","",SUM(K61:R61))</f>
        <v/>
      </c>
      <c r="T61" s="12">
        <f>IF($D61="","",$J61+$S61)</f>
        <v/>
      </c>
      <c r="U61" s="25">
        <f>IF($D61="","",IF($F61=0,"未维护折旧额",IF(ROUND($T61-$F61,2)=0,"√","差异")))</f>
        <v/>
      </c>
      <c r="V61" s="11" t="n"/>
      <c r="W61" s="39">
        <f>IF($D61="","",IFERROR(INDEX('参数设置'!$F$30:$F$44,MATCH($D61,'参数设置'!$C$30:$C$44,0)),""))</f>
        <v/>
      </c>
    </row>
    <row r="62" ht="18" customHeight="1">
      <c r="B62" s="21">
        <f>IF('03设备工时'!$D62="","",'03设备工时'!$B62)</f>
        <v/>
      </c>
      <c r="C62" s="22">
        <f>IF('03设备工时'!$D62="","",'03设备工时'!$C62)</f>
        <v/>
      </c>
      <c r="D62" s="22">
        <f>IF('03设备工时'!$D62="","",'03设备工时'!$D62)</f>
        <v/>
      </c>
      <c r="E62" s="39">
        <f>IF($D62="","",'03设备工时'!$E62)</f>
        <v/>
      </c>
      <c r="F62" s="23">
        <f>IF($D62="","",IF($V62&lt;&gt;"",$V62,IFERROR(INDEX('参数设置'!$E$30:$E$44,MATCH($D62,'参数设置'!$C$30:$C$44,0)),0)))</f>
        <v/>
      </c>
      <c r="G62" s="24">
        <f>IF($D62="","",'03设备工时'!$F62)</f>
        <v/>
      </c>
      <c r="H62" s="24">
        <f>IF($D62="","",'03设备工时'!$P62)</f>
        <v/>
      </c>
      <c r="I62" s="20">
        <f>IF(OR($D62="",$G62=0),"",$H62/$G62)</f>
        <v/>
      </c>
      <c r="J62" s="12">
        <f>IF($D62="","",ROUND($F62,2)-$S62)</f>
        <v/>
      </c>
      <c r="K62" s="12">
        <f>IF(OR($D62="",$G62=0),"",ROUND($F62*'03设备工时'!H62/$G62,2))</f>
        <v/>
      </c>
      <c r="L62" s="12">
        <f>IF(OR($D62="",$G62=0),"",ROUND($F62*'03设备工时'!I62/$G62,2))</f>
        <v/>
      </c>
      <c r="M62" s="12">
        <f>IF(OR($D62="",$G62=0),"",ROUND($F62*'03设备工时'!J62/$G62,2))</f>
        <v/>
      </c>
      <c r="N62" s="12">
        <f>IF(OR($D62="",$G62=0),"",ROUND($F62*'03设备工时'!K62/$G62,2))</f>
        <v/>
      </c>
      <c r="O62" s="12">
        <f>IF(OR($D62="",$G62=0),"",ROUND($F62*'03设备工时'!L62/$G62,2))</f>
        <v/>
      </c>
      <c r="P62" s="12">
        <f>IF(OR($D62="",$G62=0),"",ROUND($F62*'03设备工时'!M62/$G62,2))</f>
        <v/>
      </c>
      <c r="Q62" s="12">
        <f>IF(OR($D62="",$G62=0),"",ROUND($F62*'03设备工时'!N62/$G62,2))</f>
        <v/>
      </c>
      <c r="R62" s="12">
        <f>IF(OR($D62="",$G62=0),"",ROUND($F62*'03设备工时'!O62/$G62,2))</f>
        <v/>
      </c>
      <c r="S62" s="12">
        <f>IF($D62="","",SUM(K62:R62))</f>
        <v/>
      </c>
      <c r="T62" s="12">
        <f>IF($D62="","",$J62+$S62)</f>
        <v/>
      </c>
      <c r="U62" s="25">
        <f>IF($D62="","",IF($F62=0,"未维护折旧额",IF(ROUND($T62-$F62,2)=0,"√","差异")))</f>
        <v/>
      </c>
      <c r="V62" s="11" t="n"/>
      <c r="W62" s="39">
        <f>IF($D62="","",IFERROR(INDEX('参数设置'!$F$30:$F$44,MATCH($D62,'参数设置'!$C$30:$C$44,0)),""))</f>
        <v/>
      </c>
    </row>
    <row r="63" ht="18" customHeight="1">
      <c r="B63" s="21">
        <f>IF('03设备工时'!$D63="","",'03设备工时'!$B63)</f>
        <v/>
      </c>
      <c r="C63" s="22">
        <f>IF('03设备工时'!$D63="","",'03设备工时'!$C63)</f>
        <v/>
      </c>
      <c r="D63" s="22">
        <f>IF('03设备工时'!$D63="","",'03设备工时'!$D63)</f>
        <v/>
      </c>
      <c r="E63" s="39">
        <f>IF($D63="","",'03设备工时'!$E63)</f>
        <v/>
      </c>
      <c r="F63" s="23">
        <f>IF($D63="","",IF($V63&lt;&gt;"",$V63,IFERROR(INDEX('参数设置'!$E$30:$E$44,MATCH($D63,'参数设置'!$C$30:$C$44,0)),0)))</f>
        <v/>
      </c>
      <c r="G63" s="24">
        <f>IF($D63="","",'03设备工时'!$F63)</f>
        <v/>
      </c>
      <c r="H63" s="24">
        <f>IF($D63="","",'03设备工时'!$P63)</f>
        <v/>
      </c>
      <c r="I63" s="20">
        <f>IF(OR($D63="",$G63=0),"",$H63/$G63)</f>
        <v/>
      </c>
      <c r="J63" s="12">
        <f>IF($D63="","",ROUND($F63,2)-$S63)</f>
        <v/>
      </c>
      <c r="K63" s="12">
        <f>IF(OR($D63="",$G63=0),"",ROUND($F63*'03设备工时'!H63/$G63,2))</f>
        <v/>
      </c>
      <c r="L63" s="12">
        <f>IF(OR($D63="",$G63=0),"",ROUND($F63*'03设备工时'!I63/$G63,2))</f>
        <v/>
      </c>
      <c r="M63" s="12">
        <f>IF(OR($D63="",$G63=0),"",ROUND($F63*'03设备工时'!J63/$G63,2))</f>
        <v/>
      </c>
      <c r="N63" s="12">
        <f>IF(OR($D63="",$G63=0),"",ROUND($F63*'03设备工时'!K63/$G63,2))</f>
        <v/>
      </c>
      <c r="O63" s="12">
        <f>IF(OR($D63="",$G63=0),"",ROUND($F63*'03设备工时'!L63/$G63,2))</f>
        <v/>
      </c>
      <c r="P63" s="12">
        <f>IF(OR($D63="",$G63=0),"",ROUND($F63*'03设备工时'!M63/$G63,2))</f>
        <v/>
      </c>
      <c r="Q63" s="12">
        <f>IF(OR($D63="",$G63=0),"",ROUND($F63*'03设备工时'!N63/$G63,2))</f>
        <v/>
      </c>
      <c r="R63" s="12">
        <f>IF(OR($D63="",$G63=0),"",ROUND($F63*'03设备工时'!O63/$G63,2))</f>
        <v/>
      </c>
      <c r="S63" s="12">
        <f>IF($D63="","",SUM(K63:R63))</f>
        <v/>
      </c>
      <c r="T63" s="12">
        <f>IF($D63="","",$J63+$S63)</f>
        <v/>
      </c>
      <c r="U63" s="25">
        <f>IF($D63="","",IF($F63=0,"未维护折旧额",IF(ROUND($T63-$F63,2)=0,"√","差异")))</f>
        <v/>
      </c>
      <c r="V63" s="11" t="n"/>
      <c r="W63" s="39">
        <f>IF($D63="","",IFERROR(INDEX('参数设置'!$F$30:$F$44,MATCH($D63,'参数设置'!$C$30:$C$44,0)),""))</f>
        <v/>
      </c>
    </row>
    <row r="64" ht="18" customHeight="1">
      <c r="B64" s="21">
        <f>IF('03设备工时'!$D64="","",'03设备工时'!$B64)</f>
        <v/>
      </c>
      <c r="C64" s="22">
        <f>IF('03设备工时'!$D64="","",'03设备工时'!$C64)</f>
        <v/>
      </c>
      <c r="D64" s="22">
        <f>IF('03设备工时'!$D64="","",'03设备工时'!$D64)</f>
        <v/>
      </c>
      <c r="E64" s="39">
        <f>IF($D64="","",'03设备工时'!$E64)</f>
        <v/>
      </c>
      <c r="F64" s="23">
        <f>IF($D64="","",IF($V64&lt;&gt;"",$V64,IFERROR(INDEX('参数设置'!$E$30:$E$44,MATCH($D64,'参数设置'!$C$30:$C$44,0)),0)))</f>
        <v/>
      </c>
      <c r="G64" s="24">
        <f>IF($D64="","",'03设备工时'!$F64)</f>
        <v/>
      </c>
      <c r="H64" s="24">
        <f>IF($D64="","",'03设备工时'!$P64)</f>
        <v/>
      </c>
      <c r="I64" s="20">
        <f>IF(OR($D64="",$G64=0),"",$H64/$G64)</f>
        <v/>
      </c>
      <c r="J64" s="12">
        <f>IF($D64="","",ROUND($F64,2)-$S64)</f>
        <v/>
      </c>
      <c r="K64" s="12">
        <f>IF(OR($D64="",$G64=0),"",ROUND($F64*'03设备工时'!H64/$G64,2))</f>
        <v/>
      </c>
      <c r="L64" s="12">
        <f>IF(OR($D64="",$G64=0),"",ROUND($F64*'03设备工时'!I64/$G64,2))</f>
        <v/>
      </c>
      <c r="M64" s="12">
        <f>IF(OR($D64="",$G64=0),"",ROUND($F64*'03设备工时'!J64/$G64,2))</f>
        <v/>
      </c>
      <c r="N64" s="12">
        <f>IF(OR($D64="",$G64=0),"",ROUND($F64*'03设备工时'!K64/$G64,2))</f>
        <v/>
      </c>
      <c r="O64" s="12">
        <f>IF(OR($D64="",$G64=0),"",ROUND($F64*'03设备工时'!L64/$G64,2))</f>
        <v/>
      </c>
      <c r="P64" s="12">
        <f>IF(OR($D64="",$G64=0),"",ROUND($F64*'03设备工时'!M64/$G64,2))</f>
        <v/>
      </c>
      <c r="Q64" s="12">
        <f>IF(OR($D64="",$G64=0),"",ROUND($F64*'03设备工时'!N64/$G64,2))</f>
        <v/>
      </c>
      <c r="R64" s="12">
        <f>IF(OR($D64="",$G64=0),"",ROUND($F64*'03设备工时'!O64/$G64,2))</f>
        <v/>
      </c>
      <c r="S64" s="12">
        <f>IF($D64="","",SUM(K64:R64))</f>
        <v/>
      </c>
      <c r="T64" s="12">
        <f>IF($D64="","",$J64+$S64)</f>
        <v/>
      </c>
      <c r="U64" s="25">
        <f>IF($D64="","",IF($F64=0,"未维护折旧额",IF(ROUND($T64-$F64,2)=0,"√","差异")))</f>
        <v/>
      </c>
      <c r="V64" s="11" t="n"/>
      <c r="W64" s="39">
        <f>IF($D64="","",IFERROR(INDEX('参数设置'!$F$30:$F$44,MATCH($D64,'参数设置'!$C$30:$C$44,0)),""))</f>
        <v/>
      </c>
    </row>
    <row r="65" ht="18" customHeight="1">
      <c r="B65" s="21">
        <f>IF('03设备工时'!$D65="","",'03设备工时'!$B65)</f>
        <v/>
      </c>
      <c r="C65" s="22">
        <f>IF('03设备工时'!$D65="","",'03设备工时'!$C65)</f>
        <v/>
      </c>
      <c r="D65" s="22">
        <f>IF('03设备工时'!$D65="","",'03设备工时'!$D65)</f>
        <v/>
      </c>
      <c r="E65" s="39">
        <f>IF($D65="","",'03设备工时'!$E65)</f>
        <v/>
      </c>
      <c r="F65" s="23">
        <f>IF($D65="","",IF($V65&lt;&gt;"",$V65,IFERROR(INDEX('参数设置'!$E$30:$E$44,MATCH($D65,'参数设置'!$C$30:$C$44,0)),0)))</f>
        <v/>
      </c>
      <c r="G65" s="24">
        <f>IF($D65="","",'03设备工时'!$F65)</f>
        <v/>
      </c>
      <c r="H65" s="24">
        <f>IF($D65="","",'03设备工时'!$P65)</f>
        <v/>
      </c>
      <c r="I65" s="20">
        <f>IF(OR($D65="",$G65=0),"",$H65/$G65)</f>
        <v/>
      </c>
      <c r="J65" s="12">
        <f>IF($D65="","",ROUND($F65,2)-$S65)</f>
        <v/>
      </c>
      <c r="K65" s="12">
        <f>IF(OR($D65="",$G65=0),"",ROUND($F65*'03设备工时'!H65/$G65,2))</f>
        <v/>
      </c>
      <c r="L65" s="12">
        <f>IF(OR($D65="",$G65=0),"",ROUND($F65*'03设备工时'!I65/$G65,2))</f>
        <v/>
      </c>
      <c r="M65" s="12">
        <f>IF(OR($D65="",$G65=0),"",ROUND($F65*'03设备工时'!J65/$G65,2))</f>
        <v/>
      </c>
      <c r="N65" s="12">
        <f>IF(OR($D65="",$G65=0),"",ROUND($F65*'03设备工时'!K65/$G65,2))</f>
        <v/>
      </c>
      <c r="O65" s="12">
        <f>IF(OR($D65="",$G65=0),"",ROUND($F65*'03设备工时'!L65/$G65,2))</f>
        <v/>
      </c>
      <c r="P65" s="12">
        <f>IF(OR($D65="",$G65=0),"",ROUND($F65*'03设备工时'!M65/$G65,2))</f>
        <v/>
      </c>
      <c r="Q65" s="12">
        <f>IF(OR($D65="",$G65=0),"",ROUND($F65*'03设备工时'!N65/$G65,2))</f>
        <v/>
      </c>
      <c r="R65" s="12">
        <f>IF(OR($D65="",$G65=0),"",ROUND($F65*'03设备工时'!O65/$G65,2))</f>
        <v/>
      </c>
      <c r="S65" s="12">
        <f>IF($D65="","",SUM(K65:R65))</f>
        <v/>
      </c>
      <c r="T65" s="12">
        <f>IF($D65="","",$J65+$S65)</f>
        <v/>
      </c>
      <c r="U65" s="25">
        <f>IF($D65="","",IF($F65=0,"未维护折旧额",IF(ROUND($T65-$F65,2)=0,"√","差异")))</f>
        <v/>
      </c>
      <c r="V65" s="11" t="n"/>
      <c r="W65" s="39">
        <f>IF($D65="","",IFERROR(INDEX('参数设置'!$F$30:$F$44,MATCH($D65,'参数设置'!$C$30:$C$44,0)),""))</f>
        <v/>
      </c>
    </row>
    <row r="66" ht="18" customHeight="1">
      <c r="B66" s="21">
        <f>IF('03设备工时'!$D66="","",'03设备工时'!$B66)</f>
        <v/>
      </c>
      <c r="C66" s="22">
        <f>IF('03设备工时'!$D66="","",'03设备工时'!$C66)</f>
        <v/>
      </c>
      <c r="D66" s="22">
        <f>IF('03设备工时'!$D66="","",'03设备工时'!$D66)</f>
        <v/>
      </c>
      <c r="E66" s="39">
        <f>IF($D66="","",'03设备工时'!$E66)</f>
        <v/>
      </c>
      <c r="F66" s="23">
        <f>IF($D66="","",IF($V66&lt;&gt;"",$V66,IFERROR(INDEX('参数设置'!$E$30:$E$44,MATCH($D66,'参数设置'!$C$30:$C$44,0)),0)))</f>
        <v/>
      </c>
      <c r="G66" s="24">
        <f>IF($D66="","",'03设备工时'!$F66)</f>
        <v/>
      </c>
      <c r="H66" s="24">
        <f>IF($D66="","",'03设备工时'!$P66)</f>
        <v/>
      </c>
      <c r="I66" s="20">
        <f>IF(OR($D66="",$G66=0),"",$H66/$G66)</f>
        <v/>
      </c>
      <c r="J66" s="12">
        <f>IF($D66="","",ROUND($F66,2)-$S66)</f>
        <v/>
      </c>
      <c r="K66" s="12">
        <f>IF(OR($D66="",$G66=0),"",ROUND($F66*'03设备工时'!H66/$G66,2))</f>
        <v/>
      </c>
      <c r="L66" s="12">
        <f>IF(OR($D66="",$G66=0),"",ROUND($F66*'03设备工时'!I66/$G66,2))</f>
        <v/>
      </c>
      <c r="M66" s="12">
        <f>IF(OR($D66="",$G66=0),"",ROUND($F66*'03设备工时'!J66/$G66,2))</f>
        <v/>
      </c>
      <c r="N66" s="12">
        <f>IF(OR($D66="",$G66=0),"",ROUND($F66*'03设备工时'!K66/$G66,2))</f>
        <v/>
      </c>
      <c r="O66" s="12">
        <f>IF(OR($D66="",$G66=0),"",ROUND($F66*'03设备工时'!L66/$G66,2))</f>
        <v/>
      </c>
      <c r="P66" s="12">
        <f>IF(OR($D66="",$G66=0),"",ROUND($F66*'03设备工时'!M66/$G66,2))</f>
        <v/>
      </c>
      <c r="Q66" s="12">
        <f>IF(OR($D66="",$G66=0),"",ROUND($F66*'03设备工时'!N66/$G66,2))</f>
        <v/>
      </c>
      <c r="R66" s="12">
        <f>IF(OR($D66="",$G66=0),"",ROUND($F66*'03设备工时'!O66/$G66,2))</f>
        <v/>
      </c>
      <c r="S66" s="12">
        <f>IF($D66="","",SUM(K66:R66))</f>
        <v/>
      </c>
      <c r="T66" s="12">
        <f>IF($D66="","",$J66+$S66)</f>
        <v/>
      </c>
      <c r="U66" s="25">
        <f>IF($D66="","",IF($F66=0,"未维护折旧额",IF(ROUND($T66-$F66,2)=0,"√","差异")))</f>
        <v/>
      </c>
      <c r="V66" s="11" t="n"/>
      <c r="W66" s="39">
        <f>IF($D66="","",IFERROR(INDEX('参数设置'!$F$30:$F$44,MATCH($D66,'参数设置'!$C$30:$C$44,0)),""))</f>
        <v/>
      </c>
    </row>
    <row r="67" ht="18" customHeight="1">
      <c r="B67" s="21">
        <f>IF('03设备工时'!$D67="","",'03设备工时'!$B67)</f>
        <v/>
      </c>
      <c r="C67" s="22">
        <f>IF('03设备工时'!$D67="","",'03设备工时'!$C67)</f>
        <v/>
      </c>
      <c r="D67" s="22">
        <f>IF('03设备工时'!$D67="","",'03设备工时'!$D67)</f>
        <v/>
      </c>
      <c r="E67" s="39">
        <f>IF($D67="","",'03设备工时'!$E67)</f>
        <v/>
      </c>
      <c r="F67" s="23">
        <f>IF($D67="","",IF($V67&lt;&gt;"",$V67,IFERROR(INDEX('参数设置'!$E$30:$E$44,MATCH($D67,'参数设置'!$C$30:$C$44,0)),0)))</f>
        <v/>
      </c>
      <c r="G67" s="24">
        <f>IF($D67="","",'03设备工时'!$F67)</f>
        <v/>
      </c>
      <c r="H67" s="24">
        <f>IF($D67="","",'03设备工时'!$P67)</f>
        <v/>
      </c>
      <c r="I67" s="20">
        <f>IF(OR($D67="",$G67=0),"",$H67/$G67)</f>
        <v/>
      </c>
      <c r="J67" s="12">
        <f>IF($D67="","",ROUND($F67,2)-$S67)</f>
        <v/>
      </c>
      <c r="K67" s="12">
        <f>IF(OR($D67="",$G67=0),"",ROUND($F67*'03设备工时'!H67/$G67,2))</f>
        <v/>
      </c>
      <c r="L67" s="12">
        <f>IF(OR($D67="",$G67=0),"",ROUND($F67*'03设备工时'!I67/$G67,2))</f>
        <v/>
      </c>
      <c r="M67" s="12">
        <f>IF(OR($D67="",$G67=0),"",ROUND($F67*'03设备工时'!J67/$G67,2))</f>
        <v/>
      </c>
      <c r="N67" s="12">
        <f>IF(OR($D67="",$G67=0),"",ROUND($F67*'03设备工时'!K67/$G67,2))</f>
        <v/>
      </c>
      <c r="O67" s="12">
        <f>IF(OR($D67="",$G67=0),"",ROUND($F67*'03设备工时'!L67/$G67,2))</f>
        <v/>
      </c>
      <c r="P67" s="12">
        <f>IF(OR($D67="",$G67=0),"",ROUND($F67*'03设备工时'!M67/$G67,2))</f>
        <v/>
      </c>
      <c r="Q67" s="12">
        <f>IF(OR($D67="",$G67=0),"",ROUND($F67*'03设备工时'!N67/$G67,2))</f>
        <v/>
      </c>
      <c r="R67" s="12">
        <f>IF(OR($D67="",$G67=0),"",ROUND($F67*'03设备工时'!O67/$G67,2))</f>
        <v/>
      </c>
      <c r="S67" s="12">
        <f>IF($D67="","",SUM(K67:R67))</f>
        <v/>
      </c>
      <c r="T67" s="12">
        <f>IF($D67="","",$J67+$S67)</f>
        <v/>
      </c>
      <c r="U67" s="25">
        <f>IF($D67="","",IF($F67=0,"未维护折旧额",IF(ROUND($T67-$F67,2)=0,"√","差异")))</f>
        <v/>
      </c>
      <c r="V67" s="11" t="n"/>
      <c r="W67" s="39">
        <f>IF($D67="","",IFERROR(INDEX('参数设置'!$F$30:$F$44,MATCH($D67,'参数设置'!$C$30:$C$44,0)),""))</f>
        <v/>
      </c>
    </row>
    <row r="68" ht="18" customHeight="1">
      <c r="B68" s="21">
        <f>IF('03设备工时'!$D68="","",'03设备工时'!$B68)</f>
        <v/>
      </c>
      <c r="C68" s="22">
        <f>IF('03设备工时'!$D68="","",'03设备工时'!$C68)</f>
        <v/>
      </c>
      <c r="D68" s="22">
        <f>IF('03设备工时'!$D68="","",'03设备工时'!$D68)</f>
        <v/>
      </c>
      <c r="E68" s="39">
        <f>IF($D68="","",'03设备工时'!$E68)</f>
        <v/>
      </c>
      <c r="F68" s="23">
        <f>IF($D68="","",IF($V68&lt;&gt;"",$V68,IFERROR(INDEX('参数设置'!$E$30:$E$44,MATCH($D68,'参数设置'!$C$30:$C$44,0)),0)))</f>
        <v/>
      </c>
      <c r="G68" s="24">
        <f>IF($D68="","",'03设备工时'!$F68)</f>
        <v/>
      </c>
      <c r="H68" s="24">
        <f>IF($D68="","",'03设备工时'!$P68)</f>
        <v/>
      </c>
      <c r="I68" s="20">
        <f>IF(OR($D68="",$G68=0),"",$H68/$G68)</f>
        <v/>
      </c>
      <c r="J68" s="12">
        <f>IF($D68="","",ROUND($F68,2)-$S68)</f>
        <v/>
      </c>
      <c r="K68" s="12">
        <f>IF(OR($D68="",$G68=0),"",ROUND($F68*'03设备工时'!H68/$G68,2))</f>
        <v/>
      </c>
      <c r="L68" s="12">
        <f>IF(OR($D68="",$G68=0),"",ROUND($F68*'03设备工时'!I68/$G68,2))</f>
        <v/>
      </c>
      <c r="M68" s="12">
        <f>IF(OR($D68="",$G68=0),"",ROUND($F68*'03设备工时'!J68/$G68,2))</f>
        <v/>
      </c>
      <c r="N68" s="12">
        <f>IF(OR($D68="",$G68=0),"",ROUND($F68*'03设备工时'!K68/$G68,2))</f>
        <v/>
      </c>
      <c r="O68" s="12">
        <f>IF(OR($D68="",$G68=0),"",ROUND($F68*'03设备工时'!L68/$G68,2))</f>
        <v/>
      </c>
      <c r="P68" s="12">
        <f>IF(OR($D68="",$G68=0),"",ROUND($F68*'03设备工时'!M68/$G68,2))</f>
        <v/>
      </c>
      <c r="Q68" s="12">
        <f>IF(OR($D68="",$G68=0),"",ROUND($F68*'03设备工时'!N68/$G68,2))</f>
        <v/>
      </c>
      <c r="R68" s="12">
        <f>IF(OR($D68="",$G68=0),"",ROUND($F68*'03设备工时'!O68/$G68,2))</f>
        <v/>
      </c>
      <c r="S68" s="12">
        <f>IF($D68="","",SUM(K68:R68))</f>
        <v/>
      </c>
      <c r="T68" s="12">
        <f>IF($D68="","",$J68+$S68)</f>
        <v/>
      </c>
      <c r="U68" s="25">
        <f>IF($D68="","",IF($F68=0,"未维护折旧额",IF(ROUND($T68-$F68,2)=0,"√","差异")))</f>
        <v/>
      </c>
      <c r="V68" s="11" t="n"/>
      <c r="W68" s="39">
        <f>IF($D68="","",IFERROR(INDEX('参数设置'!$F$30:$F$44,MATCH($D68,'参数设置'!$C$30:$C$44,0)),""))</f>
        <v/>
      </c>
    </row>
    <row r="69" ht="18" customHeight="1">
      <c r="B69" s="21">
        <f>IF('03设备工时'!$D69="","",'03设备工时'!$B69)</f>
        <v/>
      </c>
      <c r="C69" s="22">
        <f>IF('03设备工时'!$D69="","",'03设备工时'!$C69)</f>
        <v/>
      </c>
      <c r="D69" s="22">
        <f>IF('03设备工时'!$D69="","",'03设备工时'!$D69)</f>
        <v/>
      </c>
      <c r="E69" s="39">
        <f>IF($D69="","",'03设备工时'!$E69)</f>
        <v/>
      </c>
      <c r="F69" s="23">
        <f>IF($D69="","",IF($V69&lt;&gt;"",$V69,IFERROR(INDEX('参数设置'!$E$30:$E$44,MATCH($D69,'参数设置'!$C$30:$C$44,0)),0)))</f>
        <v/>
      </c>
      <c r="G69" s="24">
        <f>IF($D69="","",'03设备工时'!$F69)</f>
        <v/>
      </c>
      <c r="H69" s="24">
        <f>IF($D69="","",'03设备工时'!$P69)</f>
        <v/>
      </c>
      <c r="I69" s="20">
        <f>IF(OR($D69="",$G69=0),"",$H69/$G69)</f>
        <v/>
      </c>
      <c r="J69" s="12">
        <f>IF($D69="","",ROUND($F69,2)-$S69)</f>
        <v/>
      </c>
      <c r="K69" s="12">
        <f>IF(OR($D69="",$G69=0),"",ROUND($F69*'03设备工时'!H69/$G69,2))</f>
        <v/>
      </c>
      <c r="L69" s="12">
        <f>IF(OR($D69="",$G69=0),"",ROUND($F69*'03设备工时'!I69/$G69,2))</f>
        <v/>
      </c>
      <c r="M69" s="12">
        <f>IF(OR($D69="",$G69=0),"",ROUND($F69*'03设备工时'!J69/$G69,2))</f>
        <v/>
      </c>
      <c r="N69" s="12">
        <f>IF(OR($D69="",$G69=0),"",ROUND($F69*'03设备工时'!K69/$G69,2))</f>
        <v/>
      </c>
      <c r="O69" s="12">
        <f>IF(OR($D69="",$G69=0),"",ROUND($F69*'03设备工时'!L69/$G69,2))</f>
        <v/>
      </c>
      <c r="P69" s="12">
        <f>IF(OR($D69="",$G69=0),"",ROUND($F69*'03设备工时'!M69/$G69,2))</f>
        <v/>
      </c>
      <c r="Q69" s="12">
        <f>IF(OR($D69="",$G69=0),"",ROUND($F69*'03设备工时'!N69/$G69,2))</f>
        <v/>
      </c>
      <c r="R69" s="12">
        <f>IF(OR($D69="",$G69=0),"",ROUND($F69*'03设备工时'!O69/$G69,2))</f>
        <v/>
      </c>
      <c r="S69" s="12">
        <f>IF($D69="","",SUM(K69:R69))</f>
        <v/>
      </c>
      <c r="T69" s="12">
        <f>IF($D69="","",$J69+$S69)</f>
        <v/>
      </c>
      <c r="U69" s="25">
        <f>IF($D69="","",IF($F69=0,"未维护折旧额",IF(ROUND($T69-$F69,2)=0,"√","差异")))</f>
        <v/>
      </c>
      <c r="V69" s="11" t="n"/>
      <c r="W69" s="39">
        <f>IF($D69="","",IFERROR(INDEX('参数设置'!$F$30:$F$44,MATCH($D69,'参数设置'!$C$30:$C$44,0)),""))</f>
        <v/>
      </c>
    </row>
    <row r="70" ht="18" customHeight="1">
      <c r="B70" s="21">
        <f>IF('03设备工时'!$D70="","",'03设备工时'!$B70)</f>
        <v/>
      </c>
      <c r="C70" s="22">
        <f>IF('03设备工时'!$D70="","",'03设备工时'!$C70)</f>
        <v/>
      </c>
      <c r="D70" s="22">
        <f>IF('03设备工时'!$D70="","",'03设备工时'!$D70)</f>
        <v/>
      </c>
      <c r="E70" s="39">
        <f>IF($D70="","",'03设备工时'!$E70)</f>
        <v/>
      </c>
      <c r="F70" s="23">
        <f>IF($D70="","",IF($V70&lt;&gt;"",$V70,IFERROR(INDEX('参数设置'!$E$30:$E$44,MATCH($D70,'参数设置'!$C$30:$C$44,0)),0)))</f>
        <v/>
      </c>
      <c r="G70" s="24">
        <f>IF($D70="","",'03设备工时'!$F70)</f>
        <v/>
      </c>
      <c r="H70" s="24">
        <f>IF($D70="","",'03设备工时'!$P70)</f>
        <v/>
      </c>
      <c r="I70" s="20">
        <f>IF(OR($D70="",$G70=0),"",$H70/$G70)</f>
        <v/>
      </c>
      <c r="J70" s="12">
        <f>IF($D70="","",ROUND($F70,2)-$S70)</f>
        <v/>
      </c>
      <c r="K70" s="12">
        <f>IF(OR($D70="",$G70=0),"",ROUND($F70*'03设备工时'!H70/$G70,2))</f>
        <v/>
      </c>
      <c r="L70" s="12">
        <f>IF(OR($D70="",$G70=0),"",ROUND($F70*'03设备工时'!I70/$G70,2))</f>
        <v/>
      </c>
      <c r="M70" s="12">
        <f>IF(OR($D70="",$G70=0),"",ROUND($F70*'03设备工时'!J70/$G70,2))</f>
        <v/>
      </c>
      <c r="N70" s="12">
        <f>IF(OR($D70="",$G70=0),"",ROUND($F70*'03设备工时'!K70/$G70,2))</f>
        <v/>
      </c>
      <c r="O70" s="12">
        <f>IF(OR($D70="",$G70=0),"",ROUND($F70*'03设备工时'!L70/$G70,2))</f>
        <v/>
      </c>
      <c r="P70" s="12">
        <f>IF(OR($D70="",$G70=0),"",ROUND($F70*'03设备工时'!M70/$G70,2))</f>
        <v/>
      </c>
      <c r="Q70" s="12">
        <f>IF(OR($D70="",$G70=0),"",ROUND($F70*'03设备工时'!N70/$G70,2))</f>
        <v/>
      </c>
      <c r="R70" s="12">
        <f>IF(OR($D70="",$G70=0),"",ROUND($F70*'03设备工时'!O70/$G70,2))</f>
        <v/>
      </c>
      <c r="S70" s="12">
        <f>IF($D70="","",SUM(K70:R70))</f>
        <v/>
      </c>
      <c r="T70" s="12">
        <f>IF($D70="","",$J70+$S70)</f>
        <v/>
      </c>
      <c r="U70" s="25">
        <f>IF($D70="","",IF($F70=0,"未维护折旧额",IF(ROUND($T70-$F70,2)=0,"√","差异")))</f>
        <v/>
      </c>
      <c r="V70" s="11" t="n"/>
      <c r="W70" s="39">
        <f>IF($D70="","",IFERROR(INDEX('参数设置'!$F$30:$F$44,MATCH($D70,'参数设置'!$C$30:$C$44,0)),""))</f>
        <v/>
      </c>
    </row>
    <row r="71" ht="18" customHeight="1">
      <c r="B71" s="21">
        <f>IF('03设备工时'!$D71="","",'03设备工时'!$B71)</f>
        <v/>
      </c>
      <c r="C71" s="22">
        <f>IF('03设备工时'!$D71="","",'03设备工时'!$C71)</f>
        <v/>
      </c>
      <c r="D71" s="22">
        <f>IF('03设备工时'!$D71="","",'03设备工时'!$D71)</f>
        <v/>
      </c>
      <c r="E71" s="39">
        <f>IF($D71="","",'03设备工时'!$E71)</f>
        <v/>
      </c>
      <c r="F71" s="23">
        <f>IF($D71="","",IF($V71&lt;&gt;"",$V71,IFERROR(INDEX('参数设置'!$E$30:$E$44,MATCH($D71,'参数设置'!$C$30:$C$44,0)),0)))</f>
        <v/>
      </c>
      <c r="G71" s="24">
        <f>IF($D71="","",'03设备工时'!$F71)</f>
        <v/>
      </c>
      <c r="H71" s="24">
        <f>IF($D71="","",'03设备工时'!$P71)</f>
        <v/>
      </c>
      <c r="I71" s="20">
        <f>IF(OR($D71="",$G71=0),"",$H71/$G71)</f>
        <v/>
      </c>
      <c r="J71" s="12">
        <f>IF($D71="","",ROUND($F71,2)-$S71)</f>
        <v/>
      </c>
      <c r="K71" s="12">
        <f>IF(OR($D71="",$G71=0),"",ROUND($F71*'03设备工时'!H71/$G71,2))</f>
        <v/>
      </c>
      <c r="L71" s="12">
        <f>IF(OR($D71="",$G71=0),"",ROUND($F71*'03设备工时'!I71/$G71,2))</f>
        <v/>
      </c>
      <c r="M71" s="12">
        <f>IF(OR($D71="",$G71=0),"",ROUND($F71*'03设备工时'!J71/$G71,2))</f>
        <v/>
      </c>
      <c r="N71" s="12">
        <f>IF(OR($D71="",$G71=0),"",ROUND($F71*'03设备工时'!K71/$G71,2))</f>
        <v/>
      </c>
      <c r="O71" s="12">
        <f>IF(OR($D71="",$G71=0),"",ROUND($F71*'03设备工时'!L71/$G71,2))</f>
        <v/>
      </c>
      <c r="P71" s="12">
        <f>IF(OR($D71="",$G71=0),"",ROUND($F71*'03设备工时'!M71/$G71,2))</f>
        <v/>
      </c>
      <c r="Q71" s="12">
        <f>IF(OR($D71="",$G71=0),"",ROUND($F71*'03设备工时'!N71/$G71,2))</f>
        <v/>
      </c>
      <c r="R71" s="12">
        <f>IF(OR($D71="",$G71=0),"",ROUND($F71*'03设备工时'!O71/$G71,2))</f>
        <v/>
      </c>
      <c r="S71" s="12">
        <f>IF($D71="","",SUM(K71:R71))</f>
        <v/>
      </c>
      <c r="T71" s="12">
        <f>IF($D71="","",$J71+$S71)</f>
        <v/>
      </c>
      <c r="U71" s="25">
        <f>IF($D71="","",IF($F71=0,"未维护折旧额",IF(ROUND($T71-$F71,2)=0,"√","差异")))</f>
        <v/>
      </c>
      <c r="V71" s="11" t="n"/>
      <c r="W71" s="39">
        <f>IF($D71="","",IFERROR(INDEX('参数设置'!$F$30:$F$44,MATCH($D71,'参数设置'!$C$30:$C$44,0)),""))</f>
        <v/>
      </c>
    </row>
    <row r="72" ht="18" customHeight="1">
      <c r="B72" s="21">
        <f>IF('03设备工时'!$D72="","",'03设备工时'!$B72)</f>
        <v/>
      </c>
      <c r="C72" s="22">
        <f>IF('03设备工时'!$D72="","",'03设备工时'!$C72)</f>
        <v/>
      </c>
      <c r="D72" s="22">
        <f>IF('03设备工时'!$D72="","",'03设备工时'!$D72)</f>
        <v/>
      </c>
      <c r="E72" s="39">
        <f>IF($D72="","",'03设备工时'!$E72)</f>
        <v/>
      </c>
      <c r="F72" s="23">
        <f>IF($D72="","",IF($V72&lt;&gt;"",$V72,IFERROR(INDEX('参数设置'!$E$30:$E$44,MATCH($D72,'参数设置'!$C$30:$C$44,0)),0)))</f>
        <v/>
      </c>
      <c r="G72" s="24">
        <f>IF($D72="","",'03设备工时'!$F72)</f>
        <v/>
      </c>
      <c r="H72" s="24">
        <f>IF($D72="","",'03设备工时'!$P72)</f>
        <v/>
      </c>
      <c r="I72" s="20">
        <f>IF(OR($D72="",$G72=0),"",$H72/$G72)</f>
        <v/>
      </c>
      <c r="J72" s="12">
        <f>IF($D72="","",ROUND($F72,2)-$S72)</f>
        <v/>
      </c>
      <c r="K72" s="12">
        <f>IF(OR($D72="",$G72=0),"",ROUND($F72*'03设备工时'!H72/$G72,2))</f>
        <v/>
      </c>
      <c r="L72" s="12">
        <f>IF(OR($D72="",$G72=0),"",ROUND($F72*'03设备工时'!I72/$G72,2))</f>
        <v/>
      </c>
      <c r="M72" s="12">
        <f>IF(OR($D72="",$G72=0),"",ROUND($F72*'03设备工时'!J72/$G72,2))</f>
        <v/>
      </c>
      <c r="N72" s="12">
        <f>IF(OR($D72="",$G72=0),"",ROUND($F72*'03设备工时'!K72/$G72,2))</f>
        <v/>
      </c>
      <c r="O72" s="12">
        <f>IF(OR($D72="",$G72=0),"",ROUND($F72*'03设备工时'!L72/$G72,2))</f>
        <v/>
      </c>
      <c r="P72" s="12">
        <f>IF(OR($D72="",$G72=0),"",ROUND($F72*'03设备工时'!M72/$G72,2))</f>
        <v/>
      </c>
      <c r="Q72" s="12">
        <f>IF(OR($D72="",$G72=0),"",ROUND($F72*'03设备工时'!N72/$G72,2))</f>
        <v/>
      </c>
      <c r="R72" s="12">
        <f>IF(OR($D72="",$G72=0),"",ROUND($F72*'03设备工时'!O72/$G72,2))</f>
        <v/>
      </c>
      <c r="S72" s="12">
        <f>IF($D72="","",SUM(K72:R72))</f>
        <v/>
      </c>
      <c r="T72" s="12">
        <f>IF($D72="","",$J72+$S72)</f>
        <v/>
      </c>
      <c r="U72" s="25">
        <f>IF($D72="","",IF($F72=0,"未维护折旧额",IF(ROUND($T72-$F72,2)=0,"√","差异")))</f>
        <v/>
      </c>
      <c r="V72" s="11" t="n"/>
      <c r="W72" s="39">
        <f>IF($D72="","",IFERROR(INDEX('参数设置'!$F$30:$F$44,MATCH($D72,'参数设置'!$C$30:$C$44,0)),""))</f>
        <v/>
      </c>
    </row>
    <row r="73" ht="18" customHeight="1">
      <c r="B73" s="21">
        <f>IF('03设备工时'!$D73="","",'03设备工时'!$B73)</f>
        <v/>
      </c>
      <c r="C73" s="22">
        <f>IF('03设备工时'!$D73="","",'03设备工时'!$C73)</f>
        <v/>
      </c>
      <c r="D73" s="22">
        <f>IF('03设备工时'!$D73="","",'03设备工时'!$D73)</f>
        <v/>
      </c>
      <c r="E73" s="39">
        <f>IF($D73="","",'03设备工时'!$E73)</f>
        <v/>
      </c>
      <c r="F73" s="23">
        <f>IF($D73="","",IF($V73&lt;&gt;"",$V73,IFERROR(INDEX('参数设置'!$E$30:$E$44,MATCH($D73,'参数设置'!$C$30:$C$44,0)),0)))</f>
        <v/>
      </c>
      <c r="G73" s="24">
        <f>IF($D73="","",'03设备工时'!$F73)</f>
        <v/>
      </c>
      <c r="H73" s="24">
        <f>IF($D73="","",'03设备工时'!$P73)</f>
        <v/>
      </c>
      <c r="I73" s="20">
        <f>IF(OR($D73="",$G73=0),"",$H73/$G73)</f>
        <v/>
      </c>
      <c r="J73" s="12">
        <f>IF($D73="","",ROUND($F73,2)-$S73)</f>
        <v/>
      </c>
      <c r="K73" s="12">
        <f>IF(OR($D73="",$G73=0),"",ROUND($F73*'03设备工时'!H73/$G73,2))</f>
        <v/>
      </c>
      <c r="L73" s="12">
        <f>IF(OR($D73="",$G73=0),"",ROUND($F73*'03设备工时'!I73/$G73,2))</f>
        <v/>
      </c>
      <c r="M73" s="12">
        <f>IF(OR($D73="",$G73=0),"",ROUND($F73*'03设备工时'!J73/$G73,2))</f>
        <v/>
      </c>
      <c r="N73" s="12">
        <f>IF(OR($D73="",$G73=0),"",ROUND($F73*'03设备工时'!K73/$G73,2))</f>
        <v/>
      </c>
      <c r="O73" s="12">
        <f>IF(OR($D73="",$G73=0),"",ROUND($F73*'03设备工时'!L73/$G73,2))</f>
        <v/>
      </c>
      <c r="P73" s="12">
        <f>IF(OR($D73="",$G73=0),"",ROUND($F73*'03设备工时'!M73/$G73,2))</f>
        <v/>
      </c>
      <c r="Q73" s="12">
        <f>IF(OR($D73="",$G73=0),"",ROUND($F73*'03设备工时'!N73/$G73,2))</f>
        <v/>
      </c>
      <c r="R73" s="12">
        <f>IF(OR($D73="",$G73=0),"",ROUND($F73*'03设备工时'!O73/$G73,2))</f>
        <v/>
      </c>
      <c r="S73" s="12">
        <f>IF($D73="","",SUM(K73:R73))</f>
        <v/>
      </c>
      <c r="T73" s="12">
        <f>IF($D73="","",$J73+$S73)</f>
        <v/>
      </c>
      <c r="U73" s="25">
        <f>IF($D73="","",IF($F73=0,"未维护折旧额",IF(ROUND($T73-$F73,2)=0,"√","差异")))</f>
        <v/>
      </c>
      <c r="V73" s="11" t="n"/>
      <c r="W73" s="39">
        <f>IF($D73="","",IFERROR(INDEX('参数设置'!$F$30:$F$44,MATCH($D73,'参数设置'!$C$30:$C$44,0)),""))</f>
        <v/>
      </c>
    </row>
    <row r="74" ht="18" customHeight="1">
      <c r="B74" s="21">
        <f>IF('03设备工时'!$D74="","",'03设备工时'!$B74)</f>
        <v/>
      </c>
      <c r="C74" s="22">
        <f>IF('03设备工时'!$D74="","",'03设备工时'!$C74)</f>
        <v/>
      </c>
      <c r="D74" s="22">
        <f>IF('03设备工时'!$D74="","",'03设备工时'!$D74)</f>
        <v/>
      </c>
      <c r="E74" s="39">
        <f>IF($D74="","",'03设备工时'!$E74)</f>
        <v/>
      </c>
      <c r="F74" s="23">
        <f>IF($D74="","",IF($V74&lt;&gt;"",$V74,IFERROR(INDEX('参数设置'!$E$30:$E$44,MATCH($D74,'参数设置'!$C$30:$C$44,0)),0)))</f>
        <v/>
      </c>
      <c r="G74" s="24">
        <f>IF($D74="","",'03设备工时'!$F74)</f>
        <v/>
      </c>
      <c r="H74" s="24">
        <f>IF($D74="","",'03设备工时'!$P74)</f>
        <v/>
      </c>
      <c r="I74" s="20">
        <f>IF(OR($D74="",$G74=0),"",$H74/$G74)</f>
        <v/>
      </c>
      <c r="J74" s="12">
        <f>IF($D74="","",ROUND($F74,2)-$S74)</f>
        <v/>
      </c>
      <c r="K74" s="12">
        <f>IF(OR($D74="",$G74=0),"",ROUND($F74*'03设备工时'!H74/$G74,2))</f>
        <v/>
      </c>
      <c r="L74" s="12">
        <f>IF(OR($D74="",$G74=0),"",ROUND($F74*'03设备工时'!I74/$G74,2))</f>
        <v/>
      </c>
      <c r="M74" s="12">
        <f>IF(OR($D74="",$G74=0),"",ROUND($F74*'03设备工时'!J74/$G74,2))</f>
        <v/>
      </c>
      <c r="N74" s="12">
        <f>IF(OR($D74="",$G74=0),"",ROUND($F74*'03设备工时'!K74/$G74,2))</f>
        <v/>
      </c>
      <c r="O74" s="12">
        <f>IF(OR($D74="",$G74=0),"",ROUND($F74*'03设备工时'!L74/$G74,2))</f>
        <v/>
      </c>
      <c r="P74" s="12">
        <f>IF(OR($D74="",$G74=0),"",ROUND($F74*'03设备工时'!M74/$G74,2))</f>
        <v/>
      </c>
      <c r="Q74" s="12">
        <f>IF(OR($D74="",$G74=0),"",ROUND($F74*'03设备工时'!N74/$G74,2))</f>
        <v/>
      </c>
      <c r="R74" s="12">
        <f>IF(OR($D74="",$G74=0),"",ROUND($F74*'03设备工时'!O74/$G74,2))</f>
        <v/>
      </c>
      <c r="S74" s="12">
        <f>IF($D74="","",SUM(K74:R74))</f>
        <v/>
      </c>
      <c r="T74" s="12">
        <f>IF($D74="","",$J74+$S74)</f>
        <v/>
      </c>
      <c r="U74" s="25">
        <f>IF($D74="","",IF($F74=0,"未维护折旧额",IF(ROUND($T74-$F74,2)=0,"√","差异")))</f>
        <v/>
      </c>
      <c r="V74" s="11" t="n"/>
      <c r="W74" s="39">
        <f>IF($D74="","",IFERROR(INDEX('参数设置'!$F$30:$F$44,MATCH($D74,'参数设置'!$C$30:$C$44,0)),""))</f>
        <v/>
      </c>
    </row>
    <row r="75" ht="18" customHeight="1">
      <c r="B75" s="21">
        <f>IF('03设备工时'!$D75="","",'03设备工时'!$B75)</f>
        <v/>
      </c>
      <c r="C75" s="22">
        <f>IF('03设备工时'!$D75="","",'03设备工时'!$C75)</f>
        <v/>
      </c>
      <c r="D75" s="22">
        <f>IF('03设备工时'!$D75="","",'03设备工时'!$D75)</f>
        <v/>
      </c>
      <c r="E75" s="39">
        <f>IF($D75="","",'03设备工时'!$E75)</f>
        <v/>
      </c>
      <c r="F75" s="23">
        <f>IF($D75="","",IF($V75&lt;&gt;"",$V75,IFERROR(INDEX('参数设置'!$E$30:$E$44,MATCH($D75,'参数设置'!$C$30:$C$44,0)),0)))</f>
        <v/>
      </c>
      <c r="G75" s="24">
        <f>IF($D75="","",'03设备工时'!$F75)</f>
        <v/>
      </c>
      <c r="H75" s="24">
        <f>IF($D75="","",'03设备工时'!$P75)</f>
        <v/>
      </c>
      <c r="I75" s="20">
        <f>IF(OR($D75="",$G75=0),"",$H75/$G75)</f>
        <v/>
      </c>
      <c r="J75" s="12">
        <f>IF($D75="","",ROUND($F75,2)-$S75)</f>
        <v/>
      </c>
      <c r="K75" s="12">
        <f>IF(OR($D75="",$G75=0),"",ROUND($F75*'03设备工时'!H75/$G75,2))</f>
        <v/>
      </c>
      <c r="L75" s="12">
        <f>IF(OR($D75="",$G75=0),"",ROUND($F75*'03设备工时'!I75/$G75,2))</f>
        <v/>
      </c>
      <c r="M75" s="12">
        <f>IF(OR($D75="",$G75=0),"",ROUND($F75*'03设备工时'!J75/$G75,2))</f>
        <v/>
      </c>
      <c r="N75" s="12">
        <f>IF(OR($D75="",$G75=0),"",ROUND($F75*'03设备工时'!K75/$G75,2))</f>
        <v/>
      </c>
      <c r="O75" s="12">
        <f>IF(OR($D75="",$G75=0),"",ROUND($F75*'03设备工时'!L75/$G75,2))</f>
        <v/>
      </c>
      <c r="P75" s="12">
        <f>IF(OR($D75="",$G75=0),"",ROUND($F75*'03设备工时'!M75/$G75,2))</f>
        <v/>
      </c>
      <c r="Q75" s="12">
        <f>IF(OR($D75="",$G75=0),"",ROUND($F75*'03设备工时'!N75/$G75,2))</f>
        <v/>
      </c>
      <c r="R75" s="12">
        <f>IF(OR($D75="",$G75=0),"",ROUND($F75*'03设备工时'!O75/$G75,2))</f>
        <v/>
      </c>
      <c r="S75" s="12">
        <f>IF($D75="","",SUM(K75:R75))</f>
        <v/>
      </c>
      <c r="T75" s="12">
        <f>IF($D75="","",$J75+$S75)</f>
        <v/>
      </c>
      <c r="U75" s="25">
        <f>IF($D75="","",IF($F75=0,"未维护折旧额",IF(ROUND($T75-$F75,2)=0,"√","差异")))</f>
        <v/>
      </c>
      <c r="V75" s="11" t="n"/>
      <c r="W75" s="39">
        <f>IF($D75="","",IFERROR(INDEX('参数设置'!$F$30:$F$44,MATCH($D75,'参数设置'!$C$30:$C$44,0)),""))</f>
        <v/>
      </c>
    </row>
    <row r="76" ht="18" customHeight="1">
      <c r="B76" s="21">
        <f>IF('03设备工时'!$D76="","",'03设备工时'!$B76)</f>
        <v/>
      </c>
      <c r="C76" s="22">
        <f>IF('03设备工时'!$D76="","",'03设备工时'!$C76)</f>
        <v/>
      </c>
      <c r="D76" s="22">
        <f>IF('03设备工时'!$D76="","",'03设备工时'!$D76)</f>
        <v/>
      </c>
      <c r="E76" s="39">
        <f>IF($D76="","",'03设备工时'!$E76)</f>
        <v/>
      </c>
      <c r="F76" s="23">
        <f>IF($D76="","",IF($V76&lt;&gt;"",$V76,IFERROR(INDEX('参数设置'!$E$30:$E$44,MATCH($D76,'参数设置'!$C$30:$C$44,0)),0)))</f>
        <v/>
      </c>
      <c r="G76" s="24">
        <f>IF($D76="","",'03设备工时'!$F76)</f>
        <v/>
      </c>
      <c r="H76" s="24">
        <f>IF($D76="","",'03设备工时'!$P76)</f>
        <v/>
      </c>
      <c r="I76" s="20">
        <f>IF(OR($D76="",$G76=0),"",$H76/$G76)</f>
        <v/>
      </c>
      <c r="J76" s="12">
        <f>IF($D76="","",ROUND($F76,2)-$S76)</f>
        <v/>
      </c>
      <c r="K76" s="12">
        <f>IF(OR($D76="",$G76=0),"",ROUND($F76*'03设备工时'!H76/$G76,2))</f>
        <v/>
      </c>
      <c r="L76" s="12">
        <f>IF(OR($D76="",$G76=0),"",ROUND($F76*'03设备工时'!I76/$G76,2))</f>
        <v/>
      </c>
      <c r="M76" s="12">
        <f>IF(OR($D76="",$G76=0),"",ROUND($F76*'03设备工时'!J76/$G76,2))</f>
        <v/>
      </c>
      <c r="N76" s="12">
        <f>IF(OR($D76="",$G76=0),"",ROUND($F76*'03设备工时'!K76/$G76,2))</f>
        <v/>
      </c>
      <c r="O76" s="12">
        <f>IF(OR($D76="",$G76=0),"",ROUND($F76*'03设备工时'!L76/$G76,2))</f>
        <v/>
      </c>
      <c r="P76" s="12">
        <f>IF(OR($D76="",$G76=0),"",ROUND($F76*'03设备工时'!M76/$G76,2))</f>
        <v/>
      </c>
      <c r="Q76" s="12">
        <f>IF(OR($D76="",$G76=0),"",ROUND($F76*'03设备工时'!N76/$G76,2))</f>
        <v/>
      </c>
      <c r="R76" s="12">
        <f>IF(OR($D76="",$G76=0),"",ROUND($F76*'03设备工时'!O76/$G76,2))</f>
        <v/>
      </c>
      <c r="S76" s="12">
        <f>IF($D76="","",SUM(K76:R76))</f>
        <v/>
      </c>
      <c r="T76" s="12">
        <f>IF($D76="","",$J76+$S76)</f>
        <v/>
      </c>
      <c r="U76" s="25">
        <f>IF($D76="","",IF($F76=0,"未维护折旧额",IF(ROUND($T76-$F76,2)=0,"√","差异")))</f>
        <v/>
      </c>
      <c r="V76" s="11" t="n"/>
      <c r="W76" s="39">
        <f>IF($D76="","",IFERROR(INDEX('参数设置'!$F$30:$F$44,MATCH($D76,'参数设置'!$C$30:$C$44,0)),""))</f>
        <v/>
      </c>
    </row>
    <row r="77" ht="18" customHeight="1">
      <c r="B77" s="21">
        <f>IF('03设备工时'!$D77="","",'03设备工时'!$B77)</f>
        <v/>
      </c>
      <c r="C77" s="22">
        <f>IF('03设备工时'!$D77="","",'03设备工时'!$C77)</f>
        <v/>
      </c>
      <c r="D77" s="22">
        <f>IF('03设备工时'!$D77="","",'03设备工时'!$D77)</f>
        <v/>
      </c>
      <c r="E77" s="39">
        <f>IF($D77="","",'03设备工时'!$E77)</f>
        <v/>
      </c>
      <c r="F77" s="23">
        <f>IF($D77="","",IF($V77&lt;&gt;"",$V77,IFERROR(INDEX('参数设置'!$E$30:$E$44,MATCH($D77,'参数设置'!$C$30:$C$44,0)),0)))</f>
        <v/>
      </c>
      <c r="G77" s="24">
        <f>IF($D77="","",'03设备工时'!$F77)</f>
        <v/>
      </c>
      <c r="H77" s="24">
        <f>IF($D77="","",'03设备工时'!$P77)</f>
        <v/>
      </c>
      <c r="I77" s="20">
        <f>IF(OR($D77="",$G77=0),"",$H77/$G77)</f>
        <v/>
      </c>
      <c r="J77" s="12">
        <f>IF($D77="","",ROUND($F77,2)-$S77)</f>
        <v/>
      </c>
      <c r="K77" s="12">
        <f>IF(OR($D77="",$G77=0),"",ROUND($F77*'03设备工时'!H77/$G77,2))</f>
        <v/>
      </c>
      <c r="L77" s="12">
        <f>IF(OR($D77="",$G77=0),"",ROUND($F77*'03设备工时'!I77/$G77,2))</f>
        <v/>
      </c>
      <c r="M77" s="12">
        <f>IF(OR($D77="",$G77=0),"",ROUND($F77*'03设备工时'!J77/$G77,2))</f>
        <v/>
      </c>
      <c r="N77" s="12">
        <f>IF(OR($D77="",$G77=0),"",ROUND($F77*'03设备工时'!K77/$G77,2))</f>
        <v/>
      </c>
      <c r="O77" s="12">
        <f>IF(OR($D77="",$G77=0),"",ROUND($F77*'03设备工时'!L77/$G77,2))</f>
        <v/>
      </c>
      <c r="P77" s="12">
        <f>IF(OR($D77="",$G77=0),"",ROUND($F77*'03设备工时'!M77/$G77,2))</f>
        <v/>
      </c>
      <c r="Q77" s="12">
        <f>IF(OR($D77="",$G77=0),"",ROUND($F77*'03设备工时'!N77/$G77,2))</f>
        <v/>
      </c>
      <c r="R77" s="12">
        <f>IF(OR($D77="",$G77=0),"",ROUND($F77*'03设备工时'!O77/$G77,2))</f>
        <v/>
      </c>
      <c r="S77" s="12">
        <f>IF($D77="","",SUM(K77:R77))</f>
        <v/>
      </c>
      <c r="T77" s="12">
        <f>IF($D77="","",$J77+$S77)</f>
        <v/>
      </c>
      <c r="U77" s="25">
        <f>IF($D77="","",IF($F77=0,"未维护折旧额",IF(ROUND($T77-$F77,2)=0,"√","差异")))</f>
        <v/>
      </c>
      <c r="V77" s="11" t="n"/>
      <c r="W77" s="39">
        <f>IF($D77="","",IFERROR(INDEX('参数设置'!$F$30:$F$44,MATCH($D77,'参数设置'!$C$30:$C$44,0)),""))</f>
        <v/>
      </c>
    </row>
    <row r="78" ht="18" customHeight="1">
      <c r="B78" s="21">
        <f>IF('03设备工时'!$D78="","",'03设备工时'!$B78)</f>
        <v/>
      </c>
      <c r="C78" s="22">
        <f>IF('03设备工时'!$D78="","",'03设备工时'!$C78)</f>
        <v/>
      </c>
      <c r="D78" s="22">
        <f>IF('03设备工时'!$D78="","",'03设备工时'!$D78)</f>
        <v/>
      </c>
      <c r="E78" s="39">
        <f>IF($D78="","",'03设备工时'!$E78)</f>
        <v/>
      </c>
      <c r="F78" s="23">
        <f>IF($D78="","",IF($V78&lt;&gt;"",$V78,IFERROR(INDEX('参数设置'!$E$30:$E$44,MATCH($D78,'参数设置'!$C$30:$C$44,0)),0)))</f>
        <v/>
      </c>
      <c r="G78" s="24">
        <f>IF($D78="","",'03设备工时'!$F78)</f>
        <v/>
      </c>
      <c r="H78" s="24">
        <f>IF($D78="","",'03设备工时'!$P78)</f>
        <v/>
      </c>
      <c r="I78" s="20">
        <f>IF(OR($D78="",$G78=0),"",$H78/$G78)</f>
        <v/>
      </c>
      <c r="J78" s="12">
        <f>IF($D78="","",ROUND($F78,2)-$S78)</f>
        <v/>
      </c>
      <c r="K78" s="12">
        <f>IF(OR($D78="",$G78=0),"",ROUND($F78*'03设备工时'!H78/$G78,2))</f>
        <v/>
      </c>
      <c r="L78" s="12">
        <f>IF(OR($D78="",$G78=0),"",ROUND($F78*'03设备工时'!I78/$G78,2))</f>
        <v/>
      </c>
      <c r="M78" s="12">
        <f>IF(OR($D78="",$G78=0),"",ROUND($F78*'03设备工时'!J78/$G78,2))</f>
        <v/>
      </c>
      <c r="N78" s="12">
        <f>IF(OR($D78="",$G78=0),"",ROUND($F78*'03设备工时'!K78/$G78,2))</f>
        <v/>
      </c>
      <c r="O78" s="12">
        <f>IF(OR($D78="",$G78=0),"",ROUND($F78*'03设备工时'!L78/$G78,2))</f>
        <v/>
      </c>
      <c r="P78" s="12">
        <f>IF(OR($D78="",$G78=0),"",ROUND($F78*'03设备工时'!M78/$G78,2))</f>
        <v/>
      </c>
      <c r="Q78" s="12">
        <f>IF(OR($D78="",$G78=0),"",ROUND($F78*'03设备工时'!N78/$G78,2))</f>
        <v/>
      </c>
      <c r="R78" s="12">
        <f>IF(OR($D78="",$G78=0),"",ROUND($F78*'03设备工时'!O78/$G78,2))</f>
        <v/>
      </c>
      <c r="S78" s="12">
        <f>IF($D78="","",SUM(K78:R78))</f>
        <v/>
      </c>
      <c r="T78" s="12">
        <f>IF($D78="","",$J78+$S78)</f>
        <v/>
      </c>
      <c r="U78" s="25">
        <f>IF($D78="","",IF($F78=0,"未维护折旧额",IF(ROUND($T78-$F78,2)=0,"√","差异")))</f>
        <v/>
      </c>
      <c r="V78" s="11" t="n"/>
      <c r="W78" s="39">
        <f>IF($D78="","",IFERROR(INDEX('参数设置'!$F$30:$F$44,MATCH($D78,'参数设置'!$C$30:$C$44,0)),""))</f>
        <v/>
      </c>
    </row>
    <row r="79" ht="18" customHeight="1">
      <c r="B79" s="21">
        <f>IF('03设备工时'!$D79="","",'03设备工时'!$B79)</f>
        <v/>
      </c>
      <c r="C79" s="22">
        <f>IF('03设备工时'!$D79="","",'03设备工时'!$C79)</f>
        <v/>
      </c>
      <c r="D79" s="22">
        <f>IF('03设备工时'!$D79="","",'03设备工时'!$D79)</f>
        <v/>
      </c>
      <c r="E79" s="39">
        <f>IF($D79="","",'03设备工时'!$E79)</f>
        <v/>
      </c>
      <c r="F79" s="23">
        <f>IF($D79="","",IF($V79&lt;&gt;"",$V79,IFERROR(INDEX('参数设置'!$E$30:$E$44,MATCH($D79,'参数设置'!$C$30:$C$44,0)),0)))</f>
        <v/>
      </c>
      <c r="G79" s="24">
        <f>IF($D79="","",'03设备工时'!$F79)</f>
        <v/>
      </c>
      <c r="H79" s="24">
        <f>IF($D79="","",'03设备工时'!$P79)</f>
        <v/>
      </c>
      <c r="I79" s="20">
        <f>IF(OR($D79="",$G79=0),"",$H79/$G79)</f>
        <v/>
      </c>
      <c r="J79" s="12">
        <f>IF($D79="","",ROUND($F79,2)-$S79)</f>
        <v/>
      </c>
      <c r="K79" s="12">
        <f>IF(OR($D79="",$G79=0),"",ROUND($F79*'03设备工时'!H79/$G79,2))</f>
        <v/>
      </c>
      <c r="L79" s="12">
        <f>IF(OR($D79="",$G79=0),"",ROUND($F79*'03设备工时'!I79/$G79,2))</f>
        <v/>
      </c>
      <c r="M79" s="12">
        <f>IF(OR($D79="",$G79=0),"",ROUND($F79*'03设备工时'!J79/$G79,2))</f>
        <v/>
      </c>
      <c r="N79" s="12">
        <f>IF(OR($D79="",$G79=0),"",ROUND($F79*'03设备工时'!K79/$G79,2))</f>
        <v/>
      </c>
      <c r="O79" s="12">
        <f>IF(OR($D79="",$G79=0),"",ROUND($F79*'03设备工时'!L79/$G79,2))</f>
        <v/>
      </c>
      <c r="P79" s="12">
        <f>IF(OR($D79="",$G79=0),"",ROUND($F79*'03设备工时'!M79/$G79,2))</f>
        <v/>
      </c>
      <c r="Q79" s="12">
        <f>IF(OR($D79="",$G79=0),"",ROUND($F79*'03设备工时'!N79/$G79,2))</f>
        <v/>
      </c>
      <c r="R79" s="12">
        <f>IF(OR($D79="",$G79=0),"",ROUND($F79*'03设备工时'!O79/$G79,2))</f>
        <v/>
      </c>
      <c r="S79" s="12">
        <f>IF($D79="","",SUM(K79:R79))</f>
        <v/>
      </c>
      <c r="T79" s="12">
        <f>IF($D79="","",$J79+$S79)</f>
        <v/>
      </c>
      <c r="U79" s="25">
        <f>IF($D79="","",IF($F79=0,"未维护折旧额",IF(ROUND($T79-$F79,2)=0,"√","差异")))</f>
        <v/>
      </c>
      <c r="V79" s="11" t="n"/>
      <c r="W79" s="39">
        <f>IF($D79="","",IFERROR(INDEX('参数设置'!$F$30:$F$44,MATCH($D79,'参数设置'!$C$30:$C$44,0)),""))</f>
        <v/>
      </c>
    </row>
    <row r="80" ht="18" customHeight="1">
      <c r="B80" s="21">
        <f>IF('03设备工时'!$D80="","",'03设备工时'!$B80)</f>
        <v/>
      </c>
      <c r="C80" s="22">
        <f>IF('03设备工时'!$D80="","",'03设备工时'!$C80)</f>
        <v/>
      </c>
      <c r="D80" s="22">
        <f>IF('03设备工时'!$D80="","",'03设备工时'!$D80)</f>
        <v/>
      </c>
      <c r="E80" s="39">
        <f>IF($D80="","",'03设备工时'!$E80)</f>
        <v/>
      </c>
      <c r="F80" s="23">
        <f>IF($D80="","",IF($V80&lt;&gt;"",$V80,IFERROR(INDEX('参数设置'!$E$30:$E$44,MATCH($D80,'参数设置'!$C$30:$C$44,0)),0)))</f>
        <v/>
      </c>
      <c r="G80" s="24">
        <f>IF($D80="","",'03设备工时'!$F80)</f>
        <v/>
      </c>
      <c r="H80" s="24">
        <f>IF($D80="","",'03设备工时'!$P80)</f>
        <v/>
      </c>
      <c r="I80" s="20">
        <f>IF(OR($D80="",$G80=0),"",$H80/$G80)</f>
        <v/>
      </c>
      <c r="J80" s="12">
        <f>IF($D80="","",ROUND($F80,2)-$S80)</f>
        <v/>
      </c>
      <c r="K80" s="12">
        <f>IF(OR($D80="",$G80=0),"",ROUND($F80*'03设备工时'!H80/$G80,2))</f>
        <v/>
      </c>
      <c r="L80" s="12">
        <f>IF(OR($D80="",$G80=0),"",ROUND($F80*'03设备工时'!I80/$G80,2))</f>
        <v/>
      </c>
      <c r="M80" s="12">
        <f>IF(OR($D80="",$G80=0),"",ROUND($F80*'03设备工时'!J80/$G80,2))</f>
        <v/>
      </c>
      <c r="N80" s="12">
        <f>IF(OR($D80="",$G80=0),"",ROUND($F80*'03设备工时'!K80/$G80,2))</f>
        <v/>
      </c>
      <c r="O80" s="12">
        <f>IF(OR($D80="",$G80=0),"",ROUND($F80*'03设备工时'!L80/$G80,2))</f>
        <v/>
      </c>
      <c r="P80" s="12">
        <f>IF(OR($D80="",$G80=0),"",ROUND($F80*'03设备工时'!M80/$G80,2))</f>
        <v/>
      </c>
      <c r="Q80" s="12">
        <f>IF(OR($D80="",$G80=0),"",ROUND($F80*'03设备工时'!N80/$G80,2))</f>
        <v/>
      </c>
      <c r="R80" s="12">
        <f>IF(OR($D80="",$G80=0),"",ROUND($F80*'03设备工时'!O80/$G80,2))</f>
        <v/>
      </c>
      <c r="S80" s="12">
        <f>IF($D80="","",SUM(K80:R80))</f>
        <v/>
      </c>
      <c r="T80" s="12">
        <f>IF($D80="","",$J80+$S80)</f>
        <v/>
      </c>
      <c r="U80" s="25">
        <f>IF($D80="","",IF($F80=0,"未维护折旧额",IF(ROUND($T80-$F80,2)=0,"√","差异")))</f>
        <v/>
      </c>
      <c r="V80" s="11" t="n"/>
      <c r="W80" s="39">
        <f>IF($D80="","",IFERROR(INDEX('参数设置'!$F$30:$F$44,MATCH($D80,'参数设置'!$C$30:$C$44,0)),""))</f>
        <v/>
      </c>
    </row>
    <row r="81" ht="18" customHeight="1">
      <c r="B81" s="21">
        <f>IF('03设备工时'!$D81="","",'03设备工时'!$B81)</f>
        <v/>
      </c>
      <c r="C81" s="22">
        <f>IF('03设备工时'!$D81="","",'03设备工时'!$C81)</f>
        <v/>
      </c>
      <c r="D81" s="22">
        <f>IF('03设备工时'!$D81="","",'03设备工时'!$D81)</f>
        <v/>
      </c>
      <c r="E81" s="39">
        <f>IF($D81="","",'03设备工时'!$E81)</f>
        <v/>
      </c>
      <c r="F81" s="23">
        <f>IF($D81="","",IF($V81&lt;&gt;"",$V81,IFERROR(INDEX('参数设置'!$E$30:$E$44,MATCH($D81,'参数设置'!$C$30:$C$44,0)),0)))</f>
        <v/>
      </c>
      <c r="G81" s="24">
        <f>IF($D81="","",'03设备工时'!$F81)</f>
        <v/>
      </c>
      <c r="H81" s="24">
        <f>IF($D81="","",'03设备工时'!$P81)</f>
        <v/>
      </c>
      <c r="I81" s="20">
        <f>IF(OR($D81="",$G81=0),"",$H81/$G81)</f>
        <v/>
      </c>
      <c r="J81" s="12">
        <f>IF($D81="","",ROUND($F81,2)-$S81)</f>
        <v/>
      </c>
      <c r="K81" s="12">
        <f>IF(OR($D81="",$G81=0),"",ROUND($F81*'03设备工时'!H81/$G81,2))</f>
        <v/>
      </c>
      <c r="L81" s="12">
        <f>IF(OR($D81="",$G81=0),"",ROUND($F81*'03设备工时'!I81/$G81,2))</f>
        <v/>
      </c>
      <c r="M81" s="12">
        <f>IF(OR($D81="",$G81=0),"",ROUND($F81*'03设备工时'!J81/$G81,2))</f>
        <v/>
      </c>
      <c r="N81" s="12">
        <f>IF(OR($D81="",$G81=0),"",ROUND($F81*'03设备工时'!K81/$G81,2))</f>
        <v/>
      </c>
      <c r="O81" s="12">
        <f>IF(OR($D81="",$G81=0),"",ROUND($F81*'03设备工时'!L81/$G81,2))</f>
        <v/>
      </c>
      <c r="P81" s="12">
        <f>IF(OR($D81="",$G81=0),"",ROUND($F81*'03设备工时'!M81/$G81,2))</f>
        <v/>
      </c>
      <c r="Q81" s="12">
        <f>IF(OR($D81="",$G81=0),"",ROUND($F81*'03设备工时'!N81/$G81,2))</f>
        <v/>
      </c>
      <c r="R81" s="12">
        <f>IF(OR($D81="",$G81=0),"",ROUND($F81*'03设备工时'!O81/$G81,2))</f>
        <v/>
      </c>
      <c r="S81" s="12">
        <f>IF($D81="","",SUM(K81:R81))</f>
        <v/>
      </c>
      <c r="T81" s="12">
        <f>IF($D81="","",$J81+$S81)</f>
        <v/>
      </c>
      <c r="U81" s="25">
        <f>IF($D81="","",IF($F81=0,"未维护折旧额",IF(ROUND($T81-$F81,2)=0,"√","差异")))</f>
        <v/>
      </c>
      <c r="V81" s="11" t="n"/>
      <c r="W81" s="39">
        <f>IF($D81="","",IFERROR(INDEX('参数设置'!$F$30:$F$44,MATCH($D81,'参数设置'!$C$30:$C$44,0)),""))</f>
        <v/>
      </c>
    </row>
    <row r="82" ht="18" customHeight="1">
      <c r="B82" s="21">
        <f>IF('03设备工时'!$D82="","",'03设备工时'!$B82)</f>
        <v/>
      </c>
      <c r="C82" s="22">
        <f>IF('03设备工时'!$D82="","",'03设备工时'!$C82)</f>
        <v/>
      </c>
      <c r="D82" s="22">
        <f>IF('03设备工时'!$D82="","",'03设备工时'!$D82)</f>
        <v/>
      </c>
      <c r="E82" s="39">
        <f>IF($D82="","",'03设备工时'!$E82)</f>
        <v/>
      </c>
      <c r="F82" s="23">
        <f>IF($D82="","",IF($V82&lt;&gt;"",$V82,IFERROR(INDEX('参数设置'!$E$30:$E$44,MATCH($D82,'参数设置'!$C$30:$C$44,0)),0)))</f>
        <v/>
      </c>
      <c r="G82" s="24">
        <f>IF($D82="","",'03设备工时'!$F82)</f>
        <v/>
      </c>
      <c r="H82" s="24">
        <f>IF($D82="","",'03设备工时'!$P82)</f>
        <v/>
      </c>
      <c r="I82" s="20">
        <f>IF(OR($D82="",$G82=0),"",$H82/$G82)</f>
        <v/>
      </c>
      <c r="J82" s="12">
        <f>IF($D82="","",ROUND($F82,2)-$S82)</f>
        <v/>
      </c>
      <c r="K82" s="12">
        <f>IF(OR($D82="",$G82=0),"",ROUND($F82*'03设备工时'!H82/$G82,2))</f>
        <v/>
      </c>
      <c r="L82" s="12">
        <f>IF(OR($D82="",$G82=0),"",ROUND($F82*'03设备工时'!I82/$G82,2))</f>
        <v/>
      </c>
      <c r="M82" s="12">
        <f>IF(OR($D82="",$G82=0),"",ROUND($F82*'03设备工时'!J82/$G82,2))</f>
        <v/>
      </c>
      <c r="N82" s="12">
        <f>IF(OR($D82="",$G82=0),"",ROUND($F82*'03设备工时'!K82/$G82,2))</f>
        <v/>
      </c>
      <c r="O82" s="12">
        <f>IF(OR($D82="",$G82=0),"",ROUND($F82*'03设备工时'!L82/$G82,2))</f>
        <v/>
      </c>
      <c r="P82" s="12">
        <f>IF(OR($D82="",$G82=0),"",ROUND($F82*'03设备工时'!M82/$G82,2))</f>
        <v/>
      </c>
      <c r="Q82" s="12">
        <f>IF(OR($D82="",$G82=0),"",ROUND($F82*'03设备工时'!N82/$G82,2))</f>
        <v/>
      </c>
      <c r="R82" s="12">
        <f>IF(OR($D82="",$G82=0),"",ROUND($F82*'03设备工时'!O82/$G82,2))</f>
        <v/>
      </c>
      <c r="S82" s="12">
        <f>IF($D82="","",SUM(K82:R82))</f>
        <v/>
      </c>
      <c r="T82" s="12">
        <f>IF($D82="","",$J82+$S82)</f>
        <v/>
      </c>
      <c r="U82" s="25">
        <f>IF($D82="","",IF($F82=0,"未维护折旧额",IF(ROUND($T82-$F82,2)=0,"√","差异")))</f>
        <v/>
      </c>
      <c r="V82" s="11" t="n"/>
      <c r="W82" s="39">
        <f>IF($D82="","",IFERROR(INDEX('参数设置'!$F$30:$F$44,MATCH($D82,'参数设置'!$C$30:$C$44,0)),""))</f>
        <v/>
      </c>
    </row>
    <row r="83" ht="18" customHeight="1">
      <c r="B83" s="21">
        <f>IF('03设备工时'!$D83="","",'03设备工时'!$B83)</f>
        <v/>
      </c>
      <c r="C83" s="22">
        <f>IF('03设备工时'!$D83="","",'03设备工时'!$C83)</f>
        <v/>
      </c>
      <c r="D83" s="22">
        <f>IF('03设备工时'!$D83="","",'03设备工时'!$D83)</f>
        <v/>
      </c>
      <c r="E83" s="39">
        <f>IF($D83="","",'03设备工时'!$E83)</f>
        <v/>
      </c>
      <c r="F83" s="23">
        <f>IF($D83="","",IF($V83&lt;&gt;"",$V83,IFERROR(INDEX('参数设置'!$E$30:$E$44,MATCH($D83,'参数设置'!$C$30:$C$44,0)),0)))</f>
        <v/>
      </c>
      <c r="G83" s="24">
        <f>IF($D83="","",'03设备工时'!$F83)</f>
        <v/>
      </c>
      <c r="H83" s="24">
        <f>IF($D83="","",'03设备工时'!$P83)</f>
        <v/>
      </c>
      <c r="I83" s="20">
        <f>IF(OR($D83="",$G83=0),"",$H83/$G83)</f>
        <v/>
      </c>
      <c r="J83" s="12">
        <f>IF($D83="","",ROUND($F83,2)-$S83)</f>
        <v/>
      </c>
      <c r="K83" s="12">
        <f>IF(OR($D83="",$G83=0),"",ROUND($F83*'03设备工时'!H83/$G83,2))</f>
        <v/>
      </c>
      <c r="L83" s="12">
        <f>IF(OR($D83="",$G83=0),"",ROUND($F83*'03设备工时'!I83/$G83,2))</f>
        <v/>
      </c>
      <c r="M83" s="12">
        <f>IF(OR($D83="",$G83=0),"",ROUND($F83*'03设备工时'!J83/$G83,2))</f>
        <v/>
      </c>
      <c r="N83" s="12">
        <f>IF(OR($D83="",$G83=0),"",ROUND($F83*'03设备工时'!K83/$G83,2))</f>
        <v/>
      </c>
      <c r="O83" s="12">
        <f>IF(OR($D83="",$G83=0),"",ROUND($F83*'03设备工时'!L83/$G83,2))</f>
        <v/>
      </c>
      <c r="P83" s="12">
        <f>IF(OR($D83="",$G83=0),"",ROUND($F83*'03设备工时'!M83/$G83,2))</f>
        <v/>
      </c>
      <c r="Q83" s="12">
        <f>IF(OR($D83="",$G83=0),"",ROUND($F83*'03设备工时'!N83/$G83,2))</f>
        <v/>
      </c>
      <c r="R83" s="12">
        <f>IF(OR($D83="",$G83=0),"",ROUND($F83*'03设备工时'!O83/$G83,2))</f>
        <v/>
      </c>
      <c r="S83" s="12">
        <f>IF($D83="","",SUM(K83:R83))</f>
        <v/>
      </c>
      <c r="T83" s="12">
        <f>IF($D83="","",$J83+$S83)</f>
        <v/>
      </c>
      <c r="U83" s="25">
        <f>IF($D83="","",IF($F83=0,"未维护折旧额",IF(ROUND($T83-$F83,2)=0,"√","差异")))</f>
        <v/>
      </c>
      <c r="V83" s="11" t="n"/>
      <c r="W83" s="39">
        <f>IF($D83="","",IFERROR(INDEX('参数设置'!$F$30:$F$44,MATCH($D83,'参数设置'!$C$30:$C$44,0)),""))</f>
        <v/>
      </c>
    </row>
    <row r="84" ht="18" customHeight="1">
      <c r="B84" s="21">
        <f>IF('03设备工时'!$D84="","",'03设备工时'!$B84)</f>
        <v/>
      </c>
      <c r="C84" s="22">
        <f>IF('03设备工时'!$D84="","",'03设备工时'!$C84)</f>
        <v/>
      </c>
      <c r="D84" s="22">
        <f>IF('03设备工时'!$D84="","",'03设备工时'!$D84)</f>
        <v/>
      </c>
      <c r="E84" s="39">
        <f>IF($D84="","",'03设备工时'!$E84)</f>
        <v/>
      </c>
      <c r="F84" s="23">
        <f>IF($D84="","",IF($V84&lt;&gt;"",$V84,IFERROR(INDEX('参数设置'!$E$30:$E$44,MATCH($D84,'参数设置'!$C$30:$C$44,0)),0)))</f>
        <v/>
      </c>
      <c r="G84" s="24">
        <f>IF($D84="","",'03设备工时'!$F84)</f>
        <v/>
      </c>
      <c r="H84" s="24">
        <f>IF($D84="","",'03设备工时'!$P84)</f>
        <v/>
      </c>
      <c r="I84" s="20">
        <f>IF(OR($D84="",$G84=0),"",$H84/$G84)</f>
        <v/>
      </c>
      <c r="J84" s="12">
        <f>IF($D84="","",ROUND($F84,2)-$S84)</f>
        <v/>
      </c>
      <c r="K84" s="12">
        <f>IF(OR($D84="",$G84=0),"",ROUND($F84*'03设备工时'!H84/$G84,2))</f>
        <v/>
      </c>
      <c r="L84" s="12">
        <f>IF(OR($D84="",$G84=0),"",ROUND($F84*'03设备工时'!I84/$G84,2))</f>
        <v/>
      </c>
      <c r="M84" s="12">
        <f>IF(OR($D84="",$G84=0),"",ROUND($F84*'03设备工时'!J84/$G84,2))</f>
        <v/>
      </c>
      <c r="N84" s="12">
        <f>IF(OR($D84="",$G84=0),"",ROUND($F84*'03设备工时'!K84/$G84,2))</f>
        <v/>
      </c>
      <c r="O84" s="12">
        <f>IF(OR($D84="",$G84=0),"",ROUND($F84*'03设备工时'!L84/$G84,2))</f>
        <v/>
      </c>
      <c r="P84" s="12">
        <f>IF(OR($D84="",$G84=0),"",ROUND($F84*'03设备工时'!M84/$G84,2))</f>
        <v/>
      </c>
      <c r="Q84" s="12">
        <f>IF(OR($D84="",$G84=0),"",ROUND($F84*'03设备工时'!N84/$G84,2))</f>
        <v/>
      </c>
      <c r="R84" s="12">
        <f>IF(OR($D84="",$G84=0),"",ROUND($F84*'03设备工时'!O84/$G84,2))</f>
        <v/>
      </c>
      <c r="S84" s="12">
        <f>IF($D84="","",SUM(K84:R84))</f>
        <v/>
      </c>
      <c r="T84" s="12">
        <f>IF($D84="","",$J84+$S84)</f>
        <v/>
      </c>
      <c r="U84" s="25">
        <f>IF($D84="","",IF($F84=0,"未维护折旧额",IF(ROUND($T84-$F84,2)=0,"√","差异")))</f>
        <v/>
      </c>
      <c r="V84" s="11" t="n"/>
      <c r="W84" s="39">
        <f>IF($D84="","",IFERROR(INDEX('参数设置'!$F$30:$F$44,MATCH($D84,'参数设置'!$C$30:$C$44,0)),""))</f>
        <v/>
      </c>
    </row>
    <row r="85" ht="18" customHeight="1">
      <c r="B85" s="21">
        <f>IF('03设备工时'!$D85="","",'03设备工时'!$B85)</f>
        <v/>
      </c>
      <c r="C85" s="22">
        <f>IF('03设备工时'!$D85="","",'03设备工时'!$C85)</f>
        <v/>
      </c>
      <c r="D85" s="22">
        <f>IF('03设备工时'!$D85="","",'03设备工时'!$D85)</f>
        <v/>
      </c>
      <c r="E85" s="39">
        <f>IF($D85="","",'03设备工时'!$E85)</f>
        <v/>
      </c>
      <c r="F85" s="23">
        <f>IF($D85="","",IF($V85&lt;&gt;"",$V85,IFERROR(INDEX('参数设置'!$E$30:$E$44,MATCH($D85,'参数设置'!$C$30:$C$44,0)),0)))</f>
        <v/>
      </c>
      <c r="G85" s="24">
        <f>IF($D85="","",'03设备工时'!$F85)</f>
        <v/>
      </c>
      <c r="H85" s="24">
        <f>IF($D85="","",'03设备工时'!$P85)</f>
        <v/>
      </c>
      <c r="I85" s="20">
        <f>IF(OR($D85="",$G85=0),"",$H85/$G85)</f>
        <v/>
      </c>
      <c r="J85" s="12">
        <f>IF($D85="","",ROUND($F85,2)-$S85)</f>
        <v/>
      </c>
      <c r="K85" s="12">
        <f>IF(OR($D85="",$G85=0),"",ROUND($F85*'03设备工时'!H85/$G85,2))</f>
        <v/>
      </c>
      <c r="L85" s="12">
        <f>IF(OR($D85="",$G85=0),"",ROUND($F85*'03设备工时'!I85/$G85,2))</f>
        <v/>
      </c>
      <c r="M85" s="12">
        <f>IF(OR($D85="",$G85=0),"",ROUND($F85*'03设备工时'!J85/$G85,2))</f>
        <v/>
      </c>
      <c r="N85" s="12">
        <f>IF(OR($D85="",$G85=0),"",ROUND($F85*'03设备工时'!K85/$G85,2))</f>
        <v/>
      </c>
      <c r="O85" s="12">
        <f>IF(OR($D85="",$G85=0),"",ROUND($F85*'03设备工时'!L85/$G85,2))</f>
        <v/>
      </c>
      <c r="P85" s="12">
        <f>IF(OR($D85="",$G85=0),"",ROUND($F85*'03设备工时'!M85/$G85,2))</f>
        <v/>
      </c>
      <c r="Q85" s="12">
        <f>IF(OR($D85="",$G85=0),"",ROUND($F85*'03设备工时'!N85/$G85,2))</f>
        <v/>
      </c>
      <c r="R85" s="12">
        <f>IF(OR($D85="",$G85=0),"",ROUND($F85*'03设备工时'!O85/$G85,2))</f>
        <v/>
      </c>
      <c r="S85" s="12">
        <f>IF($D85="","",SUM(K85:R85))</f>
        <v/>
      </c>
      <c r="T85" s="12">
        <f>IF($D85="","",$J85+$S85)</f>
        <v/>
      </c>
      <c r="U85" s="25">
        <f>IF($D85="","",IF($F85=0,"未维护折旧额",IF(ROUND($T85-$F85,2)=0,"√","差异")))</f>
        <v/>
      </c>
      <c r="V85" s="11" t="n"/>
      <c r="W85" s="39">
        <f>IF($D85="","",IFERROR(INDEX('参数设置'!$F$30:$F$44,MATCH($D85,'参数设置'!$C$30:$C$44,0)),""))</f>
        <v/>
      </c>
    </row>
    <row r="86" ht="18" customHeight="1">
      <c r="B86" s="21">
        <f>IF('03设备工时'!$D86="","",'03设备工时'!$B86)</f>
        <v/>
      </c>
      <c r="C86" s="22">
        <f>IF('03设备工时'!$D86="","",'03设备工时'!$C86)</f>
        <v/>
      </c>
      <c r="D86" s="22">
        <f>IF('03设备工时'!$D86="","",'03设备工时'!$D86)</f>
        <v/>
      </c>
      <c r="E86" s="39">
        <f>IF($D86="","",'03设备工时'!$E86)</f>
        <v/>
      </c>
      <c r="F86" s="23">
        <f>IF($D86="","",IF($V86&lt;&gt;"",$V86,IFERROR(INDEX('参数设置'!$E$30:$E$44,MATCH($D86,'参数设置'!$C$30:$C$44,0)),0)))</f>
        <v/>
      </c>
      <c r="G86" s="24">
        <f>IF($D86="","",'03设备工时'!$F86)</f>
        <v/>
      </c>
      <c r="H86" s="24">
        <f>IF($D86="","",'03设备工时'!$P86)</f>
        <v/>
      </c>
      <c r="I86" s="20">
        <f>IF(OR($D86="",$G86=0),"",$H86/$G86)</f>
        <v/>
      </c>
      <c r="J86" s="12">
        <f>IF($D86="","",ROUND($F86,2)-$S86)</f>
        <v/>
      </c>
      <c r="K86" s="12">
        <f>IF(OR($D86="",$G86=0),"",ROUND($F86*'03设备工时'!H86/$G86,2))</f>
        <v/>
      </c>
      <c r="L86" s="12">
        <f>IF(OR($D86="",$G86=0),"",ROUND($F86*'03设备工时'!I86/$G86,2))</f>
        <v/>
      </c>
      <c r="M86" s="12">
        <f>IF(OR($D86="",$G86=0),"",ROUND($F86*'03设备工时'!J86/$G86,2))</f>
        <v/>
      </c>
      <c r="N86" s="12">
        <f>IF(OR($D86="",$G86=0),"",ROUND($F86*'03设备工时'!K86/$G86,2))</f>
        <v/>
      </c>
      <c r="O86" s="12">
        <f>IF(OR($D86="",$G86=0),"",ROUND($F86*'03设备工时'!L86/$G86,2))</f>
        <v/>
      </c>
      <c r="P86" s="12">
        <f>IF(OR($D86="",$G86=0),"",ROUND($F86*'03设备工时'!M86/$G86,2))</f>
        <v/>
      </c>
      <c r="Q86" s="12">
        <f>IF(OR($D86="",$G86=0),"",ROUND($F86*'03设备工时'!N86/$G86,2))</f>
        <v/>
      </c>
      <c r="R86" s="12">
        <f>IF(OR($D86="",$G86=0),"",ROUND($F86*'03设备工时'!O86/$G86,2))</f>
        <v/>
      </c>
      <c r="S86" s="12">
        <f>IF($D86="","",SUM(K86:R86))</f>
        <v/>
      </c>
      <c r="T86" s="12">
        <f>IF($D86="","",$J86+$S86)</f>
        <v/>
      </c>
      <c r="U86" s="25">
        <f>IF($D86="","",IF($F86=0,"未维护折旧额",IF(ROUND($T86-$F86,2)=0,"√","差异")))</f>
        <v/>
      </c>
      <c r="V86" s="11" t="n"/>
      <c r="W86" s="39">
        <f>IF($D86="","",IFERROR(INDEX('参数设置'!$F$30:$F$44,MATCH($D86,'参数设置'!$C$30:$C$44,0)),""))</f>
        <v/>
      </c>
    </row>
    <row r="87" ht="18" customHeight="1">
      <c r="B87" s="21">
        <f>IF('03设备工时'!$D87="","",'03设备工时'!$B87)</f>
        <v/>
      </c>
      <c r="C87" s="22">
        <f>IF('03设备工时'!$D87="","",'03设备工时'!$C87)</f>
        <v/>
      </c>
      <c r="D87" s="22">
        <f>IF('03设备工时'!$D87="","",'03设备工时'!$D87)</f>
        <v/>
      </c>
      <c r="E87" s="39">
        <f>IF($D87="","",'03设备工时'!$E87)</f>
        <v/>
      </c>
      <c r="F87" s="23">
        <f>IF($D87="","",IF($V87&lt;&gt;"",$V87,IFERROR(INDEX('参数设置'!$E$30:$E$44,MATCH($D87,'参数设置'!$C$30:$C$44,0)),0)))</f>
        <v/>
      </c>
      <c r="G87" s="24">
        <f>IF($D87="","",'03设备工时'!$F87)</f>
        <v/>
      </c>
      <c r="H87" s="24">
        <f>IF($D87="","",'03设备工时'!$P87)</f>
        <v/>
      </c>
      <c r="I87" s="20">
        <f>IF(OR($D87="",$G87=0),"",$H87/$G87)</f>
        <v/>
      </c>
      <c r="J87" s="12">
        <f>IF($D87="","",ROUND($F87,2)-$S87)</f>
        <v/>
      </c>
      <c r="K87" s="12">
        <f>IF(OR($D87="",$G87=0),"",ROUND($F87*'03设备工时'!H87/$G87,2))</f>
        <v/>
      </c>
      <c r="L87" s="12">
        <f>IF(OR($D87="",$G87=0),"",ROUND($F87*'03设备工时'!I87/$G87,2))</f>
        <v/>
      </c>
      <c r="M87" s="12">
        <f>IF(OR($D87="",$G87=0),"",ROUND($F87*'03设备工时'!J87/$G87,2))</f>
        <v/>
      </c>
      <c r="N87" s="12">
        <f>IF(OR($D87="",$G87=0),"",ROUND($F87*'03设备工时'!K87/$G87,2))</f>
        <v/>
      </c>
      <c r="O87" s="12">
        <f>IF(OR($D87="",$G87=0),"",ROUND($F87*'03设备工时'!L87/$G87,2))</f>
        <v/>
      </c>
      <c r="P87" s="12">
        <f>IF(OR($D87="",$G87=0),"",ROUND($F87*'03设备工时'!M87/$G87,2))</f>
        <v/>
      </c>
      <c r="Q87" s="12">
        <f>IF(OR($D87="",$G87=0),"",ROUND($F87*'03设备工时'!N87/$G87,2))</f>
        <v/>
      </c>
      <c r="R87" s="12">
        <f>IF(OR($D87="",$G87=0),"",ROUND($F87*'03设备工时'!O87/$G87,2))</f>
        <v/>
      </c>
      <c r="S87" s="12">
        <f>IF($D87="","",SUM(K87:R87))</f>
        <v/>
      </c>
      <c r="T87" s="12">
        <f>IF($D87="","",$J87+$S87)</f>
        <v/>
      </c>
      <c r="U87" s="25">
        <f>IF($D87="","",IF($F87=0,"未维护折旧额",IF(ROUND($T87-$F87,2)=0,"√","差异")))</f>
        <v/>
      </c>
      <c r="V87" s="11" t="n"/>
      <c r="W87" s="39">
        <f>IF($D87="","",IFERROR(INDEX('参数设置'!$F$30:$F$44,MATCH($D87,'参数设置'!$C$30:$C$44,0)),""))</f>
        <v/>
      </c>
    </row>
    <row r="88" ht="18" customHeight="1">
      <c r="B88" s="21">
        <f>IF('03设备工时'!$D88="","",'03设备工时'!$B88)</f>
        <v/>
      </c>
      <c r="C88" s="22">
        <f>IF('03设备工时'!$D88="","",'03设备工时'!$C88)</f>
        <v/>
      </c>
      <c r="D88" s="22">
        <f>IF('03设备工时'!$D88="","",'03设备工时'!$D88)</f>
        <v/>
      </c>
      <c r="E88" s="39">
        <f>IF($D88="","",'03设备工时'!$E88)</f>
        <v/>
      </c>
      <c r="F88" s="23">
        <f>IF($D88="","",IF($V88&lt;&gt;"",$V88,IFERROR(INDEX('参数设置'!$E$30:$E$44,MATCH($D88,'参数设置'!$C$30:$C$44,0)),0)))</f>
        <v/>
      </c>
      <c r="G88" s="24">
        <f>IF($D88="","",'03设备工时'!$F88)</f>
        <v/>
      </c>
      <c r="H88" s="24">
        <f>IF($D88="","",'03设备工时'!$P88)</f>
        <v/>
      </c>
      <c r="I88" s="20">
        <f>IF(OR($D88="",$G88=0),"",$H88/$G88)</f>
        <v/>
      </c>
      <c r="J88" s="12">
        <f>IF($D88="","",ROUND($F88,2)-$S88)</f>
        <v/>
      </c>
      <c r="K88" s="12">
        <f>IF(OR($D88="",$G88=0),"",ROUND($F88*'03设备工时'!H88/$G88,2))</f>
        <v/>
      </c>
      <c r="L88" s="12">
        <f>IF(OR($D88="",$G88=0),"",ROUND($F88*'03设备工时'!I88/$G88,2))</f>
        <v/>
      </c>
      <c r="M88" s="12">
        <f>IF(OR($D88="",$G88=0),"",ROUND($F88*'03设备工时'!J88/$G88,2))</f>
        <v/>
      </c>
      <c r="N88" s="12">
        <f>IF(OR($D88="",$G88=0),"",ROUND($F88*'03设备工时'!K88/$G88,2))</f>
        <v/>
      </c>
      <c r="O88" s="12">
        <f>IF(OR($D88="",$G88=0),"",ROUND($F88*'03设备工时'!L88/$G88,2))</f>
        <v/>
      </c>
      <c r="P88" s="12">
        <f>IF(OR($D88="",$G88=0),"",ROUND($F88*'03设备工时'!M88/$G88,2))</f>
        <v/>
      </c>
      <c r="Q88" s="12">
        <f>IF(OR($D88="",$G88=0),"",ROUND($F88*'03设备工时'!N88/$G88,2))</f>
        <v/>
      </c>
      <c r="R88" s="12">
        <f>IF(OR($D88="",$G88=0),"",ROUND($F88*'03设备工时'!O88/$G88,2))</f>
        <v/>
      </c>
      <c r="S88" s="12">
        <f>IF($D88="","",SUM(K88:R88))</f>
        <v/>
      </c>
      <c r="T88" s="12">
        <f>IF($D88="","",$J88+$S88)</f>
        <v/>
      </c>
      <c r="U88" s="25">
        <f>IF($D88="","",IF($F88=0,"未维护折旧额",IF(ROUND($T88-$F88,2)=0,"√","差异")))</f>
        <v/>
      </c>
      <c r="V88" s="11" t="n"/>
      <c r="W88" s="39">
        <f>IF($D88="","",IFERROR(INDEX('参数设置'!$F$30:$F$44,MATCH($D88,'参数设置'!$C$30:$C$44,0)),""))</f>
        <v/>
      </c>
    </row>
    <row r="89" ht="18" customHeight="1">
      <c r="B89" s="21">
        <f>IF('03设备工时'!$D89="","",'03设备工时'!$B89)</f>
        <v/>
      </c>
      <c r="C89" s="22">
        <f>IF('03设备工时'!$D89="","",'03设备工时'!$C89)</f>
        <v/>
      </c>
      <c r="D89" s="22">
        <f>IF('03设备工时'!$D89="","",'03设备工时'!$D89)</f>
        <v/>
      </c>
      <c r="E89" s="39">
        <f>IF($D89="","",'03设备工时'!$E89)</f>
        <v/>
      </c>
      <c r="F89" s="23">
        <f>IF($D89="","",IF($V89&lt;&gt;"",$V89,IFERROR(INDEX('参数设置'!$E$30:$E$44,MATCH($D89,'参数设置'!$C$30:$C$44,0)),0)))</f>
        <v/>
      </c>
      <c r="G89" s="24">
        <f>IF($D89="","",'03设备工时'!$F89)</f>
        <v/>
      </c>
      <c r="H89" s="24">
        <f>IF($D89="","",'03设备工时'!$P89)</f>
        <v/>
      </c>
      <c r="I89" s="20">
        <f>IF(OR($D89="",$G89=0),"",$H89/$G89)</f>
        <v/>
      </c>
      <c r="J89" s="12">
        <f>IF($D89="","",ROUND($F89,2)-$S89)</f>
        <v/>
      </c>
      <c r="K89" s="12">
        <f>IF(OR($D89="",$G89=0),"",ROUND($F89*'03设备工时'!H89/$G89,2))</f>
        <v/>
      </c>
      <c r="L89" s="12">
        <f>IF(OR($D89="",$G89=0),"",ROUND($F89*'03设备工时'!I89/$G89,2))</f>
        <v/>
      </c>
      <c r="M89" s="12">
        <f>IF(OR($D89="",$G89=0),"",ROUND($F89*'03设备工时'!J89/$G89,2))</f>
        <v/>
      </c>
      <c r="N89" s="12">
        <f>IF(OR($D89="",$G89=0),"",ROUND($F89*'03设备工时'!K89/$G89,2))</f>
        <v/>
      </c>
      <c r="O89" s="12">
        <f>IF(OR($D89="",$G89=0),"",ROUND($F89*'03设备工时'!L89/$G89,2))</f>
        <v/>
      </c>
      <c r="P89" s="12">
        <f>IF(OR($D89="",$G89=0),"",ROUND($F89*'03设备工时'!M89/$G89,2))</f>
        <v/>
      </c>
      <c r="Q89" s="12">
        <f>IF(OR($D89="",$G89=0),"",ROUND($F89*'03设备工时'!N89/$G89,2))</f>
        <v/>
      </c>
      <c r="R89" s="12">
        <f>IF(OR($D89="",$G89=0),"",ROUND($F89*'03设备工时'!O89/$G89,2))</f>
        <v/>
      </c>
      <c r="S89" s="12">
        <f>IF($D89="","",SUM(K89:R89))</f>
        <v/>
      </c>
      <c r="T89" s="12">
        <f>IF($D89="","",$J89+$S89)</f>
        <v/>
      </c>
      <c r="U89" s="25">
        <f>IF($D89="","",IF($F89=0,"未维护折旧额",IF(ROUND($T89-$F89,2)=0,"√","差异")))</f>
        <v/>
      </c>
      <c r="V89" s="11" t="n"/>
      <c r="W89" s="39">
        <f>IF($D89="","",IFERROR(INDEX('参数设置'!$F$30:$F$44,MATCH($D89,'参数设置'!$C$30:$C$44,0)),""))</f>
        <v/>
      </c>
    </row>
    <row r="90" ht="18" customHeight="1">
      <c r="B90" s="21">
        <f>IF('03设备工时'!$D90="","",'03设备工时'!$B90)</f>
        <v/>
      </c>
      <c r="C90" s="22">
        <f>IF('03设备工时'!$D90="","",'03设备工时'!$C90)</f>
        <v/>
      </c>
      <c r="D90" s="22">
        <f>IF('03设备工时'!$D90="","",'03设备工时'!$D90)</f>
        <v/>
      </c>
      <c r="E90" s="39">
        <f>IF($D90="","",'03设备工时'!$E90)</f>
        <v/>
      </c>
      <c r="F90" s="23">
        <f>IF($D90="","",IF($V90&lt;&gt;"",$V90,IFERROR(INDEX('参数设置'!$E$30:$E$44,MATCH($D90,'参数设置'!$C$30:$C$44,0)),0)))</f>
        <v/>
      </c>
      <c r="G90" s="24">
        <f>IF($D90="","",'03设备工时'!$F90)</f>
        <v/>
      </c>
      <c r="H90" s="24">
        <f>IF($D90="","",'03设备工时'!$P90)</f>
        <v/>
      </c>
      <c r="I90" s="20">
        <f>IF(OR($D90="",$G90=0),"",$H90/$G90)</f>
        <v/>
      </c>
      <c r="J90" s="12">
        <f>IF($D90="","",ROUND($F90,2)-$S90)</f>
        <v/>
      </c>
      <c r="K90" s="12">
        <f>IF(OR($D90="",$G90=0),"",ROUND($F90*'03设备工时'!H90/$G90,2))</f>
        <v/>
      </c>
      <c r="L90" s="12">
        <f>IF(OR($D90="",$G90=0),"",ROUND($F90*'03设备工时'!I90/$G90,2))</f>
        <v/>
      </c>
      <c r="M90" s="12">
        <f>IF(OR($D90="",$G90=0),"",ROUND($F90*'03设备工时'!J90/$G90,2))</f>
        <v/>
      </c>
      <c r="N90" s="12">
        <f>IF(OR($D90="",$G90=0),"",ROUND($F90*'03设备工时'!K90/$G90,2))</f>
        <v/>
      </c>
      <c r="O90" s="12">
        <f>IF(OR($D90="",$G90=0),"",ROUND($F90*'03设备工时'!L90/$G90,2))</f>
        <v/>
      </c>
      <c r="P90" s="12">
        <f>IF(OR($D90="",$G90=0),"",ROUND($F90*'03设备工时'!M90/$G90,2))</f>
        <v/>
      </c>
      <c r="Q90" s="12">
        <f>IF(OR($D90="",$G90=0),"",ROUND($F90*'03设备工时'!N90/$G90,2))</f>
        <v/>
      </c>
      <c r="R90" s="12">
        <f>IF(OR($D90="",$G90=0),"",ROUND($F90*'03设备工时'!O90/$G90,2))</f>
        <v/>
      </c>
      <c r="S90" s="12">
        <f>IF($D90="","",SUM(K90:R90))</f>
        <v/>
      </c>
      <c r="T90" s="12">
        <f>IF($D90="","",$J90+$S90)</f>
        <v/>
      </c>
      <c r="U90" s="25">
        <f>IF($D90="","",IF($F90=0,"未维护折旧额",IF(ROUND($T90-$F90,2)=0,"√","差异")))</f>
        <v/>
      </c>
      <c r="V90" s="11" t="n"/>
      <c r="W90" s="39">
        <f>IF($D90="","",IFERROR(INDEX('参数设置'!$F$30:$F$44,MATCH($D90,'参数设置'!$C$30:$C$44,0)),""))</f>
        <v/>
      </c>
    </row>
    <row r="91" ht="18" customHeight="1">
      <c r="B91" s="21">
        <f>IF('03设备工时'!$D91="","",'03设备工时'!$B91)</f>
        <v/>
      </c>
      <c r="C91" s="22">
        <f>IF('03设备工时'!$D91="","",'03设备工时'!$C91)</f>
        <v/>
      </c>
      <c r="D91" s="22">
        <f>IF('03设备工时'!$D91="","",'03设备工时'!$D91)</f>
        <v/>
      </c>
      <c r="E91" s="39">
        <f>IF($D91="","",'03设备工时'!$E91)</f>
        <v/>
      </c>
      <c r="F91" s="23">
        <f>IF($D91="","",IF($V91&lt;&gt;"",$V91,IFERROR(INDEX('参数设置'!$E$30:$E$44,MATCH($D91,'参数设置'!$C$30:$C$44,0)),0)))</f>
        <v/>
      </c>
      <c r="G91" s="24">
        <f>IF($D91="","",'03设备工时'!$F91)</f>
        <v/>
      </c>
      <c r="H91" s="24">
        <f>IF($D91="","",'03设备工时'!$P91)</f>
        <v/>
      </c>
      <c r="I91" s="20">
        <f>IF(OR($D91="",$G91=0),"",$H91/$G91)</f>
        <v/>
      </c>
      <c r="J91" s="12">
        <f>IF($D91="","",ROUND($F91,2)-$S91)</f>
        <v/>
      </c>
      <c r="K91" s="12">
        <f>IF(OR($D91="",$G91=0),"",ROUND($F91*'03设备工时'!H91/$G91,2))</f>
        <v/>
      </c>
      <c r="L91" s="12">
        <f>IF(OR($D91="",$G91=0),"",ROUND($F91*'03设备工时'!I91/$G91,2))</f>
        <v/>
      </c>
      <c r="M91" s="12">
        <f>IF(OR($D91="",$G91=0),"",ROUND($F91*'03设备工时'!J91/$G91,2))</f>
        <v/>
      </c>
      <c r="N91" s="12">
        <f>IF(OR($D91="",$G91=0),"",ROUND($F91*'03设备工时'!K91/$G91,2))</f>
        <v/>
      </c>
      <c r="O91" s="12">
        <f>IF(OR($D91="",$G91=0),"",ROUND($F91*'03设备工时'!L91/$G91,2))</f>
        <v/>
      </c>
      <c r="P91" s="12">
        <f>IF(OR($D91="",$G91=0),"",ROUND($F91*'03设备工时'!M91/$G91,2))</f>
        <v/>
      </c>
      <c r="Q91" s="12">
        <f>IF(OR($D91="",$G91=0),"",ROUND($F91*'03设备工时'!N91/$G91,2))</f>
        <v/>
      </c>
      <c r="R91" s="12">
        <f>IF(OR($D91="",$G91=0),"",ROUND($F91*'03设备工时'!O91/$G91,2))</f>
        <v/>
      </c>
      <c r="S91" s="12">
        <f>IF($D91="","",SUM(K91:R91))</f>
        <v/>
      </c>
      <c r="T91" s="12">
        <f>IF($D91="","",$J91+$S91)</f>
        <v/>
      </c>
      <c r="U91" s="25">
        <f>IF($D91="","",IF($F91=0,"未维护折旧额",IF(ROUND($T91-$F91,2)=0,"√","差异")))</f>
        <v/>
      </c>
      <c r="V91" s="11" t="n"/>
      <c r="W91" s="39">
        <f>IF($D91="","",IFERROR(INDEX('参数设置'!$F$30:$F$44,MATCH($D91,'参数设置'!$C$30:$C$44,0)),""))</f>
        <v/>
      </c>
    </row>
    <row r="92" ht="18" customHeight="1">
      <c r="B92" s="21">
        <f>IF('03设备工时'!$D92="","",'03设备工时'!$B92)</f>
        <v/>
      </c>
      <c r="C92" s="22">
        <f>IF('03设备工时'!$D92="","",'03设备工时'!$C92)</f>
        <v/>
      </c>
      <c r="D92" s="22">
        <f>IF('03设备工时'!$D92="","",'03设备工时'!$D92)</f>
        <v/>
      </c>
      <c r="E92" s="39">
        <f>IF($D92="","",'03设备工时'!$E92)</f>
        <v/>
      </c>
      <c r="F92" s="23">
        <f>IF($D92="","",IF($V92&lt;&gt;"",$V92,IFERROR(INDEX('参数设置'!$E$30:$E$44,MATCH($D92,'参数设置'!$C$30:$C$44,0)),0)))</f>
        <v/>
      </c>
      <c r="G92" s="24">
        <f>IF($D92="","",'03设备工时'!$F92)</f>
        <v/>
      </c>
      <c r="H92" s="24">
        <f>IF($D92="","",'03设备工时'!$P92)</f>
        <v/>
      </c>
      <c r="I92" s="20">
        <f>IF(OR($D92="",$G92=0),"",$H92/$G92)</f>
        <v/>
      </c>
      <c r="J92" s="12">
        <f>IF($D92="","",ROUND($F92,2)-$S92)</f>
        <v/>
      </c>
      <c r="K92" s="12">
        <f>IF(OR($D92="",$G92=0),"",ROUND($F92*'03设备工时'!H92/$G92,2))</f>
        <v/>
      </c>
      <c r="L92" s="12">
        <f>IF(OR($D92="",$G92=0),"",ROUND($F92*'03设备工时'!I92/$G92,2))</f>
        <v/>
      </c>
      <c r="M92" s="12">
        <f>IF(OR($D92="",$G92=0),"",ROUND($F92*'03设备工时'!J92/$G92,2))</f>
        <v/>
      </c>
      <c r="N92" s="12">
        <f>IF(OR($D92="",$G92=0),"",ROUND($F92*'03设备工时'!K92/$G92,2))</f>
        <v/>
      </c>
      <c r="O92" s="12">
        <f>IF(OR($D92="",$G92=0),"",ROUND($F92*'03设备工时'!L92/$G92,2))</f>
        <v/>
      </c>
      <c r="P92" s="12">
        <f>IF(OR($D92="",$G92=0),"",ROUND($F92*'03设备工时'!M92/$G92,2))</f>
        <v/>
      </c>
      <c r="Q92" s="12">
        <f>IF(OR($D92="",$G92=0),"",ROUND($F92*'03设备工时'!N92/$G92,2))</f>
        <v/>
      </c>
      <c r="R92" s="12">
        <f>IF(OR($D92="",$G92=0),"",ROUND($F92*'03设备工时'!O92/$G92,2))</f>
        <v/>
      </c>
      <c r="S92" s="12">
        <f>IF($D92="","",SUM(K92:R92))</f>
        <v/>
      </c>
      <c r="T92" s="12">
        <f>IF($D92="","",$J92+$S92)</f>
        <v/>
      </c>
      <c r="U92" s="25">
        <f>IF($D92="","",IF($F92=0,"未维护折旧额",IF(ROUND($T92-$F92,2)=0,"√","差异")))</f>
        <v/>
      </c>
      <c r="V92" s="11" t="n"/>
      <c r="W92" s="39">
        <f>IF($D92="","",IFERROR(INDEX('参数设置'!$F$30:$F$44,MATCH($D92,'参数设置'!$C$30:$C$44,0)),""))</f>
        <v/>
      </c>
    </row>
    <row r="93" ht="18" customHeight="1">
      <c r="B93" s="21">
        <f>IF('03设备工时'!$D93="","",'03设备工时'!$B93)</f>
        <v/>
      </c>
      <c r="C93" s="22">
        <f>IF('03设备工时'!$D93="","",'03设备工时'!$C93)</f>
        <v/>
      </c>
      <c r="D93" s="22">
        <f>IF('03设备工时'!$D93="","",'03设备工时'!$D93)</f>
        <v/>
      </c>
      <c r="E93" s="39">
        <f>IF($D93="","",'03设备工时'!$E93)</f>
        <v/>
      </c>
      <c r="F93" s="23">
        <f>IF($D93="","",IF($V93&lt;&gt;"",$V93,IFERROR(INDEX('参数设置'!$E$30:$E$44,MATCH($D93,'参数设置'!$C$30:$C$44,0)),0)))</f>
        <v/>
      </c>
      <c r="G93" s="24">
        <f>IF($D93="","",'03设备工时'!$F93)</f>
        <v/>
      </c>
      <c r="H93" s="24">
        <f>IF($D93="","",'03设备工时'!$P93)</f>
        <v/>
      </c>
      <c r="I93" s="20">
        <f>IF(OR($D93="",$G93=0),"",$H93/$G93)</f>
        <v/>
      </c>
      <c r="J93" s="12">
        <f>IF($D93="","",ROUND($F93,2)-$S93)</f>
        <v/>
      </c>
      <c r="K93" s="12">
        <f>IF(OR($D93="",$G93=0),"",ROUND($F93*'03设备工时'!H93/$G93,2))</f>
        <v/>
      </c>
      <c r="L93" s="12">
        <f>IF(OR($D93="",$G93=0),"",ROUND($F93*'03设备工时'!I93/$G93,2))</f>
        <v/>
      </c>
      <c r="M93" s="12">
        <f>IF(OR($D93="",$G93=0),"",ROUND($F93*'03设备工时'!J93/$G93,2))</f>
        <v/>
      </c>
      <c r="N93" s="12">
        <f>IF(OR($D93="",$G93=0),"",ROUND($F93*'03设备工时'!K93/$G93,2))</f>
        <v/>
      </c>
      <c r="O93" s="12">
        <f>IF(OR($D93="",$G93=0),"",ROUND($F93*'03设备工时'!L93/$G93,2))</f>
        <v/>
      </c>
      <c r="P93" s="12">
        <f>IF(OR($D93="",$G93=0),"",ROUND($F93*'03设备工时'!M93/$G93,2))</f>
        <v/>
      </c>
      <c r="Q93" s="12">
        <f>IF(OR($D93="",$G93=0),"",ROUND($F93*'03设备工时'!N93/$G93,2))</f>
        <v/>
      </c>
      <c r="R93" s="12">
        <f>IF(OR($D93="",$G93=0),"",ROUND($F93*'03设备工时'!O93/$G93,2))</f>
        <v/>
      </c>
      <c r="S93" s="12">
        <f>IF($D93="","",SUM(K93:R93))</f>
        <v/>
      </c>
      <c r="T93" s="12">
        <f>IF($D93="","",$J93+$S93)</f>
        <v/>
      </c>
      <c r="U93" s="25">
        <f>IF($D93="","",IF($F93=0,"未维护折旧额",IF(ROUND($T93-$F93,2)=0,"√","差异")))</f>
        <v/>
      </c>
      <c r="V93" s="11" t="n"/>
      <c r="W93" s="39">
        <f>IF($D93="","",IFERROR(INDEX('参数设置'!$F$30:$F$44,MATCH($D93,'参数设置'!$C$30:$C$44,0)),""))</f>
        <v/>
      </c>
    </row>
    <row r="94" ht="18" customHeight="1">
      <c r="B94" s="21">
        <f>IF('03设备工时'!$D94="","",'03设备工时'!$B94)</f>
        <v/>
      </c>
      <c r="C94" s="22">
        <f>IF('03设备工时'!$D94="","",'03设备工时'!$C94)</f>
        <v/>
      </c>
      <c r="D94" s="22">
        <f>IF('03设备工时'!$D94="","",'03设备工时'!$D94)</f>
        <v/>
      </c>
      <c r="E94" s="39">
        <f>IF($D94="","",'03设备工时'!$E94)</f>
        <v/>
      </c>
      <c r="F94" s="23">
        <f>IF($D94="","",IF($V94&lt;&gt;"",$V94,IFERROR(INDEX('参数设置'!$E$30:$E$44,MATCH($D94,'参数设置'!$C$30:$C$44,0)),0)))</f>
        <v/>
      </c>
      <c r="G94" s="24">
        <f>IF($D94="","",'03设备工时'!$F94)</f>
        <v/>
      </c>
      <c r="H94" s="24">
        <f>IF($D94="","",'03设备工时'!$P94)</f>
        <v/>
      </c>
      <c r="I94" s="20">
        <f>IF(OR($D94="",$G94=0),"",$H94/$G94)</f>
        <v/>
      </c>
      <c r="J94" s="12">
        <f>IF($D94="","",ROUND($F94,2)-$S94)</f>
        <v/>
      </c>
      <c r="K94" s="12">
        <f>IF(OR($D94="",$G94=0),"",ROUND($F94*'03设备工时'!H94/$G94,2))</f>
        <v/>
      </c>
      <c r="L94" s="12">
        <f>IF(OR($D94="",$G94=0),"",ROUND($F94*'03设备工时'!I94/$G94,2))</f>
        <v/>
      </c>
      <c r="M94" s="12">
        <f>IF(OR($D94="",$G94=0),"",ROUND($F94*'03设备工时'!J94/$G94,2))</f>
        <v/>
      </c>
      <c r="N94" s="12">
        <f>IF(OR($D94="",$G94=0),"",ROUND($F94*'03设备工时'!K94/$G94,2))</f>
        <v/>
      </c>
      <c r="O94" s="12">
        <f>IF(OR($D94="",$G94=0),"",ROUND($F94*'03设备工时'!L94/$G94,2))</f>
        <v/>
      </c>
      <c r="P94" s="12">
        <f>IF(OR($D94="",$G94=0),"",ROUND($F94*'03设备工时'!M94/$G94,2))</f>
        <v/>
      </c>
      <c r="Q94" s="12">
        <f>IF(OR($D94="",$G94=0),"",ROUND($F94*'03设备工时'!N94/$G94,2))</f>
        <v/>
      </c>
      <c r="R94" s="12">
        <f>IF(OR($D94="",$G94=0),"",ROUND($F94*'03设备工时'!O94/$G94,2))</f>
        <v/>
      </c>
      <c r="S94" s="12">
        <f>IF($D94="","",SUM(K94:R94))</f>
        <v/>
      </c>
      <c r="T94" s="12">
        <f>IF($D94="","",$J94+$S94)</f>
        <v/>
      </c>
      <c r="U94" s="25">
        <f>IF($D94="","",IF($F94=0,"未维护折旧额",IF(ROUND($T94-$F94,2)=0,"√","差异")))</f>
        <v/>
      </c>
      <c r="V94" s="11" t="n"/>
      <c r="W94" s="39">
        <f>IF($D94="","",IFERROR(INDEX('参数设置'!$F$30:$F$44,MATCH($D94,'参数设置'!$C$30:$C$44,0)),""))</f>
        <v/>
      </c>
    </row>
    <row r="95" ht="18" customHeight="1">
      <c r="B95" s="21">
        <f>IF('03设备工时'!$D95="","",'03设备工时'!$B95)</f>
        <v/>
      </c>
      <c r="C95" s="22">
        <f>IF('03设备工时'!$D95="","",'03设备工时'!$C95)</f>
        <v/>
      </c>
      <c r="D95" s="22">
        <f>IF('03设备工时'!$D95="","",'03设备工时'!$D95)</f>
        <v/>
      </c>
      <c r="E95" s="39">
        <f>IF($D95="","",'03设备工时'!$E95)</f>
        <v/>
      </c>
      <c r="F95" s="23">
        <f>IF($D95="","",IF($V95&lt;&gt;"",$V95,IFERROR(INDEX('参数设置'!$E$30:$E$44,MATCH($D95,'参数设置'!$C$30:$C$44,0)),0)))</f>
        <v/>
      </c>
      <c r="G95" s="24">
        <f>IF($D95="","",'03设备工时'!$F95)</f>
        <v/>
      </c>
      <c r="H95" s="24">
        <f>IF($D95="","",'03设备工时'!$P95)</f>
        <v/>
      </c>
      <c r="I95" s="20">
        <f>IF(OR($D95="",$G95=0),"",$H95/$G95)</f>
        <v/>
      </c>
      <c r="J95" s="12">
        <f>IF($D95="","",ROUND($F95,2)-$S95)</f>
        <v/>
      </c>
      <c r="K95" s="12">
        <f>IF(OR($D95="",$G95=0),"",ROUND($F95*'03设备工时'!H95/$G95,2))</f>
        <v/>
      </c>
      <c r="L95" s="12">
        <f>IF(OR($D95="",$G95=0),"",ROUND($F95*'03设备工时'!I95/$G95,2))</f>
        <v/>
      </c>
      <c r="M95" s="12">
        <f>IF(OR($D95="",$G95=0),"",ROUND($F95*'03设备工时'!J95/$G95,2))</f>
        <v/>
      </c>
      <c r="N95" s="12">
        <f>IF(OR($D95="",$G95=0),"",ROUND($F95*'03设备工时'!K95/$G95,2))</f>
        <v/>
      </c>
      <c r="O95" s="12">
        <f>IF(OR($D95="",$G95=0),"",ROUND($F95*'03设备工时'!L95/$G95,2))</f>
        <v/>
      </c>
      <c r="P95" s="12">
        <f>IF(OR($D95="",$G95=0),"",ROUND($F95*'03设备工时'!M95/$G95,2))</f>
        <v/>
      </c>
      <c r="Q95" s="12">
        <f>IF(OR($D95="",$G95=0),"",ROUND($F95*'03设备工时'!N95/$G95,2))</f>
        <v/>
      </c>
      <c r="R95" s="12">
        <f>IF(OR($D95="",$G95=0),"",ROUND($F95*'03设备工时'!O95/$G95,2))</f>
        <v/>
      </c>
      <c r="S95" s="12">
        <f>IF($D95="","",SUM(K95:R95))</f>
        <v/>
      </c>
      <c r="T95" s="12">
        <f>IF($D95="","",$J95+$S95)</f>
        <v/>
      </c>
      <c r="U95" s="25">
        <f>IF($D95="","",IF($F95=0,"未维护折旧额",IF(ROUND($T95-$F95,2)=0,"√","差异")))</f>
        <v/>
      </c>
      <c r="V95" s="11" t="n"/>
      <c r="W95" s="39">
        <f>IF($D95="","",IFERROR(INDEX('参数设置'!$F$30:$F$44,MATCH($D95,'参数设置'!$C$30:$C$44,0)),""))</f>
        <v/>
      </c>
    </row>
    <row r="96" ht="18" customHeight="1">
      <c r="B96" s="21">
        <f>IF('03设备工时'!$D96="","",'03设备工时'!$B96)</f>
        <v/>
      </c>
      <c r="C96" s="22">
        <f>IF('03设备工时'!$D96="","",'03设备工时'!$C96)</f>
        <v/>
      </c>
      <c r="D96" s="22">
        <f>IF('03设备工时'!$D96="","",'03设备工时'!$D96)</f>
        <v/>
      </c>
      <c r="E96" s="39">
        <f>IF($D96="","",'03设备工时'!$E96)</f>
        <v/>
      </c>
      <c r="F96" s="23">
        <f>IF($D96="","",IF($V96&lt;&gt;"",$V96,IFERROR(INDEX('参数设置'!$E$30:$E$44,MATCH($D96,'参数设置'!$C$30:$C$44,0)),0)))</f>
        <v/>
      </c>
      <c r="G96" s="24">
        <f>IF($D96="","",'03设备工时'!$F96)</f>
        <v/>
      </c>
      <c r="H96" s="24">
        <f>IF($D96="","",'03设备工时'!$P96)</f>
        <v/>
      </c>
      <c r="I96" s="20">
        <f>IF(OR($D96="",$G96=0),"",$H96/$G96)</f>
        <v/>
      </c>
      <c r="J96" s="12">
        <f>IF($D96="","",ROUND($F96,2)-$S96)</f>
        <v/>
      </c>
      <c r="K96" s="12">
        <f>IF(OR($D96="",$G96=0),"",ROUND($F96*'03设备工时'!H96/$G96,2))</f>
        <v/>
      </c>
      <c r="L96" s="12">
        <f>IF(OR($D96="",$G96=0),"",ROUND($F96*'03设备工时'!I96/$G96,2))</f>
        <v/>
      </c>
      <c r="M96" s="12">
        <f>IF(OR($D96="",$G96=0),"",ROUND($F96*'03设备工时'!J96/$G96,2))</f>
        <v/>
      </c>
      <c r="N96" s="12">
        <f>IF(OR($D96="",$G96=0),"",ROUND($F96*'03设备工时'!K96/$G96,2))</f>
        <v/>
      </c>
      <c r="O96" s="12">
        <f>IF(OR($D96="",$G96=0),"",ROUND($F96*'03设备工时'!L96/$G96,2))</f>
        <v/>
      </c>
      <c r="P96" s="12">
        <f>IF(OR($D96="",$G96=0),"",ROUND($F96*'03设备工时'!M96/$G96,2))</f>
        <v/>
      </c>
      <c r="Q96" s="12">
        <f>IF(OR($D96="",$G96=0),"",ROUND($F96*'03设备工时'!N96/$G96,2))</f>
        <v/>
      </c>
      <c r="R96" s="12">
        <f>IF(OR($D96="",$G96=0),"",ROUND($F96*'03设备工时'!O96/$G96,2))</f>
        <v/>
      </c>
      <c r="S96" s="12">
        <f>IF($D96="","",SUM(K96:R96))</f>
        <v/>
      </c>
      <c r="T96" s="12">
        <f>IF($D96="","",$J96+$S96)</f>
        <v/>
      </c>
      <c r="U96" s="25">
        <f>IF($D96="","",IF($F96=0,"未维护折旧额",IF(ROUND($T96-$F96,2)=0,"√","差异")))</f>
        <v/>
      </c>
      <c r="V96" s="11" t="n"/>
      <c r="W96" s="39">
        <f>IF($D96="","",IFERROR(INDEX('参数设置'!$F$30:$F$44,MATCH($D96,'参数设置'!$C$30:$C$44,0)),""))</f>
        <v/>
      </c>
    </row>
    <row r="97" ht="18" customHeight="1">
      <c r="B97" s="21">
        <f>IF('03设备工时'!$D97="","",'03设备工时'!$B97)</f>
        <v/>
      </c>
      <c r="C97" s="22">
        <f>IF('03设备工时'!$D97="","",'03设备工时'!$C97)</f>
        <v/>
      </c>
      <c r="D97" s="22">
        <f>IF('03设备工时'!$D97="","",'03设备工时'!$D97)</f>
        <v/>
      </c>
      <c r="E97" s="39">
        <f>IF($D97="","",'03设备工时'!$E97)</f>
        <v/>
      </c>
      <c r="F97" s="23">
        <f>IF($D97="","",IF($V97&lt;&gt;"",$V97,IFERROR(INDEX('参数设置'!$E$30:$E$44,MATCH($D97,'参数设置'!$C$30:$C$44,0)),0)))</f>
        <v/>
      </c>
      <c r="G97" s="24">
        <f>IF($D97="","",'03设备工时'!$F97)</f>
        <v/>
      </c>
      <c r="H97" s="24">
        <f>IF($D97="","",'03设备工时'!$P97)</f>
        <v/>
      </c>
      <c r="I97" s="20">
        <f>IF(OR($D97="",$G97=0),"",$H97/$G97)</f>
        <v/>
      </c>
      <c r="J97" s="12">
        <f>IF($D97="","",ROUND($F97,2)-$S97)</f>
        <v/>
      </c>
      <c r="K97" s="12">
        <f>IF(OR($D97="",$G97=0),"",ROUND($F97*'03设备工时'!H97/$G97,2))</f>
        <v/>
      </c>
      <c r="L97" s="12">
        <f>IF(OR($D97="",$G97=0),"",ROUND($F97*'03设备工时'!I97/$G97,2))</f>
        <v/>
      </c>
      <c r="M97" s="12">
        <f>IF(OR($D97="",$G97=0),"",ROUND($F97*'03设备工时'!J97/$G97,2))</f>
        <v/>
      </c>
      <c r="N97" s="12">
        <f>IF(OR($D97="",$G97=0),"",ROUND($F97*'03设备工时'!K97/$G97,2))</f>
        <v/>
      </c>
      <c r="O97" s="12">
        <f>IF(OR($D97="",$G97=0),"",ROUND($F97*'03设备工时'!L97/$G97,2))</f>
        <v/>
      </c>
      <c r="P97" s="12">
        <f>IF(OR($D97="",$G97=0),"",ROUND($F97*'03设备工时'!M97/$G97,2))</f>
        <v/>
      </c>
      <c r="Q97" s="12">
        <f>IF(OR($D97="",$G97=0),"",ROUND($F97*'03设备工时'!N97/$G97,2))</f>
        <v/>
      </c>
      <c r="R97" s="12">
        <f>IF(OR($D97="",$G97=0),"",ROUND($F97*'03设备工时'!O97/$G97,2))</f>
        <v/>
      </c>
      <c r="S97" s="12">
        <f>IF($D97="","",SUM(K97:R97))</f>
        <v/>
      </c>
      <c r="T97" s="12">
        <f>IF($D97="","",$J97+$S97)</f>
        <v/>
      </c>
      <c r="U97" s="25">
        <f>IF($D97="","",IF($F97=0,"未维护折旧额",IF(ROUND($T97-$F97,2)=0,"√","差异")))</f>
        <v/>
      </c>
      <c r="V97" s="11" t="n"/>
      <c r="W97" s="39">
        <f>IF($D97="","",IFERROR(INDEX('参数设置'!$F$30:$F$44,MATCH($D97,'参数设置'!$C$30:$C$44,0)),""))</f>
        <v/>
      </c>
    </row>
    <row r="98" ht="18" customHeight="1">
      <c r="B98" s="21">
        <f>IF('03设备工时'!$D98="","",'03设备工时'!$B98)</f>
        <v/>
      </c>
      <c r="C98" s="22">
        <f>IF('03设备工时'!$D98="","",'03设备工时'!$C98)</f>
        <v/>
      </c>
      <c r="D98" s="22">
        <f>IF('03设备工时'!$D98="","",'03设备工时'!$D98)</f>
        <v/>
      </c>
      <c r="E98" s="39">
        <f>IF($D98="","",'03设备工时'!$E98)</f>
        <v/>
      </c>
      <c r="F98" s="23">
        <f>IF($D98="","",IF($V98&lt;&gt;"",$V98,IFERROR(INDEX('参数设置'!$E$30:$E$44,MATCH($D98,'参数设置'!$C$30:$C$44,0)),0)))</f>
        <v/>
      </c>
      <c r="G98" s="24">
        <f>IF($D98="","",'03设备工时'!$F98)</f>
        <v/>
      </c>
      <c r="H98" s="24">
        <f>IF($D98="","",'03设备工时'!$P98)</f>
        <v/>
      </c>
      <c r="I98" s="20">
        <f>IF(OR($D98="",$G98=0),"",$H98/$G98)</f>
        <v/>
      </c>
      <c r="J98" s="12">
        <f>IF($D98="","",ROUND($F98,2)-$S98)</f>
        <v/>
      </c>
      <c r="K98" s="12">
        <f>IF(OR($D98="",$G98=0),"",ROUND($F98*'03设备工时'!H98/$G98,2))</f>
        <v/>
      </c>
      <c r="L98" s="12">
        <f>IF(OR($D98="",$G98=0),"",ROUND($F98*'03设备工时'!I98/$G98,2))</f>
        <v/>
      </c>
      <c r="M98" s="12">
        <f>IF(OR($D98="",$G98=0),"",ROUND($F98*'03设备工时'!J98/$G98,2))</f>
        <v/>
      </c>
      <c r="N98" s="12">
        <f>IF(OR($D98="",$G98=0),"",ROUND($F98*'03设备工时'!K98/$G98,2))</f>
        <v/>
      </c>
      <c r="O98" s="12">
        <f>IF(OR($D98="",$G98=0),"",ROUND($F98*'03设备工时'!L98/$G98,2))</f>
        <v/>
      </c>
      <c r="P98" s="12">
        <f>IF(OR($D98="",$G98=0),"",ROUND($F98*'03设备工时'!M98/$G98,2))</f>
        <v/>
      </c>
      <c r="Q98" s="12">
        <f>IF(OR($D98="",$G98=0),"",ROUND($F98*'03设备工时'!N98/$G98,2))</f>
        <v/>
      </c>
      <c r="R98" s="12">
        <f>IF(OR($D98="",$G98=0),"",ROUND($F98*'03设备工时'!O98/$G98,2))</f>
        <v/>
      </c>
      <c r="S98" s="12">
        <f>IF($D98="","",SUM(K98:R98))</f>
        <v/>
      </c>
      <c r="T98" s="12">
        <f>IF($D98="","",$J98+$S98)</f>
        <v/>
      </c>
      <c r="U98" s="25">
        <f>IF($D98="","",IF($F98=0,"未维护折旧额",IF(ROUND($T98-$F98,2)=0,"√","差异")))</f>
        <v/>
      </c>
      <c r="V98" s="11" t="n"/>
      <c r="W98" s="39">
        <f>IF($D98="","",IFERROR(INDEX('参数设置'!$F$30:$F$44,MATCH($D98,'参数设置'!$C$30:$C$44,0)),""))</f>
        <v/>
      </c>
    </row>
    <row r="99" ht="18" customHeight="1">
      <c r="B99" s="21">
        <f>IF('03设备工时'!$D99="","",'03设备工时'!$B99)</f>
        <v/>
      </c>
      <c r="C99" s="22">
        <f>IF('03设备工时'!$D99="","",'03设备工时'!$C99)</f>
        <v/>
      </c>
      <c r="D99" s="22">
        <f>IF('03设备工时'!$D99="","",'03设备工时'!$D99)</f>
        <v/>
      </c>
      <c r="E99" s="39">
        <f>IF($D99="","",'03设备工时'!$E99)</f>
        <v/>
      </c>
      <c r="F99" s="23">
        <f>IF($D99="","",IF($V99&lt;&gt;"",$V99,IFERROR(INDEX('参数设置'!$E$30:$E$44,MATCH($D99,'参数设置'!$C$30:$C$44,0)),0)))</f>
        <v/>
      </c>
      <c r="G99" s="24">
        <f>IF($D99="","",'03设备工时'!$F99)</f>
        <v/>
      </c>
      <c r="H99" s="24">
        <f>IF($D99="","",'03设备工时'!$P99)</f>
        <v/>
      </c>
      <c r="I99" s="20">
        <f>IF(OR($D99="",$G99=0),"",$H99/$G99)</f>
        <v/>
      </c>
      <c r="J99" s="12">
        <f>IF($D99="","",ROUND($F99,2)-$S99)</f>
        <v/>
      </c>
      <c r="K99" s="12">
        <f>IF(OR($D99="",$G99=0),"",ROUND($F99*'03设备工时'!H99/$G99,2))</f>
        <v/>
      </c>
      <c r="L99" s="12">
        <f>IF(OR($D99="",$G99=0),"",ROUND($F99*'03设备工时'!I99/$G99,2))</f>
        <v/>
      </c>
      <c r="M99" s="12">
        <f>IF(OR($D99="",$G99=0),"",ROUND($F99*'03设备工时'!J99/$G99,2))</f>
        <v/>
      </c>
      <c r="N99" s="12">
        <f>IF(OR($D99="",$G99=0),"",ROUND($F99*'03设备工时'!K99/$G99,2))</f>
        <v/>
      </c>
      <c r="O99" s="12">
        <f>IF(OR($D99="",$G99=0),"",ROUND($F99*'03设备工时'!L99/$G99,2))</f>
        <v/>
      </c>
      <c r="P99" s="12">
        <f>IF(OR($D99="",$G99=0),"",ROUND($F99*'03设备工时'!M99/$G99,2))</f>
        <v/>
      </c>
      <c r="Q99" s="12">
        <f>IF(OR($D99="",$G99=0),"",ROUND($F99*'03设备工时'!N99/$G99,2))</f>
        <v/>
      </c>
      <c r="R99" s="12">
        <f>IF(OR($D99="",$G99=0),"",ROUND($F99*'03设备工时'!O99/$G99,2))</f>
        <v/>
      </c>
      <c r="S99" s="12">
        <f>IF($D99="","",SUM(K99:R99))</f>
        <v/>
      </c>
      <c r="T99" s="12">
        <f>IF($D99="","",$J99+$S99)</f>
        <v/>
      </c>
      <c r="U99" s="25">
        <f>IF($D99="","",IF($F99=0,"未维护折旧额",IF(ROUND($T99-$F99,2)=0,"√","差异")))</f>
        <v/>
      </c>
      <c r="V99" s="11" t="n"/>
      <c r="W99" s="39">
        <f>IF($D99="","",IFERROR(INDEX('参数设置'!$F$30:$F$44,MATCH($D99,'参数设置'!$C$30:$C$44,0)),""))</f>
        <v/>
      </c>
    </row>
    <row r="100" ht="18" customHeight="1">
      <c r="B100" s="21">
        <f>IF('03设备工时'!$D100="","",'03设备工时'!$B100)</f>
        <v/>
      </c>
      <c r="C100" s="22">
        <f>IF('03设备工时'!$D100="","",'03设备工时'!$C100)</f>
        <v/>
      </c>
      <c r="D100" s="22">
        <f>IF('03设备工时'!$D100="","",'03设备工时'!$D100)</f>
        <v/>
      </c>
      <c r="E100" s="39">
        <f>IF($D100="","",'03设备工时'!$E100)</f>
        <v/>
      </c>
      <c r="F100" s="23">
        <f>IF($D100="","",IF($V100&lt;&gt;"",$V100,IFERROR(INDEX('参数设置'!$E$30:$E$44,MATCH($D100,'参数设置'!$C$30:$C$44,0)),0)))</f>
        <v/>
      </c>
      <c r="G100" s="24">
        <f>IF($D100="","",'03设备工时'!$F100)</f>
        <v/>
      </c>
      <c r="H100" s="24">
        <f>IF($D100="","",'03设备工时'!$P100)</f>
        <v/>
      </c>
      <c r="I100" s="20">
        <f>IF(OR($D100="",$G100=0),"",$H100/$G100)</f>
        <v/>
      </c>
      <c r="J100" s="12">
        <f>IF($D100="","",ROUND($F100,2)-$S100)</f>
        <v/>
      </c>
      <c r="K100" s="12">
        <f>IF(OR($D100="",$G100=0),"",ROUND($F100*'03设备工时'!H100/$G100,2))</f>
        <v/>
      </c>
      <c r="L100" s="12">
        <f>IF(OR($D100="",$G100=0),"",ROUND($F100*'03设备工时'!I100/$G100,2))</f>
        <v/>
      </c>
      <c r="M100" s="12">
        <f>IF(OR($D100="",$G100=0),"",ROUND($F100*'03设备工时'!J100/$G100,2))</f>
        <v/>
      </c>
      <c r="N100" s="12">
        <f>IF(OR($D100="",$G100=0),"",ROUND($F100*'03设备工时'!K100/$G100,2))</f>
        <v/>
      </c>
      <c r="O100" s="12">
        <f>IF(OR($D100="",$G100=0),"",ROUND($F100*'03设备工时'!L100/$G100,2))</f>
        <v/>
      </c>
      <c r="P100" s="12">
        <f>IF(OR($D100="",$G100=0),"",ROUND($F100*'03设备工时'!M100/$G100,2))</f>
        <v/>
      </c>
      <c r="Q100" s="12">
        <f>IF(OR($D100="",$G100=0),"",ROUND($F100*'03设备工时'!N100/$G100,2))</f>
        <v/>
      </c>
      <c r="R100" s="12">
        <f>IF(OR($D100="",$G100=0),"",ROUND($F100*'03设备工时'!O100/$G100,2))</f>
        <v/>
      </c>
      <c r="S100" s="12">
        <f>IF($D100="","",SUM(K100:R100))</f>
        <v/>
      </c>
      <c r="T100" s="12">
        <f>IF($D100="","",$J100+$S100)</f>
        <v/>
      </c>
      <c r="U100" s="25">
        <f>IF($D100="","",IF($F100=0,"未维护折旧额",IF(ROUND($T100-$F100,2)=0,"√","差异")))</f>
        <v/>
      </c>
      <c r="V100" s="11" t="n"/>
      <c r="W100" s="39">
        <f>IF($D100="","",IFERROR(INDEX('参数设置'!$F$30:$F$44,MATCH($D100,'参数设置'!$C$30:$C$44,0)),""))</f>
        <v/>
      </c>
    </row>
    <row r="101" ht="18" customHeight="1">
      <c r="B101" s="21">
        <f>IF('03设备工时'!$D101="","",'03设备工时'!$B101)</f>
        <v/>
      </c>
      <c r="C101" s="22">
        <f>IF('03设备工时'!$D101="","",'03设备工时'!$C101)</f>
        <v/>
      </c>
      <c r="D101" s="22">
        <f>IF('03设备工时'!$D101="","",'03设备工时'!$D101)</f>
        <v/>
      </c>
      <c r="E101" s="39">
        <f>IF($D101="","",'03设备工时'!$E101)</f>
        <v/>
      </c>
      <c r="F101" s="23">
        <f>IF($D101="","",IF($V101&lt;&gt;"",$V101,IFERROR(INDEX('参数设置'!$E$30:$E$44,MATCH($D101,'参数设置'!$C$30:$C$44,0)),0)))</f>
        <v/>
      </c>
      <c r="G101" s="24">
        <f>IF($D101="","",'03设备工时'!$F101)</f>
        <v/>
      </c>
      <c r="H101" s="24">
        <f>IF($D101="","",'03设备工时'!$P101)</f>
        <v/>
      </c>
      <c r="I101" s="20">
        <f>IF(OR($D101="",$G101=0),"",$H101/$G101)</f>
        <v/>
      </c>
      <c r="J101" s="12">
        <f>IF($D101="","",ROUND($F101,2)-$S101)</f>
        <v/>
      </c>
      <c r="K101" s="12">
        <f>IF(OR($D101="",$G101=0),"",ROUND($F101*'03设备工时'!H101/$G101,2))</f>
        <v/>
      </c>
      <c r="L101" s="12">
        <f>IF(OR($D101="",$G101=0),"",ROUND($F101*'03设备工时'!I101/$G101,2))</f>
        <v/>
      </c>
      <c r="M101" s="12">
        <f>IF(OR($D101="",$G101=0),"",ROUND($F101*'03设备工时'!J101/$G101,2))</f>
        <v/>
      </c>
      <c r="N101" s="12">
        <f>IF(OR($D101="",$G101=0),"",ROUND($F101*'03设备工时'!K101/$G101,2))</f>
        <v/>
      </c>
      <c r="O101" s="12">
        <f>IF(OR($D101="",$G101=0),"",ROUND($F101*'03设备工时'!L101/$G101,2))</f>
        <v/>
      </c>
      <c r="P101" s="12">
        <f>IF(OR($D101="",$G101=0),"",ROUND($F101*'03设备工时'!M101/$G101,2))</f>
        <v/>
      </c>
      <c r="Q101" s="12">
        <f>IF(OR($D101="",$G101=0),"",ROUND($F101*'03设备工时'!N101/$G101,2))</f>
        <v/>
      </c>
      <c r="R101" s="12">
        <f>IF(OR($D101="",$G101=0),"",ROUND($F101*'03设备工时'!O101/$G101,2))</f>
        <v/>
      </c>
      <c r="S101" s="12">
        <f>IF($D101="","",SUM(K101:R101))</f>
        <v/>
      </c>
      <c r="T101" s="12">
        <f>IF($D101="","",$J101+$S101)</f>
        <v/>
      </c>
      <c r="U101" s="25">
        <f>IF($D101="","",IF($F101=0,"未维护折旧额",IF(ROUND($T101-$F101,2)=0,"√","差异")))</f>
        <v/>
      </c>
      <c r="V101" s="11" t="n"/>
      <c r="W101" s="39">
        <f>IF($D101="","",IFERROR(INDEX('参数设置'!$F$30:$F$44,MATCH($D101,'参数设置'!$C$30:$C$44,0)),""))</f>
        <v/>
      </c>
    </row>
    <row r="102" ht="18" customHeight="1">
      <c r="B102" s="21">
        <f>IF('03设备工时'!$D102="","",'03设备工时'!$B102)</f>
        <v/>
      </c>
      <c r="C102" s="22">
        <f>IF('03设备工时'!$D102="","",'03设备工时'!$C102)</f>
        <v/>
      </c>
      <c r="D102" s="22">
        <f>IF('03设备工时'!$D102="","",'03设备工时'!$D102)</f>
        <v/>
      </c>
      <c r="E102" s="39">
        <f>IF($D102="","",'03设备工时'!$E102)</f>
        <v/>
      </c>
      <c r="F102" s="23">
        <f>IF($D102="","",IF($V102&lt;&gt;"",$V102,IFERROR(INDEX('参数设置'!$E$30:$E$44,MATCH($D102,'参数设置'!$C$30:$C$44,0)),0)))</f>
        <v/>
      </c>
      <c r="G102" s="24">
        <f>IF($D102="","",'03设备工时'!$F102)</f>
        <v/>
      </c>
      <c r="H102" s="24">
        <f>IF($D102="","",'03设备工时'!$P102)</f>
        <v/>
      </c>
      <c r="I102" s="20">
        <f>IF(OR($D102="",$G102=0),"",$H102/$G102)</f>
        <v/>
      </c>
      <c r="J102" s="12">
        <f>IF($D102="","",ROUND($F102,2)-$S102)</f>
        <v/>
      </c>
      <c r="K102" s="12">
        <f>IF(OR($D102="",$G102=0),"",ROUND($F102*'03设备工时'!H102/$G102,2))</f>
        <v/>
      </c>
      <c r="L102" s="12">
        <f>IF(OR($D102="",$G102=0),"",ROUND($F102*'03设备工时'!I102/$G102,2))</f>
        <v/>
      </c>
      <c r="M102" s="12">
        <f>IF(OR($D102="",$G102=0),"",ROUND($F102*'03设备工时'!J102/$G102,2))</f>
        <v/>
      </c>
      <c r="N102" s="12">
        <f>IF(OR($D102="",$G102=0),"",ROUND($F102*'03设备工时'!K102/$G102,2))</f>
        <v/>
      </c>
      <c r="O102" s="12">
        <f>IF(OR($D102="",$G102=0),"",ROUND($F102*'03设备工时'!L102/$G102,2))</f>
        <v/>
      </c>
      <c r="P102" s="12">
        <f>IF(OR($D102="",$G102=0),"",ROUND($F102*'03设备工时'!M102/$G102,2))</f>
        <v/>
      </c>
      <c r="Q102" s="12">
        <f>IF(OR($D102="",$G102=0),"",ROUND($F102*'03设备工时'!N102/$G102,2))</f>
        <v/>
      </c>
      <c r="R102" s="12">
        <f>IF(OR($D102="",$G102=0),"",ROUND($F102*'03设备工时'!O102/$G102,2))</f>
        <v/>
      </c>
      <c r="S102" s="12">
        <f>IF($D102="","",SUM(K102:R102))</f>
        <v/>
      </c>
      <c r="T102" s="12">
        <f>IF($D102="","",$J102+$S102)</f>
        <v/>
      </c>
      <c r="U102" s="25">
        <f>IF($D102="","",IF($F102=0,"未维护折旧额",IF(ROUND($T102-$F102,2)=0,"√","差异")))</f>
        <v/>
      </c>
      <c r="V102" s="11" t="n"/>
      <c r="W102" s="39">
        <f>IF($D102="","",IFERROR(INDEX('参数设置'!$F$30:$F$44,MATCH($D102,'参数设置'!$C$30:$C$44,0)),""))</f>
        <v/>
      </c>
    </row>
    <row r="103" ht="18" customHeight="1">
      <c r="B103" s="21">
        <f>IF('03设备工时'!$D103="","",'03设备工时'!$B103)</f>
        <v/>
      </c>
      <c r="C103" s="22">
        <f>IF('03设备工时'!$D103="","",'03设备工时'!$C103)</f>
        <v/>
      </c>
      <c r="D103" s="22">
        <f>IF('03设备工时'!$D103="","",'03设备工时'!$D103)</f>
        <v/>
      </c>
      <c r="E103" s="39">
        <f>IF($D103="","",'03设备工时'!$E103)</f>
        <v/>
      </c>
      <c r="F103" s="23">
        <f>IF($D103="","",IF($V103&lt;&gt;"",$V103,IFERROR(INDEX('参数设置'!$E$30:$E$44,MATCH($D103,'参数设置'!$C$30:$C$44,0)),0)))</f>
        <v/>
      </c>
      <c r="G103" s="24">
        <f>IF($D103="","",'03设备工时'!$F103)</f>
        <v/>
      </c>
      <c r="H103" s="24">
        <f>IF($D103="","",'03设备工时'!$P103)</f>
        <v/>
      </c>
      <c r="I103" s="20">
        <f>IF(OR($D103="",$G103=0),"",$H103/$G103)</f>
        <v/>
      </c>
      <c r="J103" s="12">
        <f>IF($D103="","",ROUND($F103,2)-$S103)</f>
        <v/>
      </c>
      <c r="K103" s="12">
        <f>IF(OR($D103="",$G103=0),"",ROUND($F103*'03设备工时'!H103/$G103,2))</f>
        <v/>
      </c>
      <c r="L103" s="12">
        <f>IF(OR($D103="",$G103=0),"",ROUND($F103*'03设备工时'!I103/$G103,2))</f>
        <v/>
      </c>
      <c r="M103" s="12">
        <f>IF(OR($D103="",$G103=0),"",ROUND($F103*'03设备工时'!J103/$G103,2))</f>
        <v/>
      </c>
      <c r="N103" s="12">
        <f>IF(OR($D103="",$G103=0),"",ROUND($F103*'03设备工时'!K103/$G103,2))</f>
        <v/>
      </c>
      <c r="O103" s="12">
        <f>IF(OR($D103="",$G103=0),"",ROUND($F103*'03设备工时'!L103/$G103,2))</f>
        <v/>
      </c>
      <c r="P103" s="12">
        <f>IF(OR($D103="",$G103=0),"",ROUND($F103*'03设备工时'!M103/$G103,2))</f>
        <v/>
      </c>
      <c r="Q103" s="12">
        <f>IF(OR($D103="",$G103=0),"",ROUND($F103*'03设备工时'!N103/$G103,2))</f>
        <v/>
      </c>
      <c r="R103" s="12">
        <f>IF(OR($D103="",$G103=0),"",ROUND($F103*'03设备工时'!O103/$G103,2))</f>
        <v/>
      </c>
      <c r="S103" s="12">
        <f>IF($D103="","",SUM(K103:R103))</f>
        <v/>
      </c>
      <c r="T103" s="12">
        <f>IF($D103="","",$J103+$S103)</f>
        <v/>
      </c>
      <c r="U103" s="25">
        <f>IF($D103="","",IF($F103=0,"未维护折旧额",IF(ROUND($T103-$F103,2)=0,"√","差异")))</f>
        <v/>
      </c>
      <c r="V103" s="11" t="n"/>
      <c r="W103" s="39">
        <f>IF($D103="","",IFERROR(INDEX('参数设置'!$F$30:$F$44,MATCH($D103,'参数设置'!$C$30:$C$44,0)),""))</f>
        <v/>
      </c>
    </row>
    <row r="104" ht="18" customHeight="1">
      <c r="B104" s="21">
        <f>IF('03设备工时'!$D104="","",'03设备工时'!$B104)</f>
        <v/>
      </c>
      <c r="C104" s="22">
        <f>IF('03设备工时'!$D104="","",'03设备工时'!$C104)</f>
        <v/>
      </c>
      <c r="D104" s="22">
        <f>IF('03设备工时'!$D104="","",'03设备工时'!$D104)</f>
        <v/>
      </c>
      <c r="E104" s="39">
        <f>IF($D104="","",'03设备工时'!$E104)</f>
        <v/>
      </c>
      <c r="F104" s="23">
        <f>IF($D104="","",IF($V104&lt;&gt;"",$V104,IFERROR(INDEX('参数设置'!$E$30:$E$44,MATCH($D104,'参数设置'!$C$30:$C$44,0)),0)))</f>
        <v/>
      </c>
      <c r="G104" s="24">
        <f>IF($D104="","",'03设备工时'!$F104)</f>
        <v/>
      </c>
      <c r="H104" s="24">
        <f>IF($D104="","",'03设备工时'!$P104)</f>
        <v/>
      </c>
      <c r="I104" s="20">
        <f>IF(OR($D104="",$G104=0),"",$H104/$G104)</f>
        <v/>
      </c>
      <c r="J104" s="12">
        <f>IF($D104="","",ROUND($F104,2)-$S104)</f>
        <v/>
      </c>
      <c r="K104" s="12">
        <f>IF(OR($D104="",$G104=0),"",ROUND($F104*'03设备工时'!H104/$G104,2))</f>
        <v/>
      </c>
      <c r="L104" s="12">
        <f>IF(OR($D104="",$G104=0),"",ROUND($F104*'03设备工时'!I104/$G104,2))</f>
        <v/>
      </c>
      <c r="M104" s="12">
        <f>IF(OR($D104="",$G104=0),"",ROUND($F104*'03设备工时'!J104/$G104,2))</f>
        <v/>
      </c>
      <c r="N104" s="12">
        <f>IF(OR($D104="",$G104=0),"",ROUND($F104*'03设备工时'!K104/$G104,2))</f>
        <v/>
      </c>
      <c r="O104" s="12">
        <f>IF(OR($D104="",$G104=0),"",ROUND($F104*'03设备工时'!L104/$G104,2))</f>
        <v/>
      </c>
      <c r="P104" s="12">
        <f>IF(OR($D104="",$G104=0),"",ROUND($F104*'03设备工时'!M104/$G104,2))</f>
        <v/>
      </c>
      <c r="Q104" s="12">
        <f>IF(OR($D104="",$G104=0),"",ROUND($F104*'03设备工时'!N104/$G104,2))</f>
        <v/>
      </c>
      <c r="R104" s="12">
        <f>IF(OR($D104="",$G104=0),"",ROUND($F104*'03设备工时'!O104/$G104,2))</f>
        <v/>
      </c>
      <c r="S104" s="12">
        <f>IF($D104="","",SUM(K104:R104))</f>
        <v/>
      </c>
      <c r="T104" s="12">
        <f>IF($D104="","",$J104+$S104)</f>
        <v/>
      </c>
      <c r="U104" s="25">
        <f>IF($D104="","",IF($F104=0,"未维护折旧额",IF(ROUND($T104-$F104,2)=0,"√","差异")))</f>
        <v/>
      </c>
      <c r="V104" s="11" t="n"/>
      <c r="W104" s="39">
        <f>IF($D104="","",IFERROR(INDEX('参数设置'!$F$30:$F$44,MATCH($D104,'参数设置'!$C$30:$C$44,0)),""))</f>
        <v/>
      </c>
    </row>
    <row r="105" ht="18" customHeight="1">
      <c r="B105" s="21">
        <f>IF('03设备工时'!$D105="","",'03设备工时'!$B105)</f>
        <v/>
      </c>
      <c r="C105" s="22">
        <f>IF('03设备工时'!$D105="","",'03设备工时'!$C105)</f>
        <v/>
      </c>
      <c r="D105" s="22">
        <f>IF('03设备工时'!$D105="","",'03设备工时'!$D105)</f>
        <v/>
      </c>
      <c r="E105" s="39">
        <f>IF($D105="","",'03设备工时'!$E105)</f>
        <v/>
      </c>
      <c r="F105" s="23">
        <f>IF($D105="","",IF($V105&lt;&gt;"",$V105,IFERROR(INDEX('参数设置'!$E$30:$E$44,MATCH($D105,'参数设置'!$C$30:$C$44,0)),0)))</f>
        <v/>
      </c>
      <c r="G105" s="24">
        <f>IF($D105="","",'03设备工时'!$F105)</f>
        <v/>
      </c>
      <c r="H105" s="24">
        <f>IF($D105="","",'03设备工时'!$P105)</f>
        <v/>
      </c>
      <c r="I105" s="20">
        <f>IF(OR($D105="",$G105=0),"",$H105/$G105)</f>
        <v/>
      </c>
      <c r="J105" s="12">
        <f>IF($D105="","",ROUND($F105,2)-$S105)</f>
        <v/>
      </c>
      <c r="K105" s="12">
        <f>IF(OR($D105="",$G105=0),"",ROUND($F105*'03设备工时'!H105/$G105,2))</f>
        <v/>
      </c>
      <c r="L105" s="12">
        <f>IF(OR($D105="",$G105=0),"",ROUND($F105*'03设备工时'!I105/$G105,2))</f>
        <v/>
      </c>
      <c r="M105" s="12">
        <f>IF(OR($D105="",$G105=0),"",ROUND($F105*'03设备工时'!J105/$G105,2))</f>
        <v/>
      </c>
      <c r="N105" s="12">
        <f>IF(OR($D105="",$G105=0),"",ROUND($F105*'03设备工时'!K105/$G105,2))</f>
        <v/>
      </c>
      <c r="O105" s="12">
        <f>IF(OR($D105="",$G105=0),"",ROUND($F105*'03设备工时'!L105/$G105,2))</f>
        <v/>
      </c>
      <c r="P105" s="12">
        <f>IF(OR($D105="",$G105=0),"",ROUND($F105*'03设备工时'!M105/$G105,2))</f>
        <v/>
      </c>
      <c r="Q105" s="12">
        <f>IF(OR($D105="",$G105=0),"",ROUND($F105*'03设备工时'!N105/$G105,2))</f>
        <v/>
      </c>
      <c r="R105" s="12">
        <f>IF(OR($D105="",$G105=0),"",ROUND($F105*'03设备工时'!O105/$G105,2))</f>
        <v/>
      </c>
      <c r="S105" s="12">
        <f>IF($D105="","",SUM(K105:R105))</f>
        <v/>
      </c>
      <c r="T105" s="12">
        <f>IF($D105="","",$J105+$S105)</f>
        <v/>
      </c>
      <c r="U105" s="25">
        <f>IF($D105="","",IF($F105=0,"未维护折旧额",IF(ROUND($T105-$F105,2)=0,"√","差异")))</f>
        <v/>
      </c>
      <c r="V105" s="11" t="n"/>
      <c r="W105" s="39">
        <f>IF($D105="","",IFERROR(INDEX('参数设置'!$F$30:$F$44,MATCH($D105,'参数设置'!$C$30:$C$44,0)),""))</f>
        <v/>
      </c>
    </row>
    <row r="106" ht="18" customHeight="1">
      <c r="B106" s="21">
        <f>IF('03设备工时'!$D106="","",'03设备工时'!$B106)</f>
        <v/>
      </c>
      <c r="C106" s="22">
        <f>IF('03设备工时'!$D106="","",'03设备工时'!$C106)</f>
        <v/>
      </c>
      <c r="D106" s="22">
        <f>IF('03设备工时'!$D106="","",'03设备工时'!$D106)</f>
        <v/>
      </c>
      <c r="E106" s="39">
        <f>IF($D106="","",'03设备工时'!$E106)</f>
        <v/>
      </c>
      <c r="F106" s="23">
        <f>IF($D106="","",IF($V106&lt;&gt;"",$V106,IFERROR(INDEX('参数设置'!$E$30:$E$44,MATCH($D106,'参数设置'!$C$30:$C$44,0)),0)))</f>
        <v/>
      </c>
      <c r="G106" s="24">
        <f>IF($D106="","",'03设备工时'!$F106)</f>
        <v/>
      </c>
      <c r="H106" s="24">
        <f>IF($D106="","",'03设备工时'!$P106)</f>
        <v/>
      </c>
      <c r="I106" s="20">
        <f>IF(OR($D106="",$G106=0),"",$H106/$G106)</f>
        <v/>
      </c>
      <c r="J106" s="12">
        <f>IF($D106="","",ROUND($F106,2)-$S106)</f>
        <v/>
      </c>
      <c r="K106" s="12">
        <f>IF(OR($D106="",$G106=0),"",ROUND($F106*'03设备工时'!H106/$G106,2))</f>
        <v/>
      </c>
      <c r="L106" s="12">
        <f>IF(OR($D106="",$G106=0),"",ROUND($F106*'03设备工时'!I106/$G106,2))</f>
        <v/>
      </c>
      <c r="M106" s="12">
        <f>IF(OR($D106="",$G106=0),"",ROUND($F106*'03设备工时'!J106/$G106,2))</f>
        <v/>
      </c>
      <c r="N106" s="12">
        <f>IF(OR($D106="",$G106=0),"",ROUND($F106*'03设备工时'!K106/$G106,2))</f>
        <v/>
      </c>
      <c r="O106" s="12">
        <f>IF(OR($D106="",$G106=0),"",ROUND($F106*'03设备工时'!L106/$G106,2))</f>
        <v/>
      </c>
      <c r="P106" s="12">
        <f>IF(OR($D106="",$G106=0),"",ROUND($F106*'03设备工时'!M106/$G106,2))</f>
        <v/>
      </c>
      <c r="Q106" s="12">
        <f>IF(OR($D106="",$G106=0),"",ROUND($F106*'03设备工时'!N106/$G106,2))</f>
        <v/>
      </c>
      <c r="R106" s="12">
        <f>IF(OR($D106="",$G106=0),"",ROUND($F106*'03设备工时'!O106/$G106,2))</f>
        <v/>
      </c>
      <c r="S106" s="12">
        <f>IF($D106="","",SUM(K106:R106))</f>
        <v/>
      </c>
      <c r="T106" s="12">
        <f>IF($D106="","",$J106+$S106)</f>
        <v/>
      </c>
      <c r="U106" s="25">
        <f>IF($D106="","",IF($F106=0,"未维护折旧额",IF(ROUND($T106-$F106,2)=0,"√","差异")))</f>
        <v/>
      </c>
      <c r="V106" s="11" t="n"/>
      <c r="W106" s="39">
        <f>IF($D106="","",IFERROR(INDEX('参数设置'!$F$30:$F$44,MATCH($D106,'参数设置'!$C$30:$C$44,0)),""))</f>
        <v/>
      </c>
    </row>
    <row r="107" ht="18" customHeight="1">
      <c r="B107" s="21">
        <f>IF('03设备工时'!$D107="","",'03设备工时'!$B107)</f>
        <v/>
      </c>
      <c r="C107" s="22">
        <f>IF('03设备工时'!$D107="","",'03设备工时'!$C107)</f>
        <v/>
      </c>
      <c r="D107" s="22">
        <f>IF('03设备工时'!$D107="","",'03设备工时'!$D107)</f>
        <v/>
      </c>
      <c r="E107" s="39">
        <f>IF($D107="","",'03设备工时'!$E107)</f>
        <v/>
      </c>
      <c r="F107" s="23">
        <f>IF($D107="","",IF($V107&lt;&gt;"",$V107,IFERROR(INDEX('参数设置'!$E$30:$E$44,MATCH($D107,'参数设置'!$C$30:$C$44,0)),0)))</f>
        <v/>
      </c>
      <c r="G107" s="24">
        <f>IF($D107="","",'03设备工时'!$F107)</f>
        <v/>
      </c>
      <c r="H107" s="24">
        <f>IF($D107="","",'03设备工时'!$P107)</f>
        <v/>
      </c>
      <c r="I107" s="20">
        <f>IF(OR($D107="",$G107=0),"",$H107/$G107)</f>
        <v/>
      </c>
      <c r="J107" s="12">
        <f>IF($D107="","",ROUND($F107,2)-$S107)</f>
        <v/>
      </c>
      <c r="K107" s="12">
        <f>IF(OR($D107="",$G107=0),"",ROUND($F107*'03设备工时'!H107/$G107,2))</f>
        <v/>
      </c>
      <c r="L107" s="12">
        <f>IF(OR($D107="",$G107=0),"",ROUND($F107*'03设备工时'!I107/$G107,2))</f>
        <v/>
      </c>
      <c r="M107" s="12">
        <f>IF(OR($D107="",$G107=0),"",ROUND($F107*'03设备工时'!J107/$G107,2))</f>
        <v/>
      </c>
      <c r="N107" s="12">
        <f>IF(OR($D107="",$G107=0),"",ROUND($F107*'03设备工时'!K107/$G107,2))</f>
        <v/>
      </c>
      <c r="O107" s="12">
        <f>IF(OR($D107="",$G107=0),"",ROUND($F107*'03设备工时'!L107/$G107,2))</f>
        <v/>
      </c>
      <c r="P107" s="12">
        <f>IF(OR($D107="",$G107=0),"",ROUND($F107*'03设备工时'!M107/$G107,2))</f>
        <v/>
      </c>
      <c r="Q107" s="12">
        <f>IF(OR($D107="",$G107=0),"",ROUND($F107*'03设备工时'!N107/$G107,2))</f>
        <v/>
      </c>
      <c r="R107" s="12">
        <f>IF(OR($D107="",$G107=0),"",ROUND($F107*'03设备工时'!O107/$G107,2))</f>
        <v/>
      </c>
      <c r="S107" s="12">
        <f>IF($D107="","",SUM(K107:R107))</f>
        <v/>
      </c>
      <c r="T107" s="12">
        <f>IF($D107="","",$J107+$S107)</f>
        <v/>
      </c>
      <c r="U107" s="25">
        <f>IF($D107="","",IF($F107=0,"未维护折旧额",IF(ROUND($T107-$F107,2)=0,"√","差异")))</f>
        <v/>
      </c>
      <c r="V107" s="11" t="n"/>
      <c r="W107" s="39">
        <f>IF($D107="","",IFERROR(INDEX('参数设置'!$F$30:$F$44,MATCH($D107,'参数设置'!$C$30:$C$44,0)),""))</f>
        <v/>
      </c>
    </row>
    <row r="108" ht="18" customHeight="1">
      <c r="B108" s="21">
        <f>IF('03设备工时'!$D108="","",'03设备工时'!$B108)</f>
        <v/>
      </c>
      <c r="C108" s="22">
        <f>IF('03设备工时'!$D108="","",'03设备工时'!$C108)</f>
        <v/>
      </c>
      <c r="D108" s="22">
        <f>IF('03设备工时'!$D108="","",'03设备工时'!$D108)</f>
        <v/>
      </c>
      <c r="E108" s="39">
        <f>IF($D108="","",'03设备工时'!$E108)</f>
        <v/>
      </c>
      <c r="F108" s="23">
        <f>IF($D108="","",IF($V108&lt;&gt;"",$V108,IFERROR(INDEX('参数设置'!$E$30:$E$44,MATCH($D108,'参数设置'!$C$30:$C$44,0)),0)))</f>
        <v/>
      </c>
      <c r="G108" s="24">
        <f>IF($D108="","",'03设备工时'!$F108)</f>
        <v/>
      </c>
      <c r="H108" s="24">
        <f>IF($D108="","",'03设备工时'!$P108)</f>
        <v/>
      </c>
      <c r="I108" s="20">
        <f>IF(OR($D108="",$G108=0),"",$H108/$G108)</f>
        <v/>
      </c>
      <c r="J108" s="12">
        <f>IF($D108="","",ROUND($F108,2)-$S108)</f>
        <v/>
      </c>
      <c r="K108" s="12">
        <f>IF(OR($D108="",$G108=0),"",ROUND($F108*'03设备工时'!H108/$G108,2))</f>
        <v/>
      </c>
      <c r="L108" s="12">
        <f>IF(OR($D108="",$G108=0),"",ROUND($F108*'03设备工时'!I108/$G108,2))</f>
        <v/>
      </c>
      <c r="M108" s="12">
        <f>IF(OR($D108="",$G108=0),"",ROUND($F108*'03设备工时'!J108/$G108,2))</f>
        <v/>
      </c>
      <c r="N108" s="12">
        <f>IF(OR($D108="",$G108=0),"",ROUND($F108*'03设备工时'!K108/$G108,2))</f>
        <v/>
      </c>
      <c r="O108" s="12">
        <f>IF(OR($D108="",$G108=0),"",ROUND($F108*'03设备工时'!L108/$G108,2))</f>
        <v/>
      </c>
      <c r="P108" s="12">
        <f>IF(OR($D108="",$G108=0),"",ROUND($F108*'03设备工时'!M108/$G108,2))</f>
        <v/>
      </c>
      <c r="Q108" s="12">
        <f>IF(OR($D108="",$G108=0),"",ROUND($F108*'03设备工时'!N108/$G108,2))</f>
        <v/>
      </c>
      <c r="R108" s="12">
        <f>IF(OR($D108="",$G108=0),"",ROUND($F108*'03设备工时'!O108/$G108,2))</f>
        <v/>
      </c>
      <c r="S108" s="12">
        <f>IF($D108="","",SUM(K108:R108))</f>
        <v/>
      </c>
      <c r="T108" s="12">
        <f>IF($D108="","",$J108+$S108)</f>
        <v/>
      </c>
      <c r="U108" s="25">
        <f>IF($D108="","",IF($F108=0,"未维护折旧额",IF(ROUND($T108-$F108,2)=0,"√","差异")))</f>
        <v/>
      </c>
      <c r="V108" s="11" t="n"/>
      <c r="W108" s="39">
        <f>IF($D108="","",IFERROR(INDEX('参数设置'!$F$30:$F$44,MATCH($D108,'参数设置'!$C$30:$C$44,0)),""))</f>
        <v/>
      </c>
    </row>
    <row r="109" ht="18" customHeight="1">
      <c r="B109" s="21">
        <f>IF('03设备工时'!$D109="","",'03设备工时'!$B109)</f>
        <v/>
      </c>
      <c r="C109" s="22">
        <f>IF('03设备工时'!$D109="","",'03设备工时'!$C109)</f>
        <v/>
      </c>
      <c r="D109" s="22">
        <f>IF('03设备工时'!$D109="","",'03设备工时'!$D109)</f>
        <v/>
      </c>
      <c r="E109" s="39">
        <f>IF($D109="","",'03设备工时'!$E109)</f>
        <v/>
      </c>
      <c r="F109" s="23">
        <f>IF($D109="","",IF($V109&lt;&gt;"",$V109,IFERROR(INDEX('参数设置'!$E$30:$E$44,MATCH($D109,'参数设置'!$C$30:$C$44,0)),0)))</f>
        <v/>
      </c>
      <c r="G109" s="24">
        <f>IF($D109="","",'03设备工时'!$F109)</f>
        <v/>
      </c>
      <c r="H109" s="24">
        <f>IF($D109="","",'03设备工时'!$P109)</f>
        <v/>
      </c>
      <c r="I109" s="20">
        <f>IF(OR($D109="",$G109=0),"",$H109/$G109)</f>
        <v/>
      </c>
      <c r="J109" s="12">
        <f>IF($D109="","",ROUND($F109,2)-$S109)</f>
        <v/>
      </c>
      <c r="K109" s="12">
        <f>IF(OR($D109="",$G109=0),"",ROUND($F109*'03设备工时'!H109/$G109,2))</f>
        <v/>
      </c>
      <c r="L109" s="12">
        <f>IF(OR($D109="",$G109=0),"",ROUND($F109*'03设备工时'!I109/$G109,2))</f>
        <v/>
      </c>
      <c r="M109" s="12">
        <f>IF(OR($D109="",$G109=0),"",ROUND($F109*'03设备工时'!J109/$G109,2))</f>
        <v/>
      </c>
      <c r="N109" s="12">
        <f>IF(OR($D109="",$G109=0),"",ROUND($F109*'03设备工时'!K109/$G109,2))</f>
        <v/>
      </c>
      <c r="O109" s="12">
        <f>IF(OR($D109="",$G109=0),"",ROUND($F109*'03设备工时'!L109/$G109,2))</f>
        <v/>
      </c>
      <c r="P109" s="12">
        <f>IF(OR($D109="",$G109=0),"",ROUND($F109*'03设备工时'!M109/$G109,2))</f>
        <v/>
      </c>
      <c r="Q109" s="12">
        <f>IF(OR($D109="",$G109=0),"",ROUND($F109*'03设备工时'!N109/$G109,2))</f>
        <v/>
      </c>
      <c r="R109" s="12">
        <f>IF(OR($D109="",$G109=0),"",ROUND($F109*'03设备工时'!O109/$G109,2))</f>
        <v/>
      </c>
      <c r="S109" s="12">
        <f>IF($D109="","",SUM(K109:R109))</f>
        <v/>
      </c>
      <c r="T109" s="12">
        <f>IF($D109="","",$J109+$S109)</f>
        <v/>
      </c>
      <c r="U109" s="25">
        <f>IF($D109="","",IF($F109=0,"未维护折旧额",IF(ROUND($T109-$F109,2)=0,"√","差异")))</f>
        <v/>
      </c>
      <c r="V109" s="11" t="n"/>
      <c r="W109" s="39">
        <f>IF($D109="","",IFERROR(INDEX('参数设置'!$F$30:$F$44,MATCH($D109,'参数设置'!$C$30:$C$44,0)),""))</f>
        <v/>
      </c>
    </row>
    <row r="110" ht="18" customHeight="1">
      <c r="B110" s="21">
        <f>IF('03设备工时'!$D110="","",'03设备工时'!$B110)</f>
        <v/>
      </c>
      <c r="C110" s="22">
        <f>IF('03设备工时'!$D110="","",'03设备工时'!$C110)</f>
        <v/>
      </c>
      <c r="D110" s="22">
        <f>IF('03设备工时'!$D110="","",'03设备工时'!$D110)</f>
        <v/>
      </c>
      <c r="E110" s="39">
        <f>IF($D110="","",'03设备工时'!$E110)</f>
        <v/>
      </c>
      <c r="F110" s="23">
        <f>IF($D110="","",IF($V110&lt;&gt;"",$V110,IFERROR(INDEX('参数设置'!$E$30:$E$44,MATCH($D110,'参数设置'!$C$30:$C$44,0)),0)))</f>
        <v/>
      </c>
      <c r="G110" s="24">
        <f>IF($D110="","",'03设备工时'!$F110)</f>
        <v/>
      </c>
      <c r="H110" s="24">
        <f>IF($D110="","",'03设备工时'!$P110)</f>
        <v/>
      </c>
      <c r="I110" s="20">
        <f>IF(OR($D110="",$G110=0),"",$H110/$G110)</f>
        <v/>
      </c>
      <c r="J110" s="12">
        <f>IF($D110="","",ROUND($F110,2)-$S110)</f>
        <v/>
      </c>
      <c r="K110" s="12">
        <f>IF(OR($D110="",$G110=0),"",ROUND($F110*'03设备工时'!H110/$G110,2))</f>
        <v/>
      </c>
      <c r="L110" s="12">
        <f>IF(OR($D110="",$G110=0),"",ROUND($F110*'03设备工时'!I110/$G110,2))</f>
        <v/>
      </c>
      <c r="M110" s="12">
        <f>IF(OR($D110="",$G110=0),"",ROUND($F110*'03设备工时'!J110/$G110,2))</f>
        <v/>
      </c>
      <c r="N110" s="12">
        <f>IF(OR($D110="",$G110=0),"",ROUND($F110*'03设备工时'!K110/$G110,2))</f>
        <v/>
      </c>
      <c r="O110" s="12">
        <f>IF(OR($D110="",$G110=0),"",ROUND($F110*'03设备工时'!L110/$G110,2))</f>
        <v/>
      </c>
      <c r="P110" s="12">
        <f>IF(OR($D110="",$G110=0),"",ROUND($F110*'03设备工时'!M110/$G110,2))</f>
        <v/>
      </c>
      <c r="Q110" s="12">
        <f>IF(OR($D110="",$G110=0),"",ROUND($F110*'03设备工时'!N110/$G110,2))</f>
        <v/>
      </c>
      <c r="R110" s="12">
        <f>IF(OR($D110="",$G110=0),"",ROUND($F110*'03设备工时'!O110/$G110,2))</f>
        <v/>
      </c>
      <c r="S110" s="12">
        <f>IF($D110="","",SUM(K110:R110))</f>
        <v/>
      </c>
      <c r="T110" s="12">
        <f>IF($D110="","",$J110+$S110)</f>
        <v/>
      </c>
      <c r="U110" s="25">
        <f>IF($D110="","",IF($F110=0,"未维护折旧额",IF(ROUND($T110-$F110,2)=0,"√","差异")))</f>
        <v/>
      </c>
      <c r="V110" s="11" t="n"/>
      <c r="W110" s="39">
        <f>IF($D110="","",IFERROR(INDEX('参数设置'!$F$30:$F$44,MATCH($D110,'参数设置'!$C$30:$C$44,0)),""))</f>
        <v/>
      </c>
    </row>
    <row r="111" ht="18" customHeight="1">
      <c r="B111" s="21">
        <f>IF('03设备工时'!$D111="","",'03设备工时'!$B111)</f>
        <v/>
      </c>
      <c r="C111" s="22">
        <f>IF('03设备工时'!$D111="","",'03设备工时'!$C111)</f>
        <v/>
      </c>
      <c r="D111" s="22">
        <f>IF('03设备工时'!$D111="","",'03设备工时'!$D111)</f>
        <v/>
      </c>
      <c r="E111" s="39">
        <f>IF($D111="","",'03设备工时'!$E111)</f>
        <v/>
      </c>
      <c r="F111" s="23">
        <f>IF($D111="","",IF($V111&lt;&gt;"",$V111,IFERROR(INDEX('参数设置'!$E$30:$E$44,MATCH($D111,'参数设置'!$C$30:$C$44,0)),0)))</f>
        <v/>
      </c>
      <c r="G111" s="24">
        <f>IF($D111="","",'03设备工时'!$F111)</f>
        <v/>
      </c>
      <c r="H111" s="24">
        <f>IF($D111="","",'03设备工时'!$P111)</f>
        <v/>
      </c>
      <c r="I111" s="20">
        <f>IF(OR($D111="",$G111=0),"",$H111/$G111)</f>
        <v/>
      </c>
      <c r="J111" s="12">
        <f>IF($D111="","",ROUND($F111,2)-$S111)</f>
        <v/>
      </c>
      <c r="K111" s="12">
        <f>IF(OR($D111="",$G111=0),"",ROUND($F111*'03设备工时'!H111/$G111,2))</f>
        <v/>
      </c>
      <c r="L111" s="12">
        <f>IF(OR($D111="",$G111=0),"",ROUND($F111*'03设备工时'!I111/$G111,2))</f>
        <v/>
      </c>
      <c r="M111" s="12">
        <f>IF(OR($D111="",$G111=0),"",ROUND($F111*'03设备工时'!J111/$G111,2))</f>
        <v/>
      </c>
      <c r="N111" s="12">
        <f>IF(OR($D111="",$G111=0),"",ROUND($F111*'03设备工时'!K111/$G111,2))</f>
        <v/>
      </c>
      <c r="O111" s="12">
        <f>IF(OR($D111="",$G111=0),"",ROUND($F111*'03设备工时'!L111/$G111,2))</f>
        <v/>
      </c>
      <c r="P111" s="12">
        <f>IF(OR($D111="",$G111=0),"",ROUND($F111*'03设备工时'!M111/$G111,2))</f>
        <v/>
      </c>
      <c r="Q111" s="12">
        <f>IF(OR($D111="",$G111=0),"",ROUND($F111*'03设备工时'!N111/$G111,2))</f>
        <v/>
      </c>
      <c r="R111" s="12">
        <f>IF(OR($D111="",$G111=0),"",ROUND($F111*'03设备工时'!O111/$G111,2))</f>
        <v/>
      </c>
      <c r="S111" s="12">
        <f>IF($D111="","",SUM(K111:R111))</f>
        <v/>
      </c>
      <c r="T111" s="12">
        <f>IF($D111="","",$J111+$S111)</f>
        <v/>
      </c>
      <c r="U111" s="25">
        <f>IF($D111="","",IF($F111=0,"未维护折旧额",IF(ROUND($T111-$F111,2)=0,"√","差异")))</f>
        <v/>
      </c>
      <c r="V111" s="11" t="n"/>
      <c r="W111" s="39">
        <f>IF($D111="","",IFERROR(INDEX('参数设置'!$F$30:$F$44,MATCH($D111,'参数设置'!$C$30:$C$44,0)),""))</f>
        <v/>
      </c>
    </row>
    <row r="112" ht="18" customHeight="1">
      <c r="B112" s="21">
        <f>IF('03设备工时'!$D112="","",'03设备工时'!$B112)</f>
        <v/>
      </c>
      <c r="C112" s="22">
        <f>IF('03设备工时'!$D112="","",'03设备工时'!$C112)</f>
        <v/>
      </c>
      <c r="D112" s="22">
        <f>IF('03设备工时'!$D112="","",'03设备工时'!$D112)</f>
        <v/>
      </c>
      <c r="E112" s="39">
        <f>IF($D112="","",'03设备工时'!$E112)</f>
        <v/>
      </c>
      <c r="F112" s="23">
        <f>IF($D112="","",IF($V112&lt;&gt;"",$V112,IFERROR(INDEX('参数设置'!$E$30:$E$44,MATCH($D112,'参数设置'!$C$30:$C$44,0)),0)))</f>
        <v/>
      </c>
      <c r="G112" s="24">
        <f>IF($D112="","",'03设备工时'!$F112)</f>
        <v/>
      </c>
      <c r="H112" s="24">
        <f>IF($D112="","",'03设备工时'!$P112)</f>
        <v/>
      </c>
      <c r="I112" s="20">
        <f>IF(OR($D112="",$G112=0),"",$H112/$G112)</f>
        <v/>
      </c>
      <c r="J112" s="12">
        <f>IF($D112="","",ROUND($F112,2)-$S112)</f>
        <v/>
      </c>
      <c r="K112" s="12">
        <f>IF(OR($D112="",$G112=0),"",ROUND($F112*'03设备工时'!H112/$G112,2))</f>
        <v/>
      </c>
      <c r="L112" s="12">
        <f>IF(OR($D112="",$G112=0),"",ROUND($F112*'03设备工时'!I112/$G112,2))</f>
        <v/>
      </c>
      <c r="M112" s="12">
        <f>IF(OR($D112="",$G112=0),"",ROUND($F112*'03设备工时'!J112/$G112,2))</f>
        <v/>
      </c>
      <c r="N112" s="12">
        <f>IF(OR($D112="",$G112=0),"",ROUND($F112*'03设备工时'!K112/$G112,2))</f>
        <v/>
      </c>
      <c r="O112" s="12">
        <f>IF(OR($D112="",$G112=0),"",ROUND($F112*'03设备工时'!L112/$G112,2))</f>
        <v/>
      </c>
      <c r="P112" s="12">
        <f>IF(OR($D112="",$G112=0),"",ROUND($F112*'03设备工时'!M112/$G112,2))</f>
        <v/>
      </c>
      <c r="Q112" s="12">
        <f>IF(OR($D112="",$G112=0),"",ROUND($F112*'03设备工时'!N112/$G112,2))</f>
        <v/>
      </c>
      <c r="R112" s="12">
        <f>IF(OR($D112="",$G112=0),"",ROUND($F112*'03设备工时'!O112/$G112,2))</f>
        <v/>
      </c>
      <c r="S112" s="12">
        <f>IF($D112="","",SUM(K112:R112))</f>
        <v/>
      </c>
      <c r="T112" s="12">
        <f>IF($D112="","",$J112+$S112)</f>
        <v/>
      </c>
      <c r="U112" s="25">
        <f>IF($D112="","",IF($F112=0,"未维护折旧额",IF(ROUND($T112-$F112,2)=0,"√","差异")))</f>
        <v/>
      </c>
      <c r="V112" s="11" t="n"/>
      <c r="W112" s="39">
        <f>IF($D112="","",IFERROR(INDEX('参数设置'!$F$30:$F$44,MATCH($D112,'参数设置'!$C$30:$C$44,0)),""))</f>
        <v/>
      </c>
    </row>
    <row r="113" ht="18" customHeight="1">
      <c r="B113" s="21">
        <f>IF('03设备工时'!$D113="","",'03设备工时'!$B113)</f>
        <v/>
      </c>
      <c r="C113" s="22">
        <f>IF('03设备工时'!$D113="","",'03设备工时'!$C113)</f>
        <v/>
      </c>
      <c r="D113" s="22">
        <f>IF('03设备工时'!$D113="","",'03设备工时'!$D113)</f>
        <v/>
      </c>
      <c r="E113" s="39">
        <f>IF($D113="","",'03设备工时'!$E113)</f>
        <v/>
      </c>
      <c r="F113" s="23">
        <f>IF($D113="","",IF($V113&lt;&gt;"",$V113,IFERROR(INDEX('参数设置'!$E$30:$E$44,MATCH($D113,'参数设置'!$C$30:$C$44,0)),0)))</f>
        <v/>
      </c>
      <c r="G113" s="24">
        <f>IF($D113="","",'03设备工时'!$F113)</f>
        <v/>
      </c>
      <c r="H113" s="24">
        <f>IF($D113="","",'03设备工时'!$P113)</f>
        <v/>
      </c>
      <c r="I113" s="20">
        <f>IF(OR($D113="",$G113=0),"",$H113/$G113)</f>
        <v/>
      </c>
      <c r="J113" s="12">
        <f>IF($D113="","",ROUND($F113,2)-$S113)</f>
        <v/>
      </c>
      <c r="K113" s="12">
        <f>IF(OR($D113="",$G113=0),"",ROUND($F113*'03设备工时'!H113/$G113,2))</f>
        <v/>
      </c>
      <c r="L113" s="12">
        <f>IF(OR($D113="",$G113=0),"",ROUND($F113*'03设备工时'!I113/$G113,2))</f>
        <v/>
      </c>
      <c r="M113" s="12">
        <f>IF(OR($D113="",$G113=0),"",ROUND($F113*'03设备工时'!J113/$G113,2))</f>
        <v/>
      </c>
      <c r="N113" s="12">
        <f>IF(OR($D113="",$G113=0),"",ROUND($F113*'03设备工时'!K113/$G113,2))</f>
        <v/>
      </c>
      <c r="O113" s="12">
        <f>IF(OR($D113="",$G113=0),"",ROUND($F113*'03设备工时'!L113/$G113,2))</f>
        <v/>
      </c>
      <c r="P113" s="12">
        <f>IF(OR($D113="",$G113=0),"",ROUND($F113*'03设备工时'!M113/$G113,2))</f>
        <v/>
      </c>
      <c r="Q113" s="12">
        <f>IF(OR($D113="",$G113=0),"",ROUND($F113*'03设备工时'!N113/$G113,2))</f>
        <v/>
      </c>
      <c r="R113" s="12">
        <f>IF(OR($D113="",$G113=0),"",ROUND($F113*'03设备工时'!O113/$G113,2))</f>
        <v/>
      </c>
      <c r="S113" s="12">
        <f>IF($D113="","",SUM(K113:R113))</f>
        <v/>
      </c>
      <c r="T113" s="12">
        <f>IF($D113="","",$J113+$S113)</f>
        <v/>
      </c>
      <c r="U113" s="25">
        <f>IF($D113="","",IF($F113=0,"未维护折旧额",IF(ROUND($T113-$F113,2)=0,"√","差异")))</f>
        <v/>
      </c>
      <c r="V113" s="11" t="n"/>
      <c r="W113" s="39">
        <f>IF($D113="","",IFERROR(INDEX('参数设置'!$F$30:$F$44,MATCH($D113,'参数设置'!$C$30:$C$44,0)),""))</f>
        <v/>
      </c>
    </row>
    <row r="114" ht="18" customHeight="1">
      <c r="B114" s="21">
        <f>IF('03设备工时'!$D114="","",'03设备工时'!$B114)</f>
        <v/>
      </c>
      <c r="C114" s="22">
        <f>IF('03设备工时'!$D114="","",'03设备工时'!$C114)</f>
        <v/>
      </c>
      <c r="D114" s="22">
        <f>IF('03设备工时'!$D114="","",'03设备工时'!$D114)</f>
        <v/>
      </c>
      <c r="E114" s="39">
        <f>IF($D114="","",'03设备工时'!$E114)</f>
        <v/>
      </c>
      <c r="F114" s="23">
        <f>IF($D114="","",IF($V114&lt;&gt;"",$V114,IFERROR(INDEX('参数设置'!$E$30:$E$44,MATCH($D114,'参数设置'!$C$30:$C$44,0)),0)))</f>
        <v/>
      </c>
      <c r="G114" s="24">
        <f>IF($D114="","",'03设备工时'!$F114)</f>
        <v/>
      </c>
      <c r="H114" s="24">
        <f>IF($D114="","",'03设备工时'!$P114)</f>
        <v/>
      </c>
      <c r="I114" s="20">
        <f>IF(OR($D114="",$G114=0),"",$H114/$G114)</f>
        <v/>
      </c>
      <c r="J114" s="12">
        <f>IF($D114="","",ROUND($F114,2)-$S114)</f>
        <v/>
      </c>
      <c r="K114" s="12">
        <f>IF(OR($D114="",$G114=0),"",ROUND($F114*'03设备工时'!H114/$G114,2))</f>
        <v/>
      </c>
      <c r="L114" s="12">
        <f>IF(OR($D114="",$G114=0),"",ROUND($F114*'03设备工时'!I114/$G114,2))</f>
        <v/>
      </c>
      <c r="M114" s="12">
        <f>IF(OR($D114="",$G114=0),"",ROUND($F114*'03设备工时'!J114/$G114,2))</f>
        <v/>
      </c>
      <c r="N114" s="12">
        <f>IF(OR($D114="",$G114=0),"",ROUND($F114*'03设备工时'!K114/$G114,2))</f>
        <v/>
      </c>
      <c r="O114" s="12">
        <f>IF(OR($D114="",$G114=0),"",ROUND($F114*'03设备工时'!L114/$G114,2))</f>
        <v/>
      </c>
      <c r="P114" s="12">
        <f>IF(OR($D114="",$G114=0),"",ROUND($F114*'03设备工时'!M114/$G114,2))</f>
        <v/>
      </c>
      <c r="Q114" s="12">
        <f>IF(OR($D114="",$G114=0),"",ROUND($F114*'03设备工时'!N114/$G114,2))</f>
        <v/>
      </c>
      <c r="R114" s="12">
        <f>IF(OR($D114="",$G114=0),"",ROUND($F114*'03设备工时'!O114/$G114,2))</f>
        <v/>
      </c>
      <c r="S114" s="12">
        <f>IF($D114="","",SUM(K114:R114))</f>
        <v/>
      </c>
      <c r="T114" s="12">
        <f>IF($D114="","",$J114+$S114)</f>
        <v/>
      </c>
      <c r="U114" s="25">
        <f>IF($D114="","",IF($F114=0,"未维护折旧额",IF(ROUND($T114-$F114,2)=0,"√","差异")))</f>
        <v/>
      </c>
      <c r="V114" s="11" t="n"/>
      <c r="W114" s="39">
        <f>IF($D114="","",IFERROR(INDEX('参数设置'!$F$30:$F$44,MATCH($D114,'参数设置'!$C$30:$C$44,0)),""))</f>
        <v/>
      </c>
    </row>
    <row r="115" ht="18" customHeight="1">
      <c r="B115" s="21">
        <f>IF('03设备工时'!$D115="","",'03设备工时'!$B115)</f>
        <v/>
      </c>
      <c r="C115" s="22">
        <f>IF('03设备工时'!$D115="","",'03设备工时'!$C115)</f>
        <v/>
      </c>
      <c r="D115" s="22">
        <f>IF('03设备工时'!$D115="","",'03设备工时'!$D115)</f>
        <v/>
      </c>
      <c r="E115" s="39">
        <f>IF($D115="","",'03设备工时'!$E115)</f>
        <v/>
      </c>
      <c r="F115" s="23">
        <f>IF($D115="","",IF($V115&lt;&gt;"",$V115,IFERROR(INDEX('参数设置'!$E$30:$E$44,MATCH($D115,'参数设置'!$C$30:$C$44,0)),0)))</f>
        <v/>
      </c>
      <c r="G115" s="24">
        <f>IF($D115="","",'03设备工时'!$F115)</f>
        <v/>
      </c>
      <c r="H115" s="24">
        <f>IF($D115="","",'03设备工时'!$P115)</f>
        <v/>
      </c>
      <c r="I115" s="20">
        <f>IF(OR($D115="",$G115=0),"",$H115/$G115)</f>
        <v/>
      </c>
      <c r="J115" s="12">
        <f>IF($D115="","",ROUND($F115,2)-$S115)</f>
        <v/>
      </c>
      <c r="K115" s="12">
        <f>IF(OR($D115="",$G115=0),"",ROUND($F115*'03设备工时'!H115/$G115,2))</f>
        <v/>
      </c>
      <c r="L115" s="12">
        <f>IF(OR($D115="",$G115=0),"",ROUND($F115*'03设备工时'!I115/$G115,2))</f>
        <v/>
      </c>
      <c r="M115" s="12">
        <f>IF(OR($D115="",$G115=0),"",ROUND($F115*'03设备工时'!J115/$G115,2))</f>
        <v/>
      </c>
      <c r="N115" s="12">
        <f>IF(OR($D115="",$G115=0),"",ROUND($F115*'03设备工时'!K115/$G115,2))</f>
        <v/>
      </c>
      <c r="O115" s="12">
        <f>IF(OR($D115="",$G115=0),"",ROUND($F115*'03设备工时'!L115/$G115,2))</f>
        <v/>
      </c>
      <c r="P115" s="12">
        <f>IF(OR($D115="",$G115=0),"",ROUND($F115*'03设备工时'!M115/$G115,2))</f>
        <v/>
      </c>
      <c r="Q115" s="12">
        <f>IF(OR($D115="",$G115=0),"",ROUND($F115*'03设备工时'!N115/$G115,2))</f>
        <v/>
      </c>
      <c r="R115" s="12">
        <f>IF(OR($D115="",$G115=0),"",ROUND($F115*'03设备工时'!O115/$G115,2))</f>
        <v/>
      </c>
      <c r="S115" s="12">
        <f>IF($D115="","",SUM(K115:R115))</f>
        <v/>
      </c>
      <c r="T115" s="12">
        <f>IF($D115="","",$J115+$S115)</f>
        <v/>
      </c>
      <c r="U115" s="25">
        <f>IF($D115="","",IF($F115=0,"未维护折旧额",IF(ROUND($T115-$F115,2)=0,"√","差异")))</f>
        <v/>
      </c>
      <c r="V115" s="11" t="n"/>
      <c r="W115" s="39">
        <f>IF($D115="","",IFERROR(INDEX('参数设置'!$F$30:$F$44,MATCH($D115,'参数设置'!$C$30:$C$44,0)),""))</f>
        <v/>
      </c>
    </row>
    <row r="116" ht="18" customHeight="1">
      <c r="B116" s="21">
        <f>IF('03设备工时'!$D116="","",'03设备工时'!$B116)</f>
        <v/>
      </c>
      <c r="C116" s="22">
        <f>IF('03设备工时'!$D116="","",'03设备工时'!$C116)</f>
        <v/>
      </c>
      <c r="D116" s="22">
        <f>IF('03设备工时'!$D116="","",'03设备工时'!$D116)</f>
        <v/>
      </c>
      <c r="E116" s="39">
        <f>IF($D116="","",'03设备工时'!$E116)</f>
        <v/>
      </c>
      <c r="F116" s="23">
        <f>IF($D116="","",IF($V116&lt;&gt;"",$V116,IFERROR(INDEX('参数设置'!$E$30:$E$44,MATCH($D116,'参数设置'!$C$30:$C$44,0)),0)))</f>
        <v/>
      </c>
      <c r="G116" s="24">
        <f>IF($D116="","",'03设备工时'!$F116)</f>
        <v/>
      </c>
      <c r="H116" s="24">
        <f>IF($D116="","",'03设备工时'!$P116)</f>
        <v/>
      </c>
      <c r="I116" s="20">
        <f>IF(OR($D116="",$G116=0),"",$H116/$G116)</f>
        <v/>
      </c>
      <c r="J116" s="12">
        <f>IF($D116="","",ROUND($F116,2)-$S116)</f>
        <v/>
      </c>
      <c r="K116" s="12">
        <f>IF(OR($D116="",$G116=0),"",ROUND($F116*'03设备工时'!H116/$G116,2))</f>
        <v/>
      </c>
      <c r="L116" s="12">
        <f>IF(OR($D116="",$G116=0),"",ROUND($F116*'03设备工时'!I116/$G116,2))</f>
        <v/>
      </c>
      <c r="M116" s="12">
        <f>IF(OR($D116="",$G116=0),"",ROUND($F116*'03设备工时'!J116/$G116,2))</f>
        <v/>
      </c>
      <c r="N116" s="12">
        <f>IF(OR($D116="",$G116=0),"",ROUND($F116*'03设备工时'!K116/$G116,2))</f>
        <v/>
      </c>
      <c r="O116" s="12">
        <f>IF(OR($D116="",$G116=0),"",ROUND($F116*'03设备工时'!L116/$G116,2))</f>
        <v/>
      </c>
      <c r="P116" s="12">
        <f>IF(OR($D116="",$G116=0),"",ROUND($F116*'03设备工时'!M116/$G116,2))</f>
        <v/>
      </c>
      <c r="Q116" s="12">
        <f>IF(OR($D116="",$G116=0),"",ROUND($F116*'03设备工时'!N116/$G116,2))</f>
        <v/>
      </c>
      <c r="R116" s="12">
        <f>IF(OR($D116="",$G116=0),"",ROUND($F116*'03设备工时'!O116/$G116,2))</f>
        <v/>
      </c>
      <c r="S116" s="12">
        <f>IF($D116="","",SUM(K116:R116))</f>
        <v/>
      </c>
      <c r="T116" s="12">
        <f>IF($D116="","",$J116+$S116)</f>
        <v/>
      </c>
      <c r="U116" s="25">
        <f>IF($D116="","",IF($F116=0,"未维护折旧额",IF(ROUND($T116-$F116,2)=0,"√","差异")))</f>
        <v/>
      </c>
      <c r="V116" s="11" t="n"/>
      <c r="W116" s="39">
        <f>IF($D116="","",IFERROR(INDEX('参数设置'!$F$30:$F$44,MATCH($D116,'参数设置'!$C$30:$C$44,0)),""))</f>
        <v/>
      </c>
    </row>
    <row r="117" ht="18" customHeight="1">
      <c r="B117" s="21">
        <f>IF('03设备工时'!$D117="","",'03设备工时'!$B117)</f>
        <v/>
      </c>
      <c r="C117" s="22">
        <f>IF('03设备工时'!$D117="","",'03设备工时'!$C117)</f>
        <v/>
      </c>
      <c r="D117" s="22">
        <f>IF('03设备工时'!$D117="","",'03设备工时'!$D117)</f>
        <v/>
      </c>
      <c r="E117" s="39">
        <f>IF($D117="","",'03设备工时'!$E117)</f>
        <v/>
      </c>
      <c r="F117" s="23">
        <f>IF($D117="","",IF($V117&lt;&gt;"",$V117,IFERROR(INDEX('参数设置'!$E$30:$E$44,MATCH($D117,'参数设置'!$C$30:$C$44,0)),0)))</f>
        <v/>
      </c>
      <c r="G117" s="24">
        <f>IF($D117="","",'03设备工时'!$F117)</f>
        <v/>
      </c>
      <c r="H117" s="24">
        <f>IF($D117="","",'03设备工时'!$P117)</f>
        <v/>
      </c>
      <c r="I117" s="20">
        <f>IF(OR($D117="",$G117=0),"",$H117/$G117)</f>
        <v/>
      </c>
      <c r="J117" s="12">
        <f>IF($D117="","",ROUND($F117,2)-$S117)</f>
        <v/>
      </c>
      <c r="K117" s="12">
        <f>IF(OR($D117="",$G117=0),"",ROUND($F117*'03设备工时'!H117/$G117,2))</f>
        <v/>
      </c>
      <c r="L117" s="12">
        <f>IF(OR($D117="",$G117=0),"",ROUND($F117*'03设备工时'!I117/$G117,2))</f>
        <v/>
      </c>
      <c r="M117" s="12">
        <f>IF(OR($D117="",$G117=0),"",ROUND($F117*'03设备工时'!J117/$G117,2))</f>
        <v/>
      </c>
      <c r="N117" s="12">
        <f>IF(OR($D117="",$G117=0),"",ROUND($F117*'03设备工时'!K117/$G117,2))</f>
        <v/>
      </c>
      <c r="O117" s="12">
        <f>IF(OR($D117="",$G117=0),"",ROUND($F117*'03设备工时'!L117/$G117,2))</f>
        <v/>
      </c>
      <c r="P117" s="12">
        <f>IF(OR($D117="",$G117=0),"",ROUND($F117*'03设备工时'!M117/$G117,2))</f>
        <v/>
      </c>
      <c r="Q117" s="12">
        <f>IF(OR($D117="",$G117=0),"",ROUND($F117*'03设备工时'!N117/$G117,2))</f>
        <v/>
      </c>
      <c r="R117" s="12">
        <f>IF(OR($D117="",$G117=0),"",ROUND($F117*'03设备工时'!O117/$G117,2))</f>
        <v/>
      </c>
      <c r="S117" s="12">
        <f>IF($D117="","",SUM(K117:R117))</f>
        <v/>
      </c>
      <c r="T117" s="12">
        <f>IF($D117="","",$J117+$S117)</f>
        <v/>
      </c>
      <c r="U117" s="25">
        <f>IF($D117="","",IF($F117=0,"未维护折旧额",IF(ROUND($T117-$F117,2)=0,"√","差异")))</f>
        <v/>
      </c>
      <c r="V117" s="11" t="n"/>
      <c r="W117" s="39">
        <f>IF($D117="","",IFERROR(INDEX('参数设置'!$F$30:$F$44,MATCH($D117,'参数设置'!$C$30:$C$44,0)),""))</f>
        <v/>
      </c>
    </row>
    <row r="118" ht="18" customHeight="1">
      <c r="B118" s="21">
        <f>IF('03设备工时'!$D118="","",'03设备工时'!$B118)</f>
        <v/>
      </c>
      <c r="C118" s="22">
        <f>IF('03设备工时'!$D118="","",'03设备工时'!$C118)</f>
        <v/>
      </c>
      <c r="D118" s="22">
        <f>IF('03设备工时'!$D118="","",'03设备工时'!$D118)</f>
        <v/>
      </c>
      <c r="E118" s="39">
        <f>IF($D118="","",'03设备工时'!$E118)</f>
        <v/>
      </c>
      <c r="F118" s="23">
        <f>IF($D118="","",IF($V118&lt;&gt;"",$V118,IFERROR(INDEX('参数设置'!$E$30:$E$44,MATCH($D118,'参数设置'!$C$30:$C$44,0)),0)))</f>
        <v/>
      </c>
      <c r="G118" s="24">
        <f>IF($D118="","",'03设备工时'!$F118)</f>
        <v/>
      </c>
      <c r="H118" s="24">
        <f>IF($D118="","",'03设备工时'!$P118)</f>
        <v/>
      </c>
      <c r="I118" s="20">
        <f>IF(OR($D118="",$G118=0),"",$H118/$G118)</f>
        <v/>
      </c>
      <c r="J118" s="12">
        <f>IF($D118="","",ROUND($F118,2)-$S118)</f>
        <v/>
      </c>
      <c r="K118" s="12">
        <f>IF(OR($D118="",$G118=0),"",ROUND($F118*'03设备工时'!H118/$G118,2))</f>
        <v/>
      </c>
      <c r="L118" s="12">
        <f>IF(OR($D118="",$G118=0),"",ROUND($F118*'03设备工时'!I118/$G118,2))</f>
        <v/>
      </c>
      <c r="M118" s="12">
        <f>IF(OR($D118="",$G118=0),"",ROUND($F118*'03设备工时'!J118/$G118,2))</f>
        <v/>
      </c>
      <c r="N118" s="12">
        <f>IF(OR($D118="",$G118=0),"",ROUND($F118*'03设备工时'!K118/$G118,2))</f>
        <v/>
      </c>
      <c r="O118" s="12">
        <f>IF(OR($D118="",$G118=0),"",ROUND($F118*'03设备工时'!L118/$G118,2))</f>
        <v/>
      </c>
      <c r="P118" s="12">
        <f>IF(OR($D118="",$G118=0),"",ROUND($F118*'03设备工时'!M118/$G118,2))</f>
        <v/>
      </c>
      <c r="Q118" s="12">
        <f>IF(OR($D118="",$G118=0),"",ROUND($F118*'03设备工时'!N118/$G118,2))</f>
        <v/>
      </c>
      <c r="R118" s="12">
        <f>IF(OR($D118="",$G118=0),"",ROUND($F118*'03设备工时'!O118/$G118,2))</f>
        <v/>
      </c>
      <c r="S118" s="12">
        <f>IF($D118="","",SUM(K118:R118))</f>
        <v/>
      </c>
      <c r="T118" s="12">
        <f>IF($D118="","",$J118+$S118)</f>
        <v/>
      </c>
      <c r="U118" s="25">
        <f>IF($D118="","",IF($F118=0,"未维护折旧额",IF(ROUND($T118-$F118,2)=0,"√","差异")))</f>
        <v/>
      </c>
      <c r="V118" s="11" t="n"/>
      <c r="W118" s="39">
        <f>IF($D118="","",IFERROR(INDEX('参数设置'!$F$30:$F$44,MATCH($D118,'参数设置'!$C$30:$C$44,0)),""))</f>
        <v/>
      </c>
    </row>
    <row r="119" ht="18" customHeight="1">
      <c r="B119" s="21">
        <f>IF('03设备工时'!$D119="","",'03设备工时'!$B119)</f>
        <v/>
      </c>
      <c r="C119" s="22">
        <f>IF('03设备工时'!$D119="","",'03设备工时'!$C119)</f>
        <v/>
      </c>
      <c r="D119" s="22">
        <f>IF('03设备工时'!$D119="","",'03设备工时'!$D119)</f>
        <v/>
      </c>
      <c r="E119" s="39">
        <f>IF($D119="","",'03设备工时'!$E119)</f>
        <v/>
      </c>
      <c r="F119" s="23">
        <f>IF($D119="","",IF($V119&lt;&gt;"",$V119,IFERROR(INDEX('参数设置'!$E$30:$E$44,MATCH($D119,'参数设置'!$C$30:$C$44,0)),0)))</f>
        <v/>
      </c>
      <c r="G119" s="24">
        <f>IF($D119="","",'03设备工时'!$F119)</f>
        <v/>
      </c>
      <c r="H119" s="24">
        <f>IF($D119="","",'03设备工时'!$P119)</f>
        <v/>
      </c>
      <c r="I119" s="20">
        <f>IF(OR($D119="",$G119=0),"",$H119/$G119)</f>
        <v/>
      </c>
      <c r="J119" s="12">
        <f>IF($D119="","",ROUND($F119,2)-$S119)</f>
        <v/>
      </c>
      <c r="K119" s="12">
        <f>IF(OR($D119="",$G119=0),"",ROUND($F119*'03设备工时'!H119/$G119,2))</f>
        <v/>
      </c>
      <c r="L119" s="12">
        <f>IF(OR($D119="",$G119=0),"",ROUND($F119*'03设备工时'!I119/$G119,2))</f>
        <v/>
      </c>
      <c r="M119" s="12">
        <f>IF(OR($D119="",$G119=0),"",ROUND($F119*'03设备工时'!J119/$G119,2))</f>
        <v/>
      </c>
      <c r="N119" s="12">
        <f>IF(OR($D119="",$G119=0),"",ROUND($F119*'03设备工时'!K119/$G119,2))</f>
        <v/>
      </c>
      <c r="O119" s="12">
        <f>IF(OR($D119="",$G119=0),"",ROUND($F119*'03设备工时'!L119/$G119,2))</f>
        <v/>
      </c>
      <c r="P119" s="12">
        <f>IF(OR($D119="",$G119=0),"",ROUND($F119*'03设备工时'!M119/$G119,2))</f>
        <v/>
      </c>
      <c r="Q119" s="12">
        <f>IF(OR($D119="",$G119=0),"",ROUND($F119*'03设备工时'!N119/$G119,2))</f>
        <v/>
      </c>
      <c r="R119" s="12">
        <f>IF(OR($D119="",$G119=0),"",ROUND($F119*'03设备工时'!O119/$G119,2))</f>
        <v/>
      </c>
      <c r="S119" s="12">
        <f>IF($D119="","",SUM(K119:R119))</f>
        <v/>
      </c>
      <c r="T119" s="12">
        <f>IF($D119="","",$J119+$S119)</f>
        <v/>
      </c>
      <c r="U119" s="25">
        <f>IF($D119="","",IF($F119=0,"未维护折旧额",IF(ROUND($T119-$F119,2)=0,"√","差异")))</f>
        <v/>
      </c>
      <c r="V119" s="11" t="n"/>
      <c r="W119" s="39">
        <f>IF($D119="","",IFERROR(INDEX('参数设置'!$F$30:$F$44,MATCH($D119,'参数设置'!$C$30:$C$44,0)),""))</f>
        <v/>
      </c>
    </row>
    <row r="120" ht="18" customHeight="1">
      <c r="B120" s="21">
        <f>IF('03设备工时'!$D120="","",'03设备工时'!$B120)</f>
        <v/>
      </c>
      <c r="C120" s="22">
        <f>IF('03设备工时'!$D120="","",'03设备工时'!$C120)</f>
        <v/>
      </c>
      <c r="D120" s="22">
        <f>IF('03设备工时'!$D120="","",'03设备工时'!$D120)</f>
        <v/>
      </c>
      <c r="E120" s="39">
        <f>IF($D120="","",'03设备工时'!$E120)</f>
        <v/>
      </c>
      <c r="F120" s="23">
        <f>IF($D120="","",IF($V120&lt;&gt;"",$V120,IFERROR(INDEX('参数设置'!$E$30:$E$44,MATCH($D120,'参数设置'!$C$30:$C$44,0)),0)))</f>
        <v/>
      </c>
      <c r="G120" s="24">
        <f>IF($D120="","",'03设备工时'!$F120)</f>
        <v/>
      </c>
      <c r="H120" s="24">
        <f>IF($D120="","",'03设备工时'!$P120)</f>
        <v/>
      </c>
      <c r="I120" s="20">
        <f>IF(OR($D120="",$G120=0),"",$H120/$G120)</f>
        <v/>
      </c>
      <c r="J120" s="12">
        <f>IF($D120="","",ROUND($F120,2)-$S120)</f>
        <v/>
      </c>
      <c r="K120" s="12">
        <f>IF(OR($D120="",$G120=0),"",ROUND($F120*'03设备工时'!H120/$G120,2))</f>
        <v/>
      </c>
      <c r="L120" s="12">
        <f>IF(OR($D120="",$G120=0),"",ROUND($F120*'03设备工时'!I120/$G120,2))</f>
        <v/>
      </c>
      <c r="M120" s="12">
        <f>IF(OR($D120="",$G120=0),"",ROUND($F120*'03设备工时'!J120/$G120,2))</f>
        <v/>
      </c>
      <c r="N120" s="12">
        <f>IF(OR($D120="",$G120=0),"",ROUND($F120*'03设备工时'!K120/$G120,2))</f>
        <v/>
      </c>
      <c r="O120" s="12">
        <f>IF(OR($D120="",$G120=0),"",ROUND($F120*'03设备工时'!L120/$G120,2))</f>
        <v/>
      </c>
      <c r="P120" s="12">
        <f>IF(OR($D120="",$G120=0),"",ROUND($F120*'03设备工时'!M120/$G120,2))</f>
        <v/>
      </c>
      <c r="Q120" s="12">
        <f>IF(OR($D120="",$G120=0),"",ROUND($F120*'03设备工时'!N120/$G120,2))</f>
        <v/>
      </c>
      <c r="R120" s="12">
        <f>IF(OR($D120="",$G120=0),"",ROUND($F120*'03设备工时'!O120/$G120,2))</f>
        <v/>
      </c>
      <c r="S120" s="12">
        <f>IF($D120="","",SUM(K120:R120))</f>
        <v/>
      </c>
      <c r="T120" s="12">
        <f>IF($D120="","",$J120+$S120)</f>
        <v/>
      </c>
      <c r="U120" s="25">
        <f>IF($D120="","",IF($F120=0,"未维护折旧额",IF(ROUND($T120-$F120,2)=0,"√","差异")))</f>
        <v/>
      </c>
      <c r="V120" s="11" t="n"/>
      <c r="W120" s="39">
        <f>IF($D120="","",IFERROR(INDEX('参数设置'!$F$30:$F$44,MATCH($D120,'参数设置'!$C$30:$C$44,0)),""))</f>
        <v/>
      </c>
    </row>
    <row r="121" ht="18" customHeight="1">
      <c r="B121" s="21">
        <f>IF('03设备工时'!$D121="","",'03设备工时'!$B121)</f>
        <v/>
      </c>
      <c r="C121" s="22">
        <f>IF('03设备工时'!$D121="","",'03设备工时'!$C121)</f>
        <v/>
      </c>
      <c r="D121" s="22">
        <f>IF('03设备工时'!$D121="","",'03设备工时'!$D121)</f>
        <v/>
      </c>
      <c r="E121" s="39">
        <f>IF($D121="","",'03设备工时'!$E121)</f>
        <v/>
      </c>
      <c r="F121" s="23">
        <f>IF($D121="","",IF($V121&lt;&gt;"",$V121,IFERROR(INDEX('参数设置'!$E$30:$E$44,MATCH($D121,'参数设置'!$C$30:$C$44,0)),0)))</f>
        <v/>
      </c>
      <c r="G121" s="24">
        <f>IF($D121="","",'03设备工时'!$F121)</f>
        <v/>
      </c>
      <c r="H121" s="24">
        <f>IF($D121="","",'03设备工时'!$P121)</f>
        <v/>
      </c>
      <c r="I121" s="20">
        <f>IF(OR($D121="",$G121=0),"",$H121/$G121)</f>
        <v/>
      </c>
      <c r="J121" s="12">
        <f>IF($D121="","",ROUND($F121,2)-$S121)</f>
        <v/>
      </c>
      <c r="K121" s="12">
        <f>IF(OR($D121="",$G121=0),"",ROUND($F121*'03设备工时'!H121/$G121,2))</f>
        <v/>
      </c>
      <c r="L121" s="12">
        <f>IF(OR($D121="",$G121=0),"",ROUND($F121*'03设备工时'!I121/$G121,2))</f>
        <v/>
      </c>
      <c r="M121" s="12">
        <f>IF(OR($D121="",$G121=0),"",ROUND($F121*'03设备工时'!J121/$G121,2))</f>
        <v/>
      </c>
      <c r="N121" s="12">
        <f>IF(OR($D121="",$G121=0),"",ROUND($F121*'03设备工时'!K121/$G121,2))</f>
        <v/>
      </c>
      <c r="O121" s="12">
        <f>IF(OR($D121="",$G121=0),"",ROUND($F121*'03设备工时'!L121/$G121,2))</f>
        <v/>
      </c>
      <c r="P121" s="12">
        <f>IF(OR($D121="",$G121=0),"",ROUND($F121*'03设备工时'!M121/$G121,2))</f>
        <v/>
      </c>
      <c r="Q121" s="12">
        <f>IF(OR($D121="",$G121=0),"",ROUND($F121*'03设备工时'!N121/$G121,2))</f>
        <v/>
      </c>
      <c r="R121" s="12">
        <f>IF(OR($D121="",$G121=0),"",ROUND($F121*'03设备工时'!O121/$G121,2))</f>
        <v/>
      </c>
      <c r="S121" s="12">
        <f>IF($D121="","",SUM(K121:R121))</f>
        <v/>
      </c>
      <c r="T121" s="12">
        <f>IF($D121="","",$J121+$S121)</f>
        <v/>
      </c>
      <c r="U121" s="25">
        <f>IF($D121="","",IF($F121=0,"未维护折旧额",IF(ROUND($T121-$F121,2)=0,"√","差异")))</f>
        <v/>
      </c>
      <c r="V121" s="11" t="n"/>
      <c r="W121" s="39">
        <f>IF($D121="","",IFERROR(INDEX('参数设置'!$F$30:$F$44,MATCH($D121,'参数设置'!$C$30:$C$44,0)),""))</f>
        <v/>
      </c>
    </row>
    <row r="122" ht="18" customHeight="1">
      <c r="B122" s="21">
        <f>IF('03设备工时'!$D122="","",'03设备工时'!$B122)</f>
        <v/>
      </c>
      <c r="C122" s="22">
        <f>IF('03设备工时'!$D122="","",'03设备工时'!$C122)</f>
        <v/>
      </c>
      <c r="D122" s="22">
        <f>IF('03设备工时'!$D122="","",'03设备工时'!$D122)</f>
        <v/>
      </c>
      <c r="E122" s="39">
        <f>IF($D122="","",'03设备工时'!$E122)</f>
        <v/>
      </c>
      <c r="F122" s="23">
        <f>IF($D122="","",IF($V122&lt;&gt;"",$V122,IFERROR(INDEX('参数设置'!$E$30:$E$44,MATCH($D122,'参数设置'!$C$30:$C$44,0)),0)))</f>
        <v/>
      </c>
      <c r="G122" s="24">
        <f>IF($D122="","",'03设备工时'!$F122)</f>
        <v/>
      </c>
      <c r="H122" s="24">
        <f>IF($D122="","",'03设备工时'!$P122)</f>
        <v/>
      </c>
      <c r="I122" s="20">
        <f>IF(OR($D122="",$G122=0),"",$H122/$G122)</f>
        <v/>
      </c>
      <c r="J122" s="12">
        <f>IF($D122="","",ROUND($F122,2)-$S122)</f>
        <v/>
      </c>
      <c r="K122" s="12">
        <f>IF(OR($D122="",$G122=0),"",ROUND($F122*'03设备工时'!H122/$G122,2))</f>
        <v/>
      </c>
      <c r="L122" s="12">
        <f>IF(OR($D122="",$G122=0),"",ROUND($F122*'03设备工时'!I122/$G122,2))</f>
        <v/>
      </c>
      <c r="M122" s="12">
        <f>IF(OR($D122="",$G122=0),"",ROUND($F122*'03设备工时'!J122/$G122,2))</f>
        <v/>
      </c>
      <c r="N122" s="12">
        <f>IF(OR($D122="",$G122=0),"",ROUND($F122*'03设备工时'!K122/$G122,2))</f>
        <v/>
      </c>
      <c r="O122" s="12">
        <f>IF(OR($D122="",$G122=0),"",ROUND($F122*'03设备工时'!L122/$G122,2))</f>
        <v/>
      </c>
      <c r="P122" s="12">
        <f>IF(OR($D122="",$G122=0),"",ROUND($F122*'03设备工时'!M122/$G122,2))</f>
        <v/>
      </c>
      <c r="Q122" s="12">
        <f>IF(OR($D122="",$G122=0),"",ROUND($F122*'03设备工时'!N122/$G122,2))</f>
        <v/>
      </c>
      <c r="R122" s="12">
        <f>IF(OR($D122="",$G122=0),"",ROUND($F122*'03设备工时'!O122/$G122,2))</f>
        <v/>
      </c>
      <c r="S122" s="12">
        <f>IF($D122="","",SUM(K122:R122))</f>
        <v/>
      </c>
      <c r="T122" s="12">
        <f>IF($D122="","",$J122+$S122)</f>
        <v/>
      </c>
      <c r="U122" s="25">
        <f>IF($D122="","",IF($F122=0,"未维护折旧额",IF(ROUND($T122-$F122,2)=0,"√","差异")))</f>
        <v/>
      </c>
      <c r="V122" s="11" t="n"/>
      <c r="W122" s="39">
        <f>IF($D122="","",IFERROR(INDEX('参数设置'!$F$30:$F$44,MATCH($D122,'参数设置'!$C$30:$C$44,0)),""))</f>
        <v/>
      </c>
    </row>
    <row r="123" ht="18" customHeight="1">
      <c r="B123" s="21">
        <f>IF('03设备工时'!$D123="","",'03设备工时'!$B123)</f>
        <v/>
      </c>
      <c r="C123" s="22">
        <f>IF('03设备工时'!$D123="","",'03设备工时'!$C123)</f>
        <v/>
      </c>
      <c r="D123" s="22">
        <f>IF('03设备工时'!$D123="","",'03设备工时'!$D123)</f>
        <v/>
      </c>
      <c r="E123" s="39">
        <f>IF($D123="","",'03设备工时'!$E123)</f>
        <v/>
      </c>
      <c r="F123" s="23">
        <f>IF($D123="","",IF($V123&lt;&gt;"",$V123,IFERROR(INDEX('参数设置'!$E$30:$E$44,MATCH($D123,'参数设置'!$C$30:$C$44,0)),0)))</f>
        <v/>
      </c>
      <c r="G123" s="24">
        <f>IF($D123="","",'03设备工时'!$F123)</f>
        <v/>
      </c>
      <c r="H123" s="24">
        <f>IF($D123="","",'03设备工时'!$P123)</f>
        <v/>
      </c>
      <c r="I123" s="20">
        <f>IF(OR($D123="",$G123=0),"",$H123/$G123)</f>
        <v/>
      </c>
      <c r="J123" s="12">
        <f>IF($D123="","",ROUND($F123,2)-$S123)</f>
        <v/>
      </c>
      <c r="K123" s="12">
        <f>IF(OR($D123="",$G123=0),"",ROUND($F123*'03设备工时'!H123/$G123,2))</f>
        <v/>
      </c>
      <c r="L123" s="12">
        <f>IF(OR($D123="",$G123=0),"",ROUND($F123*'03设备工时'!I123/$G123,2))</f>
        <v/>
      </c>
      <c r="M123" s="12">
        <f>IF(OR($D123="",$G123=0),"",ROUND($F123*'03设备工时'!J123/$G123,2))</f>
        <v/>
      </c>
      <c r="N123" s="12">
        <f>IF(OR($D123="",$G123=0),"",ROUND($F123*'03设备工时'!K123/$G123,2))</f>
        <v/>
      </c>
      <c r="O123" s="12">
        <f>IF(OR($D123="",$G123=0),"",ROUND($F123*'03设备工时'!L123/$G123,2))</f>
        <v/>
      </c>
      <c r="P123" s="12">
        <f>IF(OR($D123="",$G123=0),"",ROUND($F123*'03设备工时'!M123/$G123,2))</f>
        <v/>
      </c>
      <c r="Q123" s="12">
        <f>IF(OR($D123="",$G123=0),"",ROUND($F123*'03设备工时'!N123/$G123,2))</f>
        <v/>
      </c>
      <c r="R123" s="12">
        <f>IF(OR($D123="",$G123=0),"",ROUND($F123*'03设备工时'!O123/$G123,2))</f>
        <v/>
      </c>
      <c r="S123" s="12">
        <f>IF($D123="","",SUM(K123:R123))</f>
        <v/>
      </c>
      <c r="T123" s="12">
        <f>IF($D123="","",$J123+$S123)</f>
        <v/>
      </c>
      <c r="U123" s="25">
        <f>IF($D123="","",IF($F123=0,"未维护折旧额",IF(ROUND($T123-$F123,2)=0,"√","差异")))</f>
        <v/>
      </c>
      <c r="V123" s="11" t="n"/>
      <c r="W123" s="39">
        <f>IF($D123="","",IFERROR(INDEX('参数设置'!$F$30:$F$44,MATCH($D123,'参数设置'!$C$30:$C$44,0)),""))</f>
        <v/>
      </c>
    </row>
    <row r="124" ht="18" customHeight="1">
      <c r="B124" s="21">
        <f>IF('03设备工时'!$D124="","",'03设备工时'!$B124)</f>
        <v/>
      </c>
      <c r="C124" s="22">
        <f>IF('03设备工时'!$D124="","",'03设备工时'!$C124)</f>
        <v/>
      </c>
      <c r="D124" s="22">
        <f>IF('03设备工时'!$D124="","",'03设备工时'!$D124)</f>
        <v/>
      </c>
      <c r="E124" s="39">
        <f>IF($D124="","",'03设备工时'!$E124)</f>
        <v/>
      </c>
      <c r="F124" s="23">
        <f>IF($D124="","",IF($V124&lt;&gt;"",$V124,IFERROR(INDEX('参数设置'!$E$30:$E$44,MATCH($D124,'参数设置'!$C$30:$C$44,0)),0)))</f>
        <v/>
      </c>
      <c r="G124" s="24">
        <f>IF($D124="","",'03设备工时'!$F124)</f>
        <v/>
      </c>
      <c r="H124" s="24">
        <f>IF($D124="","",'03设备工时'!$P124)</f>
        <v/>
      </c>
      <c r="I124" s="20">
        <f>IF(OR($D124="",$G124=0),"",$H124/$G124)</f>
        <v/>
      </c>
      <c r="J124" s="12">
        <f>IF($D124="","",ROUND($F124,2)-$S124)</f>
        <v/>
      </c>
      <c r="K124" s="12">
        <f>IF(OR($D124="",$G124=0),"",ROUND($F124*'03设备工时'!H124/$G124,2))</f>
        <v/>
      </c>
      <c r="L124" s="12">
        <f>IF(OR($D124="",$G124=0),"",ROUND($F124*'03设备工时'!I124/$G124,2))</f>
        <v/>
      </c>
      <c r="M124" s="12">
        <f>IF(OR($D124="",$G124=0),"",ROUND($F124*'03设备工时'!J124/$G124,2))</f>
        <v/>
      </c>
      <c r="N124" s="12">
        <f>IF(OR($D124="",$G124=0),"",ROUND($F124*'03设备工时'!K124/$G124,2))</f>
        <v/>
      </c>
      <c r="O124" s="12">
        <f>IF(OR($D124="",$G124=0),"",ROUND($F124*'03设备工时'!L124/$G124,2))</f>
        <v/>
      </c>
      <c r="P124" s="12">
        <f>IF(OR($D124="",$G124=0),"",ROUND($F124*'03设备工时'!M124/$G124,2))</f>
        <v/>
      </c>
      <c r="Q124" s="12">
        <f>IF(OR($D124="",$G124=0),"",ROUND($F124*'03设备工时'!N124/$G124,2))</f>
        <v/>
      </c>
      <c r="R124" s="12">
        <f>IF(OR($D124="",$G124=0),"",ROUND($F124*'03设备工时'!O124/$G124,2))</f>
        <v/>
      </c>
      <c r="S124" s="12">
        <f>IF($D124="","",SUM(K124:R124))</f>
        <v/>
      </c>
      <c r="T124" s="12">
        <f>IF($D124="","",$J124+$S124)</f>
        <v/>
      </c>
      <c r="U124" s="25">
        <f>IF($D124="","",IF($F124=0,"未维护折旧额",IF(ROUND($T124-$F124,2)=0,"√","差异")))</f>
        <v/>
      </c>
      <c r="V124" s="11" t="n"/>
      <c r="W124" s="39">
        <f>IF($D124="","",IFERROR(INDEX('参数设置'!$F$30:$F$44,MATCH($D124,'参数设置'!$C$30:$C$44,0)),""))</f>
        <v/>
      </c>
    </row>
    <row r="125" ht="18" customHeight="1">
      <c r="B125" s="21">
        <f>IF('03设备工时'!$D125="","",'03设备工时'!$B125)</f>
        <v/>
      </c>
      <c r="C125" s="22">
        <f>IF('03设备工时'!$D125="","",'03设备工时'!$C125)</f>
        <v/>
      </c>
      <c r="D125" s="22">
        <f>IF('03设备工时'!$D125="","",'03设备工时'!$D125)</f>
        <v/>
      </c>
      <c r="E125" s="39">
        <f>IF($D125="","",'03设备工时'!$E125)</f>
        <v/>
      </c>
      <c r="F125" s="23">
        <f>IF($D125="","",IF($V125&lt;&gt;"",$V125,IFERROR(INDEX('参数设置'!$E$30:$E$44,MATCH($D125,'参数设置'!$C$30:$C$44,0)),0)))</f>
        <v/>
      </c>
      <c r="G125" s="24">
        <f>IF($D125="","",'03设备工时'!$F125)</f>
        <v/>
      </c>
      <c r="H125" s="24">
        <f>IF($D125="","",'03设备工时'!$P125)</f>
        <v/>
      </c>
      <c r="I125" s="20">
        <f>IF(OR($D125="",$G125=0),"",$H125/$G125)</f>
        <v/>
      </c>
      <c r="J125" s="12">
        <f>IF($D125="","",ROUND($F125,2)-$S125)</f>
        <v/>
      </c>
      <c r="K125" s="12">
        <f>IF(OR($D125="",$G125=0),"",ROUND($F125*'03设备工时'!H125/$G125,2))</f>
        <v/>
      </c>
      <c r="L125" s="12">
        <f>IF(OR($D125="",$G125=0),"",ROUND($F125*'03设备工时'!I125/$G125,2))</f>
        <v/>
      </c>
      <c r="M125" s="12">
        <f>IF(OR($D125="",$G125=0),"",ROUND($F125*'03设备工时'!J125/$G125,2))</f>
        <v/>
      </c>
      <c r="N125" s="12">
        <f>IF(OR($D125="",$G125=0),"",ROUND($F125*'03设备工时'!K125/$G125,2))</f>
        <v/>
      </c>
      <c r="O125" s="12">
        <f>IF(OR($D125="",$G125=0),"",ROUND($F125*'03设备工时'!L125/$G125,2))</f>
        <v/>
      </c>
      <c r="P125" s="12">
        <f>IF(OR($D125="",$G125=0),"",ROUND($F125*'03设备工时'!M125/$G125,2))</f>
        <v/>
      </c>
      <c r="Q125" s="12">
        <f>IF(OR($D125="",$G125=0),"",ROUND($F125*'03设备工时'!N125/$G125,2))</f>
        <v/>
      </c>
      <c r="R125" s="12">
        <f>IF(OR($D125="",$G125=0),"",ROUND($F125*'03设备工时'!O125/$G125,2))</f>
        <v/>
      </c>
      <c r="S125" s="12">
        <f>IF($D125="","",SUM(K125:R125))</f>
        <v/>
      </c>
      <c r="T125" s="12">
        <f>IF($D125="","",$J125+$S125)</f>
        <v/>
      </c>
      <c r="U125" s="25">
        <f>IF($D125="","",IF($F125=0,"未维护折旧额",IF(ROUND($T125-$F125,2)=0,"√","差异")))</f>
        <v/>
      </c>
      <c r="V125" s="11" t="n"/>
      <c r="W125" s="39">
        <f>IF($D125="","",IFERROR(INDEX('参数设置'!$F$30:$F$44,MATCH($D125,'参数设置'!$C$30:$C$44,0)),""))</f>
        <v/>
      </c>
    </row>
    <row r="126" ht="18" customHeight="1">
      <c r="B126" s="21">
        <f>IF('03设备工时'!$D126="","",'03设备工时'!$B126)</f>
        <v/>
      </c>
      <c r="C126" s="22">
        <f>IF('03设备工时'!$D126="","",'03设备工时'!$C126)</f>
        <v/>
      </c>
      <c r="D126" s="22">
        <f>IF('03设备工时'!$D126="","",'03设备工时'!$D126)</f>
        <v/>
      </c>
      <c r="E126" s="39">
        <f>IF($D126="","",'03设备工时'!$E126)</f>
        <v/>
      </c>
      <c r="F126" s="23">
        <f>IF($D126="","",IF($V126&lt;&gt;"",$V126,IFERROR(INDEX('参数设置'!$E$30:$E$44,MATCH($D126,'参数设置'!$C$30:$C$44,0)),0)))</f>
        <v/>
      </c>
      <c r="G126" s="24">
        <f>IF($D126="","",'03设备工时'!$F126)</f>
        <v/>
      </c>
      <c r="H126" s="24">
        <f>IF($D126="","",'03设备工时'!$P126)</f>
        <v/>
      </c>
      <c r="I126" s="20">
        <f>IF(OR($D126="",$G126=0),"",$H126/$G126)</f>
        <v/>
      </c>
      <c r="J126" s="12">
        <f>IF($D126="","",ROUND($F126,2)-$S126)</f>
        <v/>
      </c>
      <c r="K126" s="12">
        <f>IF(OR($D126="",$G126=0),"",ROUND($F126*'03设备工时'!H126/$G126,2))</f>
        <v/>
      </c>
      <c r="L126" s="12">
        <f>IF(OR($D126="",$G126=0),"",ROUND($F126*'03设备工时'!I126/$G126,2))</f>
        <v/>
      </c>
      <c r="M126" s="12">
        <f>IF(OR($D126="",$G126=0),"",ROUND($F126*'03设备工时'!J126/$G126,2))</f>
        <v/>
      </c>
      <c r="N126" s="12">
        <f>IF(OR($D126="",$G126=0),"",ROUND($F126*'03设备工时'!K126/$G126,2))</f>
        <v/>
      </c>
      <c r="O126" s="12">
        <f>IF(OR($D126="",$G126=0),"",ROUND($F126*'03设备工时'!L126/$G126,2))</f>
        <v/>
      </c>
      <c r="P126" s="12">
        <f>IF(OR($D126="",$G126=0),"",ROUND($F126*'03设备工时'!M126/$G126,2))</f>
        <v/>
      </c>
      <c r="Q126" s="12">
        <f>IF(OR($D126="",$G126=0),"",ROUND($F126*'03设备工时'!N126/$G126,2))</f>
        <v/>
      </c>
      <c r="R126" s="12">
        <f>IF(OR($D126="",$G126=0),"",ROUND($F126*'03设备工时'!O126/$G126,2))</f>
        <v/>
      </c>
      <c r="S126" s="12">
        <f>IF($D126="","",SUM(K126:R126))</f>
        <v/>
      </c>
      <c r="T126" s="12">
        <f>IF($D126="","",$J126+$S126)</f>
        <v/>
      </c>
      <c r="U126" s="25">
        <f>IF($D126="","",IF($F126=0,"未维护折旧额",IF(ROUND($T126-$F126,2)=0,"√","差异")))</f>
        <v/>
      </c>
      <c r="V126" s="11" t="n"/>
      <c r="W126" s="39">
        <f>IF($D126="","",IFERROR(INDEX('参数设置'!$F$30:$F$44,MATCH($D126,'参数设置'!$C$30:$C$44,0)),""))</f>
        <v/>
      </c>
    </row>
    <row r="127" ht="18" customHeight="1">
      <c r="B127" s="21">
        <f>IF('03设备工时'!$D127="","",'03设备工时'!$B127)</f>
        <v/>
      </c>
      <c r="C127" s="22">
        <f>IF('03设备工时'!$D127="","",'03设备工时'!$C127)</f>
        <v/>
      </c>
      <c r="D127" s="22">
        <f>IF('03设备工时'!$D127="","",'03设备工时'!$D127)</f>
        <v/>
      </c>
      <c r="E127" s="39">
        <f>IF($D127="","",'03设备工时'!$E127)</f>
        <v/>
      </c>
      <c r="F127" s="23">
        <f>IF($D127="","",IF($V127&lt;&gt;"",$V127,IFERROR(INDEX('参数设置'!$E$30:$E$44,MATCH($D127,'参数设置'!$C$30:$C$44,0)),0)))</f>
        <v/>
      </c>
      <c r="G127" s="24">
        <f>IF($D127="","",'03设备工时'!$F127)</f>
        <v/>
      </c>
      <c r="H127" s="24">
        <f>IF($D127="","",'03设备工时'!$P127)</f>
        <v/>
      </c>
      <c r="I127" s="20">
        <f>IF(OR($D127="",$G127=0),"",$H127/$G127)</f>
        <v/>
      </c>
      <c r="J127" s="12">
        <f>IF($D127="","",ROUND($F127,2)-$S127)</f>
        <v/>
      </c>
      <c r="K127" s="12">
        <f>IF(OR($D127="",$G127=0),"",ROUND($F127*'03设备工时'!H127/$G127,2))</f>
        <v/>
      </c>
      <c r="L127" s="12">
        <f>IF(OR($D127="",$G127=0),"",ROUND($F127*'03设备工时'!I127/$G127,2))</f>
        <v/>
      </c>
      <c r="M127" s="12">
        <f>IF(OR($D127="",$G127=0),"",ROUND($F127*'03设备工时'!J127/$G127,2))</f>
        <v/>
      </c>
      <c r="N127" s="12">
        <f>IF(OR($D127="",$G127=0),"",ROUND($F127*'03设备工时'!K127/$G127,2))</f>
        <v/>
      </c>
      <c r="O127" s="12">
        <f>IF(OR($D127="",$G127=0),"",ROUND($F127*'03设备工时'!L127/$G127,2))</f>
        <v/>
      </c>
      <c r="P127" s="12">
        <f>IF(OR($D127="",$G127=0),"",ROUND($F127*'03设备工时'!M127/$G127,2))</f>
        <v/>
      </c>
      <c r="Q127" s="12">
        <f>IF(OR($D127="",$G127=0),"",ROUND($F127*'03设备工时'!N127/$G127,2))</f>
        <v/>
      </c>
      <c r="R127" s="12">
        <f>IF(OR($D127="",$G127=0),"",ROUND($F127*'03设备工时'!O127/$G127,2))</f>
        <v/>
      </c>
      <c r="S127" s="12">
        <f>IF($D127="","",SUM(K127:R127))</f>
        <v/>
      </c>
      <c r="T127" s="12">
        <f>IF($D127="","",$J127+$S127)</f>
        <v/>
      </c>
      <c r="U127" s="25">
        <f>IF($D127="","",IF($F127=0,"未维护折旧额",IF(ROUND($T127-$F127,2)=0,"√","差异")))</f>
        <v/>
      </c>
      <c r="V127" s="11" t="n"/>
      <c r="W127" s="39">
        <f>IF($D127="","",IFERROR(INDEX('参数设置'!$F$30:$F$44,MATCH($D127,'参数设置'!$C$30:$C$44,0)),""))</f>
        <v/>
      </c>
    </row>
    <row r="128" ht="18" customHeight="1">
      <c r="B128" s="21">
        <f>IF('03设备工时'!$D128="","",'03设备工时'!$B128)</f>
        <v/>
      </c>
      <c r="C128" s="22">
        <f>IF('03设备工时'!$D128="","",'03设备工时'!$C128)</f>
        <v/>
      </c>
      <c r="D128" s="22">
        <f>IF('03设备工时'!$D128="","",'03设备工时'!$D128)</f>
        <v/>
      </c>
      <c r="E128" s="39">
        <f>IF($D128="","",'03设备工时'!$E128)</f>
        <v/>
      </c>
      <c r="F128" s="23">
        <f>IF($D128="","",IF($V128&lt;&gt;"",$V128,IFERROR(INDEX('参数设置'!$E$30:$E$44,MATCH($D128,'参数设置'!$C$30:$C$44,0)),0)))</f>
        <v/>
      </c>
      <c r="G128" s="24">
        <f>IF($D128="","",'03设备工时'!$F128)</f>
        <v/>
      </c>
      <c r="H128" s="24">
        <f>IF($D128="","",'03设备工时'!$P128)</f>
        <v/>
      </c>
      <c r="I128" s="20">
        <f>IF(OR($D128="",$G128=0),"",$H128/$G128)</f>
        <v/>
      </c>
      <c r="J128" s="12">
        <f>IF($D128="","",ROUND($F128,2)-$S128)</f>
        <v/>
      </c>
      <c r="K128" s="12">
        <f>IF(OR($D128="",$G128=0),"",ROUND($F128*'03设备工时'!H128/$G128,2))</f>
        <v/>
      </c>
      <c r="L128" s="12">
        <f>IF(OR($D128="",$G128=0),"",ROUND($F128*'03设备工时'!I128/$G128,2))</f>
        <v/>
      </c>
      <c r="M128" s="12">
        <f>IF(OR($D128="",$G128=0),"",ROUND($F128*'03设备工时'!J128/$G128,2))</f>
        <v/>
      </c>
      <c r="N128" s="12">
        <f>IF(OR($D128="",$G128=0),"",ROUND($F128*'03设备工时'!K128/$G128,2))</f>
        <v/>
      </c>
      <c r="O128" s="12">
        <f>IF(OR($D128="",$G128=0),"",ROUND($F128*'03设备工时'!L128/$G128,2))</f>
        <v/>
      </c>
      <c r="P128" s="12">
        <f>IF(OR($D128="",$G128=0),"",ROUND($F128*'03设备工时'!M128/$G128,2))</f>
        <v/>
      </c>
      <c r="Q128" s="12">
        <f>IF(OR($D128="",$G128=0),"",ROUND($F128*'03设备工时'!N128/$G128,2))</f>
        <v/>
      </c>
      <c r="R128" s="12">
        <f>IF(OR($D128="",$G128=0),"",ROUND($F128*'03设备工时'!O128/$G128,2))</f>
        <v/>
      </c>
      <c r="S128" s="12">
        <f>IF($D128="","",SUM(K128:R128))</f>
        <v/>
      </c>
      <c r="T128" s="12">
        <f>IF($D128="","",$J128+$S128)</f>
        <v/>
      </c>
      <c r="U128" s="25">
        <f>IF($D128="","",IF($F128=0,"未维护折旧额",IF(ROUND($T128-$F128,2)=0,"√","差异")))</f>
        <v/>
      </c>
      <c r="V128" s="11" t="n"/>
      <c r="W128" s="39">
        <f>IF($D128="","",IFERROR(INDEX('参数设置'!$F$30:$F$44,MATCH($D128,'参数设置'!$C$30:$C$44,0)),""))</f>
        <v/>
      </c>
    </row>
    <row r="129" ht="18" customHeight="1">
      <c r="B129" s="21">
        <f>IF('03设备工时'!$D129="","",'03设备工时'!$B129)</f>
        <v/>
      </c>
      <c r="C129" s="22">
        <f>IF('03设备工时'!$D129="","",'03设备工时'!$C129)</f>
        <v/>
      </c>
      <c r="D129" s="22">
        <f>IF('03设备工时'!$D129="","",'03设备工时'!$D129)</f>
        <v/>
      </c>
      <c r="E129" s="39">
        <f>IF($D129="","",'03设备工时'!$E129)</f>
        <v/>
      </c>
      <c r="F129" s="23">
        <f>IF($D129="","",IF($V129&lt;&gt;"",$V129,IFERROR(INDEX('参数设置'!$E$30:$E$44,MATCH($D129,'参数设置'!$C$30:$C$44,0)),0)))</f>
        <v/>
      </c>
      <c r="G129" s="24">
        <f>IF($D129="","",'03设备工时'!$F129)</f>
        <v/>
      </c>
      <c r="H129" s="24">
        <f>IF($D129="","",'03设备工时'!$P129)</f>
        <v/>
      </c>
      <c r="I129" s="20">
        <f>IF(OR($D129="",$G129=0),"",$H129/$G129)</f>
        <v/>
      </c>
      <c r="J129" s="12">
        <f>IF($D129="","",ROUND($F129,2)-$S129)</f>
        <v/>
      </c>
      <c r="K129" s="12">
        <f>IF(OR($D129="",$G129=0),"",ROUND($F129*'03设备工时'!H129/$G129,2))</f>
        <v/>
      </c>
      <c r="L129" s="12">
        <f>IF(OR($D129="",$G129=0),"",ROUND($F129*'03设备工时'!I129/$G129,2))</f>
        <v/>
      </c>
      <c r="M129" s="12">
        <f>IF(OR($D129="",$G129=0),"",ROUND($F129*'03设备工时'!J129/$G129,2))</f>
        <v/>
      </c>
      <c r="N129" s="12">
        <f>IF(OR($D129="",$G129=0),"",ROUND($F129*'03设备工时'!K129/$G129,2))</f>
        <v/>
      </c>
      <c r="O129" s="12">
        <f>IF(OR($D129="",$G129=0),"",ROUND($F129*'03设备工时'!L129/$G129,2))</f>
        <v/>
      </c>
      <c r="P129" s="12">
        <f>IF(OR($D129="",$G129=0),"",ROUND($F129*'03设备工时'!M129/$G129,2))</f>
        <v/>
      </c>
      <c r="Q129" s="12">
        <f>IF(OR($D129="",$G129=0),"",ROUND($F129*'03设备工时'!N129/$G129,2))</f>
        <v/>
      </c>
      <c r="R129" s="12">
        <f>IF(OR($D129="",$G129=0),"",ROUND($F129*'03设备工时'!O129/$G129,2))</f>
        <v/>
      </c>
      <c r="S129" s="12">
        <f>IF($D129="","",SUM(K129:R129))</f>
        <v/>
      </c>
      <c r="T129" s="12">
        <f>IF($D129="","",$J129+$S129)</f>
        <v/>
      </c>
      <c r="U129" s="25">
        <f>IF($D129="","",IF($F129=0,"未维护折旧额",IF(ROUND($T129-$F129,2)=0,"√","差异")))</f>
        <v/>
      </c>
      <c r="V129" s="11" t="n"/>
      <c r="W129" s="39">
        <f>IF($D129="","",IFERROR(INDEX('参数设置'!$F$30:$F$44,MATCH($D129,'参数设置'!$C$30:$C$44,0)),""))</f>
        <v/>
      </c>
    </row>
    <row r="130" ht="18" customHeight="1">
      <c r="B130" s="21">
        <f>IF('03设备工时'!$D130="","",'03设备工时'!$B130)</f>
        <v/>
      </c>
      <c r="C130" s="22">
        <f>IF('03设备工时'!$D130="","",'03设备工时'!$C130)</f>
        <v/>
      </c>
      <c r="D130" s="22">
        <f>IF('03设备工时'!$D130="","",'03设备工时'!$D130)</f>
        <v/>
      </c>
      <c r="E130" s="39">
        <f>IF($D130="","",'03设备工时'!$E130)</f>
        <v/>
      </c>
      <c r="F130" s="23">
        <f>IF($D130="","",IF($V130&lt;&gt;"",$V130,IFERROR(INDEX('参数设置'!$E$30:$E$44,MATCH($D130,'参数设置'!$C$30:$C$44,0)),0)))</f>
        <v/>
      </c>
      <c r="G130" s="24">
        <f>IF($D130="","",'03设备工时'!$F130)</f>
        <v/>
      </c>
      <c r="H130" s="24">
        <f>IF($D130="","",'03设备工时'!$P130)</f>
        <v/>
      </c>
      <c r="I130" s="20">
        <f>IF(OR($D130="",$G130=0),"",$H130/$G130)</f>
        <v/>
      </c>
      <c r="J130" s="12">
        <f>IF($D130="","",ROUND($F130,2)-$S130)</f>
        <v/>
      </c>
      <c r="K130" s="12">
        <f>IF(OR($D130="",$G130=0),"",ROUND($F130*'03设备工时'!H130/$G130,2))</f>
        <v/>
      </c>
      <c r="L130" s="12">
        <f>IF(OR($D130="",$G130=0),"",ROUND($F130*'03设备工时'!I130/$G130,2))</f>
        <v/>
      </c>
      <c r="M130" s="12">
        <f>IF(OR($D130="",$G130=0),"",ROUND($F130*'03设备工时'!J130/$G130,2))</f>
        <v/>
      </c>
      <c r="N130" s="12">
        <f>IF(OR($D130="",$G130=0),"",ROUND($F130*'03设备工时'!K130/$G130,2))</f>
        <v/>
      </c>
      <c r="O130" s="12">
        <f>IF(OR($D130="",$G130=0),"",ROUND($F130*'03设备工时'!L130/$G130,2))</f>
        <v/>
      </c>
      <c r="P130" s="12">
        <f>IF(OR($D130="",$G130=0),"",ROUND($F130*'03设备工时'!M130/$G130,2))</f>
        <v/>
      </c>
      <c r="Q130" s="12">
        <f>IF(OR($D130="",$G130=0),"",ROUND($F130*'03设备工时'!N130/$G130,2))</f>
        <v/>
      </c>
      <c r="R130" s="12">
        <f>IF(OR($D130="",$G130=0),"",ROUND($F130*'03设备工时'!O130/$G130,2))</f>
        <v/>
      </c>
      <c r="S130" s="12">
        <f>IF($D130="","",SUM(K130:R130))</f>
        <v/>
      </c>
      <c r="T130" s="12">
        <f>IF($D130="","",$J130+$S130)</f>
        <v/>
      </c>
      <c r="U130" s="25">
        <f>IF($D130="","",IF($F130=0,"未维护折旧额",IF(ROUND($T130-$F130,2)=0,"√","差异")))</f>
        <v/>
      </c>
      <c r="V130" s="11" t="n"/>
      <c r="W130" s="39">
        <f>IF($D130="","",IFERROR(INDEX('参数设置'!$F$30:$F$44,MATCH($D130,'参数设置'!$C$30:$C$44,0)),""))</f>
        <v/>
      </c>
    </row>
    <row r="131" ht="18" customHeight="1">
      <c r="B131" s="21">
        <f>IF('03设备工时'!$D131="","",'03设备工时'!$B131)</f>
        <v/>
      </c>
      <c r="C131" s="22">
        <f>IF('03设备工时'!$D131="","",'03设备工时'!$C131)</f>
        <v/>
      </c>
      <c r="D131" s="22">
        <f>IF('03设备工时'!$D131="","",'03设备工时'!$D131)</f>
        <v/>
      </c>
      <c r="E131" s="39">
        <f>IF($D131="","",'03设备工时'!$E131)</f>
        <v/>
      </c>
      <c r="F131" s="23">
        <f>IF($D131="","",IF($V131&lt;&gt;"",$V131,IFERROR(INDEX('参数设置'!$E$30:$E$44,MATCH($D131,'参数设置'!$C$30:$C$44,0)),0)))</f>
        <v/>
      </c>
      <c r="G131" s="24">
        <f>IF($D131="","",'03设备工时'!$F131)</f>
        <v/>
      </c>
      <c r="H131" s="24">
        <f>IF($D131="","",'03设备工时'!$P131)</f>
        <v/>
      </c>
      <c r="I131" s="20">
        <f>IF(OR($D131="",$G131=0),"",$H131/$G131)</f>
        <v/>
      </c>
      <c r="J131" s="12">
        <f>IF($D131="","",ROUND($F131,2)-$S131)</f>
        <v/>
      </c>
      <c r="K131" s="12">
        <f>IF(OR($D131="",$G131=0),"",ROUND($F131*'03设备工时'!H131/$G131,2))</f>
        <v/>
      </c>
      <c r="L131" s="12">
        <f>IF(OR($D131="",$G131=0),"",ROUND($F131*'03设备工时'!I131/$G131,2))</f>
        <v/>
      </c>
      <c r="M131" s="12">
        <f>IF(OR($D131="",$G131=0),"",ROUND($F131*'03设备工时'!J131/$G131,2))</f>
        <v/>
      </c>
      <c r="N131" s="12">
        <f>IF(OR($D131="",$G131=0),"",ROUND($F131*'03设备工时'!K131/$G131,2))</f>
        <v/>
      </c>
      <c r="O131" s="12">
        <f>IF(OR($D131="",$G131=0),"",ROUND($F131*'03设备工时'!L131/$G131,2))</f>
        <v/>
      </c>
      <c r="P131" s="12">
        <f>IF(OR($D131="",$G131=0),"",ROUND($F131*'03设备工时'!M131/$G131,2))</f>
        <v/>
      </c>
      <c r="Q131" s="12">
        <f>IF(OR($D131="",$G131=0),"",ROUND($F131*'03设备工时'!N131/$G131,2))</f>
        <v/>
      </c>
      <c r="R131" s="12">
        <f>IF(OR($D131="",$G131=0),"",ROUND($F131*'03设备工时'!O131/$G131,2))</f>
        <v/>
      </c>
      <c r="S131" s="12">
        <f>IF($D131="","",SUM(K131:R131))</f>
        <v/>
      </c>
      <c r="T131" s="12">
        <f>IF($D131="","",$J131+$S131)</f>
        <v/>
      </c>
      <c r="U131" s="25">
        <f>IF($D131="","",IF($F131=0,"未维护折旧额",IF(ROUND($T131-$F131,2)=0,"√","差异")))</f>
        <v/>
      </c>
      <c r="V131" s="11" t="n"/>
      <c r="W131" s="39">
        <f>IF($D131="","",IFERROR(INDEX('参数设置'!$F$30:$F$44,MATCH($D131,'参数设置'!$C$30:$C$44,0)),""))</f>
        <v/>
      </c>
    </row>
    <row r="132" ht="18" customHeight="1">
      <c r="B132" s="21">
        <f>IF('03设备工时'!$D132="","",'03设备工时'!$B132)</f>
        <v/>
      </c>
      <c r="C132" s="22">
        <f>IF('03设备工时'!$D132="","",'03设备工时'!$C132)</f>
        <v/>
      </c>
      <c r="D132" s="22">
        <f>IF('03设备工时'!$D132="","",'03设备工时'!$D132)</f>
        <v/>
      </c>
      <c r="E132" s="39">
        <f>IF($D132="","",'03设备工时'!$E132)</f>
        <v/>
      </c>
      <c r="F132" s="23">
        <f>IF($D132="","",IF($V132&lt;&gt;"",$V132,IFERROR(INDEX('参数设置'!$E$30:$E$44,MATCH($D132,'参数设置'!$C$30:$C$44,0)),0)))</f>
        <v/>
      </c>
      <c r="G132" s="24">
        <f>IF($D132="","",'03设备工时'!$F132)</f>
        <v/>
      </c>
      <c r="H132" s="24">
        <f>IF($D132="","",'03设备工时'!$P132)</f>
        <v/>
      </c>
      <c r="I132" s="20">
        <f>IF(OR($D132="",$G132=0),"",$H132/$G132)</f>
        <v/>
      </c>
      <c r="J132" s="12">
        <f>IF($D132="","",ROUND($F132,2)-$S132)</f>
        <v/>
      </c>
      <c r="K132" s="12">
        <f>IF(OR($D132="",$G132=0),"",ROUND($F132*'03设备工时'!H132/$G132,2))</f>
        <v/>
      </c>
      <c r="L132" s="12">
        <f>IF(OR($D132="",$G132=0),"",ROUND($F132*'03设备工时'!I132/$G132,2))</f>
        <v/>
      </c>
      <c r="M132" s="12">
        <f>IF(OR($D132="",$G132=0),"",ROUND($F132*'03设备工时'!J132/$G132,2))</f>
        <v/>
      </c>
      <c r="N132" s="12">
        <f>IF(OR($D132="",$G132=0),"",ROUND($F132*'03设备工时'!K132/$G132,2))</f>
        <v/>
      </c>
      <c r="O132" s="12">
        <f>IF(OR($D132="",$G132=0),"",ROUND($F132*'03设备工时'!L132/$G132,2))</f>
        <v/>
      </c>
      <c r="P132" s="12">
        <f>IF(OR($D132="",$G132=0),"",ROUND($F132*'03设备工时'!M132/$G132,2))</f>
        <v/>
      </c>
      <c r="Q132" s="12">
        <f>IF(OR($D132="",$G132=0),"",ROUND($F132*'03设备工时'!N132/$G132,2))</f>
        <v/>
      </c>
      <c r="R132" s="12">
        <f>IF(OR($D132="",$G132=0),"",ROUND($F132*'03设备工时'!O132/$G132,2))</f>
        <v/>
      </c>
      <c r="S132" s="12">
        <f>IF($D132="","",SUM(K132:R132))</f>
        <v/>
      </c>
      <c r="T132" s="12">
        <f>IF($D132="","",$J132+$S132)</f>
        <v/>
      </c>
      <c r="U132" s="25">
        <f>IF($D132="","",IF($F132=0,"未维护折旧额",IF(ROUND($T132-$F132,2)=0,"√","差异")))</f>
        <v/>
      </c>
      <c r="V132" s="11" t="n"/>
      <c r="W132" s="39">
        <f>IF($D132="","",IFERROR(INDEX('参数设置'!$F$30:$F$44,MATCH($D132,'参数设置'!$C$30:$C$44,0)),""))</f>
        <v/>
      </c>
    </row>
    <row r="133" ht="18" customHeight="1">
      <c r="B133" s="21">
        <f>IF('03设备工时'!$D133="","",'03设备工时'!$B133)</f>
        <v/>
      </c>
      <c r="C133" s="22">
        <f>IF('03设备工时'!$D133="","",'03设备工时'!$C133)</f>
        <v/>
      </c>
      <c r="D133" s="22">
        <f>IF('03设备工时'!$D133="","",'03设备工时'!$D133)</f>
        <v/>
      </c>
      <c r="E133" s="39">
        <f>IF($D133="","",'03设备工时'!$E133)</f>
        <v/>
      </c>
      <c r="F133" s="23">
        <f>IF($D133="","",IF($V133&lt;&gt;"",$V133,IFERROR(INDEX('参数设置'!$E$30:$E$44,MATCH($D133,'参数设置'!$C$30:$C$44,0)),0)))</f>
        <v/>
      </c>
      <c r="G133" s="24">
        <f>IF($D133="","",'03设备工时'!$F133)</f>
        <v/>
      </c>
      <c r="H133" s="24">
        <f>IF($D133="","",'03设备工时'!$P133)</f>
        <v/>
      </c>
      <c r="I133" s="20">
        <f>IF(OR($D133="",$G133=0),"",$H133/$G133)</f>
        <v/>
      </c>
      <c r="J133" s="12">
        <f>IF($D133="","",ROUND($F133,2)-$S133)</f>
        <v/>
      </c>
      <c r="K133" s="12">
        <f>IF(OR($D133="",$G133=0),"",ROUND($F133*'03设备工时'!H133/$G133,2))</f>
        <v/>
      </c>
      <c r="L133" s="12">
        <f>IF(OR($D133="",$G133=0),"",ROUND($F133*'03设备工时'!I133/$G133,2))</f>
        <v/>
      </c>
      <c r="M133" s="12">
        <f>IF(OR($D133="",$G133=0),"",ROUND($F133*'03设备工时'!J133/$G133,2))</f>
        <v/>
      </c>
      <c r="N133" s="12">
        <f>IF(OR($D133="",$G133=0),"",ROUND($F133*'03设备工时'!K133/$G133,2))</f>
        <v/>
      </c>
      <c r="O133" s="12">
        <f>IF(OR($D133="",$G133=0),"",ROUND($F133*'03设备工时'!L133/$G133,2))</f>
        <v/>
      </c>
      <c r="P133" s="12">
        <f>IF(OR($D133="",$G133=0),"",ROUND($F133*'03设备工时'!M133/$G133,2))</f>
        <v/>
      </c>
      <c r="Q133" s="12">
        <f>IF(OR($D133="",$G133=0),"",ROUND($F133*'03设备工时'!N133/$G133,2))</f>
        <v/>
      </c>
      <c r="R133" s="12">
        <f>IF(OR($D133="",$G133=0),"",ROUND($F133*'03设备工时'!O133/$G133,2))</f>
        <v/>
      </c>
      <c r="S133" s="12">
        <f>IF($D133="","",SUM(K133:R133))</f>
        <v/>
      </c>
      <c r="T133" s="12">
        <f>IF($D133="","",$J133+$S133)</f>
        <v/>
      </c>
      <c r="U133" s="25">
        <f>IF($D133="","",IF($F133=0,"未维护折旧额",IF(ROUND($T133-$F133,2)=0,"√","差异")))</f>
        <v/>
      </c>
      <c r="V133" s="11" t="n"/>
      <c r="W133" s="39">
        <f>IF($D133="","",IFERROR(INDEX('参数设置'!$F$30:$F$44,MATCH($D133,'参数设置'!$C$30:$C$44,0)),""))</f>
        <v/>
      </c>
    </row>
    <row r="134" ht="18" customHeight="1">
      <c r="B134" s="21">
        <f>IF('03设备工时'!$D134="","",'03设备工时'!$B134)</f>
        <v/>
      </c>
      <c r="C134" s="22">
        <f>IF('03设备工时'!$D134="","",'03设备工时'!$C134)</f>
        <v/>
      </c>
      <c r="D134" s="22">
        <f>IF('03设备工时'!$D134="","",'03设备工时'!$D134)</f>
        <v/>
      </c>
      <c r="E134" s="39">
        <f>IF($D134="","",'03设备工时'!$E134)</f>
        <v/>
      </c>
      <c r="F134" s="23">
        <f>IF($D134="","",IF($V134&lt;&gt;"",$V134,IFERROR(INDEX('参数设置'!$E$30:$E$44,MATCH($D134,'参数设置'!$C$30:$C$44,0)),0)))</f>
        <v/>
      </c>
      <c r="G134" s="24">
        <f>IF($D134="","",'03设备工时'!$F134)</f>
        <v/>
      </c>
      <c r="H134" s="24">
        <f>IF($D134="","",'03设备工时'!$P134)</f>
        <v/>
      </c>
      <c r="I134" s="20">
        <f>IF(OR($D134="",$G134=0),"",$H134/$G134)</f>
        <v/>
      </c>
      <c r="J134" s="12">
        <f>IF($D134="","",ROUND($F134,2)-$S134)</f>
        <v/>
      </c>
      <c r="K134" s="12">
        <f>IF(OR($D134="",$G134=0),"",ROUND($F134*'03设备工时'!H134/$G134,2))</f>
        <v/>
      </c>
      <c r="L134" s="12">
        <f>IF(OR($D134="",$G134=0),"",ROUND($F134*'03设备工时'!I134/$G134,2))</f>
        <v/>
      </c>
      <c r="M134" s="12">
        <f>IF(OR($D134="",$G134=0),"",ROUND($F134*'03设备工时'!J134/$G134,2))</f>
        <v/>
      </c>
      <c r="N134" s="12">
        <f>IF(OR($D134="",$G134=0),"",ROUND($F134*'03设备工时'!K134/$G134,2))</f>
        <v/>
      </c>
      <c r="O134" s="12">
        <f>IF(OR($D134="",$G134=0),"",ROUND($F134*'03设备工时'!L134/$G134,2))</f>
        <v/>
      </c>
      <c r="P134" s="12">
        <f>IF(OR($D134="",$G134=0),"",ROUND($F134*'03设备工时'!M134/$G134,2))</f>
        <v/>
      </c>
      <c r="Q134" s="12">
        <f>IF(OR($D134="",$G134=0),"",ROUND($F134*'03设备工时'!N134/$G134,2))</f>
        <v/>
      </c>
      <c r="R134" s="12">
        <f>IF(OR($D134="",$G134=0),"",ROUND($F134*'03设备工时'!O134/$G134,2))</f>
        <v/>
      </c>
      <c r="S134" s="12">
        <f>IF($D134="","",SUM(K134:R134))</f>
        <v/>
      </c>
      <c r="T134" s="12">
        <f>IF($D134="","",$J134+$S134)</f>
        <v/>
      </c>
      <c r="U134" s="25">
        <f>IF($D134="","",IF($F134=0,"未维护折旧额",IF(ROUND($T134-$F134,2)=0,"√","差异")))</f>
        <v/>
      </c>
      <c r="V134" s="11" t="n"/>
      <c r="W134" s="39">
        <f>IF($D134="","",IFERROR(INDEX('参数设置'!$F$30:$F$44,MATCH($D134,'参数设置'!$C$30:$C$44,0)),""))</f>
        <v/>
      </c>
    </row>
    <row r="135" ht="18" customHeight="1">
      <c r="B135" s="21">
        <f>IF('03设备工时'!$D135="","",'03设备工时'!$B135)</f>
        <v/>
      </c>
      <c r="C135" s="22">
        <f>IF('03设备工时'!$D135="","",'03设备工时'!$C135)</f>
        <v/>
      </c>
      <c r="D135" s="22">
        <f>IF('03设备工时'!$D135="","",'03设备工时'!$D135)</f>
        <v/>
      </c>
      <c r="E135" s="39">
        <f>IF($D135="","",'03设备工时'!$E135)</f>
        <v/>
      </c>
      <c r="F135" s="23">
        <f>IF($D135="","",IF($V135&lt;&gt;"",$V135,IFERROR(INDEX('参数设置'!$E$30:$E$44,MATCH($D135,'参数设置'!$C$30:$C$44,0)),0)))</f>
        <v/>
      </c>
      <c r="G135" s="24">
        <f>IF($D135="","",'03设备工时'!$F135)</f>
        <v/>
      </c>
      <c r="H135" s="24">
        <f>IF($D135="","",'03设备工时'!$P135)</f>
        <v/>
      </c>
      <c r="I135" s="20">
        <f>IF(OR($D135="",$G135=0),"",$H135/$G135)</f>
        <v/>
      </c>
      <c r="J135" s="12">
        <f>IF($D135="","",ROUND($F135,2)-$S135)</f>
        <v/>
      </c>
      <c r="K135" s="12">
        <f>IF(OR($D135="",$G135=0),"",ROUND($F135*'03设备工时'!H135/$G135,2))</f>
        <v/>
      </c>
      <c r="L135" s="12">
        <f>IF(OR($D135="",$G135=0),"",ROUND($F135*'03设备工时'!I135/$G135,2))</f>
        <v/>
      </c>
      <c r="M135" s="12">
        <f>IF(OR($D135="",$G135=0),"",ROUND($F135*'03设备工时'!J135/$G135,2))</f>
        <v/>
      </c>
      <c r="N135" s="12">
        <f>IF(OR($D135="",$G135=0),"",ROUND($F135*'03设备工时'!K135/$G135,2))</f>
        <v/>
      </c>
      <c r="O135" s="12">
        <f>IF(OR($D135="",$G135=0),"",ROUND($F135*'03设备工时'!L135/$G135,2))</f>
        <v/>
      </c>
      <c r="P135" s="12">
        <f>IF(OR($D135="",$G135=0),"",ROUND($F135*'03设备工时'!M135/$G135,2))</f>
        <v/>
      </c>
      <c r="Q135" s="12">
        <f>IF(OR($D135="",$G135=0),"",ROUND($F135*'03设备工时'!N135/$G135,2))</f>
        <v/>
      </c>
      <c r="R135" s="12">
        <f>IF(OR($D135="",$G135=0),"",ROUND($F135*'03设备工时'!O135/$G135,2))</f>
        <v/>
      </c>
      <c r="S135" s="12">
        <f>IF($D135="","",SUM(K135:R135))</f>
        <v/>
      </c>
      <c r="T135" s="12">
        <f>IF($D135="","",$J135+$S135)</f>
        <v/>
      </c>
      <c r="U135" s="25">
        <f>IF($D135="","",IF($F135=0,"未维护折旧额",IF(ROUND($T135-$F135,2)=0,"√","差异")))</f>
        <v/>
      </c>
      <c r="V135" s="11" t="n"/>
      <c r="W135" s="39">
        <f>IF($D135="","",IFERROR(INDEX('参数设置'!$F$30:$F$44,MATCH($D135,'参数设置'!$C$30:$C$44,0)),""))</f>
        <v/>
      </c>
    </row>
    <row r="136" ht="18" customHeight="1">
      <c r="B136" s="21">
        <f>IF('03设备工时'!$D136="","",'03设备工时'!$B136)</f>
        <v/>
      </c>
      <c r="C136" s="22">
        <f>IF('03设备工时'!$D136="","",'03设备工时'!$C136)</f>
        <v/>
      </c>
      <c r="D136" s="22">
        <f>IF('03设备工时'!$D136="","",'03设备工时'!$D136)</f>
        <v/>
      </c>
      <c r="E136" s="39">
        <f>IF($D136="","",'03设备工时'!$E136)</f>
        <v/>
      </c>
      <c r="F136" s="23">
        <f>IF($D136="","",IF($V136&lt;&gt;"",$V136,IFERROR(INDEX('参数设置'!$E$30:$E$44,MATCH($D136,'参数设置'!$C$30:$C$44,0)),0)))</f>
        <v/>
      </c>
      <c r="G136" s="24">
        <f>IF($D136="","",'03设备工时'!$F136)</f>
        <v/>
      </c>
      <c r="H136" s="24">
        <f>IF($D136="","",'03设备工时'!$P136)</f>
        <v/>
      </c>
      <c r="I136" s="20">
        <f>IF(OR($D136="",$G136=0),"",$H136/$G136)</f>
        <v/>
      </c>
      <c r="J136" s="12">
        <f>IF($D136="","",ROUND($F136,2)-$S136)</f>
        <v/>
      </c>
      <c r="K136" s="12">
        <f>IF(OR($D136="",$G136=0),"",ROUND($F136*'03设备工时'!H136/$G136,2))</f>
        <v/>
      </c>
      <c r="L136" s="12">
        <f>IF(OR($D136="",$G136=0),"",ROUND($F136*'03设备工时'!I136/$G136,2))</f>
        <v/>
      </c>
      <c r="M136" s="12">
        <f>IF(OR($D136="",$G136=0),"",ROUND($F136*'03设备工时'!J136/$G136,2))</f>
        <v/>
      </c>
      <c r="N136" s="12">
        <f>IF(OR($D136="",$G136=0),"",ROUND($F136*'03设备工时'!K136/$G136,2))</f>
        <v/>
      </c>
      <c r="O136" s="12">
        <f>IF(OR($D136="",$G136=0),"",ROUND($F136*'03设备工时'!L136/$G136,2))</f>
        <v/>
      </c>
      <c r="P136" s="12">
        <f>IF(OR($D136="",$G136=0),"",ROUND($F136*'03设备工时'!M136/$G136,2))</f>
        <v/>
      </c>
      <c r="Q136" s="12">
        <f>IF(OR($D136="",$G136=0),"",ROUND($F136*'03设备工时'!N136/$G136,2))</f>
        <v/>
      </c>
      <c r="R136" s="12">
        <f>IF(OR($D136="",$G136=0),"",ROUND($F136*'03设备工时'!O136/$G136,2))</f>
        <v/>
      </c>
      <c r="S136" s="12">
        <f>IF($D136="","",SUM(K136:R136))</f>
        <v/>
      </c>
      <c r="T136" s="12">
        <f>IF($D136="","",$J136+$S136)</f>
        <v/>
      </c>
      <c r="U136" s="25">
        <f>IF($D136="","",IF($F136=0,"未维护折旧额",IF(ROUND($T136-$F136,2)=0,"√","差异")))</f>
        <v/>
      </c>
      <c r="V136" s="11" t="n"/>
      <c r="W136" s="39">
        <f>IF($D136="","",IFERROR(INDEX('参数设置'!$F$30:$F$44,MATCH($D136,'参数设置'!$C$30:$C$44,0)),""))</f>
        <v/>
      </c>
    </row>
    <row r="137" ht="18" customHeight="1">
      <c r="B137" s="21">
        <f>IF('03设备工时'!$D137="","",'03设备工时'!$B137)</f>
        <v/>
      </c>
      <c r="C137" s="22">
        <f>IF('03设备工时'!$D137="","",'03设备工时'!$C137)</f>
        <v/>
      </c>
      <c r="D137" s="22">
        <f>IF('03设备工时'!$D137="","",'03设备工时'!$D137)</f>
        <v/>
      </c>
      <c r="E137" s="39">
        <f>IF($D137="","",'03设备工时'!$E137)</f>
        <v/>
      </c>
      <c r="F137" s="23">
        <f>IF($D137="","",IF($V137&lt;&gt;"",$V137,IFERROR(INDEX('参数设置'!$E$30:$E$44,MATCH($D137,'参数设置'!$C$30:$C$44,0)),0)))</f>
        <v/>
      </c>
      <c r="G137" s="24">
        <f>IF($D137="","",'03设备工时'!$F137)</f>
        <v/>
      </c>
      <c r="H137" s="24">
        <f>IF($D137="","",'03设备工时'!$P137)</f>
        <v/>
      </c>
      <c r="I137" s="20">
        <f>IF(OR($D137="",$G137=0),"",$H137/$G137)</f>
        <v/>
      </c>
      <c r="J137" s="12">
        <f>IF($D137="","",ROUND($F137,2)-$S137)</f>
        <v/>
      </c>
      <c r="K137" s="12">
        <f>IF(OR($D137="",$G137=0),"",ROUND($F137*'03设备工时'!H137/$G137,2))</f>
        <v/>
      </c>
      <c r="L137" s="12">
        <f>IF(OR($D137="",$G137=0),"",ROUND($F137*'03设备工时'!I137/$G137,2))</f>
        <v/>
      </c>
      <c r="M137" s="12">
        <f>IF(OR($D137="",$G137=0),"",ROUND($F137*'03设备工时'!J137/$G137,2))</f>
        <v/>
      </c>
      <c r="N137" s="12">
        <f>IF(OR($D137="",$G137=0),"",ROUND($F137*'03设备工时'!K137/$G137,2))</f>
        <v/>
      </c>
      <c r="O137" s="12">
        <f>IF(OR($D137="",$G137=0),"",ROUND($F137*'03设备工时'!L137/$G137,2))</f>
        <v/>
      </c>
      <c r="P137" s="12">
        <f>IF(OR($D137="",$G137=0),"",ROUND($F137*'03设备工时'!M137/$G137,2))</f>
        <v/>
      </c>
      <c r="Q137" s="12">
        <f>IF(OR($D137="",$G137=0),"",ROUND($F137*'03设备工时'!N137/$G137,2))</f>
        <v/>
      </c>
      <c r="R137" s="12">
        <f>IF(OR($D137="",$G137=0),"",ROUND($F137*'03设备工时'!O137/$G137,2))</f>
        <v/>
      </c>
      <c r="S137" s="12">
        <f>IF($D137="","",SUM(K137:R137))</f>
        <v/>
      </c>
      <c r="T137" s="12">
        <f>IF($D137="","",$J137+$S137)</f>
        <v/>
      </c>
      <c r="U137" s="25">
        <f>IF($D137="","",IF($F137=0,"未维护折旧额",IF(ROUND($T137-$F137,2)=0,"√","差异")))</f>
        <v/>
      </c>
      <c r="V137" s="11" t="n"/>
      <c r="W137" s="39">
        <f>IF($D137="","",IFERROR(INDEX('参数设置'!$F$30:$F$44,MATCH($D137,'参数设置'!$C$30:$C$44,0)),""))</f>
        <v/>
      </c>
    </row>
    <row r="138" ht="18" customHeight="1">
      <c r="B138" s="21">
        <f>IF('03设备工时'!$D138="","",'03设备工时'!$B138)</f>
        <v/>
      </c>
      <c r="C138" s="22">
        <f>IF('03设备工时'!$D138="","",'03设备工时'!$C138)</f>
        <v/>
      </c>
      <c r="D138" s="22">
        <f>IF('03设备工时'!$D138="","",'03设备工时'!$D138)</f>
        <v/>
      </c>
      <c r="E138" s="39">
        <f>IF($D138="","",'03设备工时'!$E138)</f>
        <v/>
      </c>
      <c r="F138" s="23">
        <f>IF($D138="","",IF($V138&lt;&gt;"",$V138,IFERROR(INDEX('参数设置'!$E$30:$E$44,MATCH($D138,'参数设置'!$C$30:$C$44,0)),0)))</f>
        <v/>
      </c>
      <c r="G138" s="24">
        <f>IF($D138="","",'03设备工时'!$F138)</f>
        <v/>
      </c>
      <c r="H138" s="24">
        <f>IF($D138="","",'03设备工时'!$P138)</f>
        <v/>
      </c>
      <c r="I138" s="20">
        <f>IF(OR($D138="",$G138=0),"",$H138/$G138)</f>
        <v/>
      </c>
      <c r="J138" s="12">
        <f>IF($D138="","",ROUND($F138,2)-$S138)</f>
        <v/>
      </c>
      <c r="K138" s="12">
        <f>IF(OR($D138="",$G138=0),"",ROUND($F138*'03设备工时'!H138/$G138,2))</f>
        <v/>
      </c>
      <c r="L138" s="12">
        <f>IF(OR($D138="",$G138=0),"",ROUND($F138*'03设备工时'!I138/$G138,2))</f>
        <v/>
      </c>
      <c r="M138" s="12">
        <f>IF(OR($D138="",$G138=0),"",ROUND($F138*'03设备工时'!J138/$G138,2))</f>
        <v/>
      </c>
      <c r="N138" s="12">
        <f>IF(OR($D138="",$G138=0),"",ROUND($F138*'03设备工时'!K138/$G138,2))</f>
        <v/>
      </c>
      <c r="O138" s="12">
        <f>IF(OR($D138="",$G138=0),"",ROUND($F138*'03设备工时'!L138/$G138,2))</f>
        <v/>
      </c>
      <c r="P138" s="12">
        <f>IF(OR($D138="",$G138=0),"",ROUND($F138*'03设备工时'!M138/$G138,2))</f>
        <v/>
      </c>
      <c r="Q138" s="12">
        <f>IF(OR($D138="",$G138=0),"",ROUND($F138*'03设备工时'!N138/$G138,2))</f>
        <v/>
      </c>
      <c r="R138" s="12">
        <f>IF(OR($D138="",$G138=0),"",ROUND($F138*'03设备工时'!O138/$G138,2))</f>
        <v/>
      </c>
      <c r="S138" s="12">
        <f>IF($D138="","",SUM(K138:R138))</f>
        <v/>
      </c>
      <c r="T138" s="12">
        <f>IF($D138="","",$J138+$S138)</f>
        <v/>
      </c>
      <c r="U138" s="25">
        <f>IF($D138="","",IF($F138=0,"未维护折旧额",IF(ROUND($T138-$F138,2)=0,"√","差异")))</f>
        <v/>
      </c>
      <c r="V138" s="11" t="n"/>
      <c r="W138" s="39">
        <f>IF($D138="","",IFERROR(INDEX('参数设置'!$F$30:$F$44,MATCH($D138,'参数设置'!$C$30:$C$44,0)),""))</f>
        <v/>
      </c>
    </row>
    <row r="139" ht="18" customHeight="1">
      <c r="B139" s="21">
        <f>IF('03设备工时'!$D139="","",'03设备工时'!$B139)</f>
        <v/>
      </c>
      <c r="C139" s="22">
        <f>IF('03设备工时'!$D139="","",'03设备工时'!$C139)</f>
        <v/>
      </c>
      <c r="D139" s="22">
        <f>IF('03设备工时'!$D139="","",'03设备工时'!$D139)</f>
        <v/>
      </c>
      <c r="E139" s="39">
        <f>IF($D139="","",'03设备工时'!$E139)</f>
        <v/>
      </c>
      <c r="F139" s="23">
        <f>IF($D139="","",IF($V139&lt;&gt;"",$V139,IFERROR(INDEX('参数设置'!$E$30:$E$44,MATCH($D139,'参数设置'!$C$30:$C$44,0)),0)))</f>
        <v/>
      </c>
      <c r="G139" s="24">
        <f>IF($D139="","",'03设备工时'!$F139)</f>
        <v/>
      </c>
      <c r="H139" s="24">
        <f>IF($D139="","",'03设备工时'!$P139)</f>
        <v/>
      </c>
      <c r="I139" s="20">
        <f>IF(OR($D139="",$G139=0),"",$H139/$G139)</f>
        <v/>
      </c>
      <c r="J139" s="12">
        <f>IF($D139="","",ROUND($F139,2)-$S139)</f>
        <v/>
      </c>
      <c r="K139" s="12">
        <f>IF(OR($D139="",$G139=0),"",ROUND($F139*'03设备工时'!H139/$G139,2))</f>
        <v/>
      </c>
      <c r="L139" s="12">
        <f>IF(OR($D139="",$G139=0),"",ROUND($F139*'03设备工时'!I139/$G139,2))</f>
        <v/>
      </c>
      <c r="M139" s="12">
        <f>IF(OR($D139="",$G139=0),"",ROUND($F139*'03设备工时'!J139/$G139,2))</f>
        <v/>
      </c>
      <c r="N139" s="12">
        <f>IF(OR($D139="",$G139=0),"",ROUND($F139*'03设备工时'!K139/$G139,2))</f>
        <v/>
      </c>
      <c r="O139" s="12">
        <f>IF(OR($D139="",$G139=0),"",ROUND($F139*'03设备工时'!L139/$G139,2))</f>
        <v/>
      </c>
      <c r="P139" s="12">
        <f>IF(OR($D139="",$G139=0),"",ROUND($F139*'03设备工时'!M139/$G139,2))</f>
        <v/>
      </c>
      <c r="Q139" s="12">
        <f>IF(OR($D139="",$G139=0),"",ROUND($F139*'03设备工时'!N139/$G139,2))</f>
        <v/>
      </c>
      <c r="R139" s="12">
        <f>IF(OR($D139="",$G139=0),"",ROUND($F139*'03设备工时'!O139/$G139,2))</f>
        <v/>
      </c>
      <c r="S139" s="12">
        <f>IF($D139="","",SUM(K139:R139))</f>
        <v/>
      </c>
      <c r="T139" s="12">
        <f>IF($D139="","",$J139+$S139)</f>
        <v/>
      </c>
      <c r="U139" s="25">
        <f>IF($D139="","",IF($F139=0,"未维护折旧额",IF(ROUND($T139-$F139,2)=0,"√","差异")))</f>
        <v/>
      </c>
      <c r="V139" s="11" t="n"/>
      <c r="W139" s="39">
        <f>IF($D139="","",IFERROR(INDEX('参数设置'!$F$30:$F$44,MATCH($D139,'参数设置'!$C$30:$C$44,0)),""))</f>
        <v/>
      </c>
    </row>
    <row r="140" ht="18" customHeight="1">
      <c r="B140" s="21">
        <f>IF('03设备工时'!$D140="","",'03设备工时'!$B140)</f>
        <v/>
      </c>
      <c r="C140" s="22">
        <f>IF('03设备工时'!$D140="","",'03设备工时'!$C140)</f>
        <v/>
      </c>
      <c r="D140" s="22">
        <f>IF('03设备工时'!$D140="","",'03设备工时'!$D140)</f>
        <v/>
      </c>
      <c r="E140" s="39">
        <f>IF($D140="","",'03设备工时'!$E140)</f>
        <v/>
      </c>
      <c r="F140" s="23">
        <f>IF($D140="","",IF($V140&lt;&gt;"",$V140,IFERROR(INDEX('参数设置'!$E$30:$E$44,MATCH($D140,'参数设置'!$C$30:$C$44,0)),0)))</f>
        <v/>
      </c>
      <c r="G140" s="24">
        <f>IF($D140="","",'03设备工时'!$F140)</f>
        <v/>
      </c>
      <c r="H140" s="24">
        <f>IF($D140="","",'03设备工时'!$P140)</f>
        <v/>
      </c>
      <c r="I140" s="20">
        <f>IF(OR($D140="",$G140=0),"",$H140/$G140)</f>
        <v/>
      </c>
      <c r="J140" s="12">
        <f>IF($D140="","",ROUND($F140,2)-$S140)</f>
        <v/>
      </c>
      <c r="K140" s="12">
        <f>IF(OR($D140="",$G140=0),"",ROUND($F140*'03设备工时'!H140/$G140,2))</f>
        <v/>
      </c>
      <c r="L140" s="12">
        <f>IF(OR($D140="",$G140=0),"",ROUND($F140*'03设备工时'!I140/$G140,2))</f>
        <v/>
      </c>
      <c r="M140" s="12">
        <f>IF(OR($D140="",$G140=0),"",ROUND($F140*'03设备工时'!J140/$G140,2))</f>
        <v/>
      </c>
      <c r="N140" s="12">
        <f>IF(OR($D140="",$G140=0),"",ROUND($F140*'03设备工时'!K140/$G140,2))</f>
        <v/>
      </c>
      <c r="O140" s="12">
        <f>IF(OR($D140="",$G140=0),"",ROUND($F140*'03设备工时'!L140/$G140,2))</f>
        <v/>
      </c>
      <c r="P140" s="12">
        <f>IF(OR($D140="",$G140=0),"",ROUND($F140*'03设备工时'!M140/$G140,2))</f>
        <v/>
      </c>
      <c r="Q140" s="12">
        <f>IF(OR($D140="",$G140=0),"",ROUND($F140*'03设备工时'!N140/$G140,2))</f>
        <v/>
      </c>
      <c r="R140" s="12">
        <f>IF(OR($D140="",$G140=0),"",ROUND($F140*'03设备工时'!O140/$G140,2))</f>
        <v/>
      </c>
      <c r="S140" s="12">
        <f>IF($D140="","",SUM(K140:R140))</f>
        <v/>
      </c>
      <c r="T140" s="12">
        <f>IF($D140="","",$J140+$S140)</f>
        <v/>
      </c>
      <c r="U140" s="25">
        <f>IF($D140="","",IF($F140=0,"未维护折旧额",IF(ROUND($T140-$F140,2)=0,"√","差异")))</f>
        <v/>
      </c>
      <c r="V140" s="11" t="n"/>
      <c r="W140" s="39">
        <f>IF($D140="","",IFERROR(INDEX('参数设置'!$F$30:$F$44,MATCH($D140,'参数设置'!$C$30:$C$44,0)),""))</f>
        <v/>
      </c>
    </row>
    <row r="141" ht="18" customHeight="1">
      <c r="B141" s="21">
        <f>IF('03设备工时'!$D141="","",'03设备工时'!$B141)</f>
        <v/>
      </c>
      <c r="C141" s="22">
        <f>IF('03设备工时'!$D141="","",'03设备工时'!$C141)</f>
        <v/>
      </c>
      <c r="D141" s="22">
        <f>IF('03设备工时'!$D141="","",'03设备工时'!$D141)</f>
        <v/>
      </c>
      <c r="E141" s="39">
        <f>IF($D141="","",'03设备工时'!$E141)</f>
        <v/>
      </c>
      <c r="F141" s="23">
        <f>IF($D141="","",IF($V141&lt;&gt;"",$V141,IFERROR(INDEX('参数设置'!$E$30:$E$44,MATCH($D141,'参数设置'!$C$30:$C$44,0)),0)))</f>
        <v/>
      </c>
      <c r="G141" s="24">
        <f>IF($D141="","",'03设备工时'!$F141)</f>
        <v/>
      </c>
      <c r="H141" s="24">
        <f>IF($D141="","",'03设备工时'!$P141)</f>
        <v/>
      </c>
      <c r="I141" s="20">
        <f>IF(OR($D141="",$G141=0),"",$H141/$G141)</f>
        <v/>
      </c>
      <c r="J141" s="12">
        <f>IF($D141="","",ROUND($F141,2)-$S141)</f>
        <v/>
      </c>
      <c r="K141" s="12">
        <f>IF(OR($D141="",$G141=0),"",ROUND($F141*'03设备工时'!H141/$G141,2))</f>
        <v/>
      </c>
      <c r="L141" s="12">
        <f>IF(OR($D141="",$G141=0),"",ROUND($F141*'03设备工时'!I141/$G141,2))</f>
        <v/>
      </c>
      <c r="M141" s="12">
        <f>IF(OR($D141="",$G141=0),"",ROUND($F141*'03设备工时'!J141/$G141,2))</f>
        <v/>
      </c>
      <c r="N141" s="12">
        <f>IF(OR($D141="",$G141=0),"",ROUND($F141*'03设备工时'!K141/$G141,2))</f>
        <v/>
      </c>
      <c r="O141" s="12">
        <f>IF(OR($D141="",$G141=0),"",ROUND($F141*'03设备工时'!L141/$G141,2))</f>
        <v/>
      </c>
      <c r="P141" s="12">
        <f>IF(OR($D141="",$G141=0),"",ROUND($F141*'03设备工时'!M141/$G141,2))</f>
        <v/>
      </c>
      <c r="Q141" s="12">
        <f>IF(OR($D141="",$G141=0),"",ROUND($F141*'03设备工时'!N141/$G141,2))</f>
        <v/>
      </c>
      <c r="R141" s="12">
        <f>IF(OR($D141="",$G141=0),"",ROUND($F141*'03设备工时'!O141/$G141,2))</f>
        <v/>
      </c>
      <c r="S141" s="12">
        <f>IF($D141="","",SUM(K141:R141))</f>
        <v/>
      </c>
      <c r="T141" s="12">
        <f>IF($D141="","",$J141+$S141)</f>
        <v/>
      </c>
      <c r="U141" s="25">
        <f>IF($D141="","",IF($F141=0,"未维护折旧额",IF(ROUND($T141-$F141,2)=0,"√","差异")))</f>
        <v/>
      </c>
      <c r="V141" s="11" t="n"/>
      <c r="W141" s="39">
        <f>IF($D141="","",IFERROR(INDEX('参数设置'!$F$30:$F$44,MATCH($D141,'参数设置'!$C$30:$C$44,0)),""))</f>
        <v/>
      </c>
    </row>
    <row r="142" ht="18" customHeight="1">
      <c r="B142" s="21">
        <f>IF('03设备工时'!$D142="","",'03设备工时'!$B142)</f>
        <v/>
      </c>
      <c r="C142" s="22">
        <f>IF('03设备工时'!$D142="","",'03设备工时'!$C142)</f>
        <v/>
      </c>
      <c r="D142" s="22">
        <f>IF('03设备工时'!$D142="","",'03设备工时'!$D142)</f>
        <v/>
      </c>
      <c r="E142" s="39">
        <f>IF($D142="","",'03设备工时'!$E142)</f>
        <v/>
      </c>
      <c r="F142" s="23">
        <f>IF($D142="","",IF($V142&lt;&gt;"",$V142,IFERROR(INDEX('参数设置'!$E$30:$E$44,MATCH($D142,'参数设置'!$C$30:$C$44,0)),0)))</f>
        <v/>
      </c>
      <c r="G142" s="24">
        <f>IF($D142="","",'03设备工时'!$F142)</f>
        <v/>
      </c>
      <c r="H142" s="24">
        <f>IF($D142="","",'03设备工时'!$P142)</f>
        <v/>
      </c>
      <c r="I142" s="20">
        <f>IF(OR($D142="",$G142=0),"",$H142/$G142)</f>
        <v/>
      </c>
      <c r="J142" s="12">
        <f>IF($D142="","",ROUND($F142,2)-$S142)</f>
        <v/>
      </c>
      <c r="K142" s="12">
        <f>IF(OR($D142="",$G142=0),"",ROUND($F142*'03设备工时'!H142/$G142,2))</f>
        <v/>
      </c>
      <c r="L142" s="12">
        <f>IF(OR($D142="",$G142=0),"",ROUND($F142*'03设备工时'!I142/$G142,2))</f>
        <v/>
      </c>
      <c r="M142" s="12">
        <f>IF(OR($D142="",$G142=0),"",ROUND($F142*'03设备工时'!J142/$G142,2))</f>
        <v/>
      </c>
      <c r="N142" s="12">
        <f>IF(OR($D142="",$G142=0),"",ROUND($F142*'03设备工时'!K142/$G142,2))</f>
        <v/>
      </c>
      <c r="O142" s="12">
        <f>IF(OR($D142="",$G142=0),"",ROUND($F142*'03设备工时'!L142/$G142,2))</f>
        <v/>
      </c>
      <c r="P142" s="12">
        <f>IF(OR($D142="",$G142=0),"",ROUND($F142*'03设备工时'!M142/$G142,2))</f>
        <v/>
      </c>
      <c r="Q142" s="12">
        <f>IF(OR($D142="",$G142=0),"",ROUND($F142*'03设备工时'!N142/$G142,2))</f>
        <v/>
      </c>
      <c r="R142" s="12">
        <f>IF(OR($D142="",$G142=0),"",ROUND($F142*'03设备工时'!O142/$G142,2))</f>
        <v/>
      </c>
      <c r="S142" s="12">
        <f>IF($D142="","",SUM(K142:R142))</f>
        <v/>
      </c>
      <c r="T142" s="12">
        <f>IF($D142="","",$J142+$S142)</f>
        <v/>
      </c>
      <c r="U142" s="25">
        <f>IF($D142="","",IF($F142=0,"未维护折旧额",IF(ROUND($T142-$F142,2)=0,"√","差异")))</f>
        <v/>
      </c>
      <c r="V142" s="11" t="n"/>
      <c r="W142" s="39">
        <f>IF($D142="","",IFERROR(INDEX('参数设置'!$F$30:$F$44,MATCH($D142,'参数设置'!$C$30:$C$44,0)),""))</f>
        <v/>
      </c>
    </row>
    <row r="143" ht="18" customHeight="1">
      <c r="B143" s="21">
        <f>IF('03设备工时'!$D143="","",'03设备工时'!$B143)</f>
        <v/>
      </c>
      <c r="C143" s="22">
        <f>IF('03设备工时'!$D143="","",'03设备工时'!$C143)</f>
        <v/>
      </c>
      <c r="D143" s="22">
        <f>IF('03设备工时'!$D143="","",'03设备工时'!$D143)</f>
        <v/>
      </c>
      <c r="E143" s="39">
        <f>IF($D143="","",'03设备工时'!$E143)</f>
        <v/>
      </c>
      <c r="F143" s="23">
        <f>IF($D143="","",IF($V143&lt;&gt;"",$V143,IFERROR(INDEX('参数设置'!$E$30:$E$44,MATCH($D143,'参数设置'!$C$30:$C$44,0)),0)))</f>
        <v/>
      </c>
      <c r="G143" s="24">
        <f>IF($D143="","",'03设备工时'!$F143)</f>
        <v/>
      </c>
      <c r="H143" s="24">
        <f>IF($D143="","",'03设备工时'!$P143)</f>
        <v/>
      </c>
      <c r="I143" s="20">
        <f>IF(OR($D143="",$G143=0),"",$H143/$G143)</f>
        <v/>
      </c>
      <c r="J143" s="12">
        <f>IF($D143="","",ROUND($F143,2)-$S143)</f>
        <v/>
      </c>
      <c r="K143" s="12">
        <f>IF(OR($D143="",$G143=0),"",ROUND($F143*'03设备工时'!H143/$G143,2))</f>
        <v/>
      </c>
      <c r="L143" s="12">
        <f>IF(OR($D143="",$G143=0),"",ROUND($F143*'03设备工时'!I143/$G143,2))</f>
        <v/>
      </c>
      <c r="M143" s="12">
        <f>IF(OR($D143="",$G143=0),"",ROUND($F143*'03设备工时'!J143/$G143,2))</f>
        <v/>
      </c>
      <c r="N143" s="12">
        <f>IF(OR($D143="",$G143=0),"",ROUND($F143*'03设备工时'!K143/$G143,2))</f>
        <v/>
      </c>
      <c r="O143" s="12">
        <f>IF(OR($D143="",$G143=0),"",ROUND($F143*'03设备工时'!L143/$G143,2))</f>
        <v/>
      </c>
      <c r="P143" s="12">
        <f>IF(OR($D143="",$G143=0),"",ROUND($F143*'03设备工时'!M143/$G143,2))</f>
        <v/>
      </c>
      <c r="Q143" s="12">
        <f>IF(OR($D143="",$G143=0),"",ROUND($F143*'03设备工时'!N143/$G143,2))</f>
        <v/>
      </c>
      <c r="R143" s="12">
        <f>IF(OR($D143="",$G143=0),"",ROUND($F143*'03设备工时'!O143/$G143,2))</f>
        <v/>
      </c>
      <c r="S143" s="12">
        <f>IF($D143="","",SUM(K143:R143))</f>
        <v/>
      </c>
      <c r="T143" s="12">
        <f>IF($D143="","",$J143+$S143)</f>
        <v/>
      </c>
      <c r="U143" s="25">
        <f>IF($D143="","",IF($F143=0,"未维护折旧额",IF(ROUND($T143-$F143,2)=0,"√","差异")))</f>
        <v/>
      </c>
      <c r="V143" s="11" t="n"/>
      <c r="W143" s="39">
        <f>IF($D143="","",IFERROR(INDEX('参数设置'!$F$30:$F$44,MATCH($D143,'参数设置'!$C$30:$C$44,0)),""))</f>
        <v/>
      </c>
    </row>
    <row r="144" ht="18" customHeight="1">
      <c r="B144" s="21">
        <f>IF('03设备工时'!$D144="","",'03设备工时'!$B144)</f>
        <v/>
      </c>
      <c r="C144" s="22">
        <f>IF('03设备工时'!$D144="","",'03设备工时'!$C144)</f>
        <v/>
      </c>
      <c r="D144" s="22">
        <f>IF('03设备工时'!$D144="","",'03设备工时'!$D144)</f>
        <v/>
      </c>
      <c r="E144" s="39">
        <f>IF($D144="","",'03设备工时'!$E144)</f>
        <v/>
      </c>
      <c r="F144" s="23">
        <f>IF($D144="","",IF($V144&lt;&gt;"",$V144,IFERROR(INDEX('参数设置'!$E$30:$E$44,MATCH($D144,'参数设置'!$C$30:$C$44,0)),0)))</f>
        <v/>
      </c>
      <c r="G144" s="24">
        <f>IF($D144="","",'03设备工时'!$F144)</f>
        <v/>
      </c>
      <c r="H144" s="24">
        <f>IF($D144="","",'03设备工时'!$P144)</f>
        <v/>
      </c>
      <c r="I144" s="20">
        <f>IF(OR($D144="",$G144=0),"",$H144/$G144)</f>
        <v/>
      </c>
      <c r="J144" s="12">
        <f>IF($D144="","",ROUND($F144,2)-$S144)</f>
        <v/>
      </c>
      <c r="K144" s="12">
        <f>IF(OR($D144="",$G144=0),"",ROUND($F144*'03设备工时'!H144/$G144,2))</f>
        <v/>
      </c>
      <c r="L144" s="12">
        <f>IF(OR($D144="",$G144=0),"",ROUND($F144*'03设备工时'!I144/$G144,2))</f>
        <v/>
      </c>
      <c r="M144" s="12">
        <f>IF(OR($D144="",$G144=0),"",ROUND($F144*'03设备工时'!J144/$G144,2))</f>
        <v/>
      </c>
      <c r="N144" s="12">
        <f>IF(OR($D144="",$G144=0),"",ROUND($F144*'03设备工时'!K144/$G144,2))</f>
        <v/>
      </c>
      <c r="O144" s="12">
        <f>IF(OR($D144="",$G144=0),"",ROUND($F144*'03设备工时'!L144/$G144,2))</f>
        <v/>
      </c>
      <c r="P144" s="12">
        <f>IF(OR($D144="",$G144=0),"",ROUND($F144*'03设备工时'!M144/$G144,2))</f>
        <v/>
      </c>
      <c r="Q144" s="12">
        <f>IF(OR($D144="",$G144=0),"",ROUND($F144*'03设备工时'!N144/$G144,2))</f>
        <v/>
      </c>
      <c r="R144" s="12">
        <f>IF(OR($D144="",$G144=0),"",ROUND($F144*'03设备工时'!O144/$G144,2))</f>
        <v/>
      </c>
      <c r="S144" s="12">
        <f>IF($D144="","",SUM(K144:R144))</f>
        <v/>
      </c>
      <c r="T144" s="12">
        <f>IF($D144="","",$J144+$S144)</f>
        <v/>
      </c>
      <c r="U144" s="25">
        <f>IF($D144="","",IF($F144=0,"未维护折旧额",IF(ROUND($T144-$F144,2)=0,"√","差异")))</f>
        <v/>
      </c>
      <c r="V144" s="11" t="n"/>
      <c r="W144" s="39">
        <f>IF($D144="","",IFERROR(INDEX('参数设置'!$F$30:$F$44,MATCH($D144,'参数设置'!$C$30:$C$44,0)),""))</f>
        <v/>
      </c>
    </row>
    <row r="145" ht="18" customHeight="1">
      <c r="B145" s="21">
        <f>IF('03设备工时'!$D145="","",'03设备工时'!$B145)</f>
        <v/>
      </c>
      <c r="C145" s="22">
        <f>IF('03设备工时'!$D145="","",'03设备工时'!$C145)</f>
        <v/>
      </c>
      <c r="D145" s="22">
        <f>IF('03设备工时'!$D145="","",'03设备工时'!$D145)</f>
        <v/>
      </c>
      <c r="E145" s="39">
        <f>IF($D145="","",'03设备工时'!$E145)</f>
        <v/>
      </c>
      <c r="F145" s="23">
        <f>IF($D145="","",IF($V145&lt;&gt;"",$V145,IFERROR(INDEX('参数设置'!$E$30:$E$44,MATCH($D145,'参数设置'!$C$30:$C$44,0)),0)))</f>
        <v/>
      </c>
      <c r="G145" s="24">
        <f>IF($D145="","",'03设备工时'!$F145)</f>
        <v/>
      </c>
      <c r="H145" s="24">
        <f>IF($D145="","",'03设备工时'!$P145)</f>
        <v/>
      </c>
      <c r="I145" s="20">
        <f>IF(OR($D145="",$G145=0),"",$H145/$G145)</f>
        <v/>
      </c>
      <c r="J145" s="12">
        <f>IF($D145="","",ROUND($F145,2)-$S145)</f>
        <v/>
      </c>
      <c r="K145" s="12">
        <f>IF(OR($D145="",$G145=0),"",ROUND($F145*'03设备工时'!H145/$G145,2))</f>
        <v/>
      </c>
      <c r="L145" s="12">
        <f>IF(OR($D145="",$G145=0),"",ROUND($F145*'03设备工时'!I145/$G145,2))</f>
        <v/>
      </c>
      <c r="M145" s="12">
        <f>IF(OR($D145="",$G145=0),"",ROUND($F145*'03设备工时'!J145/$G145,2))</f>
        <v/>
      </c>
      <c r="N145" s="12">
        <f>IF(OR($D145="",$G145=0),"",ROUND($F145*'03设备工时'!K145/$G145,2))</f>
        <v/>
      </c>
      <c r="O145" s="12">
        <f>IF(OR($D145="",$G145=0),"",ROUND($F145*'03设备工时'!L145/$G145,2))</f>
        <v/>
      </c>
      <c r="P145" s="12">
        <f>IF(OR($D145="",$G145=0),"",ROUND($F145*'03设备工时'!M145/$G145,2))</f>
        <v/>
      </c>
      <c r="Q145" s="12">
        <f>IF(OR($D145="",$G145=0),"",ROUND($F145*'03设备工时'!N145/$G145,2))</f>
        <v/>
      </c>
      <c r="R145" s="12">
        <f>IF(OR($D145="",$G145=0),"",ROUND($F145*'03设备工时'!O145/$G145,2))</f>
        <v/>
      </c>
      <c r="S145" s="12">
        <f>IF($D145="","",SUM(K145:R145))</f>
        <v/>
      </c>
      <c r="T145" s="12">
        <f>IF($D145="","",$J145+$S145)</f>
        <v/>
      </c>
      <c r="U145" s="25">
        <f>IF($D145="","",IF($F145=0,"未维护折旧额",IF(ROUND($T145-$F145,2)=0,"√","差异")))</f>
        <v/>
      </c>
      <c r="V145" s="11" t="n"/>
      <c r="W145" s="39">
        <f>IF($D145="","",IFERROR(INDEX('参数设置'!$F$30:$F$44,MATCH($D145,'参数设置'!$C$30:$C$44,0)),""))</f>
        <v/>
      </c>
    </row>
    <row r="146" ht="18" customHeight="1">
      <c r="B146" s="21">
        <f>IF('03设备工时'!$D146="","",'03设备工时'!$B146)</f>
        <v/>
      </c>
      <c r="C146" s="22">
        <f>IF('03设备工时'!$D146="","",'03设备工时'!$C146)</f>
        <v/>
      </c>
      <c r="D146" s="22">
        <f>IF('03设备工时'!$D146="","",'03设备工时'!$D146)</f>
        <v/>
      </c>
      <c r="E146" s="39">
        <f>IF($D146="","",'03设备工时'!$E146)</f>
        <v/>
      </c>
      <c r="F146" s="23">
        <f>IF($D146="","",IF($V146&lt;&gt;"",$V146,IFERROR(INDEX('参数设置'!$E$30:$E$44,MATCH($D146,'参数设置'!$C$30:$C$44,0)),0)))</f>
        <v/>
      </c>
      <c r="G146" s="24">
        <f>IF($D146="","",'03设备工时'!$F146)</f>
        <v/>
      </c>
      <c r="H146" s="24">
        <f>IF($D146="","",'03设备工时'!$P146)</f>
        <v/>
      </c>
      <c r="I146" s="20">
        <f>IF(OR($D146="",$G146=0),"",$H146/$G146)</f>
        <v/>
      </c>
      <c r="J146" s="12">
        <f>IF($D146="","",ROUND($F146,2)-$S146)</f>
        <v/>
      </c>
      <c r="K146" s="12">
        <f>IF(OR($D146="",$G146=0),"",ROUND($F146*'03设备工时'!H146/$G146,2))</f>
        <v/>
      </c>
      <c r="L146" s="12">
        <f>IF(OR($D146="",$G146=0),"",ROUND($F146*'03设备工时'!I146/$G146,2))</f>
        <v/>
      </c>
      <c r="M146" s="12">
        <f>IF(OR($D146="",$G146=0),"",ROUND($F146*'03设备工时'!J146/$G146,2))</f>
        <v/>
      </c>
      <c r="N146" s="12">
        <f>IF(OR($D146="",$G146=0),"",ROUND($F146*'03设备工时'!K146/$G146,2))</f>
        <v/>
      </c>
      <c r="O146" s="12">
        <f>IF(OR($D146="",$G146=0),"",ROUND($F146*'03设备工时'!L146/$G146,2))</f>
        <v/>
      </c>
      <c r="P146" s="12">
        <f>IF(OR($D146="",$G146=0),"",ROUND($F146*'03设备工时'!M146/$G146,2))</f>
        <v/>
      </c>
      <c r="Q146" s="12">
        <f>IF(OR($D146="",$G146=0),"",ROUND($F146*'03设备工时'!N146/$G146,2))</f>
        <v/>
      </c>
      <c r="R146" s="12">
        <f>IF(OR($D146="",$G146=0),"",ROUND($F146*'03设备工时'!O146/$G146,2))</f>
        <v/>
      </c>
      <c r="S146" s="12">
        <f>IF($D146="","",SUM(K146:R146))</f>
        <v/>
      </c>
      <c r="T146" s="12">
        <f>IF($D146="","",$J146+$S146)</f>
        <v/>
      </c>
      <c r="U146" s="25">
        <f>IF($D146="","",IF($F146=0,"未维护折旧额",IF(ROUND($T146-$F146,2)=0,"√","差异")))</f>
        <v/>
      </c>
      <c r="V146" s="11" t="n"/>
      <c r="W146" s="39">
        <f>IF($D146="","",IFERROR(INDEX('参数设置'!$F$30:$F$44,MATCH($D146,'参数设置'!$C$30:$C$44,0)),""))</f>
        <v/>
      </c>
    </row>
    <row r="147" ht="18" customHeight="1">
      <c r="B147" s="21">
        <f>IF('03设备工时'!$D147="","",'03设备工时'!$B147)</f>
        <v/>
      </c>
      <c r="C147" s="22">
        <f>IF('03设备工时'!$D147="","",'03设备工时'!$C147)</f>
        <v/>
      </c>
      <c r="D147" s="22">
        <f>IF('03设备工时'!$D147="","",'03设备工时'!$D147)</f>
        <v/>
      </c>
      <c r="E147" s="39">
        <f>IF($D147="","",'03设备工时'!$E147)</f>
        <v/>
      </c>
      <c r="F147" s="23">
        <f>IF($D147="","",IF($V147&lt;&gt;"",$V147,IFERROR(INDEX('参数设置'!$E$30:$E$44,MATCH($D147,'参数设置'!$C$30:$C$44,0)),0)))</f>
        <v/>
      </c>
      <c r="G147" s="24">
        <f>IF($D147="","",'03设备工时'!$F147)</f>
        <v/>
      </c>
      <c r="H147" s="24">
        <f>IF($D147="","",'03设备工时'!$P147)</f>
        <v/>
      </c>
      <c r="I147" s="20">
        <f>IF(OR($D147="",$G147=0),"",$H147/$G147)</f>
        <v/>
      </c>
      <c r="J147" s="12">
        <f>IF($D147="","",ROUND($F147,2)-$S147)</f>
        <v/>
      </c>
      <c r="K147" s="12">
        <f>IF(OR($D147="",$G147=0),"",ROUND($F147*'03设备工时'!H147/$G147,2))</f>
        <v/>
      </c>
      <c r="L147" s="12">
        <f>IF(OR($D147="",$G147=0),"",ROUND($F147*'03设备工时'!I147/$G147,2))</f>
        <v/>
      </c>
      <c r="M147" s="12">
        <f>IF(OR($D147="",$G147=0),"",ROUND($F147*'03设备工时'!J147/$G147,2))</f>
        <v/>
      </c>
      <c r="N147" s="12">
        <f>IF(OR($D147="",$G147=0),"",ROUND($F147*'03设备工时'!K147/$G147,2))</f>
        <v/>
      </c>
      <c r="O147" s="12">
        <f>IF(OR($D147="",$G147=0),"",ROUND($F147*'03设备工时'!L147/$G147,2))</f>
        <v/>
      </c>
      <c r="P147" s="12">
        <f>IF(OR($D147="",$G147=0),"",ROUND($F147*'03设备工时'!M147/$G147,2))</f>
        <v/>
      </c>
      <c r="Q147" s="12">
        <f>IF(OR($D147="",$G147=0),"",ROUND($F147*'03设备工时'!N147/$G147,2))</f>
        <v/>
      </c>
      <c r="R147" s="12">
        <f>IF(OR($D147="",$G147=0),"",ROUND($F147*'03设备工时'!O147/$G147,2))</f>
        <v/>
      </c>
      <c r="S147" s="12">
        <f>IF($D147="","",SUM(K147:R147))</f>
        <v/>
      </c>
      <c r="T147" s="12">
        <f>IF($D147="","",$J147+$S147)</f>
        <v/>
      </c>
      <c r="U147" s="25">
        <f>IF($D147="","",IF($F147=0,"未维护折旧额",IF(ROUND($T147-$F147,2)=0,"√","差异")))</f>
        <v/>
      </c>
      <c r="V147" s="11" t="n"/>
      <c r="W147" s="39">
        <f>IF($D147="","",IFERROR(INDEX('参数设置'!$F$30:$F$44,MATCH($D147,'参数设置'!$C$30:$C$44,0)),""))</f>
        <v/>
      </c>
    </row>
    <row r="148" ht="18" customHeight="1">
      <c r="B148" s="21">
        <f>IF('03设备工时'!$D148="","",'03设备工时'!$B148)</f>
        <v/>
      </c>
      <c r="C148" s="22">
        <f>IF('03设备工时'!$D148="","",'03设备工时'!$C148)</f>
        <v/>
      </c>
      <c r="D148" s="22">
        <f>IF('03设备工时'!$D148="","",'03设备工时'!$D148)</f>
        <v/>
      </c>
      <c r="E148" s="39">
        <f>IF($D148="","",'03设备工时'!$E148)</f>
        <v/>
      </c>
      <c r="F148" s="23">
        <f>IF($D148="","",IF($V148&lt;&gt;"",$V148,IFERROR(INDEX('参数设置'!$E$30:$E$44,MATCH($D148,'参数设置'!$C$30:$C$44,0)),0)))</f>
        <v/>
      </c>
      <c r="G148" s="24">
        <f>IF($D148="","",'03设备工时'!$F148)</f>
        <v/>
      </c>
      <c r="H148" s="24">
        <f>IF($D148="","",'03设备工时'!$P148)</f>
        <v/>
      </c>
      <c r="I148" s="20">
        <f>IF(OR($D148="",$G148=0),"",$H148/$G148)</f>
        <v/>
      </c>
      <c r="J148" s="12">
        <f>IF($D148="","",ROUND($F148,2)-$S148)</f>
        <v/>
      </c>
      <c r="K148" s="12">
        <f>IF(OR($D148="",$G148=0),"",ROUND($F148*'03设备工时'!H148/$G148,2))</f>
        <v/>
      </c>
      <c r="L148" s="12">
        <f>IF(OR($D148="",$G148=0),"",ROUND($F148*'03设备工时'!I148/$G148,2))</f>
        <v/>
      </c>
      <c r="M148" s="12">
        <f>IF(OR($D148="",$G148=0),"",ROUND($F148*'03设备工时'!J148/$G148,2))</f>
        <v/>
      </c>
      <c r="N148" s="12">
        <f>IF(OR($D148="",$G148=0),"",ROUND($F148*'03设备工时'!K148/$G148,2))</f>
        <v/>
      </c>
      <c r="O148" s="12">
        <f>IF(OR($D148="",$G148=0),"",ROUND($F148*'03设备工时'!L148/$G148,2))</f>
        <v/>
      </c>
      <c r="P148" s="12">
        <f>IF(OR($D148="",$G148=0),"",ROUND($F148*'03设备工时'!M148/$G148,2))</f>
        <v/>
      </c>
      <c r="Q148" s="12">
        <f>IF(OR($D148="",$G148=0),"",ROUND($F148*'03设备工时'!N148/$G148,2))</f>
        <v/>
      </c>
      <c r="R148" s="12">
        <f>IF(OR($D148="",$G148=0),"",ROUND($F148*'03设备工时'!O148/$G148,2))</f>
        <v/>
      </c>
      <c r="S148" s="12">
        <f>IF($D148="","",SUM(K148:R148))</f>
        <v/>
      </c>
      <c r="T148" s="12">
        <f>IF($D148="","",$J148+$S148)</f>
        <v/>
      </c>
      <c r="U148" s="25">
        <f>IF($D148="","",IF($F148=0,"未维护折旧额",IF(ROUND($T148-$F148,2)=0,"√","差异")))</f>
        <v/>
      </c>
      <c r="V148" s="11" t="n"/>
      <c r="W148" s="39">
        <f>IF($D148="","",IFERROR(INDEX('参数设置'!$F$30:$F$44,MATCH($D148,'参数设置'!$C$30:$C$44,0)),""))</f>
        <v/>
      </c>
    </row>
    <row r="149" ht="18" customHeight="1">
      <c r="B149" s="21">
        <f>IF('03设备工时'!$D149="","",'03设备工时'!$B149)</f>
        <v/>
      </c>
      <c r="C149" s="22">
        <f>IF('03设备工时'!$D149="","",'03设备工时'!$C149)</f>
        <v/>
      </c>
      <c r="D149" s="22">
        <f>IF('03设备工时'!$D149="","",'03设备工时'!$D149)</f>
        <v/>
      </c>
      <c r="E149" s="39">
        <f>IF($D149="","",'03设备工时'!$E149)</f>
        <v/>
      </c>
      <c r="F149" s="23">
        <f>IF($D149="","",IF($V149&lt;&gt;"",$V149,IFERROR(INDEX('参数设置'!$E$30:$E$44,MATCH($D149,'参数设置'!$C$30:$C$44,0)),0)))</f>
        <v/>
      </c>
      <c r="G149" s="24">
        <f>IF($D149="","",'03设备工时'!$F149)</f>
        <v/>
      </c>
      <c r="H149" s="24">
        <f>IF($D149="","",'03设备工时'!$P149)</f>
        <v/>
      </c>
      <c r="I149" s="20">
        <f>IF(OR($D149="",$G149=0),"",$H149/$G149)</f>
        <v/>
      </c>
      <c r="J149" s="12">
        <f>IF($D149="","",ROUND($F149,2)-$S149)</f>
        <v/>
      </c>
      <c r="K149" s="12">
        <f>IF(OR($D149="",$G149=0),"",ROUND($F149*'03设备工时'!H149/$G149,2))</f>
        <v/>
      </c>
      <c r="L149" s="12">
        <f>IF(OR($D149="",$G149=0),"",ROUND($F149*'03设备工时'!I149/$G149,2))</f>
        <v/>
      </c>
      <c r="M149" s="12">
        <f>IF(OR($D149="",$G149=0),"",ROUND($F149*'03设备工时'!J149/$G149,2))</f>
        <v/>
      </c>
      <c r="N149" s="12">
        <f>IF(OR($D149="",$G149=0),"",ROUND($F149*'03设备工时'!K149/$G149,2))</f>
        <v/>
      </c>
      <c r="O149" s="12">
        <f>IF(OR($D149="",$G149=0),"",ROUND($F149*'03设备工时'!L149/$G149,2))</f>
        <v/>
      </c>
      <c r="P149" s="12">
        <f>IF(OR($D149="",$G149=0),"",ROUND($F149*'03设备工时'!M149/$G149,2))</f>
        <v/>
      </c>
      <c r="Q149" s="12">
        <f>IF(OR($D149="",$G149=0),"",ROUND($F149*'03设备工时'!N149/$G149,2))</f>
        <v/>
      </c>
      <c r="R149" s="12">
        <f>IF(OR($D149="",$G149=0),"",ROUND($F149*'03设备工时'!O149/$G149,2))</f>
        <v/>
      </c>
      <c r="S149" s="12">
        <f>IF($D149="","",SUM(K149:R149))</f>
        <v/>
      </c>
      <c r="T149" s="12">
        <f>IF($D149="","",$J149+$S149)</f>
        <v/>
      </c>
      <c r="U149" s="25">
        <f>IF($D149="","",IF($F149=0,"未维护折旧额",IF(ROUND($T149-$F149,2)=0,"√","差异")))</f>
        <v/>
      </c>
      <c r="V149" s="11" t="n"/>
      <c r="W149" s="39">
        <f>IF($D149="","",IFERROR(INDEX('参数设置'!$F$30:$F$44,MATCH($D149,'参数设置'!$C$30:$C$44,0)),""))</f>
        <v/>
      </c>
    </row>
    <row r="150" ht="18" customHeight="1">
      <c r="B150" s="21">
        <f>IF('03设备工时'!$D150="","",'03设备工时'!$B150)</f>
        <v/>
      </c>
      <c r="C150" s="22">
        <f>IF('03设备工时'!$D150="","",'03设备工时'!$C150)</f>
        <v/>
      </c>
      <c r="D150" s="22">
        <f>IF('03设备工时'!$D150="","",'03设备工时'!$D150)</f>
        <v/>
      </c>
      <c r="E150" s="39">
        <f>IF($D150="","",'03设备工时'!$E150)</f>
        <v/>
      </c>
      <c r="F150" s="23">
        <f>IF($D150="","",IF($V150&lt;&gt;"",$V150,IFERROR(INDEX('参数设置'!$E$30:$E$44,MATCH($D150,'参数设置'!$C$30:$C$44,0)),0)))</f>
        <v/>
      </c>
      <c r="G150" s="24">
        <f>IF($D150="","",'03设备工时'!$F150)</f>
        <v/>
      </c>
      <c r="H150" s="24">
        <f>IF($D150="","",'03设备工时'!$P150)</f>
        <v/>
      </c>
      <c r="I150" s="20">
        <f>IF(OR($D150="",$G150=0),"",$H150/$G150)</f>
        <v/>
      </c>
      <c r="J150" s="12">
        <f>IF($D150="","",ROUND($F150,2)-$S150)</f>
        <v/>
      </c>
      <c r="K150" s="12">
        <f>IF(OR($D150="",$G150=0),"",ROUND($F150*'03设备工时'!H150/$G150,2))</f>
        <v/>
      </c>
      <c r="L150" s="12">
        <f>IF(OR($D150="",$G150=0),"",ROUND($F150*'03设备工时'!I150/$G150,2))</f>
        <v/>
      </c>
      <c r="M150" s="12">
        <f>IF(OR($D150="",$G150=0),"",ROUND($F150*'03设备工时'!J150/$G150,2))</f>
        <v/>
      </c>
      <c r="N150" s="12">
        <f>IF(OR($D150="",$G150=0),"",ROUND($F150*'03设备工时'!K150/$G150,2))</f>
        <v/>
      </c>
      <c r="O150" s="12">
        <f>IF(OR($D150="",$G150=0),"",ROUND($F150*'03设备工时'!L150/$G150,2))</f>
        <v/>
      </c>
      <c r="P150" s="12">
        <f>IF(OR($D150="",$G150=0),"",ROUND($F150*'03设备工时'!M150/$G150,2))</f>
        <v/>
      </c>
      <c r="Q150" s="12">
        <f>IF(OR($D150="",$G150=0),"",ROUND($F150*'03设备工时'!N150/$G150,2))</f>
        <v/>
      </c>
      <c r="R150" s="12">
        <f>IF(OR($D150="",$G150=0),"",ROUND($F150*'03设备工时'!O150/$G150,2))</f>
        <v/>
      </c>
      <c r="S150" s="12">
        <f>IF($D150="","",SUM(K150:R150))</f>
        <v/>
      </c>
      <c r="T150" s="12">
        <f>IF($D150="","",$J150+$S150)</f>
        <v/>
      </c>
      <c r="U150" s="25">
        <f>IF($D150="","",IF($F150=0,"未维护折旧额",IF(ROUND($T150-$F150,2)=0,"√","差异")))</f>
        <v/>
      </c>
      <c r="V150" s="11" t="n"/>
      <c r="W150" s="39">
        <f>IF($D150="","",IFERROR(INDEX('参数设置'!$F$30:$F$44,MATCH($D150,'参数设置'!$C$30:$C$44,0)),""))</f>
        <v/>
      </c>
    </row>
    <row r="151">
      <c r="B151" s="35" t="inlineStr">
        <is>
          <t>全年累计</t>
        </is>
      </c>
      <c r="C151" s="44" t="n"/>
      <c r="D151" s="44" t="n"/>
      <c r="E151" s="45" t="n"/>
      <c r="F151" s="36">
        <f>SUM(F7:F150)</f>
        <v/>
      </c>
      <c r="G151" s="37">
        <f>SUM(G7:G150)</f>
        <v/>
      </c>
      <c r="H151" s="37">
        <f>SUM(H7:H150)</f>
        <v/>
      </c>
      <c r="I151" s="38">
        <f>IF($G151=0,"",$H151/$G151)</f>
        <v/>
      </c>
      <c r="J151" s="36">
        <f>SUM(J7:J150)</f>
        <v/>
      </c>
      <c r="K151" s="36">
        <f>SUM(K7:K150)</f>
        <v/>
      </c>
      <c r="L151" s="36">
        <f>SUM(L7:L150)</f>
        <v/>
      </c>
      <c r="M151" s="36">
        <f>SUM(M7:M150)</f>
        <v/>
      </c>
      <c r="N151" s="36">
        <f>SUM(N7:N150)</f>
        <v/>
      </c>
      <c r="O151" s="36">
        <f>SUM(O7:O150)</f>
        <v/>
      </c>
      <c r="P151" s="36">
        <f>SUM(P7:P150)</f>
        <v/>
      </c>
      <c r="Q151" s="36">
        <f>SUM(Q7:Q150)</f>
        <v/>
      </c>
      <c r="R151" s="36">
        <f>SUM(R7:R150)</f>
        <v/>
      </c>
      <c r="S151" s="36">
        <f>SUM(S7:S150)</f>
        <v/>
      </c>
      <c r="T151" s="36">
        <f>SUM(T7:T150)</f>
        <v/>
      </c>
      <c r="U151" s="35" t="n"/>
      <c r="V151" s="35" t="n"/>
      <c r="W151" s="35" t="n"/>
    </row>
    <row r="153">
      <c r="B153" s="6" t="inlineStr">
        <is>
          <t>说明：某项目分摊额＝费用总额×该项目工时÷当月总工时；非研发承担额＝费用总额−研发各项目合计（含尾差），保证“非研发＋各项目＝合计＝费用总额”。</t>
        </is>
      </c>
    </row>
    <row r="154">
      <c r="B154" s="6" t="inlineStr">
        <is>
          <t>【本月实际金额（覆盖）】列留空时按【参数设置】页标准取数；填入数字则以填入数为准。</t>
        </is>
      </c>
    </row>
  </sheetData>
  <mergeCells count="17">
    <mergeCell ref="B2:W2"/>
    <mergeCell ref="V4:V6"/>
    <mergeCell ref="H4:H6"/>
    <mergeCell ref="S5:S6"/>
    <mergeCell ref="D4:D6"/>
    <mergeCell ref="W4:W6"/>
    <mergeCell ref="J5:J6"/>
    <mergeCell ref="B4:B6"/>
    <mergeCell ref="T4:T6"/>
    <mergeCell ref="U4:U6"/>
    <mergeCell ref="E4:E6"/>
    <mergeCell ref="G4:G6"/>
    <mergeCell ref="I4:I6"/>
    <mergeCell ref="J4:S4"/>
    <mergeCell ref="B151:E151"/>
    <mergeCell ref="C4:C6"/>
    <mergeCell ref="F4:F6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R102"/>
  <sheetViews>
    <sheetView showGridLines="0" workbookViewId="0">
      <pane xSplit="7" ySplit="6" topLeftCell="H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2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6" customWidth="1" min="18" max="18"/>
  </cols>
  <sheetData>
    <row r="2" ht="30" customHeight="1">
      <c r="B2" s="1" t="inlineStr">
        <is>
          <t>2026年  无形资产工时（研发部报送数据，粘贴区）</t>
        </is>
      </c>
    </row>
    <row r="3">
      <c r="Q3" s="13" t="inlineStr">
        <is>
          <t>数据来源：</t>
        </is>
      </c>
      <c r="R3" s="14" t="inlineStr">
        <is>
          <t>研发部工时台账</t>
        </is>
      </c>
    </row>
    <row r="4" ht="20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资产编号</t>
        </is>
      </c>
      <c r="E4" s="5" t="inlineStr">
        <is>
          <t>资产名称</t>
        </is>
      </c>
      <c r="F4" s="5" t="inlineStr">
        <is>
          <t>运行总工时
（小时）</t>
        </is>
      </c>
      <c r="G4" s="5" t="inlineStr">
        <is>
          <t>非研发活动工时
（小时）</t>
        </is>
      </c>
      <c r="H4" s="5" t="inlineStr">
        <is>
          <t>各项目分配工时（小时）</t>
        </is>
      </c>
      <c r="I4" s="44" t="n"/>
      <c r="J4" s="44" t="n"/>
      <c r="K4" s="44" t="n"/>
      <c r="L4" s="44" t="n"/>
      <c r="M4" s="44" t="n"/>
      <c r="N4" s="44" t="n"/>
      <c r="O4" s="44" t="n"/>
      <c r="P4" s="45" t="n"/>
      <c r="Q4" s="5" t="inlineStr">
        <is>
          <t>分摊系数</t>
        </is>
      </c>
      <c r="R4" s="5" t="inlineStr">
        <is>
          <t>备注</t>
        </is>
      </c>
    </row>
    <row r="5" ht="20" customHeight="1">
      <c r="B5" s="46" t="n"/>
      <c r="C5" s="46" t="n"/>
      <c r="D5" s="46" t="n"/>
      <c r="E5" s="46" t="n"/>
      <c r="F5" s="46" t="n"/>
      <c r="G5" s="46" t="n"/>
      <c r="H5" s="15">
        <f>'参数设置'!$C$6</f>
        <v/>
      </c>
      <c r="I5" s="15">
        <f>'参数设置'!$C$7</f>
        <v/>
      </c>
      <c r="J5" s="15">
        <f>'参数设置'!$C$8</f>
        <v/>
      </c>
      <c r="K5" s="15">
        <f>'参数设置'!$C$9</f>
        <v/>
      </c>
      <c r="L5" s="15">
        <f>'参数设置'!$C$10</f>
        <v/>
      </c>
      <c r="M5" s="15">
        <f>'参数设置'!$C$11</f>
        <v/>
      </c>
      <c r="N5" s="15">
        <f>'参数设置'!$C$12</f>
        <v/>
      </c>
      <c r="O5" s="15">
        <f>'参数设置'!$C$13</f>
        <v/>
      </c>
      <c r="P5" s="5" t="inlineStr">
        <is>
          <t>合计</t>
        </is>
      </c>
      <c r="Q5" s="16" t="inlineStr">
        <is>
          <t>研发工时/总工时</t>
        </is>
      </c>
      <c r="R5" s="46" t="n"/>
    </row>
    <row r="6" ht="20" customHeight="1">
      <c r="B6" s="47" t="n"/>
      <c r="C6" s="47" t="n"/>
      <c r="D6" s="47" t="n"/>
      <c r="E6" s="47" t="n"/>
      <c r="F6" s="47" t="n"/>
      <c r="G6" s="47" t="n"/>
      <c r="H6" s="15">
        <f>'参数设置'!$D$6</f>
        <v/>
      </c>
      <c r="I6" s="15">
        <f>'参数设置'!$D$7</f>
        <v/>
      </c>
      <c r="J6" s="15">
        <f>'参数设置'!$D$8</f>
        <v/>
      </c>
      <c r="K6" s="15">
        <f>'参数设置'!$D$9</f>
        <v/>
      </c>
      <c r="L6" s="15">
        <f>'参数设置'!$D$10</f>
        <v/>
      </c>
      <c r="M6" s="15">
        <f>'参数设置'!$D$11</f>
        <v/>
      </c>
      <c r="N6" s="15">
        <f>'参数设置'!$D$12</f>
        <v/>
      </c>
      <c r="O6" s="15">
        <f>'参数设置'!$D$13</f>
        <v/>
      </c>
      <c r="P6" s="47" t="n"/>
      <c r="Q6" s="47" t="n"/>
      <c r="R6" s="47" t="n"/>
    </row>
    <row r="7" ht="19" customHeight="1">
      <c r="B7" s="17" t="n">
        <v>9</v>
      </c>
      <c r="C7" s="8" t="n">
        <v>1</v>
      </c>
      <c r="D7" s="8" t="inlineStr">
        <is>
          <t>Z0001</t>
        </is>
      </c>
      <c r="E7" s="9" t="inlineStr">
        <is>
          <t>硬力</t>
        </is>
      </c>
      <c r="F7" s="18" t="n">
        <v>180</v>
      </c>
      <c r="G7" s="18" t="n">
        <v>36</v>
      </c>
      <c r="H7" s="18" t="n">
        <v>36</v>
      </c>
      <c r="I7" s="18" t="n">
        <v>36</v>
      </c>
      <c r="J7" s="18" t="n">
        <v>36</v>
      </c>
      <c r="K7" s="18" t="n">
        <v>36</v>
      </c>
      <c r="L7" s="18" t="n"/>
      <c r="M7" s="18" t="n"/>
      <c r="N7" s="18" t="n"/>
      <c r="O7" s="18" t="n"/>
      <c r="P7" s="19">
        <f>IF($D7="","",SUM(H7:O7))</f>
        <v/>
      </c>
      <c r="Q7" s="20">
        <f>IF(OR($D7="",$F7=0),"",$P7/$F7)</f>
        <v/>
      </c>
      <c r="R7" s="9" t="inlineStr">
        <is>
          <t>示例数据，启用前请清空</t>
        </is>
      </c>
    </row>
    <row r="8" ht="19" customHeight="1">
      <c r="B8" s="17" t="n">
        <v>9</v>
      </c>
      <c r="C8" s="8" t="n">
        <v>2</v>
      </c>
      <c r="D8" s="8" t="inlineStr">
        <is>
          <t>Z0002</t>
        </is>
      </c>
      <c r="E8" s="9" t="inlineStr">
        <is>
          <t>泡棉</t>
        </is>
      </c>
      <c r="F8" s="18" t="n">
        <v>180</v>
      </c>
      <c r="G8" s="18" t="n">
        <v>36</v>
      </c>
      <c r="H8" s="18" t="n"/>
      <c r="I8" s="18" t="n">
        <v>36</v>
      </c>
      <c r="J8" s="18" t="n">
        <v>36</v>
      </c>
      <c r="K8" s="18" t="n">
        <v>36</v>
      </c>
      <c r="L8" s="18" t="n">
        <v>36</v>
      </c>
      <c r="M8" s="18" t="n"/>
      <c r="N8" s="18" t="n"/>
      <c r="O8" s="18" t="n"/>
      <c r="P8" s="19">
        <f>IF($D8="","",SUM(H8:O8))</f>
        <v/>
      </c>
      <c r="Q8" s="20">
        <f>IF(OR($D8="",$F8=0),"",$P8/$F8)</f>
        <v/>
      </c>
      <c r="R8" s="9" t="n"/>
    </row>
    <row r="9" ht="19" customHeight="1">
      <c r="B9" s="17" t="n">
        <v>9</v>
      </c>
      <c r="C9" s="8" t="n">
        <v>3</v>
      </c>
      <c r="D9" s="8" t="inlineStr">
        <is>
          <t>Z0003</t>
        </is>
      </c>
      <c r="E9" s="9" t="inlineStr">
        <is>
          <t>拉力</t>
        </is>
      </c>
      <c r="F9" s="18" t="n">
        <v>180</v>
      </c>
      <c r="G9" s="18" t="n">
        <v>72</v>
      </c>
      <c r="H9" s="18" t="n">
        <v>36</v>
      </c>
      <c r="I9" s="18" t="n"/>
      <c r="J9" s="18" t="n">
        <v>36</v>
      </c>
      <c r="K9" s="18" t="n"/>
      <c r="L9" s="18" t="n">
        <v>36</v>
      </c>
      <c r="M9" s="18" t="n"/>
      <c r="N9" s="18" t="n"/>
      <c r="O9" s="18" t="n"/>
      <c r="P9" s="19">
        <f>IF($D9="","",SUM(H9:O9))</f>
        <v/>
      </c>
      <c r="Q9" s="20">
        <f>IF(OR($D9="",$F9=0),"",$P9/$F9)</f>
        <v/>
      </c>
      <c r="R9" s="9" t="n"/>
    </row>
    <row r="10" ht="19" customHeight="1">
      <c r="B10" s="17" t="n">
        <v>9</v>
      </c>
      <c r="C10" s="8" t="n">
        <v>4</v>
      </c>
      <c r="D10" s="8" t="inlineStr">
        <is>
          <t>Z0004</t>
        </is>
      </c>
      <c r="E10" s="9" t="inlineStr">
        <is>
          <t>贴合</t>
        </is>
      </c>
      <c r="F10" s="18" t="n">
        <v>180</v>
      </c>
      <c r="G10" s="18" t="n">
        <v>108</v>
      </c>
      <c r="H10" s="18" t="n">
        <v>36</v>
      </c>
      <c r="I10" s="18" t="n">
        <v>36</v>
      </c>
      <c r="J10" s="18" t="n"/>
      <c r="K10" s="18" t="n"/>
      <c r="L10" s="18" t="n"/>
      <c r="M10" s="18" t="n"/>
      <c r="N10" s="18" t="n"/>
      <c r="O10" s="18" t="n"/>
      <c r="P10" s="19">
        <f>IF($D10="","",SUM(H10:O10))</f>
        <v/>
      </c>
      <c r="Q10" s="20">
        <f>IF(OR($D10="",$F10=0),"",$P10/$F10)</f>
        <v/>
      </c>
      <c r="R10" s="9" t="n"/>
    </row>
    <row r="11" ht="19" customHeight="1">
      <c r="B11" s="17" t="n">
        <v>9</v>
      </c>
      <c r="C11" s="8" t="n">
        <v>5</v>
      </c>
      <c r="D11" s="8" t="inlineStr">
        <is>
          <t>Z0005</t>
        </is>
      </c>
      <c r="E11" s="9" t="inlineStr">
        <is>
          <t>拉手</t>
        </is>
      </c>
      <c r="F11" s="18" t="n">
        <v>180</v>
      </c>
      <c r="G11" s="18" t="n">
        <v>108</v>
      </c>
      <c r="H11" s="18" t="n"/>
      <c r="I11" s="18" t="n"/>
      <c r="J11" s="18" t="n"/>
      <c r="K11" s="18" t="n">
        <v>36</v>
      </c>
      <c r="L11" s="18" t="n">
        <v>36</v>
      </c>
      <c r="M11" s="18" t="n"/>
      <c r="N11" s="18" t="n"/>
      <c r="O11" s="18" t="n"/>
      <c r="P11" s="19">
        <f>IF($D11="","",SUM(H11:O11))</f>
        <v/>
      </c>
      <c r="Q11" s="20">
        <f>IF(OR($D11="",$F11=0),"",$P11/$F11)</f>
        <v/>
      </c>
      <c r="R11" s="9" t="n"/>
    </row>
    <row r="12" ht="19" customHeight="1">
      <c r="B12" s="17" t="n">
        <v>9</v>
      </c>
      <c r="C12" s="8" t="n">
        <v>6</v>
      </c>
      <c r="D12" s="8" t="inlineStr">
        <is>
          <t>Z0006</t>
        </is>
      </c>
      <c r="E12" s="9" t="inlineStr">
        <is>
          <t>配比</t>
        </is>
      </c>
      <c r="F12" s="18" t="n">
        <v>180</v>
      </c>
      <c r="G12" s="18" t="n">
        <v>144</v>
      </c>
      <c r="H12" s="18" t="n"/>
      <c r="I12" s="18" t="n"/>
      <c r="J12" s="18" t="n">
        <v>36</v>
      </c>
      <c r="K12" s="18" t="n"/>
      <c r="L12" s="18" t="n"/>
      <c r="M12" s="18" t="n"/>
      <c r="N12" s="18" t="n"/>
      <c r="O12" s="18" t="n"/>
      <c r="P12" s="19">
        <f>IF($D12="","",SUM(H12:O12))</f>
        <v/>
      </c>
      <c r="Q12" s="20">
        <f>IF(OR($D12="",$F12=0),"",$P12/$F12)</f>
        <v/>
      </c>
      <c r="R12" s="9" t="n"/>
    </row>
    <row r="13" ht="19" customHeight="1">
      <c r="B13" s="17" t="n"/>
      <c r="C13" s="8" t="n"/>
      <c r="D13" s="8" t="n"/>
      <c r="E13" s="9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9">
        <f>IF($D13="","",SUM(H13:O13))</f>
        <v/>
      </c>
      <c r="Q13" s="20">
        <f>IF(OR($D13="",$F13=0),"",$P13/$F13)</f>
        <v/>
      </c>
      <c r="R13" s="9" t="n"/>
    </row>
    <row r="14" ht="19" customHeight="1">
      <c r="B14" s="17" t="n"/>
      <c r="C14" s="8" t="n"/>
      <c r="D14" s="8" t="n"/>
      <c r="E14" s="9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9">
        <f>IF($D14="","",SUM(H14:O14))</f>
        <v/>
      </c>
      <c r="Q14" s="20">
        <f>IF(OR($D14="",$F14=0),"",$P14/$F14)</f>
        <v/>
      </c>
      <c r="R14" s="9" t="n"/>
    </row>
    <row r="15" ht="19" customHeight="1">
      <c r="B15" s="17" t="n"/>
      <c r="C15" s="8" t="n"/>
      <c r="D15" s="8" t="n"/>
      <c r="E15" s="9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9">
        <f>IF($D15="","",SUM(H15:O15))</f>
        <v/>
      </c>
      <c r="Q15" s="20">
        <f>IF(OR($D15="",$F15=0),"",$P15/$F15)</f>
        <v/>
      </c>
      <c r="R15" s="9" t="n"/>
    </row>
    <row r="16" ht="19" customHeight="1">
      <c r="B16" s="17" t="n"/>
      <c r="C16" s="8" t="n"/>
      <c r="D16" s="8" t="n"/>
      <c r="E16" s="9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9">
        <f>IF($D16="","",SUM(H16:O16))</f>
        <v/>
      </c>
      <c r="Q16" s="20">
        <f>IF(OR($D16="",$F16=0),"",$P16/$F16)</f>
        <v/>
      </c>
      <c r="R16" s="9" t="n"/>
    </row>
    <row r="17" ht="19" customHeight="1">
      <c r="B17" s="17" t="n"/>
      <c r="C17" s="8" t="n"/>
      <c r="D17" s="8" t="n"/>
      <c r="E17" s="9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>
        <f>IF($D17="","",SUM(H17:O17))</f>
        <v/>
      </c>
      <c r="Q17" s="20">
        <f>IF(OR($D17="",$F17=0),"",$P17/$F17)</f>
        <v/>
      </c>
      <c r="R17" s="9" t="n"/>
    </row>
    <row r="18" ht="19" customHeight="1">
      <c r="B18" s="17" t="n"/>
      <c r="C18" s="8" t="n"/>
      <c r="D18" s="8" t="n"/>
      <c r="E18" s="9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9">
        <f>IF($D18="","",SUM(H18:O18))</f>
        <v/>
      </c>
      <c r="Q18" s="20">
        <f>IF(OR($D18="",$F18=0),"",$P18/$F18)</f>
        <v/>
      </c>
      <c r="R18" s="9" t="n"/>
    </row>
    <row r="19" ht="19" customHeight="1">
      <c r="B19" s="17" t="n"/>
      <c r="C19" s="8" t="n"/>
      <c r="D19" s="8" t="n"/>
      <c r="E19" s="9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9">
        <f>IF($D19="","",SUM(H19:O19))</f>
        <v/>
      </c>
      <c r="Q19" s="20">
        <f>IF(OR($D19="",$F19=0),"",$P19/$F19)</f>
        <v/>
      </c>
      <c r="R19" s="9" t="n"/>
    </row>
    <row r="20" ht="19" customHeight="1">
      <c r="B20" s="17" t="n"/>
      <c r="C20" s="8" t="n"/>
      <c r="D20" s="8" t="n"/>
      <c r="E20" s="9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9">
        <f>IF($D20="","",SUM(H20:O20))</f>
        <v/>
      </c>
      <c r="Q20" s="20">
        <f>IF(OR($D20="",$F20=0),"",$P20/$F20)</f>
        <v/>
      </c>
      <c r="R20" s="9" t="n"/>
    </row>
    <row r="21" ht="19" customHeight="1">
      <c r="B21" s="17" t="n"/>
      <c r="C21" s="8" t="n"/>
      <c r="D21" s="8" t="n"/>
      <c r="E21" s="9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9">
        <f>IF($D21="","",SUM(H21:O21))</f>
        <v/>
      </c>
      <c r="Q21" s="20">
        <f>IF(OR($D21="",$F21=0),"",$P21/$F21)</f>
        <v/>
      </c>
      <c r="R21" s="9" t="n"/>
    </row>
    <row r="22" ht="19" customHeight="1">
      <c r="B22" s="17" t="n"/>
      <c r="C22" s="8" t="n"/>
      <c r="D22" s="8" t="n"/>
      <c r="E22" s="9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9">
        <f>IF($D22="","",SUM(H22:O22))</f>
        <v/>
      </c>
      <c r="Q22" s="20">
        <f>IF(OR($D22="",$F22=0),"",$P22/$F22)</f>
        <v/>
      </c>
      <c r="R22" s="9" t="n"/>
    </row>
    <row r="23" ht="19" customHeight="1">
      <c r="B23" s="17" t="n"/>
      <c r="C23" s="8" t="n"/>
      <c r="D23" s="8" t="n"/>
      <c r="E23" s="9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9">
        <f>IF($D23="","",SUM(H23:O23))</f>
        <v/>
      </c>
      <c r="Q23" s="20">
        <f>IF(OR($D23="",$F23=0),"",$P23/$F23)</f>
        <v/>
      </c>
      <c r="R23" s="9" t="n"/>
    </row>
    <row r="24" ht="19" customHeight="1">
      <c r="B24" s="17" t="n"/>
      <c r="C24" s="8" t="n"/>
      <c r="D24" s="8" t="n"/>
      <c r="E24" s="9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9">
        <f>IF($D24="","",SUM(H24:O24))</f>
        <v/>
      </c>
      <c r="Q24" s="20">
        <f>IF(OR($D24="",$F24=0),"",$P24/$F24)</f>
        <v/>
      </c>
      <c r="R24" s="9" t="n"/>
    </row>
    <row r="25" ht="19" customHeight="1">
      <c r="B25" s="17" t="n"/>
      <c r="C25" s="8" t="n"/>
      <c r="D25" s="8" t="n"/>
      <c r="E25" s="9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9">
        <f>IF($D25="","",SUM(H25:O25))</f>
        <v/>
      </c>
      <c r="Q25" s="20">
        <f>IF(OR($D25="",$F25=0),"",$P25/$F25)</f>
        <v/>
      </c>
      <c r="R25" s="9" t="n"/>
    </row>
    <row r="26" ht="19" customHeight="1">
      <c r="B26" s="17" t="n"/>
      <c r="C26" s="8" t="n"/>
      <c r="D26" s="8" t="n"/>
      <c r="E26" s="9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9">
        <f>IF($D26="","",SUM(H26:O26))</f>
        <v/>
      </c>
      <c r="Q26" s="20">
        <f>IF(OR($D26="",$F26=0),"",$P26/$F26)</f>
        <v/>
      </c>
      <c r="R26" s="9" t="n"/>
    </row>
    <row r="27" ht="19" customHeight="1">
      <c r="B27" s="17" t="n"/>
      <c r="C27" s="8" t="n"/>
      <c r="D27" s="8" t="n"/>
      <c r="E27" s="9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9">
        <f>IF($D27="","",SUM(H27:O27))</f>
        <v/>
      </c>
      <c r="Q27" s="20">
        <f>IF(OR($D27="",$F27=0),"",$P27/$F27)</f>
        <v/>
      </c>
      <c r="R27" s="9" t="n"/>
    </row>
    <row r="28" ht="19" customHeight="1">
      <c r="B28" s="17" t="n"/>
      <c r="C28" s="8" t="n"/>
      <c r="D28" s="8" t="n"/>
      <c r="E28" s="9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9">
        <f>IF($D28="","",SUM(H28:O28))</f>
        <v/>
      </c>
      <c r="Q28" s="20">
        <f>IF(OR($D28="",$F28=0),"",$P28/$F28)</f>
        <v/>
      </c>
      <c r="R28" s="9" t="n"/>
    </row>
    <row r="29" ht="19" customHeight="1">
      <c r="B29" s="17" t="n"/>
      <c r="C29" s="8" t="n"/>
      <c r="D29" s="8" t="n"/>
      <c r="E29" s="9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9">
        <f>IF($D29="","",SUM(H29:O29))</f>
        <v/>
      </c>
      <c r="Q29" s="20">
        <f>IF(OR($D29="",$F29=0),"",$P29/$F29)</f>
        <v/>
      </c>
      <c r="R29" s="9" t="n"/>
    </row>
    <row r="30" ht="19" customHeight="1">
      <c r="B30" s="17" t="n"/>
      <c r="C30" s="8" t="n"/>
      <c r="D30" s="8" t="n"/>
      <c r="E30" s="9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9">
        <f>IF($D30="","",SUM(H30:O30))</f>
        <v/>
      </c>
      <c r="Q30" s="20">
        <f>IF(OR($D30="",$F30=0),"",$P30/$F30)</f>
        <v/>
      </c>
      <c r="R30" s="9" t="n"/>
    </row>
    <row r="31" ht="19" customHeight="1">
      <c r="B31" s="17" t="n"/>
      <c r="C31" s="8" t="n"/>
      <c r="D31" s="8" t="n"/>
      <c r="E31" s="9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9">
        <f>IF($D31="","",SUM(H31:O31))</f>
        <v/>
      </c>
      <c r="Q31" s="20">
        <f>IF(OR($D31="",$F31=0),"",$P31/$F31)</f>
        <v/>
      </c>
      <c r="R31" s="9" t="n"/>
    </row>
    <row r="32" ht="19" customHeight="1">
      <c r="B32" s="17" t="n"/>
      <c r="C32" s="8" t="n"/>
      <c r="D32" s="8" t="n"/>
      <c r="E32" s="9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9">
        <f>IF($D32="","",SUM(H32:O32))</f>
        <v/>
      </c>
      <c r="Q32" s="20">
        <f>IF(OR($D32="",$F32=0),"",$P32/$F32)</f>
        <v/>
      </c>
      <c r="R32" s="9" t="n"/>
    </row>
    <row r="33" ht="19" customHeight="1">
      <c r="B33" s="17" t="n"/>
      <c r="C33" s="8" t="n"/>
      <c r="D33" s="8" t="n"/>
      <c r="E33" s="9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9">
        <f>IF($D33="","",SUM(H33:O33))</f>
        <v/>
      </c>
      <c r="Q33" s="20">
        <f>IF(OR($D33="",$F33=0),"",$P33/$F33)</f>
        <v/>
      </c>
      <c r="R33" s="9" t="n"/>
    </row>
    <row r="34" ht="19" customHeight="1">
      <c r="B34" s="17" t="n"/>
      <c r="C34" s="8" t="n"/>
      <c r="D34" s="8" t="n"/>
      <c r="E34" s="9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9">
        <f>IF($D34="","",SUM(H34:O34))</f>
        <v/>
      </c>
      <c r="Q34" s="20">
        <f>IF(OR($D34="",$F34=0),"",$P34/$F34)</f>
        <v/>
      </c>
      <c r="R34" s="9" t="n"/>
    </row>
    <row r="35" ht="19" customHeight="1">
      <c r="B35" s="17" t="n"/>
      <c r="C35" s="8" t="n"/>
      <c r="D35" s="8" t="n"/>
      <c r="E35" s="9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9">
        <f>IF($D35="","",SUM(H35:O35))</f>
        <v/>
      </c>
      <c r="Q35" s="20">
        <f>IF(OR($D35="",$F35=0),"",$P35/$F35)</f>
        <v/>
      </c>
      <c r="R35" s="9" t="n"/>
    </row>
    <row r="36" ht="19" customHeight="1">
      <c r="B36" s="17" t="n"/>
      <c r="C36" s="8" t="n"/>
      <c r="D36" s="8" t="n"/>
      <c r="E36" s="9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9">
        <f>IF($D36="","",SUM(H36:O36))</f>
        <v/>
      </c>
      <c r="Q36" s="20">
        <f>IF(OR($D36="",$F36=0),"",$P36/$F36)</f>
        <v/>
      </c>
      <c r="R36" s="9" t="n"/>
    </row>
    <row r="37" ht="19" customHeight="1">
      <c r="B37" s="17" t="n"/>
      <c r="C37" s="8" t="n"/>
      <c r="D37" s="8" t="n"/>
      <c r="E37" s="9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9">
        <f>IF($D37="","",SUM(H37:O37))</f>
        <v/>
      </c>
      <c r="Q37" s="20">
        <f>IF(OR($D37="",$F37=0),"",$P37/$F37)</f>
        <v/>
      </c>
      <c r="R37" s="9" t="n"/>
    </row>
    <row r="38" ht="19" customHeight="1">
      <c r="B38" s="17" t="n"/>
      <c r="C38" s="8" t="n"/>
      <c r="D38" s="8" t="n"/>
      <c r="E38" s="9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9">
        <f>IF($D38="","",SUM(H38:O38))</f>
        <v/>
      </c>
      <c r="Q38" s="20">
        <f>IF(OR($D38="",$F38=0),"",$P38/$F38)</f>
        <v/>
      </c>
      <c r="R38" s="9" t="n"/>
    </row>
    <row r="39" ht="19" customHeight="1">
      <c r="B39" s="17" t="n"/>
      <c r="C39" s="8" t="n"/>
      <c r="D39" s="8" t="n"/>
      <c r="E39" s="9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9">
        <f>IF($D39="","",SUM(H39:O39))</f>
        <v/>
      </c>
      <c r="Q39" s="20">
        <f>IF(OR($D39="",$F39=0),"",$P39/$F39)</f>
        <v/>
      </c>
      <c r="R39" s="9" t="n"/>
    </row>
    <row r="40" ht="19" customHeight="1">
      <c r="B40" s="17" t="n"/>
      <c r="C40" s="8" t="n"/>
      <c r="D40" s="8" t="n"/>
      <c r="E40" s="9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9">
        <f>IF($D40="","",SUM(H40:O40))</f>
        <v/>
      </c>
      <c r="Q40" s="20">
        <f>IF(OR($D40="",$F40=0),"",$P40/$F40)</f>
        <v/>
      </c>
      <c r="R40" s="9" t="n"/>
    </row>
    <row r="41" ht="19" customHeight="1">
      <c r="B41" s="17" t="n"/>
      <c r="C41" s="8" t="n"/>
      <c r="D41" s="8" t="n"/>
      <c r="E41" s="9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9">
        <f>IF($D41="","",SUM(H41:O41))</f>
        <v/>
      </c>
      <c r="Q41" s="20">
        <f>IF(OR($D41="",$F41=0),"",$P41/$F41)</f>
        <v/>
      </c>
      <c r="R41" s="9" t="n"/>
    </row>
    <row r="42" ht="19" customHeight="1">
      <c r="B42" s="17" t="n"/>
      <c r="C42" s="8" t="n"/>
      <c r="D42" s="8" t="n"/>
      <c r="E42" s="9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9">
        <f>IF($D42="","",SUM(H42:O42))</f>
        <v/>
      </c>
      <c r="Q42" s="20">
        <f>IF(OR($D42="",$F42=0),"",$P42/$F42)</f>
        <v/>
      </c>
      <c r="R42" s="9" t="n"/>
    </row>
    <row r="43" ht="19" customHeight="1">
      <c r="B43" s="17" t="n"/>
      <c r="C43" s="8" t="n"/>
      <c r="D43" s="8" t="n"/>
      <c r="E43" s="9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9">
        <f>IF($D43="","",SUM(H43:O43))</f>
        <v/>
      </c>
      <c r="Q43" s="20">
        <f>IF(OR($D43="",$F43=0),"",$P43/$F43)</f>
        <v/>
      </c>
      <c r="R43" s="9" t="n"/>
    </row>
    <row r="44" ht="19" customHeight="1">
      <c r="B44" s="17" t="n"/>
      <c r="C44" s="8" t="n"/>
      <c r="D44" s="8" t="n"/>
      <c r="E44" s="9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9">
        <f>IF($D44="","",SUM(H44:O44))</f>
        <v/>
      </c>
      <c r="Q44" s="20">
        <f>IF(OR($D44="",$F44=0),"",$P44/$F44)</f>
        <v/>
      </c>
      <c r="R44" s="9" t="n"/>
    </row>
    <row r="45" ht="19" customHeight="1">
      <c r="B45" s="17" t="n"/>
      <c r="C45" s="8" t="n"/>
      <c r="D45" s="8" t="n"/>
      <c r="E45" s="9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9">
        <f>IF($D45="","",SUM(H45:O45))</f>
        <v/>
      </c>
      <c r="Q45" s="20">
        <f>IF(OR($D45="",$F45=0),"",$P45/$F45)</f>
        <v/>
      </c>
      <c r="R45" s="9" t="n"/>
    </row>
    <row r="46" ht="19" customHeight="1">
      <c r="B46" s="17" t="n"/>
      <c r="C46" s="8" t="n"/>
      <c r="D46" s="8" t="n"/>
      <c r="E46" s="9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9">
        <f>IF($D46="","",SUM(H46:O46))</f>
        <v/>
      </c>
      <c r="Q46" s="20">
        <f>IF(OR($D46="",$F46=0),"",$P46/$F46)</f>
        <v/>
      </c>
      <c r="R46" s="9" t="n"/>
    </row>
    <row r="47" ht="19" customHeight="1">
      <c r="B47" s="17" t="n"/>
      <c r="C47" s="8" t="n"/>
      <c r="D47" s="8" t="n"/>
      <c r="E47" s="9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9">
        <f>IF($D47="","",SUM(H47:O47))</f>
        <v/>
      </c>
      <c r="Q47" s="20">
        <f>IF(OR($D47="",$F47=0),"",$P47/$F47)</f>
        <v/>
      </c>
      <c r="R47" s="9" t="n"/>
    </row>
    <row r="48" ht="19" customHeight="1">
      <c r="B48" s="17" t="n"/>
      <c r="C48" s="8" t="n"/>
      <c r="D48" s="8" t="n"/>
      <c r="E48" s="9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9">
        <f>IF($D48="","",SUM(H48:O48))</f>
        <v/>
      </c>
      <c r="Q48" s="20">
        <f>IF(OR($D48="",$F48=0),"",$P48/$F48)</f>
        <v/>
      </c>
      <c r="R48" s="9" t="n"/>
    </row>
    <row r="49" ht="19" customHeight="1">
      <c r="B49" s="17" t="n"/>
      <c r="C49" s="8" t="n"/>
      <c r="D49" s="8" t="n"/>
      <c r="E49" s="9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9">
        <f>IF($D49="","",SUM(H49:O49))</f>
        <v/>
      </c>
      <c r="Q49" s="20">
        <f>IF(OR($D49="",$F49=0),"",$P49/$F49)</f>
        <v/>
      </c>
      <c r="R49" s="9" t="n"/>
    </row>
    <row r="50" ht="19" customHeight="1">
      <c r="B50" s="17" t="n"/>
      <c r="C50" s="8" t="n"/>
      <c r="D50" s="8" t="n"/>
      <c r="E50" s="9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9">
        <f>IF($D50="","",SUM(H50:O50))</f>
        <v/>
      </c>
      <c r="Q50" s="20">
        <f>IF(OR($D50="",$F50=0),"",$P50/$F50)</f>
        <v/>
      </c>
      <c r="R50" s="9" t="n"/>
    </row>
    <row r="51" ht="19" customHeight="1">
      <c r="B51" s="17" t="n"/>
      <c r="C51" s="8" t="n"/>
      <c r="D51" s="8" t="n"/>
      <c r="E51" s="9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9">
        <f>IF($D51="","",SUM(H51:O51))</f>
        <v/>
      </c>
      <c r="Q51" s="20">
        <f>IF(OR($D51="",$F51=0),"",$P51/$F51)</f>
        <v/>
      </c>
      <c r="R51" s="9" t="n"/>
    </row>
    <row r="52" ht="19" customHeight="1">
      <c r="B52" s="17" t="n"/>
      <c r="C52" s="8" t="n"/>
      <c r="D52" s="8" t="n"/>
      <c r="E52" s="9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9">
        <f>IF($D52="","",SUM(H52:O52))</f>
        <v/>
      </c>
      <c r="Q52" s="20">
        <f>IF(OR($D52="",$F52=0),"",$P52/$F52)</f>
        <v/>
      </c>
      <c r="R52" s="9" t="n"/>
    </row>
    <row r="53" ht="19" customHeight="1">
      <c r="B53" s="17" t="n"/>
      <c r="C53" s="8" t="n"/>
      <c r="D53" s="8" t="n"/>
      <c r="E53" s="9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9">
        <f>IF($D53="","",SUM(H53:O53))</f>
        <v/>
      </c>
      <c r="Q53" s="20">
        <f>IF(OR($D53="",$F53=0),"",$P53/$F53)</f>
        <v/>
      </c>
      <c r="R53" s="9" t="n"/>
    </row>
    <row r="54" ht="19" customHeight="1">
      <c r="B54" s="17" t="n"/>
      <c r="C54" s="8" t="n"/>
      <c r="D54" s="8" t="n"/>
      <c r="E54" s="9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9">
        <f>IF($D54="","",SUM(H54:O54))</f>
        <v/>
      </c>
      <c r="Q54" s="20">
        <f>IF(OR($D54="",$F54=0),"",$P54/$F54)</f>
        <v/>
      </c>
      <c r="R54" s="9" t="n"/>
    </row>
    <row r="55" ht="19" customHeight="1">
      <c r="B55" s="17" t="n"/>
      <c r="C55" s="8" t="n"/>
      <c r="D55" s="8" t="n"/>
      <c r="E55" s="9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9">
        <f>IF($D55="","",SUM(H55:O55))</f>
        <v/>
      </c>
      <c r="Q55" s="20">
        <f>IF(OR($D55="",$F55=0),"",$P55/$F55)</f>
        <v/>
      </c>
      <c r="R55" s="9" t="n"/>
    </row>
    <row r="56" ht="19" customHeight="1">
      <c r="B56" s="17" t="n"/>
      <c r="C56" s="8" t="n"/>
      <c r="D56" s="8" t="n"/>
      <c r="E56" s="9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9">
        <f>IF($D56="","",SUM(H56:O56))</f>
        <v/>
      </c>
      <c r="Q56" s="20">
        <f>IF(OR($D56="",$F56=0),"",$P56/$F56)</f>
        <v/>
      </c>
      <c r="R56" s="9" t="n"/>
    </row>
    <row r="57" ht="19" customHeight="1">
      <c r="B57" s="17" t="n"/>
      <c r="C57" s="8" t="n"/>
      <c r="D57" s="8" t="n"/>
      <c r="E57" s="9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9">
        <f>IF($D57="","",SUM(H57:O57))</f>
        <v/>
      </c>
      <c r="Q57" s="20">
        <f>IF(OR($D57="",$F57=0),"",$P57/$F57)</f>
        <v/>
      </c>
      <c r="R57" s="9" t="n"/>
    </row>
    <row r="58" ht="19" customHeight="1">
      <c r="B58" s="17" t="n"/>
      <c r="C58" s="8" t="n"/>
      <c r="D58" s="8" t="n"/>
      <c r="E58" s="9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9">
        <f>IF($D58="","",SUM(H58:O58))</f>
        <v/>
      </c>
      <c r="Q58" s="20">
        <f>IF(OR($D58="",$F58=0),"",$P58/$F58)</f>
        <v/>
      </c>
      <c r="R58" s="9" t="n"/>
    </row>
    <row r="59" ht="19" customHeight="1">
      <c r="B59" s="17" t="n"/>
      <c r="C59" s="8" t="n"/>
      <c r="D59" s="8" t="n"/>
      <c r="E59" s="9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9">
        <f>IF($D59="","",SUM(H59:O59))</f>
        <v/>
      </c>
      <c r="Q59" s="20">
        <f>IF(OR($D59="",$F59=0),"",$P59/$F59)</f>
        <v/>
      </c>
      <c r="R59" s="9" t="n"/>
    </row>
    <row r="60" ht="19" customHeight="1">
      <c r="B60" s="17" t="n"/>
      <c r="C60" s="8" t="n"/>
      <c r="D60" s="8" t="n"/>
      <c r="E60" s="9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9">
        <f>IF($D60="","",SUM(H60:O60))</f>
        <v/>
      </c>
      <c r="Q60" s="20">
        <f>IF(OR($D60="",$F60=0),"",$P60/$F60)</f>
        <v/>
      </c>
      <c r="R60" s="9" t="n"/>
    </row>
    <row r="61" ht="19" customHeight="1">
      <c r="B61" s="17" t="n"/>
      <c r="C61" s="8" t="n"/>
      <c r="D61" s="8" t="n"/>
      <c r="E61" s="9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9">
        <f>IF($D61="","",SUM(H61:O61))</f>
        <v/>
      </c>
      <c r="Q61" s="20">
        <f>IF(OR($D61="",$F61=0),"",$P61/$F61)</f>
        <v/>
      </c>
      <c r="R61" s="9" t="n"/>
    </row>
    <row r="62" ht="19" customHeight="1">
      <c r="B62" s="17" t="n"/>
      <c r="C62" s="8" t="n"/>
      <c r="D62" s="8" t="n"/>
      <c r="E62" s="9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9">
        <f>IF($D62="","",SUM(H62:O62))</f>
        <v/>
      </c>
      <c r="Q62" s="20">
        <f>IF(OR($D62="",$F62=0),"",$P62/$F62)</f>
        <v/>
      </c>
      <c r="R62" s="9" t="n"/>
    </row>
    <row r="63" ht="19" customHeight="1">
      <c r="B63" s="17" t="n"/>
      <c r="C63" s="8" t="n"/>
      <c r="D63" s="8" t="n"/>
      <c r="E63" s="9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9">
        <f>IF($D63="","",SUM(H63:O63))</f>
        <v/>
      </c>
      <c r="Q63" s="20">
        <f>IF(OR($D63="",$F63=0),"",$P63/$F63)</f>
        <v/>
      </c>
      <c r="R63" s="9" t="n"/>
    </row>
    <row r="64" ht="19" customHeight="1">
      <c r="B64" s="17" t="n"/>
      <c r="C64" s="8" t="n"/>
      <c r="D64" s="8" t="n"/>
      <c r="E64" s="9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9">
        <f>IF($D64="","",SUM(H64:O64))</f>
        <v/>
      </c>
      <c r="Q64" s="20">
        <f>IF(OR($D64="",$F64=0),"",$P64/$F64)</f>
        <v/>
      </c>
      <c r="R64" s="9" t="n"/>
    </row>
    <row r="65" ht="19" customHeight="1">
      <c r="B65" s="17" t="n"/>
      <c r="C65" s="8" t="n"/>
      <c r="D65" s="8" t="n"/>
      <c r="E65" s="9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9">
        <f>IF($D65="","",SUM(H65:O65))</f>
        <v/>
      </c>
      <c r="Q65" s="20">
        <f>IF(OR($D65="",$F65=0),"",$P65/$F65)</f>
        <v/>
      </c>
      <c r="R65" s="9" t="n"/>
    </row>
    <row r="66" ht="19" customHeight="1">
      <c r="B66" s="17" t="n"/>
      <c r="C66" s="8" t="n"/>
      <c r="D66" s="8" t="n"/>
      <c r="E66" s="9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9">
        <f>IF($D66="","",SUM(H66:O66))</f>
        <v/>
      </c>
      <c r="Q66" s="20">
        <f>IF(OR($D66="",$F66=0),"",$P66/$F66)</f>
        <v/>
      </c>
      <c r="R66" s="9" t="n"/>
    </row>
    <row r="67" ht="19" customHeight="1">
      <c r="B67" s="17" t="n"/>
      <c r="C67" s="8" t="n"/>
      <c r="D67" s="8" t="n"/>
      <c r="E67" s="9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9">
        <f>IF($D67="","",SUM(H67:O67))</f>
        <v/>
      </c>
      <c r="Q67" s="20">
        <f>IF(OR($D67="",$F67=0),"",$P67/$F67)</f>
        <v/>
      </c>
      <c r="R67" s="9" t="n"/>
    </row>
    <row r="68" ht="19" customHeight="1">
      <c r="B68" s="17" t="n"/>
      <c r="C68" s="8" t="n"/>
      <c r="D68" s="8" t="n"/>
      <c r="E68" s="9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9">
        <f>IF($D68="","",SUM(H68:O68))</f>
        <v/>
      </c>
      <c r="Q68" s="20">
        <f>IF(OR($D68="",$F68=0),"",$P68/$F68)</f>
        <v/>
      </c>
      <c r="R68" s="9" t="n"/>
    </row>
    <row r="69" ht="19" customHeight="1">
      <c r="B69" s="17" t="n"/>
      <c r="C69" s="8" t="n"/>
      <c r="D69" s="8" t="n"/>
      <c r="E69" s="9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9">
        <f>IF($D69="","",SUM(H69:O69))</f>
        <v/>
      </c>
      <c r="Q69" s="20">
        <f>IF(OR($D69="",$F69=0),"",$P69/$F69)</f>
        <v/>
      </c>
      <c r="R69" s="9" t="n"/>
    </row>
    <row r="70" ht="19" customHeight="1">
      <c r="B70" s="17" t="n"/>
      <c r="C70" s="8" t="n"/>
      <c r="D70" s="8" t="n"/>
      <c r="E70" s="9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9">
        <f>IF($D70="","",SUM(H70:O70))</f>
        <v/>
      </c>
      <c r="Q70" s="20">
        <f>IF(OR($D70="",$F70=0),"",$P70/$F70)</f>
        <v/>
      </c>
      <c r="R70" s="9" t="n"/>
    </row>
    <row r="71" ht="19" customHeight="1">
      <c r="B71" s="17" t="n"/>
      <c r="C71" s="8" t="n"/>
      <c r="D71" s="8" t="n"/>
      <c r="E71" s="9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9">
        <f>IF($D71="","",SUM(H71:O71))</f>
        <v/>
      </c>
      <c r="Q71" s="20">
        <f>IF(OR($D71="",$F71=0),"",$P71/$F71)</f>
        <v/>
      </c>
      <c r="R71" s="9" t="n"/>
    </row>
    <row r="72" ht="19" customHeight="1">
      <c r="B72" s="17" t="n"/>
      <c r="C72" s="8" t="n"/>
      <c r="D72" s="8" t="n"/>
      <c r="E72" s="9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9">
        <f>IF($D72="","",SUM(H72:O72))</f>
        <v/>
      </c>
      <c r="Q72" s="20">
        <f>IF(OR($D72="",$F72=0),"",$P72/$F72)</f>
        <v/>
      </c>
      <c r="R72" s="9" t="n"/>
    </row>
    <row r="73" ht="19" customHeight="1">
      <c r="B73" s="17" t="n"/>
      <c r="C73" s="8" t="n"/>
      <c r="D73" s="8" t="n"/>
      <c r="E73" s="9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9">
        <f>IF($D73="","",SUM(H73:O73))</f>
        <v/>
      </c>
      <c r="Q73" s="20">
        <f>IF(OR($D73="",$F73=0),"",$P73/$F73)</f>
        <v/>
      </c>
      <c r="R73" s="9" t="n"/>
    </row>
    <row r="74" ht="19" customHeight="1">
      <c r="B74" s="17" t="n"/>
      <c r="C74" s="8" t="n"/>
      <c r="D74" s="8" t="n"/>
      <c r="E74" s="9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9">
        <f>IF($D74="","",SUM(H74:O74))</f>
        <v/>
      </c>
      <c r="Q74" s="20">
        <f>IF(OR($D74="",$F74=0),"",$P74/$F74)</f>
        <v/>
      </c>
      <c r="R74" s="9" t="n"/>
    </row>
    <row r="75" ht="19" customHeight="1">
      <c r="B75" s="17" t="n"/>
      <c r="C75" s="8" t="n"/>
      <c r="D75" s="8" t="n"/>
      <c r="E75" s="9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9">
        <f>IF($D75="","",SUM(H75:O75))</f>
        <v/>
      </c>
      <c r="Q75" s="20">
        <f>IF(OR($D75="",$F75=0),"",$P75/$F75)</f>
        <v/>
      </c>
      <c r="R75" s="9" t="n"/>
    </row>
    <row r="76" ht="19" customHeight="1">
      <c r="B76" s="17" t="n"/>
      <c r="C76" s="8" t="n"/>
      <c r="D76" s="8" t="n"/>
      <c r="E76" s="9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9">
        <f>IF($D76="","",SUM(H76:O76))</f>
        <v/>
      </c>
      <c r="Q76" s="20">
        <f>IF(OR($D76="",$F76=0),"",$P76/$F76)</f>
        <v/>
      </c>
      <c r="R76" s="9" t="n"/>
    </row>
    <row r="77" ht="19" customHeight="1">
      <c r="B77" s="17" t="n"/>
      <c r="C77" s="8" t="n"/>
      <c r="D77" s="8" t="n"/>
      <c r="E77" s="9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9">
        <f>IF($D77="","",SUM(H77:O77))</f>
        <v/>
      </c>
      <c r="Q77" s="20">
        <f>IF(OR($D77="",$F77=0),"",$P77/$F77)</f>
        <v/>
      </c>
      <c r="R77" s="9" t="n"/>
    </row>
    <row r="78" ht="19" customHeight="1">
      <c r="B78" s="17" t="n"/>
      <c r="C78" s="8" t="n"/>
      <c r="D78" s="8" t="n"/>
      <c r="E78" s="9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9">
        <f>IF($D78="","",SUM(H78:O78))</f>
        <v/>
      </c>
      <c r="Q78" s="20">
        <f>IF(OR($D78="",$F78=0),"",$P78/$F78)</f>
        <v/>
      </c>
      <c r="R78" s="9" t="n"/>
    </row>
    <row r="79" ht="19" customHeight="1">
      <c r="B79" s="17" t="n"/>
      <c r="C79" s="8" t="n"/>
      <c r="D79" s="8" t="n"/>
      <c r="E79" s="9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9">
        <f>IF($D79="","",SUM(H79:O79))</f>
        <v/>
      </c>
      <c r="Q79" s="20">
        <f>IF(OR($D79="",$F79=0),"",$P79/$F79)</f>
        <v/>
      </c>
      <c r="R79" s="9" t="n"/>
    </row>
    <row r="80" ht="19" customHeight="1">
      <c r="B80" s="17" t="n"/>
      <c r="C80" s="8" t="n"/>
      <c r="D80" s="8" t="n"/>
      <c r="E80" s="9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9">
        <f>IF($D80="","",SUM(H80:O80))</f>
        <v/>
      </c>
      <c r="Q80" s="20">
        <f>IF(OR($D80="",$F80=0),"",$P80/$F80)</f>
        <v/>
      </c>
      <c r="R80" s="9" t="n"/>
    </row>
    <row r="81" ht="19" customHeight="1">
      <c r="B81" s="17" t="n"/>
      <c r="C81" s="8" t="n"/>
      <c r="D81" s="8" t="n"/>
      <c r="E81" s="9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9">
        <f>IF($D81="","",SUM(H81:O81))</f>
        <v/>
      </c>
      <c r="Q81" s="20">
        <f>IF(OR($D81="",$F81=0),"",$P81/$F81)</f>
        <v/>
      </c>
      <c r="R81" s="9" t="n"/>
    </row>
    <row r="82" ht="19" customHeight="1">
      <c r="B82" s="17" t="n"/>
      <c r="C82" s="8" t="n"/>
      <c r="D82" s="8" t="n"/>
      <c r="E82" s="9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9">
        <f>IF($D82="","",SUM(H82:O82))</f>
        <v/>
      </c>
      <c r="Q82" s="20">
        <f>IF(OR($D82="",$F82=0),"",$P82/$F82)</f>
        <v/>
      </c>
      <c r="R82" s="9" t="n"/>
    </row>
    <row r="83" ht="19" customHeight="1">
      <c r="B83" s="17" t="n"/>
      <c r="C83" s="8" t="n"/>
      <c r="D83" s="8" t="n"/>
      <c r="E83" s="9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9">
        <f>IF($D83="","",SUM(H83:O83))</f>
        <v/>
      </c>
      <c r="Q83" s="20">
        <f>IF(OR($D83="",$F83=0),"",$P83/$F83)</f>
        <v/>
      </c>
      <c r="R83" s="9" t="n"/>
    </row>
    <row r="84" ht="19" customHeight="1">
      <c r="B84" s="17" t="n"/>
      <c r="C84" s="8" t="n"/>
      <c r="D84" s="8" t="n"/>
      <c r="E84" s="9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9">
        <f>IF($D84="","",SUM(H84:O84))</f>
        <v/>
      </c>
      <c r="Q84" s="20">
        <f>IF(OR($D84="",$F84=0),"",$P84/$F84)</f>
        <v/>
      </c>
      <c r="R84" s="9" t="n"/>
    </row>
    <row r="85" ht="19" customHeight="1">
      <c r="B85" s="17" t="n"/>
      <c r="C85" s="8" t="n"/>
      <c r="D85" s="8" t="n"/>
      <c r="E85" s="9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9">
        <f>IF($D85="","",SUM(H85:O85))</f>
        <v/>
      </c>
      <c r="Q85" s="20">
        <f>IF(OR($D85="",$F85=0),"",$P85/$F85)</f>
        <v/>
      </c>
      <c r="R85" s="9" t="n"/>
    </row>
    <row r="86" ht="19" customHeight="1">
      <c r="B86" s="17" t="n"/>
      <c r="C86" s="8" t="n"/>
      <c r="D86" s="8" t="n"/>
      <c r="E86" s="9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9">
        <f>IF($D86="","",SUM(H86:O86))</f>
        <v/>
      </c>
      <c r="Q86" s="20">
        <f>IF(OR($D86="",$F86=0),"",$P86/$F86)</f>
        <v/>
      </c>
      <c r="R86" s="9" t="n"/>
    </row>
    <row r="87" ht="19" customHeight="1">
      <c r="B87" s="17" t="n"/>
      <c r="C87" s="8" t="n"/>
      <c r="D87" s="8" t="n"/>
      <c r="E87" s="9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9">
        <f>IF($D87="","",SUM(H87:O87))</f>
        <v/>
      </c>
      <c r="Q87" s="20">
        <f>IF(OR($D87="",$F87=0),"",$P87/$F87)</f>
        <v/>
      </c>
      <c r="R87" s="9" t="n"/>
    </row>
    <row r="88" ht="19" customHeight="1">
      <c r="B88" s="17" t="n"/>
      <c r="C88" s="8" t="n"/>
      <c r="D88" s="8" t="n"/>
      <c r="E88" s="9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9">
        <f>IF($D88="","",SUM(H88:O88))</f>
        <v/>
      </c>
      <c r="Q88" s="20">
        <f>IF(OR($D88="",$F88=0),"",$P88/$F88)</f>
        <v/>
      </c>
      <c r="R88" s="9" t="n"/>
    </row>
    <row r="89" ht="19" customHeight="1">
      <c r="B89" s="17" t="n"/>
      <c r="C89" s="8" t="n"/>
      <c r="D89" s="8" t="n"/>
      <c r="E89" s="9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9">
        <f>IF($D89="","",SUM(H89:O89))</f>
        <v/>
      </c>
      <c r="Q89" s="20">
        <f>IF(OR($D89="",$F89=0),"",$P89/$F89)</f>
        <v/>
      </c>
      <c r="R89" s="9" t="n"/>
    </row>
    <row r="90" ht="19" customHeight="1">
      <c r="B90" s="17" t="n"/>
      <c r="C90" s="8" t="n"/>
      <c r="D90" s="8" t="n"/>
      <c r="E90" s="9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9">
        <f>IF($D90="","",SUM(H90:O90))</f>
        <v/>
      </c>
      <c r="Q90" s="20">
        <f>IF(OR($D90="",$F90=0),"",$P90/$F90)</f>
        <v/>
      </c>
      <c r="R90" s="9" t="n"/>
    </row>
    <row r="91" ht="19" customHeight="1">
      <c r="B91" s="17" t="n"/>
      <c r="C91" s="8" t="n"/>
      <c r="D91" s="8" t="n"/>
      <c r="E91" s="9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9">
        <f>IF($D91="","",SUM(H91:O91))</f>
        <v/>
      </c>
      <c r="Q91" s="20">
        <f>IF(OR($D91="",$F91=0),"",$P91/$F91)</f>
        <v/>
      </c>
      <c r="R91" s="9" t="n"/>
    </row>
    <row r="92" ht="19" customHeight="1">
      <c r="B92" s="17" t="n"/>
      <c r="C92" s="8" t="n"/>
      <c r="D92" s="8" t="n"/>
      <c r="E92" s="9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9">
        <f>IF($D92="","",SUM(H92:O92))</f>
        <v/>
      </c>
      <c r="Q92" s="20">
        <f>IF(OR($D92="",$F92=0),"",$P92/$F92)</f>
        <v/>
      </c>
      <c r="R92" s="9" t="n"/>
    </row>
    <row r="93" ht="19" customHeight="1">
      <c r="B93" s="17" t="n"/>
      <c r="C93" s="8" t="n"/>
      <c r="D93" s="8" t="n"/>
      <c r="E93" s="9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9">
        <f>IF($D93="","",SUM(H93:O93))</f>
        <v/>
      </c>
      <c r="Q93" s="20">
        <f>IF(OR($D93="",$F93=0),"",$P93/$F93)</f>
        <v/>
      </c>
      <c r="R93" s="9" t="n"/>
    </row>
    <row r="94" ht="19" customHeight="1">
      <c r="B94" s="17" t="n"/>
      <c r="C94" s="8" t="n"/>
      <c r="D94" s="8" t="n"/>
      <c r="E94" s="9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9">
        <f>IF($D94="","",SUM(H94:O94))</f>
        <v/>
      </c>
      <c r="Q94" s="20">
        <f>IF(OR($D94="",$F94=0),"",$P94/$F94)</f>
        <v/>
      </c>
      <c r="R94" s="9" t="n"/>
    </row>
    <row r="95" ht="19" customHeight="1">
      <c r="B95" s="17" t="n"/>
      <c r="C95" s="8" t="n"/>
      <c r="D95" s="8" t="n"/>
      <c r="E95" s="9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9">
        <f>IF($D95="","",SUM(H95:O95))</f>
        <v/>
      </c>
      <c r="Q95" s="20">
        <f>IF(OR($D95="",$F95=0),"",$P95/$F95)</f>
        <v/>
      </c>
      <c r="R95" s="9" t="n"/>
    </row>
    <row r="96" ht="19" customHeight="1">
      <c r="B96" s="17" t="n"/>
      <c r="C96" s="8" t="n"/>
      <c r="D96" s="8" t="n"/>
      <c r="E96" s="9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9">
        <f>IF($D96="","",SUM(H96:O96))</f>
        <v/>
      </c>
      <c r="Q96" s="20">
        <f>IF(OR($D96="",$F96=0),"",$P96/$F96)</f>
        <v/>
      </c>
      <c r="R96" s="9" t="n"/>
    </row>
    <row r="97" ht="19" customHeight="1">
      <c r="B97" s="17" t="n"/>
      <c r="C97" s="8" t="n"/>
      <c r="D97" s="8" t="n"/>
      <c r="E97" s="9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9">
        <f>IF($D97="","",SUM(H97:O97))</f>
        <v/>
      </c>
      <c r="Q97" s="20">
        <f>IF(OR($D97="",$F97=0),"",$P97/$F97)</f>
        <v/>
      </c>
      <c r="R97" s="9" t="n"/>
    </row>
    <row r="98" ht="19" customHeight="1">
      <c r="B98" s="17" t="n"/>
      <c r="C98" s="8" t="n"/>
      <c r="D98" s="8" t="n"/>
      <c r="E98" s="9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9">
        <f>IF($D98="","",SUM(H98:O98))</f>
        <v/>
      </c>
      <c r="Q98" s="20">
        <f>IF(OR($D98="",$F98=0),"",$P98/$F98)</f>
        <v/>
      </c>
      <c r="R98" s="9" t="n"/>
    </row>
    <row r="99" ht="19" customHeight="1">
      <c r="B99" s="17" t="n"/>
      <c r="C99" s="8" t="n"/>
      <c r="D99" s="8" t="n"/>
      <c r="E99" s="9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9">
        <f>IF($D99="","",SUM(H99:O99))</f>
        <v/>
      </c>
      <c r="Q99" s="20">
        <f>IF(OR($D99="",$F99=0),"",$P99/$F99)</f>
        <v/>
      </c>
      <c r="R99" s="9" t="n"/>
    </row>
    <row r="100" ht="19" customHeight="1">
      <c r="B100" s="17" t="n"/>
      <c r="C100" s="8" t="n"/>
      <c r="D100" s="8" t="n"/>
      <c r="E100" s="9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9">
        <f>IF($D100="","",SUM(H100:O100))</f>
        <v/>
      </c>
      <c r="Q100" s="20">
        <f>IF(OR($D100="",$F100=0),"",$P100/$F100)</f>
        <v/>
      </c>
      <c r="R100" s="9" t="n"/>
    </row>
    <row r="101" ht="19" customHeight="1">
      <c r="B101" s="17" t="n"/>
      <c r="C101" s="8" t="n"/>
      <c r="D101" s="8" t="n"/>
      <c r="E101" s="9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9">
        <f>IF($D101="","",SUM(H101:O101))</f>
        <v/>
      </c>
      <c r="Q101" s="20">
        <f>IF(OR($D101="",$F101=0),"",$P101/$F101)</f>
        <v/>
      </c>
      <c r="R101" s="9" t="n"/>
    </row>
    <row r="102" ht="19" customHeight="1">
      <c r="B102" s="17" t="n"/>
      <c r="C102" s="8" t="n"/>
      <c r="D102" s="8" t="n"/>
      <c r="E102" s="9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9">
        <f>IF($D102="","",SUM(H102:O102))</f>
        <v/>
      </c>
      <c r="Q102" s="20">
        <f>IF(OR($D102="",$F102=0),"",$P102/$F102)</f>
        <v/>
      </c>
      <c r="R102" s="9" t="n"/>
    </row>
  </sheetData>
  <mergeCells count="11">
    <mergeCell ref="D4:D6"/>
    <mergeCell ref="P5:P6"/>
    <mergeCell ref="Q5:Q6"/>
    <mergeCell ref="B4:B6"/>
    <mergeCell ref="R4:R6"/>
    <mergeCell ref="E4:E6"/>
    <mergeCell ref="H4:P4"/>
    <mergeCell ref="B2:R2"/>
    <mergeCell ref="G4:G6"/>
    <mergeCell ref="C4:C6"/>
    <mergeCell ref="F4:F6"/>
  </mergeCells>
  <dataValidations count="1">
    <dataValidation sqref="B7:B102" showDropDown="0" showInputMessage="0" showErrorMessage="1" allowBlank="1" errorTitle="月份有误" error="请填写 1—12 的数字月份" type="whole" operator="between">
      <formula1>1</formula1>
      <formula2>12</formula2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W106"/>
  <sheetViews>
    <sheetView showGridLines="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6" customWidth="1" min="3" max="3"/>
    <col width="12" customWidth="1" min="4" max="4"/>
    <col width="22" customWidth="1" min="5" max="5"/>
    <col width="12" customWidth="1" min="6" max="6"/>
    <col width="11" customWidth="1" min="7" max="7"/>
    <col width="11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0" customWidth="1" min="21" max="21"/>
    <col width="13" customWidth="1" min="22" max="22"/>
    <col width="16" customWidth="1" min="23" max="23"/>
  </cols>
  <sheetData>
    <row r="2" ht="30" customHeight="1">
      <c r="B2" s="1" t="inlineStr">
        <is>
          <t>2026年  无形资产摊销费分摊表（按工时分摊）</t>
        </is>
      </c>
    </row>
    <row r="4" ht="22" customHeight="1">
      <c r="B4" s="5" t="inlineStr">
        <is>
          <t>月份</t>
        </is>
      </c>
      <c r="C4" s="5" t="inlineStr">
        <is>
          <t>序号</t>
        </is>
      </c>
      <c r="D4" s="5" t="inlineStr">
        <is>
          <t>资产编号</t>
        </is>
      </c>
      <c r="E4" s="5" t="inlineStr">
        <is>
          <t>资产名称</t>
        </is>
      </c>
      <c r="F4" s="5" t="inlineStr">
        <is>
          <t>月摊销额
（元）</t>
        </is>
      </c>
      <c r="G4" s="5" t="inlineStr">
        <is>
          <t>当月总工时
（小时）</t>
        </is>
      </c>
      <c r="H4" s="5" t="inlineStr">
        <is>
          <t>其中：研发
工时（小时）</t>
        </is>
      </c>
      <c r="I4" s="5" t="inlineStr">
        <is>
          <t>研发工时
占比</t>
        </is>
      </c>
      <c r="J4" s="5" t="inlineStr">
        <is>
          <t>费用分摊（元）</t>
        </is>
      </c>
      <c r="K4" s="44" t="n"/>
      <c r="L4" s="44" t="n"/>
      <c r="M4" s="44" t="n"/>
      <c r="N4" s="44" t="n"/>
      <c r="O4" s="44" t="n"/>
      <c r="P4" s="44" t="n"/>
      <c r="Q4" s="44" t="n"/>
      <c r="R4" s="44" t="n"/>
      <c r="S4" s="45" t="n"/>
      <c r="T4" s="5" t="inlineStr">
        <is>
          <t>合计
（元）</t>
        </is>
      </c>
      <c r="U4" s="5" t="inlineStr">
        <is>
          <t>校验</t>
        </is>
      </c>
      <c r="V4" s="5" t="inlineStr">
        <is>
          <t>本月实际
金额（覆盖）</t>
        </is>
      </c>
      <c r="W4" s="5" t="inlineStr">
        <is>
          <t>备注</t>
        </is>
      </c>
    </row>
    <row r="5" ht="22" customHeight="1">
      <c r="B5" s="46" t="n"/>
      <c r="C5" s="46" t="n"/>
      <c r="D5" s="46" t="n"/>
      <c r="E5" s="46" t="n"/>
      <c r="F5" s="46" t="n"/>
      <c r="G5" s="46" t="n"/>
      <c r="H5" s="46" t="n"/>
      <c r="I5" s="46" t="n"/>
      <c r="J5" s="16" t="inlineStr">
        <is>
          <t>非研发
承担</t>
        </is>
      </c>
      <c r="K5" s="15">
        <f>'参数设置'!$C$6</f>
        <v/>
      </c>
      <c r="L5" s="15">
        <f>'参数设置'!$C$7</f>
        <v/>
      </c>
      <c r="M5" s="15">
        <f>'参数设置'!$C$8</f>
        <v/>
      </c>
      <c r="N5" s="15">
        <f>'参数设置'!$C$9</f>
        <v/>
      </c>
      <c r="O5" s="15">
        <f>'参数设置'!$C$10</f>
        <v/>
      </c>
      <c r="P5" s="15">
        <f>'参数设置'!$C$11</f>
        <v/>
      </c>
      <c r="Q5" s="15">
        <f>'参数设置'!$C$12</f>
        <v/>
      </c>
      <c r="R5" s="15">
        <f>'参数设置'!$C$13</f>
        <v/>
      </c>
      <c r="S5" s="16" t="inlineStr">
        <is>
          <t>研发
合计</t>
        </is>
      </c>
      <c r="T5" s="46" t="n"/>
      <c r="U5" s="46" t="n"/>
      <c r="V5" s="46" t="n"/>
      <c r="W5" s="46" t="n"/>
    </row>
    <row r="6" ht="22" customHeight="1"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  <c r="K6" s="15">
        <f>'参数设置'!$D$6</f>
        <v/>
      </c>
      <c r="L6" s="15">
        <f>'参数设置'!$D$7</f>
        <v/>
      </c>
      <c r="M6" s="15">
        <f>'参数设置'!$D$8</f>
        <v/>
      </c>
      <c r="N6" s="15">
        <f>'参数设置'!$D$9</f>
        <v/>
      </c>
      <c r="O6" s="15">
        <f>'参数设置'!$D$10</f>
        <v/>
      </c>
      <c r="P6" s="15">
        <f>'参数设置'!$D$11</f>
        <v/>
      </c>
      <c r="Q6" s="15">
        <f>'参数设置'!$D$12</f>
        <v/>
      </c>
      <c r="R6" s="15">
        <f>'参数设置'!$D$13</f>
        <v/>
      </c>
      <c r="S6" s="47" t="n"/>
      <c r="T6" s="47" t="n"/>
      <c r="U6" s="47" t="n"/>
      <c r="V6" s="47" t="n"/>
      <c r="W6" s="47" t="n"/>
    </row>
    <row r="7" ht="18" customHeight="1">
      <c r="B7" s="21">
        <f>IF('05无形资产工时'!$D7="","",'05无形资产工时'!$B7)</f>
        <v/>
      </c>
      <c r="C7" s="22">
        <f>IF('05无形资产工时'!$D7="","",'05无形资产工时'!$C7)</f>
        <v/>
      </c>
      <c r="D7" s="22">
        <f>IF('05无形资产工时'!$D7="","",'05无形资产工时'!$D7)</f>
        <v/>
      </c>
      <c r="E7" s="39">
        <f>IF($D7="","",'05无形资产工时'!$E7)</f>
        <v/>
      </c>
      <c r="F7" s="23">
        <f>IF($D7="","",IF($V7&lt;&gt;"",$V7,IFERROR(INDEX('参数设置'!$E$48:$E$57,MATCH($D7,'参数设置'!$C$48:$C$57,0)),0)))</f>
        <v/>
      </c>
      <c r="G7" s="24">
        <f>IF($D7="","",'05无形资产工时'!$F7)</f>
        <v/>
      </c>
      <c r="H7" s="24">
        <f>IF($D7="","",'05无形资产工时'!$P7)</f>
        <v/>
      </c>
      <c r="I7" s="20">
        <f>IF(OR($D7="",$G7=0),"",$H7/$G7)</f>
        <v/>
      </c>
      <c r="J7" s="12">
        <f>IF($D7="","",ROUND($F7,2)-$S7)</f>
        <v/>
      </c>
      <c r="K7" s="12">
        <f>IF(OR($D7="",$G7=0),"",ROUND($F7*'05无形资产工时'!H7/$G7,2))</f>
        <v/>
      </c>
      <c r="L7" s="12">
        <f>IF(OR($D7="",$G7=0),"",ROUND($F7*'05无形资产工时'!I7/$G7,2))</f>
        <v/>
      </c>
      <c r="M7" s="12">
        <f>IF(OR($D7="",$G7=0),"",ROUND($F7*'05无形资产工时'!J7/$G7,2))</f>
        <v/>
      </c>
      <c r="N7" s="12">
        <f>IF(OR($D7="",$G7=0),"",ROUND($F7*'05无形资产工时'!K7/$G7,2))</f>
        <v/>
      </c>
      <c r="O7" s="12">
        <f>IF(OR($D7="",$G7=0),"",ROUND($F7*'05无形资产工时'!L7/$G7,2))</f>
        <v/>
      </c>
      <c r="P7" s="12">
        <f>IF(OR($D7="",$G7=0),"",ROUND($F7*'05无形资产工时'!M7/$G7,2))</f>
        <v/>
      </c>
      <c r="Q7" s="12">
        <f>IF(OR($D7="",$G7=0),"",ROUND($F7*'05无形资产工时'!N7/$G7,2))</f>
        <v/>
      </c>
      <c r="R7" s="12">
        <f>IF(OR($D7="",$G7=0),"",ROUND($F7*'05无形资产工时'!O7/$G7,2))</f>
        <v/>
      </c>
      <c r="S7" s="12">
        <f>IF($D7="","",SUM(K7:R7))</f>
        <v/>
      </c>
      <c r="T7" s="12">
        <f>IF($D7="","",$J7+$S7)</f>
        <v/>
      </c>
      <c r="U7" s="25">
        <f>IF($D7="","",IF($F7=0,"未维护摊销额",IF(ROUND($T7-$F7,2)=0,"√","差异")))</f>
        <v/>
      </c>
      <c r="V7" s="11" t="n"/>
      <c r="W7" s="9" t="n"/>
    </row>
    <row r="8" ht="18" customHeight="1">
      <c r="B8" s="21">
        <f>IF('05无形资产工时'!$D8="","",'05无形资产工时'!$B8)</f>
        <v/>
      </c>
      <c r="C8" s="22">
        <f>IF('05无形资产工时'!$D8="","",'05无形资产工时'!$C8)</f>
        <v/>
      </c>
      <c r="D8" s="22">
        <f>IF('05无形资产工时'!$D8="","",'05无形资产工时'!$D8)</f>
        <v/>
      </c>
      <c r="E8" s="39">
        <f>IF($D8="","",'05无形资产工时'!$E8)</f>
        <v/>
      </c>
      <c r="F8" s="23">
        <f>IF($D8="","",IF($V8&lt;&gt;"",$V8,IFERROR(INDEX('参数设置'!$E$48:$E$57,MATCH($D8,'参数设置'!$C$48:$C$57,0)),0)))</f>
        <v/>
      </c>
      <c r="G8" s="24">
        <f>IF($D8="","",'05无形资产工时'!$F8)</f>
        <v/>
      </c>
      <c r="H8" s="24">
        <f>IF($D8="","",'05无形资产工时'!$P8)</f>
        <v/>
      </c>
      <c r="I8" s="20">
        <f>IF(OR($D8="",$G8=0),"",$H8/$G8)</f>
        <v/>
      </c>
      <c r="J8" s="12">
        <f>IF($D8="","",ROUND($F8,2)-$S8)</f>
        <v/>
      </c>
      <c r="K8" s="12">
        <f>IF(OR($D8="",$G8=0),"",ROUND($F8*'05无形资产工时'!H8/$G8,2))</f>
        <v/>
      </c>
      <c r="L8" s="12">
        <f>IF(OR($D8="",$G8=0),"",ROUND($F8*'05无形资产工时'!I8/$G8,2))</f>
        <v/>
      </c>
      <c r="M8" s="12">
        <f>IF(OR($D8="",$G8=0),"",ROUND($F8*'05无形资产工时'!J8/$G8,2))</f>
        <v/>
      </c>
      <c r="N8" s="12">
        <f>IF(OR($D8="",$G8=0),"",ROUND($F8*'05无形资产工时'!K8/$G8,2))</f>
        <v/>
      </c>
      <c r="O8" s="12">
        <f>IF(OR($D8="",$G8=0),"",ROUND($F8*'05无形资产工时'!L8/$G8,2))</f>
        <v/>
      </c>
      <c r="P8" s="12">
        <f>IF(OR($D8="",$G8=0),"",ROUND($F8*'05无形资产工时'!M8/$G8,2))</f>
        <v/>
      </c>
      <c r="Q8" s="12">
        <f>IF(OR($D8="",$G8=0),"",ROUND($F8*'05无形资产工时'!N8/$G8,2))</f>
        <v/>
      </c>
      <c r="R8" s="12">
        <f>IF(OR($D8="",$G8=0),"",ROUND($F8*'05无形资产工时'!O8/$G8,2))</f>
        <v/>
      </c>
      <c r="S8" s="12">
        <f>IF($D8="","",SUM(K8:R8))</f>
        <v/>
      </c>
      <c r="T8" s="12">
        <f>IF($D8="","",$J8+$S8)</f>
        <v/>
      </c>
      <c r="U8" s="25">
        <f>IF($D8="","",IF($F8=0,"未维护摊销额",IF(ROUND($T8-$F8,2)=0,"√","差异")))</f>
        <v/>
      </c>
      <c r="V8" s="11" t="n"/>
      <c r="W8" s="9" t="n"/>
    </row>
    <row r="9" ht="18" customHeight="1">
      <c r="B9" s="21">
        <f>IF('05无形资产工时'!$D9="","",'05无形资产工时'!$B9)</f>
        <v/>
      </c>
      <c r="C9" s="22">
        <f>IF('05无形资产工时'!$D9="","",'05无形资产工时'!$C9)</f>
        <v/>
      </c>
      <c r="D9" s="22">
        <f>IF('05无形资产工时'!$D9="","",'05无形资产工时'!$D9)</f>
        <v/>
      </c>
      <c r="E9" s="39">
        <f>IF($D9="","",'05无形资产工时'!$E9)</f>
        <v/>
      </c>
      <c r="F9" s="23">
        <f>IF($D9="","",IF($V9&lt;&gt;"",$V9,IFERROR(INDEX('参数设置'!$E$48:$E$57,MATCH($D9,'参数设置'!$C$48:$C$57,0)),0)))</f>
        <v/>
      </c>
      <c r="G9" s="24">
        <f>IF($D9="","",'05无形资产工时'!$F9)</f>
        <v/>
      </c>
      <c r="H9" s="24">
        <f>IF($D9="","",'05无形资产工时'!$P9)</f>
        <v/>
      </c>
      <c r="I9" s="20">
        <f>IF(OR($D9="",$G9=0),"",$H9/$G9)</f>
        <v/>
      </c>
      <c r="J9" s="12">
        <f>IF($D9="","",ROUND($F9,2)-$S9)</f>
        <v/>
      </c>
      <c r="K9" s="12">
        <f>IF(OR($D9="",$G9=0),"",ROUND($F9*'05无形资产工时'!H9/$G9,2))</f>
        <v/>
      </c>
      <c r="L9" s="12">
        <f>IF(OR($D9="",$G9=0),"",ROUND($F9*'05无形资产工时'!I9/$G9,2))</f>
        <v/>
      </c>
      <c r="M9" s="12">
        <f>IF(OR($D9="",$G9=0),"",ROUND($F9*'05无形资产工时'!J9/$G9,2))</f>
        <v/>
      </c>
      <c r="N9" s="12">
        <f>IF(OR($D9="",$G9=0),"",ROUND($F9*'05无形资产工时'!K9/$G9,2))</f>
        <v/>
      </c>
      <c r="O9" s="12">
        <f>IF(OR($D9="",$G9=0),"",ROUND($F9*'05无形资产工时'!L9/$G9,2))</f>
        <v/>
      </c>
      <c r="P9" s="12">
        <f>IF(OR($D9="",$G9=0),"",ROUND($F9*'05无形资产工时'!M9/$G9,2))</f>
        <v/>
      </c>
      <c r="Q9" s="12">
        <f>IF(OR($D9="",$G9=0),"",ROUND($F9*'05无形资产工时'!N9/$G9,2))</f>
        <v/>
      </c>
      <c r="R9" s="12">
        <f>IF(OR($D9="",$G9=0),"",ROUND($F9*'05无形资产工时'!O9/$G9,2))</f>
        <v/>
      </c>
      <c r="S9" s="12">
        <f>IF($D9="","",SUM(K9:R9))</f>
        <v/>
      </c>
      <c r="T9" s="12">
        <f>IF($D9="","",$J9+$S9)</f>
        <v/>
      </c>
      <c r="U9" s="25">
        <f>IF($D9="","",IF($F9=0,"未维护摊销额",IF(ROUND($T9-$F9,2)=0,"√","差异")))</f>
        <v/>
      </c>
      <c r="V9" s="11" t="n"/>
      <c r="W9" s="9" t="n"/>
    </row>
    <row r="10" ht="18" customHeight="1">
      <c r="B10" s="21">
        <f>IF('05无形资产工时'!$D10="","",'05无形资产工时'!$B10)</f>
        <v/>
      </c>
      <c r="C10" s="22">
        <f>IF('05无形资产工时'!$D10="","",'05无形资产工时'!$C10)</f>
        <v/>
      </c>
      <c r="D10" s="22">
        <f>IF('05无形资产工时'!$D10="","",'05无形资产工时'!$D10)</f>
        <v/>
      </c>
      <c r="E10" s="39">
        <f>IF($D10="","",'05无形资产工时'!$E10)</f>
        <v/>
      </c>
      <c r="F10" s="23">
        <f>IF($D10="","",IF($V10&lt;&gt;"",$V10,IFERROR(INDEX('参数设置'!$E$48:$E$57,MATCH($D10,'参数设置'!$C$48:$C$57,0)),0)))</f>
        <v/>
      </c>
      <c r="G10" s="24">
        <f>IF($D10="","",'05无形资产工时'!$F10)</f>
        <v/>
      </c>
      <c r="H10" s="24">
        <f>IF($D10="","",'05无形资产工时'!$P10)</f>
        <v/>
      </c>
      <c r="I10" s="20">
        <f>IF(OR($D10="",$G10=0),"",$H10/$G10)</f>
        <v/>
      </c>
      <c r="J10" s="12">
        <f>IF($D10="","",ROUND($F10,2)-$S10)</f>
        <v/>
      </c>
      <c r="K10" s="12">
        <f>IF(OR($D10="",$G10=0),"",ROUND($F10*'05无形资产工时'!H10/$G10,2))</f>
        <v/>
      </c>
      <c r="L10" s="12">
        <f>IF(OR($D10="",$G10=0),"",ROUND($F10*'05无形资产工时'!I10/$G10,2))</f>
        <v/>
      </c>
      <c r="M10" s="12">
        <f>IF(OR($D10="",$G10=0),"",ROUND($F10*'05无形资产工时'!J10/$G10,2))</f>
        <v/>
      </c>
      <c r="N10" s="12">
        <f>IF(OR($D10="",$G10=0),"",ROUND($F10*'05无形资产工时'!K10/$G10,2))</f>
        <v/>
      </c>
      <c r="O10" s="12">
        <f>IF(OR($D10="",$G10=0),"",ROUND($F10*'05无形资产工时'!L10/$G10,2))</f>
        <v/>
      </c>
      <c r="P10" s="12">
        <f>IF(OR($D10="",$G10=0),"",ROUND($F10*'05无形资产工时'!M10/$G10,2))</f>
        <v/>
      </c>
      <c r="Q10" s="12">
        <f>IF(OR($D10="",$G10=0),"",ROUND($F10*'05无形资产工时'!N10/$G10,2))</f>
        <v/>
      </c>
      <c r="R10" s="12">
        <f>IF(OR($D10="",$G10=0),"",ROUND($F10*'05无形资产工时'!O10/$G10,2))</f>
        <v/>
      </c>
      <c r="S10" s="12">
        <f>IF($D10="","",SUM(K10:R10))</f>
        <v/>
      </c>
      <c r="T10" s="12">
        <f>IF($D10="","",$J10+$S10)</f>
        <v/>
      </c>
      <c r="U10" s="25">
        <f>IF($D10="","",IF($F10=0,"未维护摊销额",IF(ROUND($T10-$F10,2)=0,"√","差异")))</f>
        <v/>
      </c>
      <c r="V10" s="11" t="n"/>
      <c r="W10" s="9" t="n"/>
    </row>
    <row r="11" ht="18" customHeight="1">
      <c r="B11" s="21">
        <f>IF('05无形资产工时'!$D11="","",'05无形资产工时'!$B11)</f>
        <v/>
      </c>
      <c r="C11" s="22">
        <f>IF('05无形资产工时'!$D11="","",'05无形资产工时'!$C11)</f>
        <v/>
      </c>
      <c r="D11" s="22">
        <f>IF('05无形资产工时'!$D11="","",'05无形资产工时'!$D11)</f>
        <v/>
      </c>
      <c r="E11" s="39">
        <f>IF($D11="","",'05无形资产工时'!$E11)</f>
        <v/>
      </c>
      <c r="F11" s="23">
        <f>IF($D11="","",IF($V11&lt;&gt;"",$V11,IFERROR(INDEX('参数设置'!$E$48:$E$57,MATCH($D11,'参数设置'!$C$48:$C$57,0)),0)))</f>
        <v/>
      </c>
      <c r="G11" s="24">
        <f>IF($D11="","",'05无形资产工时'!$F11)</f>
        <v/>
      </c>
      <c r="H11" s="24">
        <f>IF($D11="","",'05无形资产工时'!$P11)</f>
        <v/>
      </c>
      <c r="I11" s="20">
        <f>IF(OR($D11="",$G11=0),"",$H11/$G11)</f>
        <v/>
      </c>
      <c r="J11" s="12">
        <f>IF($D11="","",ROUND($F11,2)-$S11)</f>
        <v/>
      </c>
      <c r="K11" s="12">
        <f>IF(OR($D11="",$G11=0),"",ROUND($F11*'05无形资产工时'!H11/$G11,2))</f>
        <v/>
      </c>
      <c r="L11" s="12">
        <f>IF(OR($D11="",$G11=0),"",ROUND($F11*'05无形资产工时'!I11/$G11,2))</f>
        <v/>
      </c>
      <c r="M11" s="12">
        <f>IF(OR($D11="",$G11=0),"",ROUND($F11*'05无形资产工时'!J11/$G11,2))</f>
        <v/>
      </c>
      <c r="N11" s="12">
        <f>IF(OR($D11="",$G11=0),"",ROUND($F11*'05无形资产工时'!K11/$G11,2))</f>
        <v/>
      </c>
      <c r="O11" s="12">
        <f>IF(OR($D11="",$G11=0),"",ROUND($F11*'05无形资产工时'!L11/$G11,2))</f>
        <v/>
      </c>
      <c r="P11" s="12">
        <f>IF(OR($D11="",$G11=0),"",ROUND($F11*'05无形资产工时'!M11/$G11,2))</f>
        <v/>
      </c>
      <c r="Q11" s="12">
        <f>IF(OR($D11="",$G11=0),"",ROUND($F11*'05无形资产工时'!N11/$G11,2))</f>
        <v/>
      </c>
      <c r="R11" s="12">
        <f>IF(OR($D11="",$G11=0),"",ROUND($F11*'05无形资产工时'!O11/$G11,2))</f>
        <v/>
      </c>
      <c r="S11" s="12">
        <f>IF($D11="","",SUM(K11:R11))</f>
        <v/>
      </c>
      <c r="T11" s="12">
        <f>IF($D11="","",$J11+$S11)</f>
        <v/>
      </c>
      <c r="U11" s="25">
        <f>IF($D11="","",IF($F11=0,"未维护摊销额",IF(ROUND($T11-$F11,2)=0,"√","差异")))</f>
        <v/>
      </c>
      <c r="V11" s="11" t="n"/>
      <c r="W11" s="9" t="n"/>
    </row>
    <row r="12" ht="18" customHeight="1">
      <c r="B12" s="21">
        <f>IF('05无形资产工时'!$D12="","",'05无形资产工时'!$B12)</f>
        <v/>
      </c>
      <c r="C12" s="22">
        <f>IF('05无形资产工时'!$D12="","",'05无形资产工时'!$C12)</f>
        <v/>
      </c>
      <c r="D12" s="22">
        <f>IF('05无形资产工时'!$D12="","",'05无形资产工时'!$D12)</f>
        <v/>
      </c>
      <c r="E12" s="39">
        <f>IF($D12="","",'05无形资产工时'!$E12)</f>
        <v/>
      </c>
      <c r="F12" s="23">
        <f>IF($D12="","",IF($V12&lt;&gt;"",$V12,IFERROR(INDEX('参数设置'!$E$48:$E$57,MATCH($D12,'参数设置'!$C$48:$C$57,0)),0)))</f>
        <v/>
      </c>
      <c r="G12" s="24">
        <f>IF($D12="","",'05无形资产工时'!$F12)</f>
        <v/>
      </c>
      <c r="H12" s="24">
        <f>IF($D12="","",'05无形资产工时'!$P12)</f>
        <v/>
      </c>
      <c r="I12" s="20">
        <f>IF(OR($D12="",$G12=0),"",$H12/$G12)</f>
        <v/>
      </c>
      <c r="J12" s="12">
        <f>IF($D12="","",ROUND($F12,2)-$S12)</f>
        <v/>
      </c>
      <c r="K12" s="12">
        <f>IF(OR($D12="",$G12=0),"",ROUND($F12*'05无形资产工时'!H12/$G12,2))</f>
        <v/>
      </c>
      <c r="L12" s="12">
        <f>IF(OR($D12="",$G12=0),"",ROUND($F12*'05无形资产工时'!I12/$G12,2))</f>
        <v/>
      </c>
      <c r="M12" s="12">
        <f>IF(OR($D12="",$G12=0),"",ROUND($F12*'05无形资产工时'!J12/$G12,2))</f>
        <v/>
      </c>
      <c r="N12" s="12">
        <f>IF(OR($D12="",$G12=0),"",ROUND($F12*'05无形资产工时'!K12/$G12,2))</f>
        <v/>
      </c>
      <c r="O12" s="12">
        <f>IF(OR($D12="",$G12=0),"",ROUND($F12*'05无形资产工时'!L12/$G12,2))</f>
        <v/>
      </c>
      <c r="P12" s="12">
        <f>IF(OR($D12="",$G12=0),"",ROUND($F12*'05无形资产工时'!M12/$G12,2))</f>
        <v/>
      </c>
      <c r="Q12" s="12">
        <f>IF(OR($D12="",$G12=0),"",ROUND($F12*'05无形资产工时'!N12/$G12,2))</f>
        <v/>
      </c>
      <c r="R12" s="12">
        <f>IF(OR($D12="",$G12=0),"",ROUND($F12*'05无形资产工时'!O12/$G12,2))</f>
        <v/>
      </c>
      <c r="S12" s="12">
        <f>IF($D12="","",SUM(K12:R12))</f>
        <v/>
      </c>
      <c r="T12" s="12">
        <f>IF($D12="","",$J12+$S12)</f>
        <v/>
      </c>
      <c r="U12" s="25">
        <f>IF($D12="","",IF($F12=0,"未维护摊销额",IF(ROUND($T12-$F12,2)=0,"√","差异")))</f>
        <v/>
      </c>
      <c r="V12" s="11" t="n"/>
      <c r="W12" s="9" t="n"/>
    </row>
    <row r="13" ht="18" customHeight="1">
      <c r="B13" s="21">
        <f>IF('05无形资产工时'!$D13="","",'05无形资产工时'!$B13)</f>
        <v/>
      </c>
      <c r="C13" s="22">
        <f>IF('05无形资产工时'!$D13="","",'05无形资产工时'!$C13)</f>
        <v/>
      </c>
      <c r="D13" s="22">
        <f>IF('05无形资产工时'!$D13="","",'05无形资产工时'!$D13)</f>
        <v/>
      </c>
      <c r="E13" s="39">
        <f>IF($D13="","",'05无形资产工时'!$E13)</f>
        <v/>
      </c>
      <c r="F13" s="23">
        <f>IF($D13="","",IF($V13&lt;&gt;"",$V13,IFERROR(INDEX('参数设置'!$E$48:$E$57,MATCH($D13,'参数设置'!$C$48:$C$57,0)),0)))</f>
        <v/>
      </c>
      <c r="G13" s="24">
        <f>IF($D13="","",'05无形资产工时'!$F13)</f>
        <v/>
      </c>
      <c r="H13" s="24">
        <f>IF($D13="","",'05无形资产工时'!$P13)</f>
        <v/>
      </c>
      <c r="I13" s="20">
        <f>IF(OR($D13="",$G13=0),"",$H13/$G13)</f>
        <v/>
      </c>
      <c r="J13" s="12">
        <f>IF($D13="","",ROUND($F13,2)-$S13)</f>
        <v/>
      </c>
      <c r="K13" s="12">
        <f>IF(OR($D13="",$G13=0),"",ROUND($F13*'05无形资产工时'!H13/$G13,2))</f>
        <v/>
      </c>
      <c r="L13" s="12">
        <f>IF(OR($D13="",$G13=0),"",ROUND($F13*'05无形资产工时'!I13/$G13,2))</f>
        <v/>
      </c>
      <c r="M13" s="12">
        <f>IF(OR($D13="",$G13=0),"",ROUND($F13*'05无形资产工时'!J13/$G13,2))</f>
        <v/>
      </c>
      <c r="N13" s="12">
        <f>IF(OR($D13="",$G13=0),"",ROUND($F13*'05无形资产工时'!K13/$G13,2))</f>
        <v/>
      </c>
      <c r="O13" s="12">
        <f>IF(OR($D13="",$G13=0),"",ROUND($F13*'05无形资产工时'!L13/$G13,2))</f>
        <v/>
      </c>
      <c r="P13" s="12">
        <f>IF(OR($D13="",$G13=0),"",ROUND($F13*'05无形资产工时'!M13/$G13,2))</f>
        <v/>
      </c>
      <c r="Q13" s="12">
        <f>IF(OR($D13="",$G13=0),"",ROUND($F13*'05无形资产工时'!N13/$G13,2))</f>
        <v/>
      </c>
      <c r="R13" s="12">
        <f>IF(OR($D13="",$G13=0),"",ROUND($F13*'05无形资产工时'!O13/$G13,2))</f>
        <v/>
      </c>
      <c r="S13" s="12">
        <f>IF($D13="","",SUM(K13:R13))</f>
        <v/>
      </c>
      <c r="T13" s="12">
        <f>IF($D13="","",$J13+$S13)</f>
        <v/>
      </c>
      <c r="U13" s="25">
        <f>IF($D13="","",IF($F13=0,"未维护摊销额",IF(ROUND($T13-$F13,2)=0,"√","差异")))</f>
        <v/>
      </c>
      <c r="V13" s="11" t="n"/>
      <c r="W13" s="9" t="n"/>
    </row>
    <row r="14" ht="18" customHeight="1">
      <c r="B14" s="21">
        <f>IF('05无形资产工时'!$D14="","",'05无形资产工时'!$B14)</f>
        <v/>
      </c>
      <c r="C14" s="22">
        <f>IF('05无形资产工时'!$D14="","",'05无形资产工时'!$C14)</f>
        <v/>
      </c>
      <c r="D14" s="22">
        <f>IF('05无形资产工时'!$D14="","",'05无形资产工时'!$D14)</f>
        <v/>
      </c>
      <c r="E14" s="39">
        <f>IF($D14="","",'05无形资产工时'!$E14)</f>
        <v/>
      </c>
      <c r="F14" s="23">
        <f>IF($D14="","",IF($V14&lt;&gt;"",$V14,IFERROR(INDEX('参数设置'!$E$48:$E$57,MATCH($D14,'参数设置'!$C$48:$C$57,0)),0)))</f>
        <v/>
      </c>
      <c r="G14" s="24">
        <f>IF($D14="","",'05无形资产工时'!$F14)</f>
        <v/>
      </c>
      <c r="H14" s="24">
        <f>IF($D14="","",'05无形资产工时'!$P14)</f>
        <v/>
      </c>
      <c r="I14" s="20">
        <f>IF(OR($D14="",$G14=0),"",$H14/$G14)</f>
        <v/>
      </c>
      <c r="J14" s="12">
        <f>IF($D14="","",ROUND($F14,2)-$S14)</f>
        <v/>
      </c>
      <c r="K14" s="12">
        <f>IF(OR($D14="",$G14=0),"",ROUND($F14*'05无形资产工时'!H14/$G14,2))</f>
        <v/>
      </c>
      <c r="L14" s="12">
        <f>IF(OR($D14="",$G14=0),"",ROUND($F14*'05无形资产工时'!I14/$G14,2))</f>
        <v/>
      </c>
      <c r="M14" s="12">
        <f>IF(OR($D14="",$G14=0),"",ROUND($F14*'05无形资产工时'!J14/$G14,2))</f>
        <v/>
      </c>
      <c r="N14" s="12">
        <f>IF(OR($D14="",$G14=0),"",ROUND($F14*'05无形资产工时'!K14/$G14,2))</f>
        <v/>
      </c>
      <c r="O14" s="12">
        <f>IF(OR($D14="",$G14=0),"",ROUND($F14*'05无形资产工时'!L14/$G14,2))</f>
        <v/>
      </c>
      <c r="P14" s="12">
        <f>IF(OR($D14="",$G14=0),"",ROUND($F14*'05无形资产工时'!M14/$G14,2))</f>
        <v/>
      </c>
      <c r="Q14" s="12">
        <f>IF(OR($D14="",$G14=0),"",ROUND($F14*'05无形资产工时'!N14/$G14,2))</f>
        <v/>
      </c>
      <c r="R14" s="12">
        <f>IF(OR($D14="",$G14=0),"",ROUND($F14*'05无形资产工时'!O14/$G14,2))</f>
        <v/>
      </c>
      <c r="S14" s="12">
        <f>IF($D14="","",SUM(K14:R14))</f>
        <v/>
      </c>
      <c r="T14" s="12">
        <f>IF($D14="","",$J14+$S14)</f>
        <v/>
      </c>
      <c r="U14" s="25">
        <f>IF($D14="","",IF($F14=0,"未维护摊销额",IF(ROUND($T14-$F14,2)=0,"√","差异")))</f>
        <v/>
      </c>
      <c r="V14" s="11" t="n"/>
      <c r="W14" s="9" t="n"/>
    </row>
    <row r="15" ht="18" customHeight="1">
      <c r="B15" s="21">
        <f>IF('05无形资产工时'!$D15="","",'05无形资产工时'!$B15)</f>
        <v/>
      </c>
      <c r="C15" s="22">
        <f>IF('05无形资产工时'!$D15="","",'05无形资产工时'!$C15)</f>
        <v/>
      </c>
      <c r="D15" s="22">
        <f>IF('05无形资产工时'!$D15="","",'05无形资产工时'!$D15)</f>
        <v/>
      </c>
      <c r="E15" s="39">
        <f>IF($D15="","",'05无形资产工时'!$E15)</f>
        <v/>
      </c>
      <c r="F15" s="23">
        <f>IF($D15="","",IF($V15&lt;&gt;"",$V15,IFERROR(INDEX('参数设置'!$E$48:$E$57,MATCH($D15,'参数设置'!$C$48:$C$57,0)),0)))</f>
        <v/>
      </c>
      <c r="G15" s="24">
        <f>IF($D15="","",'05无形资产工时'!$F15)</f>
        <v/>
      </c>
      <c r="H15" s="24">
        <f>IF($D15="","",'05无形资产工时'!$P15)</f>
        <v/>
      </c>
      <c r="I15" s="20">
        <f>IF(OR($D15="",$G15=0),"",$H15/$G15)</f>
        <v/>
      </c>
      <c r="J15" s="12">
        <f>IF($D15="","",ROUND($F15,2)-$S15)</f>
        <v/>
      </c>
      <c r="K15" s="12">
        <f>IF(OR($D15="",$G15=0),"",ROUND($F15*'05无形资产工时'!H15/$G15,2))</f>
        <v/>
      </c>
      <c r="L15" s="12">
        <f>IF(OR($D15="",$G15=0),"",ROUND($F15*'05无形资产工时'!I15/$G15,2))</f>
        <v/>
      </c>
      <c r="M15" s="12">
        <f>IF(OR($D15="",$G15=0),"",ROUND($F15*'05无形资产工时'!J15/$G15,2))</f>
        <v/>
      </c>
      <c r="N15" s="12">
        <f>IF(OR($D15="",$G15=0),"",ROUND($F15*'05无形资产工时'!K15/$G15,2))</f>
        <v/>
      </c>
      <c r="O15" s="12">
        <f>IF(OR($D15="",$G15=0),"",ROUND($F15*'05无形资产工时'!L15/$G15,2))</f>
        <v/>
      </c>
      <c r="P15" s="12">
        <f>IF(OR($D15="",$G15=0),"",ROUND($F15*'05无形资产工时'!M15/$G15,2))</f>
        <v/>
      </c>
      <c r="Q15" s="12">
        <f>IF(OR($D15="",$G15=0),"",ROUND($F15*'05无形资产工时'!N15/$G15,2))</f>
        <v/>
      </c>
      <c r="R15" s="12">
        <f>IF(OR($D15="",$G15=0),"",ROUND($F15*'05无形资产工时'!O15/$G15,2))</f>
        <v/>
      </c>
      <c r="S15" s="12">
        <f>IF($D15="","",SUM(K15:R15))</f>
        <v/>
      </c>
      <c r="T15" s="12">
        <f>IF($D15="","",$J15+$S15)</f>
        <v/>
      </c>
      <c r="U15" s="25">
        <f>IF($D15="","",IF($F15=0,"未维护摊销额",IF(ROUND($T15-$F15,2)=0,"√","差异")))</f>
        <v/>
      </c>
      <c r="V15" s="11" t="n"/>
      <c r="W15" s="9" t="n"/>
    </row>
    <row r="16" ht="18" customHeight="1">
      <c r="B16" s="21">
        <f>IF('05无形资产工时'!$D16="","",'05无形资产工时'!$B16)</f>
        <v/>
      </c>
      <c r="C16" s="22">
        <f>IF('05无形资产工时'!$D16="","",'05无形资产工时'!$C16)</f>
        <v/>
      </c>
      <c r="D16" s="22">
        <f>IF('05无形资产工时'!$D16="","",'05无形资产工时'!$D16)</f>
        <v/>
      </c>
      <c r="E16" s="39">
        <f>IF($D16="","",'05无形资产工时'!$E16)</f>
        <v/>
      </c>
      <c r="F16" s="23">
        <f>IF($D16="","",IF($V16&lt;&gt;"",$V16,IFERROR(INDEX('参数设置'!$E$48:$E$57,MATCH($D16,'参数设置'!$C$48:$C$57,0)),0)))</f>
        <v/>
      </c>
      <c r="G16" s="24">
        <f>IF($D16="","",'05无形资产工时'!$F16)</f>
        <v/>
      </c>
      <c r="H16" s="24">
        <f>IF($D16="","",'05无形资产工时'!$P16)</f>
        <v/>
      </c>
      <c r="I16" s="20">
        <f>IF(OR($D16="",$G16=0),"",$H16/$G16)</f>
        <v/>
      </c>
      <c r="J16" s="12">
        <f>IF($D16="","",ROUND($F16,2)-$S16)</f>
        <v/>
      </c>
      <c r="K16" s="12">
        <f>IF(OR($D16="",$G16=0),"",ROUND($F16*'05无形资产工时'!H16/$G16,2))</f>
        <v/>
      </c>
      <c r="L16" s="12">
        <f>IF(OR($D16="",$G16=0),"",ROUND($F16*'05无形资产工时'!I16/$G16,2))</f>
        <v/>
      </c>
      <c r="M16" s="12">
        <f>IF(OR($D16="",$G16=0),"",ROUND($F16*'05无形资产工时'!J16/$G16,2))</f>
        <v/>
      </c>
      <c r="N16" s="12">
        <f>IF(OR($D16="",$G16=0),"",ROUND($F16*'05无形资产工时'!K16/$G16,2))</f>
        <v/>
      </c>
      <c r="O16" s="12">
        <f>IF(OR($D16="",$G16=0),"",ROUND($F16*'05无形资产工时'!L16/$G16,2))</f>
        <v/>
      </c>
      <c r="P16" s="12">
        <f>IF(OR($D16="",$G16=0),"",ROUND($F16*'05无形资产工时'!M16/$G16,2))</f>
        <v/>
      </c>
      <c r="Q16" s="12">
        <f>IF(OR($D16="",$G16=0),"",ROUND($F16*'05无形资产工时'!N16/$G16,2))</f>
        <v/>
      </c>
      <c r="R16" s="12">
        <f>IF(OR($D16="",$G16=0),"",ROUND($F16*'05无形资产工时'!O16/$G16,2))</f>
        <v/>
      </c>
      <c r="S16" s="12">
        <f>IF($D16="","",SUM(K16:R16))</f>
        <v/>
      </c>
      <c r="T16" s="12">
        <f>IF($D16="","",$J16+$S16)</f>
        <v/>
      </c>
      <c r="U16" s="25">
        <f>IF($D16="","",IF($F16=0,"未维护摊销额",IF(ROUND($T16-$F16,2)=0,"√","差异")))</f>
        <v/>
      </c>
      <c r="V16" s="11" t="n"/>
      <c r="W16" s="9" t="n"/>
    </row>
    <row r="17" ht="18" customHeight="1">
      <c r="B17" s="21">
        <f>IF('05无形资产工时'!$D17="","",'05无形资产工时'!$B17)</f>
        <v/>
      </c>
      <c r="C17" s="22">
        <f>IF('05无形资产工时'!$D17="","",'05无形资产工时'!$C17)</f>
        <v/>
      </c>
      <c r="D17" s="22">
        <f>IF('05无形资产工时'!$D17="","",'05无形资产工时'!$D17)</f>
        <v/>
      </c>
      <c r="E17" s="39">
        <f>IF($D17="","",'05无形资产工时'!$E17)</f>
        <v/>
      </c>
      <c r="F17" s="23">
        <f>IF($D17="","",IF($V17&lt;&gt;"",$V17,IFERROR(INDEX('参数设置'!$E$48:$E$57,MATCH($D17,'参数设置'!$C$48:$C$57,0)),0)))</f>
        <v/>
      </c>
      <c r="G17" s="24">
        <f>IF($D17="","",'05无形资产工时'!$F17)</f>
        <v/>
      </c>
      <c r="H17" s="24">
        <f>IF($D17="","",'05无形资产工时'!$P17)</f>
        <v/>
      </c>
      <c r="I17" s="20">
        <f>IF(OR($D17="",$G17=0),"",$H17/$G17)</f>
        <v/>
      </c>
      <c r="J17" s="12">
        <f>IF($D17="","",ROUND($F17,2)-$S17)</f>
        <v/>
      </c>
      <c r="K17" s="12">
        <f>IF(OR($D17="",$G17=0),"",ROUND($F17*'05无形资产工时'!H17/$G17,2))</f>
        <v/>
      </c>
      <c r="L17" s="12">
        <f>IF(OR($D17="",$G17=0),"",ROUND($F17*'05无形资产工时'!I17/$G17,2))</f>
        <v/>
      </c>
      <c r="M17" s="12">
        <f>IF(OR($D17="",$G17=0),"",ROUND($F17*'05无形资产工时'!J17/$G17,2))</f>
        <v/>
      </c>
      <c r="N17" s="12">
        <f>IF(OR($D17="",$G17=0),"",ROUND($F17*'05无形资产工时'!K17/$G17,2))</f>
        <v/>
      </c>
      <c r="O17" s="12">
        <f>IF(OR($D17="",$G17=0),"",ROUND($F17*'05无形资产工时'!L17/$G17,2))</f>
        <v/>
      </c>
      <c r="P17" s="12">
        <f>IF(OR($D17="",$G17=0),"",ROUND($F17*'05无形资产工时'!M17/$G17,2))</f>
        <v/>
      </c>
      <c r="Q17" s="12">
        <f>IF(OR($D17="",$G17=0),"",ROUND($F17*'05无形资产工时'!N17/$G17,2))</f>
        <v/>
      </c>
      <c r="R17" s="12">
        <f>IF(OR($D17="",$G17=0),"",ROUND($F17*'05无形资产工时'!O17/$G17,2))</f>
        <v/>
      </c>
      <c r="S17" s="12">
        <f>IF($D17="","",SUM(K17:R17))</f>
        <v/>
      </c>
      <c r="T17" s="12">
        <f>IF($D17="","",$J17+$S17)</f>
        <v/>
      </c>
      <c r="U17" s="25">
        <f>IF($D17="","",IF($F17=0,"未维护摊销额",IF(ROUND($T17-$F17,2)=0,"√","差异")))</f>
        <v/>
      </c>
      <c r="V17" s="11" t="n"/>
      <c r="W17" s="9" t="n"/>
    </row>
    <row r="18" ht="18" customHeight="1">
      <c r="B18" s="21">
        <f>IF('05无形资产工时'!$D18="","",'05无形资产工时'!$B18)</f>
        <v/>
      </c>
      <c r="C18" s="22">
        <f>IF('05无形资产工时'!$D18="","",'05无形资产工时'!$C18)</f>
        <v/>
      </c>
      <c r="D18" s="22">
        <f>IF('05无形资产工时'!$D18="","",'05无形资产工时'!$D18)</f>
        <v/>
      </c>
      <c r="E18" s="39">
        <f>IF($D18="","",'05无形资产工时'!$E18)</f>
        <v/>
      </c>
      <c r="F18" s="23">
        <f>IF($D18="","",IF($V18&lt;&gt;"",$V18,IFERROR(INDEX('参数设置'!$E$48:$E$57,MATCH($D18,'参数设置'!$C$48:$C$57,0)),0)))</f>
        <v/>
      </c>
      <c r="G18" s="24">
        <f>IF($D18="","",'05无形资产工时'!$F18)</f>
        <v/>
      </c>
      <c r="H18" s="24">
        <f>IF($D18="","",'05无形资产工时'!$P18)</f>
        <v/>
      </c>
      <c r="I18" s="20">
        <f>IF(OR($D18="",$G18=0),"",$H18/$G18)</f>
        <v/>
      </c>
      <c r="J18" s="12">
        <f>IF($D18="","",ROUND($F18,2)-$S18)</f>
        <v/>
      </c>
      <c r="K18" s="12">
        <f>IF(OR($D18="",$G18=0),"",ROUND($F18*'05无形资产工时'!H18/$G18,2))</f>
        <v/>
      </c>
      <c r="L18" s="12">
        <f>IF(OR($D18="",$G18=0),"",ROUND($F18*'05无形资产工时'!I18/$G18,2))</f>
        <v/>
      </c>
      <c r="M18" s="12">
        <f>IF(OR($D18="",$G18=0),"",ROUND($F18*'05无形资产工时'!J18/$G18,2))</f>
        <v/>
      </c>
      <c r="N18" s="12">
        <f>IF(OR($D18="",$G18=0),"",ROUND($F18*'05无形资产工时'!K18/$G18,2))</f>
        <v/>
      </c>
      <c r="O18" s="12">
        <f>IF(OR($D18="",$G18=0),"",ROUND($F18*'05无形资产工时'!L18/$G18,2))</f>
        <v/>
      </c>
      <c r="P18" s="12">
        <f>IF(OR($D18="",$G18=0),"",ROUND($F18*'05无形资产工时'!M18/$G18,2))</f>
        <v/>
      </c>
      <c r="Q18" s="12">
        <f>IF(OR($D18="",$G18=0),"",ROUND($F18*'05无形资产工时'!N18/$G18,2))</f>
        <v/>
      </c>
      <c r="R18" s="12">
        <f>IF(OR($D18="",$G18=0),"",ROUND($F18*'05无形资产工时'!O18/$G18,2))</f>
        <v/>
      </c>
      <c r="S18" s="12">
        <f>IF($D18="","",SUM(K18:R18))</f>
        <v/>
      </c>
      <c r="T18" s="12">
        <f>IF($D18="","",$J18+$S18)</f>
        <v/>
      </c>
      <c r="U18" s="25">
        <f>IF($D18="","",IF($F18=0,"未维护摊销额",IF(ROUND($T18-$F18,2)=0,"√","差异")))</f>
        <v/>
      </c>
      <c r="V18" s="11" t="n"/>
      <c r="W18" s="9" t="n"/>
    </row>
    <row r="19" ht="18" customHeight="1">
      <c r="B19" s="21">
        <f>IF('05无形资产工时'!$D19="","",'05无形资产工时'!$B19)</f>
        <v/>
      </c>
      <c r="C19" s="22">
        <f>IF('05无形资产工时'!$D19="","",'05无形资产工时'!$C19)</f>
        <v/>
      </c>
      <c r="D19" s="22">
        <f>IF('05无形资产工时'!$D19="","",'05无形资产工时'!$D19)</f>
        <v/>
      </c>
      <c r="E19" s="39">
        <f>IF($D19="","",'05无形资产工时'!$E19)</f>
        <v/>
      </c>
      <c r="F19" s="23">
        <f>IF($D19="","",IF($V19&lt;&gt;"",$V19,IFERROR(INDEX('参数设置'!$E$48:$E$57,MATCH($D19,'参数设置'!$C$48:$C$57,0)),0)))</f>
        <v/>
      </c>
      <c r="G19" s="24">
        <f>IF($D19="","",'05无形资产工时'!$F19)</f>
        <v/>
      </c>
      <c r="H19" s="24">
        <f>IF($D19="","",'05无形资产工时'!$P19)</f>
        <v/>
      </c>
      <c r="I19" s="20">
        <f>IF(OR($D19="",$G19=0),"",$H19/$G19)</f>
        <v/>
      </c>
      <c r="J19" s="12">
        <f>IF($D19="","",ROUND($F19,2)-$S19)</f>
        <v/>
      </c>
      <c r="K19" s="12">
        <f>IF(OR($D19="",$G19=0),"",ROUND($F19*'05无形资产工时'!H19/$G19,2))</f>
        <v/>
      </c>
      <c r="L19" s="12">
        <f>IF(OR($D19="",$G19=0),"",ROUND($F19*'05无形资产工时'!I19/$G19,2))</f>
        <v/>
      </c>
      <c r="M19" s="12">
        <f>IF(OR($D19="",$G19=0),"",ROUND($F19*'05无形资产工时'!J19/$G19,2))</f>
        <v/>
      </c>
      <c r="N19" s="12">
        <f>IF(OR($D19="",$G19=0),"",ROUND($F19*'05无形资产工时'!K19/$G19,2))</f>
        <v/>
      </c>
      <c r="O19" s="12">
        <f>IF(OR($D19="",$G19=0),"",ROUND($F19*'05无形资产工时'!L19/$G19,2))</f>
        <v/>
      </c>
      <c r="P19" s="12">
        <f>IF(OR($D19="",$G19=0),"",ROUND($F19*'05无形资产工时'!M19/$G19,2))</f>
        <v/>
      </c>
      <c r="Q19" s="12">
        <f>IF(OR($D19="",$G19=0),"",ROUND($F19*'05无形资产工时'!N19/$G19,2))</f>
        <v/>
      </c>
      <c r="R19" s="12">
        <f>IF(OR($D19="",$G19=0),"",ROUND($F19*'05无形资产工时'!O19/$G19,2))</f>
        <v/>
      </c>
      <c r="S19" s="12">
        <f>IF($D19="","",SUM(K19:R19))</f>
        <v/>
      </c>
      <c r="T19" s="12">
        <f>IF($D19="","",$J19+$S19)</f>
        <v/>
      </c>
      <c r="U19" s="25">
        <f>IF($D19="","",IF($F19=0,"未维护摊销额",IF(ROUND($T19-$F19,2)=0,"√","差异")))</f>
        <v/>
      </c>
      <c r="V19" s="11" t="n"/>
      <c r="W19" s="9" t="n"/>
    </row>
    <row r="20" ht="18" customHeight="1">
      <c r="B20" s="21">
        <f>IF('05无形资产工时'!$D20="","",'05无形资产工时'!$B20)</f>
        <v/>
      </c>
      <c r="C20" s="22">
        <f>IF('05无形资产工时'!$D20="","",'05无形资产工时'!$C20)</f>
        <v/>
      </c>
      <c r="D20" s="22">
        <f>IF('05无形资产工时'!$D20="","",'05无形资产工时'!$D20)</f>
        <v/>
      </c>
      <c r="E20" s="39">
        <f>IF($D20="","",'05无形资产工时'!$E20)</f>
        <v/>
      </c>
      <c r="F20" s="23">
        <f>IF($D20="","",IF($V20&lt;&gt;"",$V20,IFERROR(INDEX('参数设置'!$E$48:$E$57,MATCH($D20,'参数设置'!$C$48:$C$57,0)),0)))</f>
        <v/>
      </c>
      <c r="G20" s="24">
        <f>IF($D20="","",'05无形资产工时'!$F20)</f>
        <v/>
      </c>
      <c r="H20" s="24">
        <f>IF($D20="","",'05无形资产工时'!$P20)</f>
        <v/>
      </c>
      <c r="I20" s="20">
        <f>IF(OR($D20="",$G20=0),"",$H20/$G20)</f>
        <v/>
      </c>
      <c r="J20" s="12">
        <f>IF($D20="","",ROUND($F20,2)-$S20)</f>
        <v/>
      </c>
      <c r="K20" s="12">
        <f>IF(OR($D20="",$G20=0),"",ROUND($F20*'05无形资产工时'!H20/$G20,2))</f>
        <v/>
      </c>
      <c r="L20" s="12">
        <f>IF(OR($D20="",$G20=0),"",ROUND($F20*'05无形资产工时'!I20/$G20,2))</f>
        <v/>
      </c>
      <c r="M20" s="12">
        <f>IF(OR($D20="",$G20=0),"",ROUND($F20*'05无形资产工时'!J20/$G20,2))</f>
        <v/>
      </c>
      <c r="N20" s="12">
        <f>IF(OR($D20="",$G20=0),"",ROUND($F20*'05无形资产工时'!K20/$G20,2))</f>
        <v/>
      </c>
      <c r="O20" s="12">
        <f>IF(OR($D20="",$G20=0),"",ROUND($F20*'05无形资产工时'!L20/$G20,2))</f>
        <v/>
      </c>
      <c r="P20" s="12">
        <f>IF(OR($D20="",$G20=0),"",ROUND($F20*'05无形资产工时'!M20/$G20,2))</f>
        <v/>
      </c>
      <c r="Q20" s="12">
        <f>IF(OR($D20="",$G20=0),"",ROUND($F20*'05无形资产工时'!N20/$G20,2))</f>
        <v/>
      </c>
      <c r="R20" s="12">
        <f>IF(OR($D20="",$G20=0),"",ROUND($F20*'05无形资产工时'!O20/$G20,2))</f>
        <v/>
      </c>
      <c r="S20" s="12">
        <f>IF($D20="","",SUM(K20:R20))</f>
        <v/>
      </c>
      <c r="T20" s="12">
        <f>IF($D20="","",$J20+$S20)</f>
        <v/>
      </c>
      <c r="U20" s="25">
        <f>IF($D20="","",IF($F20=0,"未维护摊销额",IF(ROUND($T20-$F20,2)=0,"√","差异")))</f>
        <v/>
      </c>
      <c r="V20" s="11" t="n"/>
      <c r="W20" s="9" t="n"/>
    </row>
    <row r="21" ht="18" customHeight="1">
      <c r="B21" s="21">
        <f>IF('05无形资产工时'!$D21="","",'05无形资产工时'!$B21)</f>
        <v/>
      </c>
      <c r="C21" s="22">
        <f>IF('05无形资产工时'!$D21="","",'05无形资产工时'!$C21)</f>
        <v/>
      </c>
      <c r="D21" s="22">
        <f>IF('05无形资产工时'!$D21="","",'05无形资产工时'!$D21)</f>
        <v/>
      </c>
      <c r="E21" s="39">
        <f>IF($D21="","",'05无形资产工时'!$E21)</f>
        <v/>
      </c>
      <c r="F21" s="23">
        <f>IF($D21="","",IF($V21&lt;&gt;"",$V21,IFERROR(INDEX('参数设置'!$E$48:$E$57,MATCH($D21,'参数设置'!$C$48:$C$57,0)),0)))</f>
        <v/>
      </c>
      <c r="G21" s="24">
        <f>IF($D21="","",'05无形资产工时'!$F21)</f>
        <v/>
      </c>
      <c r="H21" s="24">
        <f>IF($D21="","",'05无形资产工时'!$P21)</f>
        <v/>
      </c>
      <c r="I21" s="20">
        <f>IF(OR($D21="",$G21=0),"",$H21/$G21)</f>
        <v/>
      </c>
      <c r="J21" s="12">
        <f>IF($D21="","",ROUND($F21,2)-$S21)</f>
        <v/>
      </c>
      <c r="K21" s="12">
        <f>IF(OR($D21="",$G21=0),"",ROUND($F21*'05无形资产工时'!H21/$G21,2))</f>
        <v/>
      </c>
      <c r="L21" s="12">
        <f>IF(OR($D21="",$G21=0),"",ROUND($F21*'05无形资产工时'!I21/$G21,2))</f>
        <v/>
      </c>
      <c r="M21" s="12">
        <f>IF(OR($D21="",$G21=0),"",ROUND($F21*'05无形资产工时'!J21/$G21,2))</f>
        <v/>
      </c>
      <c r="N21" s="12">
        <f>IF(OR($D21="",$G21=0),"",ROUND($F21*'05无形资产工时'!K21/$G21,2))</f>
        <v/>
      </c>
      <c r="O21" s="12">
        <f>IF(OR($D21="",$G21=0),"",ROUND($F21*'05无形资产工时'!L21/$G21,2))</f>
        <v/>
      </c>
      <c r="P21" s="12">
        <f>IF(OR($D21="",$G21=0),"",ROUND($F21*'05无形资产工时'!M21/$G21,2))</f>
        <v/>
      </c>
      <c r="Q21" s="12">
        <f>IF(OR($D21="",$G21=0),"",ROUND($F21*'05无形资产工时'!N21/$G21,2))</f>
        <v/>
      </c>
      <c r="R21" s="12">
        <f>IF(OR($D21="",$G21=0),"",ROUND($F21*'05无形资产工时'!O21/$G21,2))</f>
        <v/>
      </c>
      <c r="S21" s="12">
        <f>IF($D21="","",SUM(K21:R21))</f>
        <v/>
      </c>
      <c r="T21" s="12">
        <f>IF($D21="","",$J21+$S21)</f>
        <v/>
      </c>
      <c r="U21" s="25">
        <f>IF($D21="","",IF($F21=0,"未维护摊销额",IF(ROUND($T21-$F21,2)=0,"√","差异")))</f>
        <v/>
      </c>
      <c r="V21" s="11" t="n"/>
      <c r="W21" s="9" t="n"/>
    </row>
    <row r="22" ht="18" customHeight="1">
      <c r="B22" s="21">
        <f>IF('05无形资产工时'!$D22="","",'05无形资产工时'!$B22)</f>
        <v/>
      </c>
      <c r="C22" s="22">
        <f>IF('05无形资产工时'!$D22="","",'05无形资产工时'!$C22)</f>
        <v/>
      </c>
      <c r="D22" s="22">
        <f>IF('05无形资产工时'!$D22="","",'05无形资产工时'!$D22)</f>
        <v/>
      </c>
      <c r="E22" s="39">
        <f>IF($D22="","",'05无形资产工时'!$E22)</f>
        <v/>
      </c>
      <c r="F22" s="23">
        <f>IF($D22="","",IF($V22&lt;&gt;"",$V22,IFERROR(INDEX('参数设置'!$E$48:$E$57,MATCH($D22,'参数设置'!$C$48:$C$57,0)),0)))</f>
        <v/>
      </c>
      <c r="G22" s="24">
        <f>IF($D22="","",'05无形资产工时'!$F22)</f>
        <v/>
      </c>
      <c r="H22" s="24">
        <f>IF($D22="","",'05无形资产工时'!$P22)</f>
        <v/>
      </c>
      <c r="I22" s="20">
        <f>IF(OR($D22="",$G22=0),"",$H22/$G22)</f>
        <v/>
      </c>
      <c r="J22" s="12">
        <f>IF($D22="","",ROUND($F22,2)-$S22)</f>
        <v/>
      </c>
      <c r="K22" s="12">
        <f>IF(OR($D22="",$G22=0),"",ROUND($F22*'05无形资产工时'!H22/$G22,2))</f>
        <v/>
      </c>
      <c r="L22" s="12">
        <f>IF(OR($D22="",$G22=0),"",ROUND($F22*'05无形资产工时'!I22/$G22,2))</f>
        <v/>
      </c>
      <c r="M22" s="12">
        <f>IF(OR($D22="",$G22=0),"",ROUND($F22*'05无形资产工时'!J22/$G22,2))</f>
        <v/>
      </c>
      <c r="N22" s="12">
        <f>IF(OR($D22="",$G22=0),"",ROUND($F22*'05无形资产工时'!K22/$G22,2))</f>
        <v/>
      </c>
      <c r="O22" s="12">
        <f>IF(OR($D22="",$G22=0),"",ROUND($F22*'05无形资产工时'!L22/$G22,2))</f>
        <v/>
      </c>
      <c r="P22" s="12">
        <f>IF(OR($D22="",$G22=0),"",ROUND($F22*'05无形资产工时'!M22/$G22,2))</f>
        <v/>
      </c>
      <c r="Q22" s="12">
        <f>IF(OR($D22="",$G22=0),"",ROUND($F22*'05无形资产工时'!N22/$G22,2))</f>
        <v/>
      </c>
      <c r="R22" s="12">
        <f>IF(OR($D22="",$G22=0),"",ROUND($F22*'05无形资产工时'!O22/$G22,2))</f>
        <v/>
      </c>
      <c r="S22" s="12">
        <f>IF($D22="","",SUM(K22:R22))</f>
        <v/>
      </c>
      <c r="T22" s="12">
        <f>IF($D22="","",$J22+$S22)</f>
        <v/>
      </c>
      <c r="U22" s="25">
        <f>IF($D22="","",IF($F22=0,"未维护摊销额",IF(ROUND($T22-$F22,2)=0,"√","差异")))</f>
        <v/>
      </c>
      <c r="V22" s="11" t="n"/>
      <c r="W22" s="9" t="n"/>
    </row>
    <row r="23" ht="18" customHeight="1">
      <c r="B23" s="21">
        <f>IF('05无形资产工时'!$D23="","",'05无形资产工时'!$B23)</f>
        <v/>
      </c>
      <c r="C23" s="22">
        <f>IF('05无形资产工时'!$D23="","",'05无形资产工时'!$C23)</f>
        <v/>
      </c>
      <c r="D23" s="22">
        <f>IF('05无形资产工时'!$D23="","",'05无形资产工时'!$D23)</f>
        <v/>
      </c>
      <c r="E23" s="39">
        <f>IF($D23="","",'05无形资产工时'!$E23)</f>
        <v/>
      </c>
      <c r="F23" s="23">
        <f>IF($D23="","",IF($V23&lt;&gt;"",$V23,IFERROR(INDEX('参数设置'!$E$48:$E$57,MATCH($D23,'参数设置'!$C$48:$C$57,0)),0)))</f>
        <v/>
      </c>
      <c r="G23" s="24">
        <f>IF($D23="","",'05无形资产工时'!$F23)</f>
        <v/>
      </c>
      <c r="H23" s="24">
        <f>IF($D23="","",'05无形资产工时'!$P23)</f>
        <v/>
      </c>
      <c r="I23" s="20">
        <f>IF(OR($D23="",$G23=0),"",$H23/$G23)</f>
        <v/>
      </c>
      <c r="J23" s="12">
        <f>IF($D23="","",ROUND($F23,2)-$S23)</f>
        <v/>
      </c>
      <c r="K23" s="12">
        <f>IF(OR($D23="",$G23=0),"",ROUND($F23*'05无形资产工时'!H23/$G23,2))</f>
        <v/>
      </c>
      <c r="L23" s="12">
        <f>IF(OR($D23="",$G23=0),"",ROUND($F23*'05无形资产工时'!I23/$G23,2))</f>
        <v/>
      </c>
      <c r="M23" s="12">
        <f>IF(OR($D23="",$G23=0),"",ROUND($F23*'05无形资产工时'!J23/$G23,2))</f>
        <v/>
      </c>
      <c r="N23" s="12">
        <f>IF(OR($D23="",$G23=0),"",ROUND($F23*'05无形资产工时'!K23/$G23,2))</f>
        <v/>
      </c>
      <c r="O23" s="12">
        <f>IF(OR($D23="",$G23=0),"",ROUND($F23*'05无形资产工时'!L23/$G23,2))</f>
        <v/>
      </c>
      <c r="P23" s="12">
        <f>IF(OR($D23="",$G23=0),"",ROUND($F23*'05无形资产工时'!M23/$G23,2))</f>
        <v/>
      </c>
      <c r="Q23" s="12">
        <f>IF(OR($D23="",$G23=0),"",ROUND($F23*'05无形资产工时'!N23/$G23,2))</f>
        <v/>
      </c>
      <c r="R23" s="12">
        <f>IF(OR($D23="",$G23=0),"",ROUND($F23*'05无形资产工时'!O23/$G23,2))</f>
        <v/>
      </c>
      <c r="S23" s="12">
        <f>IF($D23="","",SUM(K23:R23))</f>
        <v/>
      </c>
      <c r="T23" s="12">
        <f>IF($D23="","",$J23+$S23)</f>
        <v/>
      </c>
      <c r="U23" s="25">
        <f>IF($D23="","",IF($F23=0,"未维护摊销额",IF(ROUND($T23-$F23,2)=0,"√","差异")))</f>
        <v/>
      </c>
      <c r="V23" s="11" t="n"/>
      <c r="W23" s="9" t="n"/>
    </row>
    <row r="24" ht="18" customHeight="1">
      <c r="B24" s="21">
        <f>IF('05无形资产工时'!$D24="","",'05无形资产工时'!$B24)</f>
        <v/>
      </c>
      <c r="C24" s="22">
        <f>IF('05无形资产工时'!$D24="","",'05无形资产工时'!$C24)</f>
        <v/>
      </c>
      <c r="D24" s="22">
        <f>IF('05无形资产工时'!$D24="","",'05无形资产工时'!$D24)</f>
        <v/>
      </c>
      <c r="E24" s="39">
        <f>IF($D24="","",'05无形资产工时'!$E24)</f>
        <v/>
      </c>
      <c r="F24" s="23">
        <f>IF($D24="","",IF($V24&lt;&gt;"",$V24,IFERROR(INDEX('参数设置'!$E$48:$E$57,MATCH($D24,'参数设置'!$C$48:$C$57,0)),0)))</f>
        <v/>
      </c>
      <c r="G24" s="24">
        <f>IF($D24="","",'05无形资产工时'!$F24)</f>
        <v/>
      </c>
      <c r="H24" s="24">
        <f>IF($D24="","",'05无形资产工时'!$P24)</f>
        <v/>
      </c>
      <c r="I24" s="20">
        <f>IF(OR($D24="",$G24=0),"",$H24/$G24)</f>
        <v/>
      </c>
      <c r="J24" s="12">
        <f>IF($D24="","",ROUND($F24,2)-$S24)</f>
        <v/>
      </c>
      <c r="K24" s="12">
        <f>IF(OR($D24="",$G24=0),"",ROUND($F24*'05无形资产工时'!H24/$G24,2))</f>
        <v/>
      </c>
      <c r="L24" s="12">
        <f>IF(OR($D24="",$G24=0),"",ROUND($F24*'05无形资产工时'!I24/$G24,2))</f>
        <v/>
      </c>
      <c r="M24" s="12">
        <f>IF(OR($D24="",$G24=0),"",ROUND($F24*'05无形资产工时'!J24/$G24,2))</f>
        <v/>
      </c>
      <c r="N24" s="12">
        <f>IF(OR($D24="",$G24=0),"",ROUND($F24*'05无形资产工时'!K24/$G24,2))</f>
        <v/>
      </c>
      <c r="O24" s="12">
        <f>IF(OR($D24="",$G24=0),"",ROUND($F24*'05无形资产工时'!L24/$G24,2))</f>
        <v/>
      </c>
      <c r="P24" s="12">
        <f>IF(OR($D24="",$G24=0),"",ROUND($F24*'05无形资产工时'!M24/$G24,2))</f>
        <v/>
      </c>
      <c r="Q24" s="12">
        <f>IF(OR($D24="",$G24=0),"",ROUND($F24*'05无形资产工时'!N24/$G24,2))</f>
        <v/>
      </c>
      <c r="R24" s="12">
        <f>IF(OR($D24="",$G24=0),"",ROUND($F24*'05无形资产工时'!O24/$G24,2))</f>
        <v/>
      </c>
      <c r="S24" s="12">
        <f>IF($D24="","",SUM(K24:R24))</f>
        <v/>
      </c>
      <c r="T24" s="12">
        <f>IF($D24="","",$J24+$S24)</f>
        <v/>
      </c>
      <c r="U24" s="25">
        <f>IF($D24="","",IF($F24=0,"未维护摊销额",IF(ROUND($T24-$F24,2)=0,"√","差异")))</f>
        <v/>
      </c>
      <c r="V24" s="11" t="n"/>
      <c r="W24" s="9" t="n"/>
    </row>
    <row r="25" ht="18" customHeight="1">
      <c r="B25" s="21">
        <f>IF('05无形资产工时'!$D25="","",'05无形资产工时'!$B25)</f>
        <v/>
      </c>
      <c r="C25" s="22">
        <f>IF('05无形资产工时'!$D25="","",'05无形资产工时'!$C25)</f>
        <v/>
      </c>
      <c r="D25" s="22">
        <f>IF('05无形资产工时'!$D25="","",'05无形资产工时'!$D25)</f>
        <v/>
      </c>
      <c r="E25" s="39">
        <f>IF($D25="","",'05无形资产工时'!$E25)</f>
        <v/>
      </c>
      <c r="F25" s="23">
        <f>IF($D25="","",IF($V25&lt;&gt;"",$V25,IFERROR(INDEX('参数设置'!$E$48:$E$57,MATCH($D25,'参数设置'!$C$48:$C$57,0)),0)))</f>
        <v/>
      </c>
      <c r="G25" s="24">
        <f>IF($D25="","",'05无形资产工时'!$F25)</f>
        <v/>
      </c>
      <c r="H25" s="24">
        <f>IF($D25="","",'05无形资产工时'!$P25)</f>
        <v/>
      </c>
      <c r="I25" s="20">
        <f>IF(OR($D25="",$G25=0),"",$H25/$G25)</f>
        <v/>
      </c>
      <c r="J25" s="12">
        <f>IF($D25="","",ROUND($F25,2)-$S25)</f>
        <v/>
      </c>
      <c r="K25" s="12">
        <f>IF(OR($D25="",$G25=0),"",ROUND($F25*'05无形资产工时'!H25/$G25,2))</f>
        <v/>
      </c>
      <c r="L25" s="12">
        <f>IF(OR($D25="",$G25=0),"",ROUND($F25*'05无形资产工时'!I25/$G25,2))</f>
        <v/>
      </c>
      <c r="M25" s="12">
        <f>IF(OR($D25="",$G25=0),"",ROUND($F25*'05无形资产工时'!J25/$G25,2))</f>
        <v/>
      </c>
      <c r="N25" s="12">
        <f>IF(OR($D25="",$G25=0),"",ROUND($F25*'05无形资产工时'!K25/$G25,2))</f>
        <v/>
      </c>
      <c r="O25" s="12">
        <f>IF(OR($D25="",$G25=0),"",ROUND($F25*'05无形资产工时'!L25/$G25,2))</f>
        <v/>
      </c>
      <c r="P25" s="12">
        <f>IF(OR($D25="",$G25=0),"",ROUND($F25*'05无形资产工时'!M25/$G25,2))</f>
        <v/>
      </c>
      <c r="Q25" s="12">
        <f>IF(OR($D25="",$G25=0),"",ROUND($F25*'05无形资产工时'!N25/$G25,2))</f>
        <v/>
      </c>
      <c r="R25" s="12">
        <f>IF(OR($D25="",$G25=0),"",ROUND($F25*'05无形资产工时'!O25/$G25,2))</f>
        <v/>
      </c>
      <c r="S25" s="12">
        <f>IF($D25="","",SUM(K25:R25))</f>
        <v/>
      </c>
      <c r="T25" s="12">
        <f>IF($D25="","",$J25+$S25)</f>
        <v/>
      </c>
      <c r="U25" s="25">
        <f>IF($D25="","",IF($F25=0,"未维护摊销额",IF(ROUND($T25-$F25,2)=0,"√","差异")))</f>
        <v/>
      </c>
      <c r="V25" s="11" t="n"/>
      <c r="W25" s="9" t="n"/>
    </row>
    <row r="26" ht="18" customHeight="1">
      <c r="B26" s="21">
        <f>IF('05无形资产工时'!$D26="","",'05无形资产工时'!$B26)</f>
        <v/>
      </c>
      <c r="C26" s="22">
        <f>IF('05无形资产工时'!$D26="","",'05无形资产工时'!$C26)</f>
        <v/>
      </c>
      <c r="D26" s="22">
        <f>IF('05无形资产工时'!$D26="","",'05无形资产工时'!$D26)</f>
        <v/>
      </c>
      <c r="E26" s="39">
        <f>IF($D26="","",'05无形资产工时'!$E26)</f>
        <v/>
      </c>
      <c r="F26" s="23">
        <f>IF($D26="","",IF($V26&lt;&gt;"",$V26,IFERROR(INDEX('参数设置'!$E$48:$E$57,MATCH($D26,'参数设置'!$C$48:$C$57,0)),0)))</f>
        <v/>
      </c>
      <c r="G26" s="24">
        <f>IF($D26="","",'05无形资产工时'!$F26)</f>
        <v/>
      </c>
      <c r="H26" s="24">
        <f>IF($D26="","",'05无形资产工时'!$P26)</f>
        <v/>
      </c>
      <c r="I26" s="20">
        <f>IF(OR($D26="",$G26=0),"",$H26/$G26)</f>
        <v/>
      </c>
      <c r="J26" s="12">
        <f>IF($D26="","",ROUND($F26,2)-$S26)</f>
        <v/>
      </c>
      <c r="K26" s="12">
        <f>IF(OR($D26="",$G26=0),"",ROUND($F26*'05无形资产工时'!H26/$G26,2))</f>
        <v/>
      </c>
      <c r="L26" s="12">
        <f>IF(OR($D26="",$G26=0),"",ROUND($F26*'05无形资产工时'!I26/$G26,2))</f>
        <v/>
      </c>
      <c r="M26" s="12">
        <f>IF(OR($D26="",$G26=0),"",ROUND($F26*'05无形资产工时'!J26/$G26,2))</f>
        <v/>
      </c>
      <c r="N26" s="12">
        <f>IF(OR($D26="",$G26=0),"",ROUND($F26*'05无形资产工时'!K26/$G26,2))</f>
        <v/>
      </c>
      <c r="O26" s="12">
        <f>IF(OR($D26="",$G26=0),"",ROUND($F26*'05无形资产工时'!L26/$G26,2))</f>
        <v/>
      </c>
      <c r="P26" s="12">
        <f>IF(OR($D26="",$G26=0),"",ROUND($F26*'05无形资产工时'!M26/$G26,2))</f>
        <v/>
      </c>
      <c r="Q26" s="12">
        <f>IF(OR($D26="",$G26=0),"",ROUND($F26*'05无形资产工时'!N26/$G26,2))</f>
        <v/>
      </c>
      <c r="R26" s="12">
        <f>IF(OR($D26="",$G26=0),"",ROUND($F26*'05无形资产工时'!O26/$G26,2))</f>
        <v/>
      </c>
      <c r="S26" s="12">
        <f>IF($D26="","",SUM(K26:R26))</f>
        <v/>
      </c>
      <c r="T26" s="12">
        <f>IF($D26="","",$J26+$S26)</f>
        <v/>
      </c>
      <c r="U26" s="25">
        <f>IF($D26="","",IF($F26=0,"未维护摊销额",IF(ROUND($T26-$F26,2)=0,"√","差异")))</f>
        <v/>
      </c>
      <c r="V26" s="11" t="n"/>
      <c r="W26" s="9" t="n"/>
    </row>
    <row r="27" ht="18" customHeight="1">
      <c r="B27" s="21">
        <f>IF('05无形资产工时'!$D27="","",'05无形资产工时'!$B27)</f>
        <v/>
      </c>
      <c r="C27" s="22">
        <f>IF('05无形资产工时'!$D27="","",'05无形资产工时'!$C27)</f>
        <v/>
      </c>
      <c r="D27" s="22">
        <f>IF('05无形资产工时'!$D27="","",'05无形资产工时'!$D27)</f>
        <v/>
      </c>
      <c r="E27" s="39">
        <f>IF($D27="","",'05无形资产工时'!$E27)</f>
        <v/>
      </c>
      <c r="F27" s="23">
        <f>IF($D27="","",IF($V27&lt;&gt;"",$V27,IFERROR(INDEX('参数设置'!$E$48:$E$57,MATCH($D27,'参数设置'!$C$48:$C$57,0)),0)))</f>
        <v/>
      </c>
      <c r="G27" s="24">
        <f>IF($D27="","",'05无形资产工时'!$F27)</f>
        <v/>
      </c>
      <c r="H27" s="24">
        <f>IF($D27="","",'05无形资产工时'!$P27)</f>
        <v/>
      </c>
      <c r="I27" s="20">
        <f>IF(OR($D27="",$G27=0),"",$H27/$G27)</f>
        <v/>
      </c>
      <c r="J27" s="12">
        <f>IF($D27="","",ROUND($F27,2)-$S27)</f>
        <v/>
      </c>
      <c r="K27" s="12">
        <f>IF(OR($D27="",$G27=0),"",ROUND($F27*'05无形资产工时'!H27/$G27,2))</f>
        <v/>
      </c>
      <c r="L27" s="12">
        <f>IF(OR($D27="",$G27=0),"",ROUND($F27*'05无形资产工时'!I27/$G27,2))</f>
        <v/>
      </c>
      <c r="M27" s="12">
        <f>IF(OR($D27="",$G27=0),"",ROUND($F27*'05无形资产工时'!J27/$G27,2))</f>
        <v/>
      </c>
      <c r="N27" s="12">
        <f>IF(OR($D27="",$G27=0),"",ROUND($F27*'05无形资产工时'!K27/$G27,2))</f>
        <v/>
      </c>
      <c r="O27" s="12">
        <f>IF(OR($D27="",$G27=0),"",ROUND($F27*'05无形资产工时'!L27/$G27,2))</f>
        <v/>
      </c>
      <c r="P27" s="12">
        <f>IF(OR($D27="",$G27=0),"",ROUND($F27*'05无形资产工时'!M27/$G27,2))</f>
        <v/>
      </c>
      <c r="Q27" s="12">
        <f>IF(OR($D27="",$G27=0),"",ROUND($F27*'05无形资产工时'!N27/$G27,2))</f>
        <v/>
      </c>
      <c r="R27" s="12">
        <f>IF(OR($D27="",$G27=0),"",ROUND($F27*'05无形资产工时'!O27/$G27,2))</f>
        <v/>
      </c>
      <c r="S27" s="12">
        <f>IF($D27="","",SUM(K27:R27))</f>
        <v/>
      </c>
      <c r="T27" s="12">
        <f>IF($D27="","",$J27+$S27)</f>
        <v/>
      </c>
      <c r="U27" s="25">
        <f>IF($D27="","",IF($F27=0,"未维护摊销额",IF(ROUND($T27-$F27,2)=0,"√","差异")))</f>
        <v/>
      </c>
      <c r="V27" s="11" t="n"/>
      <c r="W27" s="9" t="n"/>
    </row>
    <row r="28" ht="18" customHeight="1">
      <c r="B28" s="21">
        <f>IF('05无形资产工时'!$D28="","",'05无形资产工时'!$B28)</f>
        <v/>
      </c>
      <c r="C28" s="22">
        <f>IF('05无形资产工时'!$D28="","",'05无形资产工时'!$C28)</f>
        <v/>
      </c>
      <c r="D28" s="22">
        <f>IF('05无形资产工时'!$D28="","",'05无形资产工时'!$D28)</f>
        <v/>
      </c>
      <c r="E28" s="39">
        <f>IF($D28="","",'05无形资产工时'!$E28)</f>
        <v/>
      </c>
      <c r="F28" s="23">
        <f>IF($D28="","",IF($V28&lt;&gt;"",$V28,IFERROR(INDEX('参数设置'!$E$48:$E$57,MATCH($D28,'参数设置'!$C$48:$C$57,0)),0)))</f>
        <v/>
      </c>
      <c r="G28" s="24">
        <f>IF($D28="","",'05无形资产工时'!$F28)</f>
        <v/>
      </c>
      <c r="H28" s="24">
        <f>IF($D28="","",'05无形资产工时'!$P28)</f>
        <v/>
      </c>
      <c r="I28" s="20">
        <f>IF(OR($D28="",$G28=0),"",$H28/$G28)</f>
        <v/>
      </c>
      <c r="J28" s="12">
        <f>IF($D28="","",ROUND($F28,2)-$S28)</f>
        <v/>
      </c>
      <c r="K28" s="12">
        <f>IF(OR($D28="",$G28=0),"",ROUND($F28*'05无形资产工时'!H28/$G28,2))</f>
        <v/>
      </c>
      <c r="L28" s="12">
        <f>IF(OR($D28="",$G28=0),"",ROUND($F28*'05无形资产工时'!I28/$G28,2))</f>
        <v/>
      </c>
      <c r="M28" s="12">
        <f>IF(OR($D28="",$G28=0),"",ROUND($F28*'05无形资产工时'!J28/$G28,2))</f>
        <v/>
      </c>
      <c r="N28" s="12">
        <f>IF(OR($D28="",$G28=0),"",ROUND($F28*'05无形资产工时'!K28/$G28,2))</f>
        <v/>
      </c>
      <c r="O28" s="12">
        <f>IF(OR($D28="",$G28=0),"",ROUND($F28*'05无形资产工时'!L28/$G28,2))</f>
        <v/>
      </c>
      <c r="P28" s="12">
        <f>IF(OR($D28="",$G28=0),"",ROUND($F28*'05无形资产工时'!M28/$G28,2))</f>
        <v/>
      </c>
      <c r="Q28" s="12">
        <f>IF(OR($D28="",$G28=0),"",ROUND($F28*'05无形资产工时'!N28/$G28,2))</f>
        <v/>
      </c>
      <c r="R28" s="12">
        <f>IF(OR($D28="",$G28=0),"",ROUND($F28*'05无形资产工时'!O28/$G28,2))</f>
        <v/>
      </c>
      <c r="S28" s="12">
        <f>IF($D28="","",SUM(K28:R28))</f>
        <v/>
      </c>
      <c r="T28" s="12">
        <f>IF($D28="","",$J28+$S28)</f>
        <v/>
      </c>
      <c r="U28" s="25">
        <f>IF($D28="","",IF($F28=0,"未维护摊销额",IF(ROUND($T28-$F28,2)=0,"√","差异")))</f>
        <v/>
      </c>
      <c r="V28" s="11" t="n"/>
      <c r="W28" s="9" t="n"/>
    </row>
    <row r="29" ht="18" customHeight="1">
      <c r="B29" s="21">
        <f>IF('05无形资产工时'!$D29="","",'05无形资产工时'!$B29)</f>
        <v/>
      </c>
      <c r="C29" s="22">
        <f>IF('05无形资产工时'!$D29="","",'05无形资产工时'!$C29)</f>
        <v/>
      </c>
      <c r="D29" s="22">
        <f>IF('05无形资产工时'!$D29="","",'05无形资产工时'!$D29)</f>
        <v/>
      </c>
      <c r="E29" s="39">
        <f>IF($D29="","",'05无形资产工时'!$E29)</f>
        <v/>
      </c>
      <c r="F29" s="23">
        <f>IF($D29="","",IF($V29&lt;&gt;"",$V29,IFERROR(INDEX('参数设置'!$E$48:$E$57,MATCH($D29,'参数设置'!$C$48:$C$57,0)),0)))</f>
        <v/>
      </c>
      <c r="G29" s="24">
        <f>IF($D29="","",'05无形资产工时'!$F29)</f>
        <v/>
      </c>
      <c r="H29" s="24">
        <f>IF($D29="","",'05无形资产工时'!$P29)</f>
        <v/>
      </c>
      <c r="I29" s="20">
        <f>IF(OR($D29="",$G29=0),"",$H29/$G29)</f>
        <v/>
      </c>
      <c r="J29" s="12">
        <f>IF($D29="","",ROUND($F29,2)-$S29)</f>
        <v/>
      </c>
      <c r="K29" s="12">
        <f>IF(OR($D29="",$G29=0),"",ROUND($F29*'05无形资产工时'!H29/$G29,2))</f>
        <v/>
      </c>
      <c r="L29" s="12">
        <f>IF(OR($D29="",$G29=0),"",ROUND($F29*'05无形资产工时'!I29/$G29,2))</f>
        <v/>
      </c>
      <c r="M29" s="12">
        <f>IF(OR($D29="",$G29=0),"",ROUND($F29*'05无形资产工时'!J29/$G29,2))</f>
        <v/>
      </c>
      <c r="N29" s="12">
        <f>IF(OR($D29="",$G29=0),"",ROUND($F29*'05无形资产工时'!K29/$G29,2))</f>
        <v/>
      </c>
      <c r="O29" s="12">
        <f>IF(OR($D29="",$G29=0),"",ROUND($F29*'05无形资产工时'!L29/$G29,2))</f>
        <v/>
      </c>
      <c r="P29" s="12">
        <f>IF(OR($D29="",$G29=0),"",ROUND($F29*'05无形资产工时'!M29/$G29,2))</f>
        <v/>
      </c>
      <c r="Q29" s="12">
        <f>IF(OR($D29="",$G29=0),"",ROUND($F29*'05无形资产工时'!N29/$G29,2))</f>
        <v/>
      </c>
      <c r="R29" s="12">
        <f>IF(OR($D29="",$G29=0),"",ROUND($F29*'05无形资产工时'!O29/$G29,2))</f>
        <v/>
      </c>
      <c r="S29" s="12">
        <f>IF($D29="","",SUM(K29:R29))</f>
        <v/>
      </c>
      <c r="T29" s="12">
        <f>IF($D29="","",$J29+$S29)</f>
        <v/>
      </c>
      <c r="U29" s="25">
        <f>IF($D29="","",IF($F29=0,"未维护摊销额",IF(ROUND($T29-$F29,2)=0,"√","差异")))</f>
        <v/>
      </c>
      <c r="V29" s="11" t="n"/>
      <c r="W29" s="9" t="n"/>
    </row>
    <row r="30" ht="18" customHeight="1">
      <c r="B30" s="21">
        <f>IF('05无形资产工时'!$D30="","",'05无形资产工时'!$B30)</f>
        <v/>
      </c>
      <c r="C30" s="22">
        <f>IF('05无形资产工时'!$D30="","",'05无形资产工时'!$C30)</f>
        <v/>
      </c>
      <c r="D30" s="22">
        <f>IF('05无形资产工时'!$D30="","",'05无形资产工时'!$D30)</f>
        <v/>
      </c>
      <c r="E30" s="39">
        <f>IF($D30="","",'05无形资产工时'!$E30)</f>
        <v/>
      </c>
      <c r="F30" s="23">
        <f>IF($D30="","",IF($V30&lt;&gt;"",$V30,IFERROR(INDEX('参数设置'!$E$48:$E$57,MATCH($D30,'参数设置'!$C$48:$C$57,0)),0)))</f>
        <v/>
      </c>
      <c r="G30" s="24">
        <f>IF($D30="","",'05无形资产工时'!$F30)</f>
        <v/>
      </c>
      <c r="H30" s="24">
        <f>IF($D30="","",'05无形资产工时'!$P30)</f>
        <v/>
      </c>
      <c r="I30" s="20">
        <f>IF(OR($D30="",$G30=0),"",$H30/$G30)</f>
        <v/>
      </c>
      <c r="J30" s="12">
        <f>IF($D30="","",ROUND($F30,2)-$S30)</f>
        <v/>
      </c>
      <c r="K30" s="12">
        <f>IF(OR($D30="",$G30=0),"",ROUND($F30*'05无形资产工时'!H30/$G30,2))</f>
        <v/>
      </c>
      <c r="L30" s="12">
        <f>IF(OR($D30="",$G30=0),"",ROUND($F30*'05无形资产工时'!I30/$G30,2))</f>
        <v/>
      </c>
      <c r="M30" s="12">
        <f>IF(OR($D30="",$G30=0),"",ROUND($F30*'05无形资产工时'!J30/$G30,2))</f>
        <v/>
      </c>
      <c r="N30" s="12">
        <f>IF(OR($D30="",$G30=0),"",ROUND($F30*'05无形资产工时'!K30/$G30,2))</f>
        <v/>
      </c>
      <c r="O30" s="12">
        <f>IF(OR($D30="",$G30=0),"",ROUND($F30*'05无形资产工时'!L30/$G30,2))</f>
        <v/>
      </c>
      <c r="P30" s="12">
        <f>IF(OR($D30="",$G30=0),"",ROUND($F30*'05无形资产工时'!M30/$G30,2))</f>
        <v/>
      </c>
      <c r="Q30" s="12">
        <f>IF(OR($D30="",$G30=0),"",ROUND($F30*'05无形资产工时'!N30/$G30,2))</f>
        <v/>
      </c>
      <c r="R30" s="12">
        <f>IF(OR($D30="",$G30=0),"",ROUND($F30*'05无形资产工时'!O30/$G30,2))</f>
        <v/>
      </c>
      <c r="S30" s="12">
        <f>IF($D30="","",SUM(K30:R30))</f>
        <v/>
      </c>
      <c r="T30" s="12">
        <f>IF($D30="","",$J30+$S30)</f>
        <v/>
      </c>
      <c r="U30" s="25">
        <f>IF($D30="","",IF($F30=0,"未维护摊销额",IF(ROUND($T30-$F30,2)=0,"√","差异")))</f>
        <v/>
      </c>
      <c r="V30" s="11" t="n"/>
      <c r="W30" s="9" t="n"/>
    </row>
    <row r="31" ht="18" customHeight="1">
      <c r="B31" s="21">
        <f>IF('05无形资产工时'!$D31="","",'05无形资产工时'!$B31)</f>
        <v/>
      </c>
      <c r="C31" s="22">
        <f>IF('05无形资产工时'!$D31="","",'05无形资产工时'!$C31)</f>
        <v/>
      </c>
      <c r="D31" s="22">
        <f>IF('05无形资产工时'!$D31="","",'05无形资产工时'!$D31)</f>
        <v/>
      </c>
      <c r="E31" s="39">
        <f>IF($D31="","",'05无形资产工时'!$E31)</f>
        <v/>
      </c>
      <c r="F31" s="23">
        <f>IF($D31="","",IF($V31&lt;&gt;"",$V31,IFERROR(INDEX('参数设置'!$E$48:$E$57,MATCH($D31,'参数设置'!$C$48:$C$57,0)),0)))</f>
        <v/>
      </c>
      <c r="G31" s="24">
        <f>IF($D31="","",'05无形资产工时'!$F31)</f>
        <v/>
      </c>
      <c r="H31" s="24">
        <f>IF($D31="","",'05无形资产工时'!$P31)</f>
        <v/>
      </c>
      <c r="I31" s="20">
        <f>IF(OR($D31="",$G31=0),"",$H31/$G31)</f>
        <v/>
      </c>
      <c r="J31" s="12">
        <f>IF($D31="","",ROUND($F31,2)-$S31)</f>
        <v/>
      </c>
      <c r="K31" s="12">
        <f>IF(OR($D31="",$G31=0),"",ROUND($F31*'05无形资产工时'!H31/$G31,2))</f>
        <v/>
      </c>
      <c r="L31" s="12">
        <f>IF(OR($D31="",$G31=0),"",ROUND($F31*'05无形资产工时'!I31/$G31,2))</f>
        <v/>
      </c>
      <c r="M31" s="12">
        <f>IF(OR($D31="",$G31=0),"",ROUND($F31*'05无形资产工时'!J31/$G31,2))</f>
        <v/>
      </c>
      <c r="N31" s="12">
        <f>IF(OR($D31="",$G31=0),"",ROUND($F31*'05无形资产工时'!K31/$G31,2))</f>
        <v/>
      </c>
      <c r="O31" s="12">
        <f>IF(OR($D31="",$G31=0),"",ROUND($F31*'05无形资产工时'!L31/$G31,2))</f>
        <v/>
      </c>
      <c r="P31" s="12">
        <f>IF(OR($D31="",$G31=0),"",ROUND($F31*'05无形资产工时'!M31/$G31,2))</f>
        <v/>
      </c>
      <c r="Q31" s="12">
        <f>IF(OR($D31="",$G31=0),"",ROUND($F31*'05无形资产工时'!N31/$G31,2))</f>
        <v/>
      </c>
      <c r="R31" s="12">
        <f>IF(OR($D31="",$G31=0),"",ROUND($F31*'05无形资产工时'!O31/$G31,2))</f>
        <v/>
      </c>
      <c r="S31" s="12">
        <f>IF($D31="","",SUM(K31:R31))</f>
        <v/>
      </c>
      <c r="T31" s="12">
        <f>IF($D31="","",$J31+$S31)</f>
        <v/>
      </c>
      <c r="U31" s="25">
        <f>IF($D31="","",IF($F31=0,"未维护摊销额",IF(ROUND($T31-$F31,2)=0,"√","差异")))</f>
        <v/>
      </c>
      <c r="V31" s="11" t="n"/>
      <c r="W31" s="9" t="n"/>
    </row>
    <row r="32" ht="18" customHeight="1">
      <c r="B32" s="21">
        <f>IF('05无形资产工时'!$D32="","",'05无形资产工时'!$B32)</f>
        <v/>
      </c>
      <c r="C32" s="22">
        <f>IF('05无形资产工时'!$D32="","",'05无形资产工时'!$C32)</f>
        <v/>
      </c>
      <c r="D32" s="22">
        <f>IF('05无形资产工时'!$D32="","",'05无形资产工时'!$D32)</f>
        <v/>
      </c>
      <c r="E32" s="39">
        <f>IF($D32="","",'05无形资产工时'!$E32)</f>
        <v/>
      </c>
      <c r="F32" s="23">
        <f>IF($D32="","",IF($V32&lt;&gt;"",$V32,IFERROR(INDEX('参数设置'!$E$48:$E$57,MATCH($D32,'参数设置'!$C$48:$C$57,0)),0)))</f>
        <v/>
      </c>
      <c r="G32" s="24">
        <f>IF($D32="","",'05无形资产工时'!$F32)</f>
        <v/>
      </c>
      <c r="H32" s="24">
        <f>IF($D32="","",'05无形资产工时'!$P32)</f>
        <v/>
      </c>
      <c r="I32" s="20">
        <f>IF(OR($D32="",$G32=0),"",$H32/$G32)</f>
        <v/>
      </c>
      <c r="J32" s="12">
        <f>IF($D32="","",ROUND($F32,2)-$S32)</f>
        <v/>
      </c>
      <c r="K32" s="12">
        <f>IF(OR($D32="",$G32=0),"",ROUND($F32*'05无形资产工时'!H32/$G32,2))</f>
        <v/>
      </c>
      <c r="L32" s="12">
        <f>IF(OR($D32="",$G32=0),"",ROUND($F32*'05无形资产工时'!I32/$G32,2))</f>
        <v/>
      </c>
      <c r="M32" s="12">
        <f>IF(OR($D32="",$G32=0),"",ROUND($F32*'05无形资产工时'!J32/$G32,2))</f>
        <v/>
      </c>
      <c r="N32" s="12">
        <f>IF(OR($D32="",$G32=0),"",ROUND($F32*'05无形资产工时'!K32/$G32,2))</f>
        <v/>
      </c>
      <c r="O32" s="12">
        <f>IF(OR($D32="",$G32=0),"",ROUND($F32*'05无形资产工时'!L32/$G32,2))</f>
        <v/>
      </c>
      <c r="P32" s="12">
        <f>IF(OR($D32="",$G32=0),"",ROUND($F32*'05无形资产工时'!M32/$G32,2))</f>
        <v/>
      </c>
      <c r="Q32" s="12">
        <f>IF(OR($D32="",$G32=0),"",ROUND($F32*'05无形资产工时'!N32/$G32,2))</f>
        <v/>
      </c>
      <c r="R32" s="12">
        <f>IF(OR($D32="",$G32=0),"",ROUND($F32*'05无形资产工时'!O32/$G32,2))</f>
        <v/>
      </c>
      <c r="S32" s="12">
        <f>IF($D32="","",SUM(K32:R32))</f>
        <v/>
      </c>
      <c r="T32" s="12">
        <f>IF($D32="","",$J32+$S32)</f>
        <v/>
      </c>
      <c r="U32" s="25">
        <f>IF($D32="","",IF($F32=0,"未维护摊销额",IF(ROUND($T32-$F32,2)=0,"√","差异")))</f>
        <v/>
      </c>
      <c r="V32" s="11" t="n"/>
      <c r="W32" s="9" t="n"/>
    </row>
    <row r="33" ht="18" customHeight="1">
      <c r="B33" s="21">
        <f>IF('05无形资产工时'!$D33="","",'05无形资产工时'!$B33)</f>
        <v/>
      </c>
      <c r="C33" s="22">
        <f>IF('05无形资产工时'!$D33="","",'05无形资产工时'!$C33)</f>
        <v/>
      </c>
      <c r="D33" s="22">
        <f>IF('05无形资产工时'!$D33="","",'05无形资产工时'!$D33)</f>
        <v/>
      </c>
      <c r="E33" s="39">
        <f>IF($D33="","",'05无形资产工时'!$E33)</f>
        <v/>
      </c>
      <c r="F33" s="23">
        <f>IF($D33="","",IF($V33&lt;&gt;"",$V33,IFERROR(INDEX('参数设置'!$E$48:$E$57,MATCH($D33,'参数设置'!$C$48:$C$57,0)),0)))</f>
        <v/>
      </c>
      <c r="G33" s="24">
        <f>IF($D33="","",'05无形资产工时'!$F33)</f>
        <v/>
      </c>
      <c r="H33" s="24">
        <f>IF($D33="","",'05无形资产工时'!$P33)</f>
        <v/>
      </c>
      <c r="I33" s="20">
        <f>IF(OR($D33="",$G33=0),"",$H33/$G33)</f>
        <v/>
      </c>
      <c r="J33" s="12">
        <f>IF($D33="","",ROUND($F33,2)-$S33)</f>
        <v/>
      </c>
      <c r="K33" s="12">
        <f>IF(OR($D33="",$G33=0),"",ROUND($F33*'05无形资产工时'!H33/$G33,2))</f>
        <v/>
      </c>
      <c r="L33" s="12">
        <f>IF(OR($D33="",$G33=0),"",ROUND($F33*'05无形资产工时'!I33/$G33,2))</f>
        <v/>
      </c>
      <c r="M33" s="12">
        <f>IF(OR($D33="",$G33=0),"",ROUND($F33*'05无形资产工时'!J33/$G33,2))</f>
        <v/>
      </c>
      <c r="N33" s="12">
        <f>IF(OR($D33="",$G33=0),"",ROUND($F33*'05无形资产工时'!K33/$G33,2))</f>
        <v/>
      </c>
      <c r="O33" s="12">
        <f>IF(OR($D33="",$G33=0),"",ROUND($F33*'05无形资产工时'!L33/$G33,2))</f>
        <v/>
      </c>
      <c r="P33" s="12">
        <f>IF(OR($D33="",$G33=0),"",ROUND($F33*'05无形资产工时'!M33/$G33,2))</f>
        <v/>
      </c>
      <c r="Q33" s="12">
        <f>IF(OR($D33="",$G33=0),"",ROUND($F33*'05无形资产工时'!N33/$G33,2))</f>
        <v/>
      </c>
      <c r="R33" s="12">
        <f>IF(OR($D33="",$G33=0),"",ROUND($F33*'05无形资产工时'!O33/$G33,2))</f>
        <v/>
      </c>
      <c r="S33" s="12">
        <f>IF($D33="","",SUM(K33:R33))</f>
        <v/>
      </c>
      <c r="T33" s="12">
        <f>IF($D33="","",$J33+$S33)</f>
        <v/>
      </c>
      <c r="U33" s="25">
        <f>IF($D33="","",IF($F33=0,"未维护摊销额",IF(ROUND($T33-$F33,2)=0,"√","差异")))</f>
        <v/>
      </c>
      <c r="V33" s="11" t="n"/>
      <c r="W33" s="9" t="n"/>
    </row>
    <row r="34" ht="18" customHeight="1">
      <c r="B34" s="21">
        <f>IF('05无形资产工时'!$D34="","",'05无形资产工时'!$B34)</f>
        <v/>
      </c>
      <c r="C34" s="22">
        <f>IF('05无形资产工时'!$D34="","",'05无形资产工时'!$C34)</f>
        <v/>
      </c>
      <c r="D34" s="22">
        <f>IF('05无形资产工时'!$D34="","",'05无形资产工时'!$D34)</f>
        <v/>
      </c>
      <c r="E34" s="39">
        <f>IF($D34="","",'05无形资产工时'!$E34)</f>
        <v/>
      </c>
      <c r="F34" s="23">
        <f>IF($D34="","",IF($V34&lt;&gt;"",$V34,IFERROR(INDEX('参数设置'!$E$48:$E$57,MATCH($D34,'参数设置'!$C$48:$C$57,0)),0)))</f>
        <v/>
      </c>
      <c r="G34" s="24">
        <f>IF($D34="","",'05无形资产工时'!$F34)</f>
        <v/>
      </c>
      <c r="H34" s="24">
        <f>IF($D34="","",'05无形资产工时'!$P34)</f>
        <v/>
      </c>
      <c r="I34" s="20">
        <f>IF(OR($D34="",$G34=0),"",$H34/$G34)</f>
        <v/>
      </c>
      <c r="J34" s="12">
        <f>IF($D34="","",ROUND($F34,2)-$S34)</f>
        <v/>
      </c>
      <c r="K34" s="12">
        <f>IF(OR($D34="",$G34=0),"",ROUND($F34*'05无形资产工时'!H34/$G34,2))</f>
        <v/>
      </c>
      <c r="L34" s="12">
        <f>IF(OR($D34="",$G34=0),"",ROUND($F34*'05无形资产工时'!I34/$G34,2))</f>
        <v/>
      </c>
      <c r="M34" s="12">
        <f>IF(OR($D34="",$G34=0),"",ROUND($F34*'05无形资产工时'!J34/$G34,2))</f>
        <v/>
      </c>
      <c r="N34" s="12">
        <f>IF(OR($D34="",$G34=0),"",ROUND($F34*'05无形资产工时'!K34/$G34,2))</f>
        <v/>
      </c>
      <c r="O34" s="12">
        <f>IF(OR($D34="",$G34=0),"",ROUND($F34*'05无形资产工时'!L34/$G34,2))</f>
        <v/>
      </c>
      <c r="P34" s="12">
        <f>IF(OR($D34="",$G34=0),"",ROUND($F34*'05无形资产工时'!M34/$G34,2))</f>
        <v/>
      </c>
      <c r="Q34" s="12">
        <f>IF(OR($D34="",$G34=0),"",ROUND($F34*'05无形资产工时'!N34/$G34,2))</f>
        <v/>
      </c>
      <c r="R34" s="12">
        <f>IF(OR($D34="",$G34=0),"",ROUND($F34*'05无形资产工时'!O34/$G34,2))</f>
        <v/>
      </c>
      <c r="S34" s="12">
        <f>IF($D34="","",SUM(K34:R34))</f>
        <v/>
      </c>
      <c r="T34" s="12">
        <f>IF($D34="","",$J34+$S34)</f>
        <v/>
      </c>
      <c r="U34" s="25">
        <f>IF($D34="","",IF($F34=0,"未维护摊销额",IF(ROUND($T34-$F34,2)=0,"√","差异")))</f>
        <v/>
      </c>
      <c r="V34" s="11" t="n"/>
      <c r="W34" s="9" t="n"/>
    </row>
    <row r="35" ht="18" customHeight="1">
      <c r="B35" s="21">
        <f>IF('05无形资产工时'!$D35="","",'05无形资产工时'!$B35)</f>
        <v/>
      </c>
      <c r="C35" s="22">
        <f>IF('05无形资产工时'!$D35="","",'05无形资产工时'!$C35)</f>
        <v/>
      </c>
      <c r="D35" s="22">
        <f>IF('05无形资产工时'!$D35="","",'05无形资产工时'!$D35)</f>
        <v/>
      </c>
      <c r="E35" s="39">
        <f>IF($D35="","",'05无形资产工时'!$E35)</f>
        <v/>
      </c>
      <c r="F35" s="23">
        <f>IF($D35="","",IF($V35&lt;&gt;"",$V35,IFERROR(INDEX('参数设置'!$E$48:$E$57,MATCH($D35,'参数设置'!$C$48:$C$57,0)),0)))</f>
        <v/>
      </c>
      <c r="G35" s="24">
        <f>IF($D35="","",'05无形资产工时'!$F35)</f>
        <v/>
      </c>
      <c r="H35" s="24">
        <f>IF($D35="","",'05无形资产工时'!$P35)</f>
        <v/>
      </c>
      <c r="I35" s="20">
        <f>IF(OR($D35="",$G35=0),"",$H35/$G35)</f>
        <v/>
      </c>
      <c r="J35" s="12">
        <f>IF($D35="","",ROUND($F35,2)-$S35)</f>
        <v/>
      </c>
      <c r="K35" s="12">
        <f>IF(OR($D35="",$G35=0),"",ROUND($F35*'05无形资产工时'!H35/$G35,2))</f>
        <v/>
      </c>
      <c r="L35" s="12">
        <f>IF(OR($D35="",$G35=0),"",ROUND($F35*'05无形资产工时'!I35/$G35,2))</f>
        <v/>
      </c>
      <c r="M35" s="12">
        <f>IF(OR($D35="",$G35=0),"",ROUND($F35*'05无形资产工时'!J35/$G35,2))</f>
        <v/>
      </c>
      <c r="N35" s="12">
        <f>IF(OR($D35="",$G35=0),"",ROUND($F35*'05无形资产工时'!K35/$G35,2))</f>
        <v/>
      </c>
      <c r="O35" s="12">
        <f>IF(OR($D35="",$G35=0),"",ROUND($F35*'05无形资产工时'!L35/$G35,2))</f>
        <v/>
      </c>
      <c r="P35" s="12">
        <f>IF(OR($D35="",$G35=0),"",ROUND($F35*'05无形资产工时'!M35/$G35,2))</f>
        <v/>
      </c>
      <c r="Q35" s="12">
        <f>IF(OR($D35="",$G35=0),"",ROUND($F35*'05无形资产工时'!N35/$G35,2))</f>
        <v/>
      </c>
      <c r="R35" s="12">
        <f>IF(OR($D35="",$G35=0),"",ROUND($F35*'05无形资产工时'!O35/$G35,2))</f>
        <v/>
      </c>
      <c r="S35" s="12">
        <f>IF($D35="","",SUM(K35:R35))</f>
        <v/>
      </c>
      <c r="T35" s="12">
        <f>IF($D35="","",$J35+$S35)</f>
        <v/>
      </c>
      <c r="U35" s="25">
        <f>IF($D35="","",IF($F35=0,"未维护摊销额",IF(ROUND($T35-$F35,2)=0,"√","差异")))</f>
        <v/>
      </c>
      <c r="V35" s="11" t="n"/>
      <c r="W35" s="9" t="n"/>
    </row>
    <row r="36" ht="18" customHeight="1">
      <c r="B36" s="21">
        <f>IF('05无形资产工时'!$D36="","",'05无形资产工时'!$B36)</f>
        <v/>
      </c>
      <c r="C36" s="22">
        <f>IF('05无形资产工时'!$D36="","",'05无形资产工时'!$C36)</f>
        <v/>
      </c>
      <c r="D36" s="22">
        <f>IF('05无形资产工时'!$D36="","",'05无形资产工时'!$D36)</f>
        <v/>
      </c>
      <c r="E36" s="39">
        <f>IF($D36="","",'05无形资产工时'!$E36)</f>
        <v/>
      </c>
      <c r="F36" s="23">
        <f>IF($D36="","",IF($V36&lt;&gt;"",$V36,IFERROR(INDEX('参数设置'!$E$48:$E$57,MATCH($D36,'参数设置'!$C$48:$C$57,0)),0)))</f>
        <v/>
      </c>
      <c r="G36" s="24">
        <f>IF($D36="","",'05无形资产工时'!$F36)</f>
        <v/>
      </c>
      <c r="H36" s="24">
        <f>IF($D36="","",'05无形资产工时'!$P36)</f>
        <v/>
      </c>
      <c r="I36" s="20">
        <f>IF(OR($D36="",$G36=0),"",$H36/$G36)</f>
        <v/>
      </c>
      <c r="J36" s="12">
        <f>IF($D36="","",ROUND($F36,2)-$S36)</f>
        <v/>
      </c>
      <c r="K36" s="12">
        <f>IF(OR($D36="",$G36=0),"",ROUND($F36*'05无形资产工时'!H36/$G36,2))</f>
        <v/>
      </c>
      <c r="L36" s="12">
        <f>IF(OR($D36="",$G36=0),"",ROUND($F36*'05无形资产工时'!I36/$G36,2))</f>
        <v/>
      </c>
      <c r="M36" s="12">
        <f>IF(OR($D36="",$G36=0),"",ROUND($F36*'05无形资产工时'!J36/$G36,2))</f>
        <v/>
      </c>
      <c r="N36" s="12">
        <f>IF(OR($D36="",$G36=0),"",ROUND($F36*'05无形资产工时'!K36/$G36,2))</f>
        <v/>
      </c>
      <c r="O36" s="12">
        <f>IF(OR($D36="",$G36=0),"",ROUND($F36*'05无形资产工时'!L36/$G36,2))</f>
        <v/>
      </c>
      <c r="P36" s="12">
        <f>IF(OR($D36="",$G36=0),"",ROUND($F36*'05无形资产工时'!M36/$G36,2))</f>
        <v/>
      </c>
      <c r="Q36" s="12">
        <f>IF(OR($D36="",$G36=0),"",ROUND($F36*'05无形资产工时'!N36/$G36,2))</f>
        <v/>
      </c>
      <c r="R36" s="12">
        <f>IF(OR($D36="",$G36=0),"",ROUND($F36*'05无形资产工时'!O36/$G36,2))</f>
        <v/>
      </c>
      <c r="S36" s="12">
        <f>IF($D36="","",SUM(K36:R36))</f>
        <v/>
      </c>
      <c r="T36" s="12">
        <f>IF($D36="","",$J36+$S36)</f>
        <v/>
      </c>
      <c r="U36" s="25">
        <f>IF($D36="","",IF($F36=0,"未维护摊销额",IF(ROUND($T36-$F36,2)=0,"√","差异")))</f>
        <v/>
      </c>
      <c r="V36" s="11" t="n"/>
      <c r="W36" s="9" t="n"/>
    </row>
    <row r="37" ht="18" customHeight="1">
      <c r="B37" s="21">
        <f>IF('05无形资产工时'!$D37="","",'05无形资产工时'!$B37)</f>
        <v/>
      </c>
      <c r="C37" s="22">
        <f>IF('05无形资产工时'!$D37="","",'05无形资产工时'!$C37)</f>
        <v/>
      </c>
      <c r="D37" s="22">
        <f>IF('05无形资产工时'!$D37="","",'05无形资产工时'!$D37)</f>
        <v/>
      </c>
      <c r="E37" s="39">
        <f>IF($D37="","",'05无形资产工时'!$E37)</f>
        <v/>
      </c>
      <c r="F37" s="23">
        <f>IF($D37="","",IF($V37&lt;&gt;"",$V37,IFERROR(INDEX('参数设置'!$E$48:$E$57,MATCH($D37,'参数设置'!$C$48:$C$57,0)),0)))</f>
        <v/>
      </c>
      <c r="G37" s="24">
        <f>IF($D37="","",'05无形资产工时'!$F37)</f>
        <v/>
      </c>
      <c r="H37" s="24">
        <f>IF($D37="","",'05无形资产工时'!$P37)</f>
        <v/>
      </c>
      <c r="I37" s="20">
        <f>IF(OR($D37="",$G37=0),"",$H37/$G37)</f>
        <v/>
      </c>
      <c r="J37" s="12">
        <f>IF($D37="","",ROUND($F37,2)-$S37)</f>
        <v/>
      </c>
      <c r="K37" s="12">
        <f>IF(OR($D37="",$G37=0),"",ROUND($F37*'05无形资产工时'!H37/$G37,2))</f>
        <v/>
      </c>
      <c r="L37" s="12">
        <f>IF(OR($D37="",$G37=0),"",ROUND($F37*'05无形资产工时'!I37/$G37,2))</f>
        <v/>
      </c>
      <c r="M37" s="12">
        <f>IF(OR($D37="",$G37=0),"",ROUND($F37*'05无形资产工时'!J37/$G37,2))</f>
        <v/>
      </c>
      <c r="N37" s="12">
        <f>IF(OR($D37="",$G37=0),"",ROUND($F37*'05无形资产工时'!K37/$G37,2))</f>
        <v/>
      </c>
      <c r="O37" s="12">
        <f>IF(OR($D37="",$G37=0),"",ROUND($F37*'05无形资产工时'!L37/$G37,2))</f>
        <v/>
      </c>
      <c r="P37" s="12">
        <f>IF(OR($D37="",$G37=0),"",ROUND($F37*'05无形资产工时'!M37/$G37,2))</f>
        <v/>
      </c>
      <c r="Q37" s="12">
        <f>IF(OR($D37="",$G37=0),"",ROUND($F37*'05无形资产工时'!N37/$G37,2))</f>
        <v/>
      </c>
      <c r="R37" s="12">
        <f>IF(OR($D37="",$G37=0),"",ROUND($F37*'05无形资产工时'!O37/$G37,2))</f>
        <v/>
      </c>
      <c r="S37" s="12">
        <f>IF($D37="","",SUM(K37:R37))</f>
        <v/>
      </c>
      <c r="T37" s="12">
        <f>IF($D37="","",$J37+$S37)</f>
        <v/>
      </c>
      <c r="U37" s="25">
        <f>IF($D37="","",IF($F37=0,"未维护摊销额",IF(ROUND($T37-$F37,2)=0,"√","差异")))</f>
        <v/>
      </c>
      <c r="V37" s="11" t="n"/>
      <c r="W37" s="9" t="n"/>
    </row>
    <row r="38" ht="18" customHeight="1">
      <c r="B38" s="21">
        <f>IF('05无形资产工时'!$D38="","",'05无形资产工时'!$B38)</f>
        <v/>
      </c>
      <c r="C38" s="22">
        <f>IF('05无形资产工时'!$D38="","",'05无形资产工时'!$C38)</f>
        <v/>
      </c>
      <c r="D38" s="22">
        <f>IF('05无形资产工时'!$D38="","",'05无形资产工时'!$D38)</f>
        <v/>
      </c>
      <c r="E38" s="39">
        <f>IF($D38="","",'05无形资产工时'!$E38)</f>
        <v/>
      </c>
      <c r="F38" s="23">
        <f>IF($D38="","",IF($V38&lt;&gt;"",$V38,IFERROR(INDEX('参数设置'!$E$48:$E$57,MATCH($D38,'参数设置'!$C$48:$C$57,0)),0)))</f>
        <v/>
      </c>
      <c r="G38" s="24">
        <f>IF($D38="","",'05无形资产工时'!$F38)</f>
        <v/>
      </c>
      <c r="H38" s="24">
        <f>IF($D38="","",'05无形资产工时'!$P38)</f>
        <v/>
      </c>
      <c r="I38" s="20">
        <f>IF(OR($D38="",$G38=0),"",$H38/$G38)</f>
        <v/>
      </c>
      <c r="J38" s="12">
        <f>IF($D38="","",ROUND($F38,2)-$S38)</f>
        <v/>
      </c>
      <c r="K38" s="12">
        <f>IF(OR($D38="",$G38=0),"",ROUND($F38*'05无形资产工时'!H38/$G38,2))</f>
        <v/>
      </c>
      <c r="L38" s="12">
        <f>IF(OR($D38="",$G38=0),"",ROUND($F38*'05无形资产工时'!I38/$G38,2))</f>
        <v/>
      </c>
      <c r="M38" s="12">
        <f>IF(OR($D38="",$G38=0),"",ROUND($F38*'05无形资产工时'!J38/$G38,2))</f>
        <v/>
      </c>
      <c r="N38" s="12">
        <f>IF(OR($D38="",$G38=0),"",ROUND($F38*'05无形资产工时'!K38/$G38,2))</f>
        <v/>
      </c>
      <c r="O38" s="12">
        <f>IF(OR($D38="",$G38=0),"",ROUND($F38*'05无形资产工时'!L38/$G38,2))</f>
        <v/>
      </c>
      <c r="P38" s="12">
        <f>IF(OR($D38="",$G38=0),"",ROUND($F38*'05无形资产工时'!M38/$G38,2))</f>
        <v/>
      </c>
      <c r="Q38" s="12">
        <f>IF(OR($D38="",$G38=0),"",ROUND($F38*'05无形资产工时'!N38/$G38,2))</f>
        <v/>
      </c>
      <c r="R38" s="12">
        <f>IF(OR($D38="",$G38=0),"",ROUND($F38*'05无形资产工时'!O38/$G38,2))</f>
        <v/>
      </c>
      <c r="S38" s="12">
        <f>IF($D38="","",SUM(K38:R38))</f>
        <v/>
      </c>
      <c r="T38" s="12">
        <f>IF($D38="","",$J38+$S38)</f>
        <v/>
      </c>
      <c r="U38" s="25">
        <f>IF($D38="","",IF($F38=0,"未维护摊销额",IF(ROUND($T38-$F38,2)=0,"√","差异")))</f>
        <v/>
      </c>
      <c r="V38" s="11" t="n"/>
      <c r="W38" s="9" t="n"/>
    </row>
    <row r="39" ht="18" customHeight="1">
      <c r="B39" s="21">
        <f>IF('05无形资产工时'!$D39="","",'05无形资产工时'!$B39)</f>
        <v/>
      </c>
      <c r="C39" s="22">
        <f>IF('05无形资产工时'!$D39="","",'05无形资产工时'!$C39)</f>
        <v/>
      </c>
      <c r="D39" s="22">
        <f>IF('05无形资产工时'!$D39="","",'05无形资产工时'!$D39)</f>
        <v/>
      </c>
      <c r="E39" s="39">
        <f>IF($D39="","",'05无形资产工时'!$E39)</f>
        <v/>
      </c>
      <c r="F39" s="23">
        <f>IF($D39="","",IF($V39&lt;&gt;"",$V39,IFERROR(INDEX('参数设置'!$E$48:$E$57,MATCH($D39,'参数设置'!$C$48:$C$57,0)),0)))</f>
        <v/>
      </c>
      <c r="G39" s="24">
        <f>IF($D39="","",'05无形资产工时'!$F39)</f>
        <v/>
      </c>
      <c r="H39" s="24">
        <f>IF($D39="","",'05无形资产工时'!$P39)</f>
        <v/>
      </c>
      <c r="I39" s="20">
        <f>IF(OR($D39="",$G39=0),"",$H39/$G39)</f>
        <v/>
      </c>
      <c r="J39" s="12">
        <f>IF($D39="","",ROUND($F39,2)-$S39)</f>
        <v/>
      </c>
      <c r="K39" s="12">
        <f>IF(OR($D39="",$G39=0),"",ROUND($F39*'05无形资产工时'!H39/$G39,2))</f>
        <v/>
      </c>
      <c r="L39" s="12">
        <f>IF(OR($D39="",$G39=0),"",ROUND($F39*'05无形资产工时'!I39/$G39,2))</f>
        <v/>
      </c>
      <c r="M39" s="12">
        <f>IF(OR($D39="",$G39=0),"",ROUND($F39*'05无形资产工时'!J39/$G39,2))</f>
        <v/>
      </c>
      <c r="N39" s="12">
        <f>IF(OR($D39="",$G39=0),"",ROUND($F39*'05无形资产工时'!K39/$G39,2))</f>
        <v/>
      </c>
      <c r="O39" s="12">
        <f>IF(OR($D39="",$G39=0),"",ROUND($F39*'05无形资产工时'!L39/$G39,2))</f>
        <v/>
      </c>
      <c r="P39" s="12">
        <f>IF(OR($D39="",$G39=0),"",ROUND($F39*'05无形资产工时'!M39/$G39,2))</f>
        <v/>
      </c>
      <c r="Q39" s="12">
        <f>IF(OR($D39="",$G39=0),"",ROUND($F39*'05无形资产工时'!N39/$G39,2))</f>
        <v/>
      </c>
      <c r="R39" s="12">
        <f>IF(OR($D39="",$G39=0),"",ROUND($F39*'05无形资产工时'!O39/$G39,2))</f>
        <v/>
      </c>
      <c r="S39" s="12">
        <f>IF($D39="","",SUM(K39:R39))</f>
        <v/>
      </c>
      <c r="T39" s="12">
        <f>IF($D39="","",$J39+$S39)</f>
        <v/>
      </c>
      <c r="U39" s="25">
        <f>IF($D39="","",IF($F39=0,"未维护摊销额",IF(ROUND($T39-$F39,2)=0,"√","差异")))</f>
        <v/>
      </c>
      <c r="V39" s="11" t="n"/>
      <c r="W39" s="9" t="n"/>
    </row>
    <row r="40" ht="18" customHeight="1">
      <c r="B40" s="21">
        <f>IF('05无形资产工时'!$D40="","",'05无形资产工时'!$B40)</f>
        <v/>
      </c>
      <c r="C40" s="22">
        <f>IF('05无形资产工时'!$D40="","",'05无形资产工时'!$C40)</f>
        <v/>
      </c>
      <c r="D40" s="22">
        <f>IF('05无形资产工时'!$D40="","",'05无形资产工时'!$D40)</f>
        <v/>
      </c>
      <c r="E40" s="39">
        <f>IF($D40="","",'05无形资产工时'!$E40)</f>
        <v/>
      </c>
      <c r="F40" s="23">
        <f>IF($D40="","",IF($V40&lt;&gt;"",$V40,IFERROR(INDEX('参数设置'!$E$48:$E$57,MATCH($D40,'参数设置'!$C$48:$C$57,0)),0)))</f>
        <v/>
      </c>
      <c r="G40" s="24">
        <f>IF($D40="","",'05无形资产工时'!$F40)</f>
        <v/>
      </c>
      <c r="H40" s="24">
        <f>IF($D40="","",'05无形资产工时'!$P40)</f>
        <v/>
      </c>
      <c r="I40" s="20">
        <f>IF(OR($D40="",$G40=0),"",$H40/$G40)</f>
        <v/>
      </c>
      <c r="J40" s="12">
        <f>IF($D40="","",ROUND($F40,2)-$S40)</f>
        <v/>
      </c>
      <c r="K40" s="12">
        <f>IF(OR($D40="",$G40=0),"",ROUND($F40*'05无形资产工时'!H40/$G40,2))</f>
        <v/>
      </c>
      <c r="L40" s="12">
        <f>IF(OR($D40="",$G40=0),"",ROUND($F40*'05无形资产工时'!I40/$G40,2))</f>
        <v/>
      </c>
      <c r="M40" s="12">
        <f>IF(OR($D40="",$G40=0),"",ROUND($F40*'05无形资产工时'!J40/$G40,2))</f>
        <v/>
      </c>
      <c r="N40" s="12">
        <f>IF(OR($D40="",$G40=0),"",ROUND($F40*'05无形资产工时'!K40/$G40,2))</f>
        <v/>
      </c>
      <c r="O40" s="12">
        <f>IF(OR($D40="",$G40=0),"",ROUND($F40*'05无形资产工时'!L40/$G40,2))</f>
        <v/>
      </c>
      <c r="P40" s="12">
        <f>IF(OR($D40="",$G40=0),"",ROUND($F40*'05无形资产工时'!M40/$G40,2))</f>
        <v/>
      </c>
      <c r="Q40" s="12">
        <f>IF(OR($D40="",$G40=0),"",ROUND($F40*'05无形资产工时'!N40/$G40,2))</f>
        <v/>
      </c>
      <c r="R40" s="12">
        <f>IF(OR($D40="",$G40=0),"",ROUND($F40*'05无形资产工时'!O40/$G40,2))</f>
        <v/>
      </c>
      <c r="S40" s="12">
        <f>IF($D40="","",SUM(K40:R40))</f>
        <v/>
      </c>
      <c r="T40" s="12">
        <f>IF($D40="","",$J40+$S40)</f>
        <v/>
      </c>
      <c r="U40" s="25">
        <f>IF($D40="","",IF($F40=0,"未维护摊销额",IF(ROUND($T40-$F40,2)=0,"√","差异")))</f>
        <v/>
      </c>
      <c r="V40" s="11" t="n"/>
      <c r="W40" s="9" t="n"/>
    </row>
    <row r="41" ht="18" customHeight="1">
      <c r="B41" s="21">
        <f>IF('05无形资产工时'!$D41="","",'05无形资产工时'!$B41)</f>
        <v/>
      </c>
      <c r="C41" s="22">
        <f>IF('05无形资产工时'!$D41="","",'05无形资产工时'!$C41)</f>
        <v/>
      </c>
      <c r="D41" s="22">
        <f>IF('05无形资产工时'!$D41="","",'05无形资产工时'!$D41)</f>
        <v/>
      </c>
      <c r="E41" s="39">
        <f>IF($D41="","",'05无形资产工时'!$E41)</f>
        <v/>
      </c>
      <c r="F41" s="23">
        <f>IF($D41="","",IF($V41&lt;&gt;"",$V41,IFERROR(INDEX('参数设置'!$E$48:$E$57,MATCH($D41,'参数设置'!$C$48:$C$57,0)),0)))</f>
        <v/>
      </c>
      <c r="G41" s="24">
        <f>IF($D41="","",'05无形资产工时'!$F41)</f>
        <v/>
      </c>
      <c r="H41" s="24">
        <f>IF($D41="","",'05无形资产工时'!$P41)</f>
        <v/>
      </c>
      <c r="I41" s="20">
        <f>IF(OR($D41="",$G41=0),"",$H41/$G41)</f>
        <v/>
      </c>
      <c r="J41" s="12">
        <f>IF($D41="","",ROUND($F41,2)-$S41)</f>
        <v/>
      </c>
      <c r="K41" s="12">
        <f>IF(OR($D41="",$G41=0),"",ROUND($F41*'05无形资产工时'!H41/$G41,2))</f>
        <v/>
      </c>
      <c r="L41" s="12">
        <f>IF(OR($D41="",$G41=0),"",ROUND($F41*'05无形资产工时'!I41/$G41,2))</f>
        <v/>
      </c>
      <c r="M41" s="12">
        <f>IF(OR($D41="",$G41=0),"",ROUND($F41*'05无形资产工时'!J41/$G41,2))</f>
        <v/>
      </c>
      <c r="N41" s="12">
        <f>IF(OR($D41="",$G41=0),"",ROUND($F41*'05无形资产工时'!K41/$G41,2))</f>
        <v/>
      </c>
      <c r="O41" s="12">
        <f>IF(OR($D41="",$G41=0),"",ROUND($F41*'05无形资产工时'!L41/$G41,2))</f>
        <v/>
      </c>
      <c r="P41" s="12">
        <f>IF(OR($D41="",$G41=0),"",ROUND($F41*'05无形资产工时'!M41/$G41,2))</f>
        <v/>
      </c>
      <c r="Q41" s="12">
        <f>IF(OR($D41="",$G41=0),"",ROUND($F41*'05无形资产工时'!N41/$G41,2))</f>
        <v/>
      </c>
      <c r="R41" s="12">
        <f>IF(OR($D41="",$G41=0),"",ROUND($F41*'05无形资产工时'!O41/$G41,2))</f>
        <v/>
      </c>
      <c r="S41" s="12">
        <f>IF($D41="","",SUM(K41:R41))</f>
        <v/>
      </c>
      <c r="T41" s="12">
        <f>IF($D41="","",$J41+$S41)</f>
        <v/>
      </c>
      <c r="U41" s="25">
        <f>IF($D41="","",IF($F41=0,"未维护摊销额",IF(ROUND($T41-$F41,2)=0,"√","差异")))</f>
        <v/>
      </c>
      <c r="V41" s="11" t="n"/>
      <c r="W41" s="9" t="n"/>
    </row>
    <row r="42" ht="18" customHeight="1">
      <c r="B42" s="21">
        <f>IF('05无形资产工时'!$D42="","",'05无形资产工时'!$B42)</f>
        <v/>
      </c>
      <c r="C42" s="22">
        <f>IF('05无形资产工时'!$D42="","",'05无形资产工时'!$C42)</f>
        <v/>
      </c>
      <c r="D42" s="22">
        <f>IF('05无形资产工时'!$D42="","",'05无形资产工时'!$D42)</f>
        <v/>
      </c>
      <c r="E42" s="39">
        <f>IF($D42="","",'05无形资产工时'!$E42)</f>
        <v/>
      </c>
      <c r="F42" s="23">
        <f>IF($D42="","",IF($V42&lt;&gt;"",$V42,IFERROR(INDEX('参数设置'!$E$48:$E$57,MATCH($D42,'参数设置'!$C$48:$C$57,0)),0)))</f>
        <v/>
      </c>
      <c r="G42" s="24">
        <f>IF($D42="","",'05无形资产工时'!$F42)</f>
        <v/>
      </c>
      <c r="H42" s="24">
        <f>IF($D42="","",'05无形资产工时'!$P42)</f>
        <v/>
      </c>
      <c r="I42" s="20">
        <f>IF(OR($D42="",$G42=0),"",$H42/$G42)</f>
        <v/>
      </c>
      <c r="J42" s="12">
        <f>IF($D42="","",ROUND($F42,2)-$S42)</f>
        <v/>
      </c>
      <c r="K42" s="12">
        <f>IF(OR($D42="",$G42=0),"",ROUND($F42*'05无形资产工时'!H42/$G42,2))</f>
        <v/>
      </c>
      <c r="L42" s="12">
        <f>IF(OR($D42="",$G42=0),"",ROUND($F42*'05无形资产工时'!I42/$G42,2))</f>
        <v/>
      </c>
      <c r="M42" s="12">
        <f>IF(OR($D42="",$G42=0),"",ROUND($F42*'05无形资产工时'!J42/$G42,2))</f>
        <v/>
      </c>
      <c r="N42" s="12">
        <f>IF(OR($D42="",$G42=0),"",ROUND($F42*'05无形资产工时'!K42/$G42,2))</f>
        <v/>
      </c>
      <c r="O42" s="12">
        <f>IF(OR($D42="",$G42=0),"",ROUND($F42*'05无形资产工时'!L42/$G42,2))</f>
        <v/>
      </c>
      <c r="P42" s="12">
        <f>IF(OR($D42="",$G42=0),"",ROUND($F42*'05无形资产工时'!M42/$G42,2))</f>
        <v/>
      </c>
      <c r="Q42" s="12">
        <f>IF(OR($D42="",$G42=0),"",ROUND($F42*'05无形资产工时'!N42/$G42,2))</f>
        <v/>
      </c>
      <c r="R42" s="12">
        <f>IF(OR($D42="",$G42=0),"",ROUND($F42*'05无形资产工时'!O42/$G42,2))</f>
        <v/>
      </c>
      <c r="S42" s="12">
        <f>IF($D42="","",SUM(K42:R42))</f>
        <v/>
      </c>
      <c r="T42" s="12">
        <f>IF($D42="","",$J42+$S42)</f>
        <v/>
      </c>
      <c r="U42" s="25">
        <f>IF($D42="","",IF($F42=0,"未维护摊销额",IF(ROUND($T42-$F42,2)=0,"√","差异")))</f>
        <v/>
      </c>
      <c r="V42" s="11" t="n"/>
      <c r="W42" s="9" t="n"/>
    </row>
    <row r="43" ht="18" customHeight="1">
      <c r="B43" s="21">
        <f>IF('05无形资产工时'!$D43="","",'05无形资产工时'!$B43)</f>
        <v/>
      </c>
      <c r="C43" s="22">
        <f>IF('05无形资产工时'!$D43="","",'05无形资产工时'!$C43)</f>
        <v/>
      </c>
      <c r="D43" s="22">
        <f>IF('05无形资产工时'!$D43="","",'05无形资产工时'!$D43)</f>
        <v/>
      </c>
      <c r="E43" s="39">
        <f>IF($D43="","",'05无形资产工时'!$E43)</f>
        <v/>
      </c>
      <c r="F43" s="23">
        <f>IF($D43="","",IF($V43&lt;&gt;"",$V43,IFERROR(INDEX('参数设置'!$E$48:$E$57,MATCH($D43,'参数设置'!$C$48:$C$57,0)),0)))</f>
        <v/>
      </c>
      <c r="G43" s="24">
        <f>IF($D43="","",'05无形资产工时'!$F43)</f>
        <v/>
      </c>
      <c r="H43" s="24">
        <f>IF($D43="","",'05无形资产工时'!$P43)</f>
        <v/>
      </c>
      <c r="I43" s="20">
        <f>IF(OR($D43="",$G43=0),"",$H43/$G43)</f>
        <v/>
      </c>
      <c r="J43" s="12">
        <f>IF($D43="","",ROUND($F43,2)-$S43)</f>
        <v/>
      </c>
      <c r="K43" s="12">
        <f>IF(OR($D43="",$G43=0),"",ROUND($F43*'05无形资产工时'!H43/$G43,2))</f>
        <v/>
      </c>
      <c r="L43" s="12">
        <f>IF(OR($D43="",$G43=0),"",ROUND($F43*'05无形资产工时'!I43/$G43,2))</f>
        <v/>
      </c>
      <c r="M43" s="12">
        <f>IF(OR($D43="",$G43=0),"",ROUND($F43*'05无形资产工时'!J43/$G43,2))</f>
        <v/>
      </c>
      <c r="N43" s="12">
        <f>IF(OR($D43="",$G43=0),"",ROUND($F43*'05无形资产工时'!K43/$G43,2))</f>
        <v/>
      </c>
      <c r="O43" s="12">
        <f>IF(OR($D43="",$G43=0),"",ROUND($F43*'05无形资产工时'!L43/$G43,2))</f>
        <v/>
      </c>
      <c r="P43" s="12">
        <f>IF(OR($D43="",$G43=0),"",ROUND($F43*'05无形资产工时'!M43/$G43,2))</f>
        <v/>
      </c>
      <c r="Q43" s="12">
        <f>IF(OR($D43="",$G43=0),"",ROUND($F43*'05无形资产工时'!N43/$G43,2))</f>
        <v/>
      </c>
      <c r="R43" s="12">
        <f>IF(OR($D43="",$G43=0),"",ROUND($F43*'05无形资产工时'!O43/$G43,2))</f>
        <v/>
      </c>
      <c r="S43" s="12">
        <f>IF($D43="","",SUM(K43:R43))</f>
        <v/>
      </c>
      <c r="T43" s="12">
        <f>IF($D43="","",$J43+$S43)</f>
        <v/>
      </c>
      <c r="U43" s="25">
        <f>IF($D43="","",IF($F43=0,"未维护摊销额",IF(ROUND($T43-$F43,2)=0,"√","差异")))</f>
        <v/>
      </c>
      <c r="V43" s="11" t="n"/>
      <c r="W43" s="9" t="n"/>
    </row>
    <row r="44" ht="18" customHeight="1">
      <c r="B44" s="21">
        <f>IF('05无形资产工时'!$D44="","",'05无形资产工时'!$B44)</f>
        <v/>
      </c>
      <c r="C44" s="22">
        <f>IF('05无形资产工时'!$D44="","",'05无形资产工时'!$C44)</f>
        <v/>
      </c>
      <c r="D44" s="22">
        <f>IF('05无形资产工时'!$D44="","",'05无形资产工时'!$D44)</f>
        <v/>
      </c>
      <c r="E44" s="39">
        <f>IF($D44="","",'05无形资产工时'!$E44)</f>
        <v/>
      </c>
      <c r="F44" s="23">
        <f>IF($D44="","",IF($V44&lt;&gt;"",$V44,IFERROR(INDEX('参数设置'!$E$48:$E$57,MATCH($D44,'参数设置'!$C$48:$C$57,0)),0)))</f>
        <v/>
      </c>
      <c r="G44" s="24">
        <f>IF($D44="","",'05无形资产工时'!$F44)</f>
        <v/>
      </c>
      <c r="H44" s="24">
        <f>IF($D44="","",'05无形资产工时'!$P44)</f>
        <v/>
      </c>
      <c r="I44" s="20">
        <f>IF(OR($D44="",$G44=0),"",$H44/$G44)</f>
        <v/>
      </c>
      <c r="J44" s="12">
        <f>IF($D44="","",ROUND($F44,2)-$S44)</f>
        <v/>
      </c>
      <c r="K44" s="12">
        <f>IF(OR($D44="",$G44=0),"",ROUND($F44*'05无形资产工时'!H44/$G44,2))</f>
        <v/>
      </c>
      <c r="L44" s="12">
        <f>IF(OR($D44="",$G44=0),"",ROUND($F44*'05无形资产工时'!I44/$G44,2))</f>
        <v/>
      </c>
      <c r="M44" s="12">
        <f>IF(OR($D44="",$G44=0),"",ROUND($F44*'05无形资产工时'!J44/$G44,2))</f>
        <v/>
      </c>
      <c r="N44" s="12">
        <f>IF(OR($D44="",$G44=0),"",ROUND($F44*'05无形资产工时'!K44/$G44,2))</f>
        <v/>
      </c>
      <c r="O44" s="12">
        <f>IF(OR($D44="",$G44=0),"",ROUND($F44*'05无形资产工时'!L44/$G44,2))</f>
        <v/>
      </c>
      <c r="P44" s="12">
        <f>IF(OR($D44="",$G44=0),"",ROUND($F44*'05无形资产工时'!M44/$G44,2))</f>
        <v/>
      </c>
      <c r="Q44" s="12">
        <f>IF(OR($D44="",$G44=0),"",ROUND($F44*'05无形资产工时'!N44/$G44,2))</f>
        <v/>
      </c>
      <c r="R44" s="12">
        <f>IF(OR($D44="",$G44=0),"",ROUND($F44*'05无形资产工时'!O44/$G44,2))</f>
        <v/>
      </c>
      <c r="S44" s="12">
        <f>IF($D44="","",SUM(K44:R44))</f>
        <v/>
      </c>
      <c r="T44" s="12">
        <f>IF($D44="","",$J44+$S44)</f>
        <v/>
      </c>
      <c r="U44" s="25">
        <f>IF($D44="","",IF($F44=0,"未维护摊销额",IF(ROUND($T44-$F44,2)=0,"√","差异")))</f>
        <v/>
      </c>
      <c r="V44" s="11" t="n"/>
      <c r="W44" s="9" t="n"/>
    </row>
    <row r="45" ht="18" customHeight="1">
      <c r="B45" s="21">
        <f>IF('05无形资产工时'!$D45="","",'05无形资产工时'!$B45)</f>
        <v/>
      </c>
      <c r="C45" s="22">
        <f>IF('05无形资产工时'!$D45="","",'05无形资产工时'!$C45)</f>
        <v/>
      </c>
      <c r="D45" s="22">
        <f>IF('05无形资产工时'!$D45="","",'05无形资产工时'!$D45)</f>
        <v/>
      </c>
      <c r="E45" s="39">
        <f>IF($D45="","",'05无形资产工时'!$E45)</f>
        <v/>
      </c>
      <c r="F45" s="23">
        <f>IF($D45="","",IF($V45&lt;&gt;"",$V45,IFERROR(INDEX('参数设置'!$E$48:$E$57,MATCH($D45,'参数设置'!$C$48:$C$57,0)),0)))</f>
        <v/>
      </c>
      <c r="G45" s="24">
        <f>IF($D45="","",'05无形资产工时'!$F45)</f>
        <v/>
      </c>
      <c r="H45" s="24">
        <f>IF($D45="","",'05无形资产工时'!$P45)</f>
        <v/>
      </c>
      <c r="I45" s="20">
        <f>IF(OR($D45="",$G45=0),"",$H45/$G45)</f>
        <v/>
      </c>
      <c r="J45" s="12">
        <f>IF($D45="","",ROUND($F45,2)-$S45)</f>
        <v/>
      </c>
      <c r="K45" s="12">
        <f>IF(OR($D45="",$G45=0),"",ROUND($F45*'05无形资产工时'!H45/$G45,2))</f>
        <v/>
      </c>
      <c r="L45" s="12">
        <f>IF(OR($D45="",$G45=0),"",ROUND($F45*'05无形资产工时'!I45/$G45,2))</f>
        <v/>
      </c>
      <c r="M45" s="12">
        <f>IF(OR($D45="",$G45=0),"",ROUND($F45*'05无形资产工时'!J45/$G45,2))</f>
        <v/>
      </c>
      <c r="N45" s="12">
        <f>IF(OR($D45="",$G45=0),"",ROUND($F45*'05无形资产工时'!K45/$G45,2))</f>
        <v/>
      </c>
      <c r="O45" s="12">
        <f>IF(OR($D45="",$G45=0),"",ROUND($F45*'05无形资产工时'!L45/$G45,2))</f>
        <v/>
      </c>
      <c r="P45" s="12">
        <f>IF(OR($D45="",$G45=0),"",ROUND($F45*'05无形资产工时'!M45/$G45,2))</f>
        <v/>
      </c>
      <c r="Q45" s="12">
        <f>IF(OR($D45="",$G45=0),"",ROUND($F45*'05无形资产工时'!N45/$G45,2))</f>
        <v/>
      </c>
      <c r="R45" s="12">
        <f>IF(OR($D45="",$G45=0),"",ROUND($F45*'05无形资产工时'!O45/$G45,2))</f>
        <v/>
      </c>
      <c r="S45" s="12">
        <f>IF($D45="","",SUM(K45:R45))</f>
        <v/>
      </c>
      <c r="T45" s="12">
        <f>IF($D45="","",$J45+$S45)</f>
        <v/>
      </c>
      <c r="U45" s="25">
        <f>IF($D45="","",IF($F45=0,"未维护摊销额",IF(ROUND($T45-$F45,2)=0,"√","差异")))</f>
        <v/>
      </c>
      <c r="V45" s="11" t="n"/>
      <c r="W45" s="9" t="n"/>
    </row>
    <row r="46" ht="18" customHeight="1">
      <c r="B46" s="21">
        <f>IF('05无形资产工时'!$D46="","",'05无形资产工时'!$B46)</f>
        <v/>
      </c>
      <c r="C46" s="22">
        <f>IF('05无形资产工时'!$D46="","",'05无形资产工时'!$C46)</f>
        <v/>
      </c>
      <c r="D46" s="22">
        <f>IF('05无形资产工时'!$D46="","",'05无形资产工时'!$D46)</f>
        <v/>
      </c>
      <c r="E46" s="39">
        <f>IF($D46="","",'05无形资产工时'!$E46)</f>
        <v/>
      </c>
      <c r="F46" s="23">
        <f>IF($D46="","",IF($V46&lt;&gt;"",$V46,IFERROR(INDEX('参数设置'!$E$48:$E$57,MATCH($D46,'参数设置'!$C$48:$C$57,0)),0)))</f>
        <v/>
      </c>
      <c r="G46" s="24">
        <f>IF($D46="","",'05无形资产工时'!$F46)</f>
        <v/>
      </c>
      <c r="H46" s="24">
        <f>IF($D46="","",'05无形资产工时'!$P46)</f>
        <v/>
      </c>
      <c r="I46" s="20">
        <f>IF(OR($D46="",$G46=0),"",$H46/$G46)</f>
        <v/>
      </c>
      <c r="J46" s="12">
        <f>IF($D46="","",ROUND($F46,2)-$S46)</f>
        <v/>
      </c>
      <c r="K46" s="12">
        <f>IF(OR($D46="",$G46=0),"",ROUND($F46*'05无形资产工时'!H46/$G46,2))</f>
        <v/>
      </c>
      <c r="L46" s="12">
        <f>IF(OR($D46="",$G46=0),"",ROUND($F46*'05无形资产工时'!I46/$G46,2))</f>
        <v/>
      </c>
      <c r="M46" s="12">
        <f>IF(OR($D46="",$G46=0),"",ROUND($F46*'05无形资产工时'!J46/$G46,2))</f>
        <v/>
      </c>
      <c r="N46" s="12">
        <f>IF(OR($D46="",$G46=0),"",ROUND($F46*'05无形资产工时'!K46/$G46,2))</f>
        <v/>
      </c>
      <c r="O46" s="12">
        <f>IF(OR($D46="",$G46=0),"",ROUND($F46*'05无形资产工时'!L46/$G46,2))</f>
        <v/>
      </c>
      <c r="P46" s="12">
        <f>IF(OR($D46="",$G46=0),"",ROUND($F46*'05无形资产工时'!M46/$G46,2))</f>
        <v/>
      </c>
      <c r="Q46" s="12">
        <f>IF(OR($D46="",$G46=0),"",ROUND($F46*'05无形资产工时'!N46/$G46,2))</f>
        <v/>
      </c>
      <c r="R46" s="12">
        <f>IF(OR($D46="",$G46=0),"",ROUND($F46*'05无形资产工时'!O46/$G46,2))</f>
        <v/>
      </c>
      <c r="S46" s="12">
        <f>IF($D46="","",SUM(K46:R46))</f>
        <v/>
      </c>
      <c r="T46" s="12">
        <f>IF($D46="","",$J46+$S46)</f>
        <v/>
      </c>
      <c r="U46" s="25">
        <f>IF($D46="","",IF($F46=0,"未维护摊销额",IF(ROUND($T46-$F46,2)=0,"√","差异")))</f>
        <v/>
      </c>
      <c r="V46" s="11" t="n"/>
      <c r="W46" s="9" t="n"/>
    </row>
    <row r="47" ht="18" customHeight="1">
      <c r="B47" s="21">
        <f>IF('05无形资产工时'!$D47="","",'05无形资产工时'!$B47)</f>
        <v/>
      </c>
      <c r="C47" s="22">
        <f>IF('05无形资产工时'!$D47="","",'05无形资产工时'!$C47)</f>
        <v/>
      </c>
      <c r="D47" s="22">
        <f>IF('05无形资产工时'!$D47="","",'05无形资产工时'!$D47)</f>
        <v/>
      </c>
      <c r="E47" s="39">
        <f>IF($D47="","",'05无形资产工时'!$E47)</f>
        <v/>
      </c>
      <c r="F47" s="23">
        <f>IF($D47="","",IF($V47&lt;&gt;"",$V47,IFERROR(INDEX('参数设置'!$E$48:$E$57,MATCH($D47,'参数设置'!$C$48:$C$57,0)),0)))</f>
        <v/>
      </c>
      <c r="G47" s="24">
        <f>IF($D47="","",'05无形资产工时'!$F47)</f>
        <v/>
      </c>
      <c r="H47" s="24">
        <f>IF($D47="","",'05无形资产工时'!$P47)</f>
        <v/>
      </c>
      <c r="I47" s="20">
        <f>IF(OR($D47="",$G47=0),"",$H47/$G47)</f>
        <v/>
      </c>
      <c r="J47" s="12">
        <f>IF($D47="","",ROUND($F47,2)-$S47)</f>
        <v/>
      </c>
      <c r="K47" s="12">
        <f>IF(OR($D47="",$G47=0),"",ROUND($F47*'05无形资产工时'!H47/$G47,2))</f>
        <v/>
      </c>
      <c r="L47" s="12">
        <f>IF(OR($D47="",$G47=0),"",ROUND($F47*'05无形资产工时'!I47/$G47,2))</f>
        <v/>
      </c>
      <c r="M47" s="12">
        <f>IF(OR($D47="",$G47=0),"",ROUND($F47*'05无形资产工时'!J47/$G47,2))</f>
        <v/>
      </c>
      <c r="N47" s="12">
        <f>IF(OR($D47="",$G47=0),"",ROUND($F47*'05无形资产工时'!K47/$G47,2))</f>
        <v/>
      </c>
      <c r="O47" s="12">
        <f>IF(OR($D47="",$G47=0),"",ROUND($F47*'05无形资产工时'!L47/$G47,2))</f>
        <v/>
      </c>
      <c r="P47" s="12">
        <f>IF(OR($D47="",$G47=0),"",ROUND($F47*'05无形资产工时'!M47/$G47,2))</f>
        <v/>
      </c>
      <c r="Q47" s="12">
        <f>IF(OR($D47="",$G47=0),"",ROUND($F47*'05无形资产工时'!N47/$G47,2))</f>
        <v/>
      </c>
      <c r="R47" s="12">
        <f>IF(OR($D47="",$G47=0),"",ROUND($F47*'05无形资产工时'!O47/$G47,2))</f>
        <v/>
      </c>
      <c r="S47" s="12">
        <f>IF($D47="","",SUM(K47:R47))</f>
        <v/>
      </c>
      <c r="T47" s="12">
        <f>IF($D47="","",$J47+$S47)</f>
        <v/>
      </c>
      <c r="U47" s="25">
        <f>IF($D47="","",IF($F47=0,"未维护摊销额",IF(ROUND($T47-$F47,2)=0,"√","差异")))</f>
        <v/>
      </c>
      <c r="V47" s="11" t="n"/>
      <c r="W47" s="9" t="n"/>
    </row>
    <row r="48" ht="18" customHeight="1">
      <c r="B48" s="21">
        <f>IF('05无形资产工时'!$D48="","",'05无形资产工时'!$B48)</f>
        <v/>
      </c>
      <c r="C48" s="22">
        <f>IF('05无形资产工时'!$D48="","",'05无形资产工时'!$C48)</f>
        <v/>
      </c>
      <c r="D48" s="22">
        <f>IF('05无形资产工时'!$D48="","",'05无形资产工时'!$D48)</f>
        <v/>
      </c>
      <c r="E48" s="39">
        <f>IF($D48="","",'05无形资产工时'!$E48)</f>
        <v/>
      </c>
      <c r="F48" s="23">
        <f>IF($D48="","",IF($V48&lt;&gt;"",$V48,IFERROR(INDEX('参数设置'!$E$48:$E$57,MATCH($D48,'参数设置'!$C$48:$C$57,0)),0)))</f>
        <v/>
      </c>
      <c r="G48" s="24">
        <f>IF($D48="","",'05无形资产工时'!$F48)</f>
        <v/>
      </c>
      <c r="H48" s="24">
        <f>IF($D48="","",'05无形资产工时'!$P48)</f>
        <v/>
      </c>
      <c r="I48" s="20">
        <f>IF(OR($D48="",$G48=0),"",$H48/$G48)</f>
        <v/>
      </c>
      <c r="J48" s="12">
        <f>IF($D48="","",ROUND($F48,2)-$S48)</f>
        <v/>
      </c>
      <c r="K48" s="12">
        <f>IF(OR($D48="",$G48=0),"",ROUND($F48*'05无形资产工时'!H48/$G48,2))</f>
        <v/>
      </c>
      <c r="L48" s="12">
        <f>IF(OR($D48="",$G48=0),"",ROUND($F48*'05无形资产工时'!I48/$G48,2))</f>
        <v/>
      </c>
      <c r="M48" s="12">
        <f>IF(OR($D48="",$G48=0),"",ROUND($F48*'05无形资产工时'!J48/$G48,2))</f>
        <v/>
      </c>
      <c r="N48" s="12">
        <f>IF(OR($D48="",$G48=0),"",ROUND($F48*'05无形资产工时'!K48/$G48,2))</f>
        <v/>
      </c>
      <c r="O48" s="12">
        <f>IF(OR($D48="",$G48=0),"",ROUND($F48*'05无形资产工时'!L48/$G48,2))</f>
        <v/>
      </c>
      <c r="P48" s="12">
        <f>IF(OR($D48="",$G48=0),"",ROUND($F48*'05无形资产工时'!M48/$G48,2))</f>
        <v/>
      </c>
      <c r="Q48" s="12">
        <f>IF(OR($D48="",$G48=0),"",ROUND($F48*'05无形资产工时'!N48/$G48,2))</f>
        <v/>
      </c>
      <c r="R48" s="12">
        <f>IF(OR($D48="",$G48=0),"",ROUND($F48*'05无形资产工时'!O48/$G48,2))</f>
        <v/>
      </c>
      <c r="S48" s="12">
        <f>IF($D48="","",SUM(K48:R48))</f>
        <v/>
      </c>
      <c r="T48" s="12">
        <f>IF($D48="","",$J48+$S48)</f>
        <v/>
      </c>
      <c r="U48" s="25">
        <f>IF($D48="","",IF($F48=0,"未维护摊销额",IF(ROUND($T48-$F48,2)=0,"√","差异")))</f>
        <v/>
      </c>
      <c r="V48" s="11" t="n"/>
      <c r="W48" s="9" t="n"/>
    </row>
    <row r="49" ht="18" customHeight="1">
      <c r="B49" s="21">
        <f>IF('05无形资产工时'!$D49="","",'05无形资产工时'!$B49)</f>
        <v/>
      </c>
      <c r="C49" s="22">
        <f>IF('05无形资产工时'!$D49="","",'05无形资产工时'!$C49)</f>
        <v/>
      </c>
      <c r="D49" s="22">
        <f>IF('05无形资产工时'!$D49="","",'05无形资产工时'!$D49)</f>
        <v/>
      </c>
      <c r="E49" s="39">
        <f>IF($D49="","",'05无形资产工时'!$E49)</f>
        <v/>
      </c>
      <c r="F49" s="23">
        <f>IF($D49="","",IF($V49&lt;&gt;"",$V49,IFERROR(INDEX('参数设置'!$E$48:$E$57,MATCH($D49,'参数设置'!$C$48:$C$57,0)),0)))</f>
        <v/>
      </c>
      <c r="G49" s="24">
        <f>IF($D49="","",'05无形资产工时'!$F49)</f>
        <v/>
      </c>
      <c r="H49" s="24">
        <f>IF($D49="","",'05无形资产工时'!$P49)</f>
        <v/>
      </c>
      <c r="I49" s="20">
        <f>IF(OR($D49="",$G49=0),"",$H49/$G49)</f>
        <v/>
      </c>
      <c r="J49" s="12">
        <f>IF($D49="","",ROUND($F49,2)-$S49)</f>
        <v/>
      </c>
      <c r="K49" s="12">
        <f>IF(OR($D49="",$G49=0),"",ROUND($F49*'05无形资产工时'!H49/$G49,2))</f>
        <v/>
      </c>
      <c r="L49" s="12">
        <f>IF(OR($D49="",$G49=0),"",ROUND($F49*'05无形资产工时'!I49/$G49,2))</f>
        <v/>
      </c>
      <c r="M49" s="12">
        <f>IF(OR($D49="",$G49=0),"",ROUND($F49*'05无形资产工时'!J49/$G49,2))</f>
        <v/>
      </c>
      <c r="N49" s="12">
        <f>IF(OR($D49="",$G49=0),"",ROUND($F49*'05无形资产工时'!K49/$G49,2))</f>
        <v/>
      </c>
      <c r="O49" s="12">
        <f>IF(OR($D49="",$G49=0),"",ROUND($F49*'05无形资产工时'!L49/$G49,2))</f>
        <v/>
      </c>
      <c r="P49" s="12">
        <f>IF(OR($D49="",$G49=0),"",ROUND($F49*'05无形资产工时'!M49/$G49,2))</f>
        <v/>
      </c>
      <c r="Q49" s="12">
        <f>IF(OR($D49="",$G49=0),"",ROUND($F49*'05无形资产工时'!N49/$G49,2))</f>
        <v/>
      </c>
      <c r="R49" s="12">
        <f>IF(OR($D49="",$G49=0),"",ROUND($F49*'05无形资产工时'!O49/$G49,2))</f>
        <v/>
      </c>
      <c r="S49" s="12">
        <f>IF($D49="","",SUM(K49:R49))</f>
        <v/>
      </c>
      <c r="T49" s="12">
        <f>IF($D49="","",$J49+$S49)</f>
        <v/>
      </c>
      <c r="U49" s="25">
        <f>IF($D49="","",IF($F49=0,"未维护摊销额",IF(ROUND($T49-$F49,2)=0,"√","差异")))</f>
        <v/>
      </c>
      <c r="V49" s="11" t="n"/>
      <c r="W49" s="9" t="n"/>
    </row>
    <row r="50" ht="18" customHeight="1">
      <c r="B50" s="21">
        <f>IF('05无形资产工时'!$D50="","",'05无形资产工时'!$B50)</f>
        <v/>
      </c>
      <c r="C50" s="22">
        <f>IF('05无形资产工时'!$D50="","",'05无形资产工时'!$C50)</f>
        <v/>
      </c>
      <c r="D50" s="22">
        <f>IF('05无形资产工时'!$D50="","",'05无形资产工时'!$D50)</f>
        <v/>
      </c>
      <c r="E50" s="39">
        <f>IF($D50="","",'05无形资产工时'!$E50)</f>
        <v/>
      </c>
      <c r="F50" s="23">
        <f>IF($D50="","",IF($V50&lt;&gt;"",$V50,IFERROR(INDEX('参数设置'!$E$48:$E$57,MATCH($D50,'参数设置'!$C$48:$C$57,0)),0)))</f>
        <v/>
      </c>
      <c r="G50" s="24">
        <f>IF($D50="","",'05无形资产工时'!$F50)</f>
        <v/>
      </c>
      <c r="H50" s="24">
        <f>IF($D50="","",'05无形资产工时'!$P50)</f>
        <v/>
      </c>
      <c r="I50" s="20">
        <f>IF(OR($D50="",$G50=0),"",$H50/$G50)</f>
        <v/>
      </c>
      <c r="J50" s="12">
        <f>IF($D50="","",ROUND($F50,2)-$S50)</f>
        <v/>
      </c>
      <c r="K50" s="12">
        <f>IF(OR($D50="",$G50=0),"",ROUND($F50*'05无形资产工时'!H50/$G50,2))</f>
        <v/>
      </c>
      <c r="L50" s="12">
        <f>IF(OR($D50="",$G50=0),"",ROUND($F50*'05无形资产工时'!I50/$G50,2))</f>
        <v/>
      </c>
      <c r="M50" s="12">
        <f>IF(OR($D50="",$G50=0),"",ROUND($F50*'05无形资产工时'!J50/$G50,2))</f>
        <v/>
      </c>
      <c r="N50" s="12">
        <f>IF(OR($D50="",$G50=0),"",ROUND($F50*'05无形资产工时'!K50/$G50,2))</f>
        <v/>
      </c>
      <c r="O50" s="12">
        <f>IF(OR($D50="",$G50=0),"",ROUND($F50*'05无形资产工时'!L50/$G50,2))</f>
        <v/>
      </c>
      <c r="P50" s="12">
        <f>IF(OR($D50="",$G50=0),"",ROUND($F50*'05无形资产工时'!M50/$G50,2))</f>
        <v/>
      </c>
      <c r="Q50" s="12">
        <f>IF(OR($D50="",$G50=0),"",ROUND($F50*'05无形资产工时'!N50/$G50,2))</f>
        <v/>
      </c>
      <c r="R50" s="12">
        <f>IF(OR($D50="",$G50=0),"",ROUND($F50*'05无形资产工时'!O50/$G50,2))</f>
        <v/>
      </c>
      <c r="S50" s="12">
        <f>IF($D50="","",SUM(K50:R50))</f>
        <v/>
      </c>
      <c r="T50" s="12">
        <f>IF($D50="","",$J50+$S50)</f>
        <v/>
      </c>
      <c r="U50" s="25">
        <f>IF($D50="","",IF($F50=0,"未维护摊销额",IF(ROUND($T50-$F50,2)=0,"√","差异")))</f>
        <v/>
      </c>
      <c r="V50" s="11" t="n"/>
      <c r="W50" s="9" t="n"/>
    </row>
    <row r="51" ht="18" customHeight="1">
      <c r="B51" s="21">
        <f>IF('05无形资产工时'!$D51="","",'05无形资产工时'!$B51)</f>
        <v/>
      </c>
      <c r="C51" s="22">
        <f>IF('05无形资产工时'!$D51="","",'05无形资产工时'!$C51)</f>
        <v/>
      </c>
      <c r="D51" s="22">
        <f>IF('05无形资产工时'!$D51="","",'05无形资产工时'!$D51)</f>
        <v/>
      </c>
      <c r="E51" s="39">
        <f>IF($D51="","",'05无形资产工时'!$E51)</f>
        <v/>
      </c>
      <c r="F51" s="23">
        <f>IF($D51="","",IF($V51&lt;&gt;"",$V51,IFERROR(INDEX('参数设置'!$E$48:$E$57,MATCH($D51,'参数设置'!$C$48:$C$57,0)),0)))</f>
        <v/>
      </c>
      <c r="G51" s="24">
        <f>IF($D51="","",'05无形资产工时'!$F51)</f>
        <v/>
      </c>
      <c r="H51" s="24">
        <f>IF($D51="","",'05无形资产工时'!$P51)</f>
        <v/>
      </c>
      <c r="I51" s="20">
        <f>IF(OR($D51="",$G51=0),"",$H51/$G51)</f>
        <v/>
      </c>
      <c r="J51" s="12">
        <f>IF($D51="","",ROUND($F51,2)-$S51)</f>
        <v/>
      </c>
      <c r="K51" s="12">
        <f>IF(OR($D51="",$G51=0),"",ROUND($F51*'05无形资产工时'!H51/$G51,2))</f>
        <v/>
      </c>
      <c r="L51" s="12">
        <f>IF(OR($D51="",$G51=0),"",ROUND($F51*'05无形资产工时'!I51/$G51,2))</f>
        <v/>
      </c>
      <c r="M51" s="12">
        <f>IF(OR($D51="",$G51=0),"",ROUND($F51*'05无形资产工时'!J51/$G51,2))</f>
        <v/>
      </c>
      <c r="N51" s="12">
        <f>IF(OR($D51="",$G51=0),"",ROUND($F51*'05无形资产工时'!K51/$G51,2))</f>
        <v/>
      </c>
      <c r="O51" s="12">
        <f>IF(OR($D51="",$G51=0),"",ROUND($F51*'05无形资产工时'!L51/$G51,2))</f>
        <v/>
      </c>
      <c r="P51" s="12">
        <f>IF(OR($D51="",$G51=0),"",ROUND($F51*'05无形资产工时'!M51/$G51,2))</f>
        <v/>
      </c>
      <c r="Q51" s="12">
        <f>IF(OR($D51="",$G51=0),"",ROUND($F51*'05无形资产工时'!N51/$G51,2))</f>
        <v/>
      </c>
      <c r="R51" s="12">
        <f>IF(OR($D51="",$G51=0),"",ROUND($F51*'05无形资产工时'!O51/$G51,2))</f>
        <v/>
      </c>
      <c r="S51" s="12">
        <f>IF($D51="","",SUM(K51:R51))</f>
        <v/>
      </c>
      <c r="T51" s="12">
        <f>IF($D51="","",$J51+$S51)</f>
        <v/>
      </c>
      <c r="U51" s="25">
        <f>IF($D51="","",IF($F51=0,"未维护摊销额",IF(ROUND($T51-$F51,2)=0,"√","差异")))</f>
        <v/>
      </c>
      <c r="V51" s="11" t="n"/>
      <c r="W51" s="9" t="n"/>
    </row>
    <row r="52" ht="18" customHeight="1">
      <c r="B52" s="21">
        <f>IF('05无形资产工时'!$D52="","",'05无形资产工时'!$B52)</f>
        <v/>
      </c>
      <c r="C52" s="22">
        <f>IF('05无形资产工时'!$D52="","",'05无形资产工时'!$C52)</f>
        <v/>
      </c>
      <c r="D52" s="22">
        <f>IF('05无形资产工时'!$D52="","",'05无形资产工时'!$D52)</f>
        <v/>
      </c>
      <c r="E52" s="39">
        <f>IF($D52="","",'05无形资产工时'!$E52)</f>
        <v/>
      </c>
      <c r="F52" s="23">
        <f>IF($D52="","",IF($V52&lt;&gt;"",$V52,IFERROR(INDEX('参数设置'!$E$48:$E$57,MATCH($D52,'参数设置'!$C$48:$C$57,0)),0)))</f>
        <v/>
      </c>
      <c r="G52" s="24">
        <f>IF($D52="","",'05无形资产工时'!$F52)</f>
        <v/>
      </c>
      <c r="H52" s="24">
        <f>IF($D52="","",'05无形资产工时'!$P52)</f>
        <v/>
      </c>
      <c r="I52" s="20">
        <f>IF(OR($D52="",$G52=0),"",$H52/$G52)</f>
        <v/>
      </c>
      <c r="J52" s="12">
        <f>IF($D52="","",ROUND($F52,2)-$S52)</f>
        <v/>
      </c>
      <c r="K52" s="12">
        <f>IF(OR($D52="",$G52=0),"",ROUND($F52*'05无形资产工时'!H52/$G52,2))</f>
        <v/>
      </c>
      <c r="L52" s="12">
        <f>IF(OR($D52="",$G52=0),"",ROUND($F52*'05无形资产工时'!I52/$G52,2))</f>
        <v/>
      </c>
      <c r="M52" s="12">
        <f>IF(OR($D52="",$G52=0),"",ROUND($F52*'05无形资产工时'!J52/$G52,2))</f>
        <v/>
      </c>
      <c r="N52" s="12">
        <f>IF(OR($D52="",$G52=0),"",ROUND($F52*'05无形资产工时'!K52/$G52,2))</f>
        <v/>
      </c>
      <c r="O52" s="12">
        <f>IF(OR($D52="",$G52=0),"",ROUND($F52*'05无形资产工时'!L52/$G52,2))</f>
        <v/>
      </c>
      <c r="P52" s="12">
        <f>IF(OR($D52="",$G52=0),"",ROUND($F52*'05无形资产工时'!M52/$G52,2))</f>
        <v/>
      </c>
      <c r="Q52" s="12">
        <f>IF(OR($D52="",$G52=0),"",ROUND($F52*'05无形资产工时'!N52/$G52,2))</f>
        <v/>
      </c>
      <c r="R52" s="12">
        <f>IF(OR($D52="",$G52=0),"",ROUND($F52*'05无形资产工时'!O52/$G52,2))</f>
        <v/>
      </c>
      <c r="S52" s="12">
        <f>IF($D52="","",SUM(K52:R52))</f>
        <v/>
      </c>
      <c r="T52" s="12">
        <f>IF($D52="","",$J52+$S52)</f>
        <v/>
      </c>
      <c r="U52" s="25">
        <f>IF($D52="","",IF($F52=0,"未维护摊销额",IF(ROUND($T52-$F52,2)=0,"√","差异")))</f>
        <v/>
      </c>
      <c r="V52" s="11" t="n"/>
      <c r="W52" s="9" t="n"/>
    </row>
    <row r="53" ht="18" customHeight="1">
      <c r="B53" s="21">
        <f>IF('05无形资产工时'!$D53="","",'05无形资产工时'!$B53)</f>
        <v/>
      </c>
      <c r="C53" s="22">
        <f>IF('05无形资产工时'!$D53="","",'05无形资产工时'!$C53)</f>
        <v/>
      </c>
      <c r="D53" s="22">
        <f>IF('05无形资产工时'!$D53="","",'05无形资产工时'!$D53)</f>
        <v/>
      </c>
      <c r="E53" s="39">
        <f>IF($D53="","",'05无形资产工时'!$E53)</f>
        <v/>
      </c>
      <c r="F53" s="23">
        <f>IF($D53="","",IF($V53&lt;&gt;"",$V53,IFERROR(INDEX('参数设置'!$E$48:$E$57,MATCH($D53,'参数设置'!$C$48:$C$57,0)),0)))</f>
        <v/>
      </c>
      <c r="G53" s="24">
        <f>IF($D53="","",'05无形资产工时'!$F53)</f>
        <v/>
      </c>
      <c r="H53" s="24">
        <f>IF($D53="","",'05无形资产工时'!$P53)</f>
        <v/>
      </c>
      <c r="I53" s="20">
        <f>IF(OR($D53="",$G53=0),"",$H53/$G53)</f>
        <v/>
      </c>
      <c r="J53" s="12">
        <f>IF($D53="","",ROUND($F53,2)-$S53)</f>
        <v/>
      </c>
      <c r="K53" s="12">
        <f>IF(OR($D53="",$G53=0),"",ROUND($F53*'05无形资产工时'!H53/$G53,2))</f>
        <v/>
      </c>
      <c r="L53" s="12">
        <f>IF(OR($D53="",$G53=0),"",ROUND($F53*'05无形资产工时'!I53/$G53,2))</f>
        <v/>
      </c>
      <c r="M53" s="12">
        <f>IF(OR($D53="",$G53=0),"",ROUND($F53*'05无形资产工时'!J53/$G53,2))</f>
        <v/>
      </c>
      <c r="N53" s="12">
        <f>IF(OR($D53="",$G53=0),"",ROUND($F53*'05无形资产工时'!K53/$G53,2))</f>
        <v/>
      </c>
      <c r="O53" s="12">
        <f>IF(OR($D53="",$G53=0),"",ROUND($F53*'05无形资产工时'!L53/$G53,2))</f>
        <v/>
      </c>
      <c r="P53" s="12">
        <f>IF(OR($D53="",$G53=0),"",ROUND($F53*'05无形资产工时'!M53/$G53,2))</f>
        <v/>
      </c>
      <c r="Q53" s="12">
        <f>IF(OR($D53="",$G53=0),"",ROUND($F53*'05无形资产工时'!N53/$G53,2))</f>
        <v/>
      </c>
      <c r="R53" s="12">
        <f>IF(OR($D53="",$G53=0),"",ROUND($F53*'05无形资产工时'!O53/$G53,2))</f>
        <v/>
      </c>
      <c r="S53" s="12">
        <f>IF($D53="","",SUM(K53:R53))</f>
        <v/>
      </c>
      <c r="T53" s="12">
        <f>IF($D53="","",$J53+$S53)</f>
        <v/>
      </c>
      <c r="U53" s="25">
        <f>IF($D53="","",IF($F53=0,"未维护摊销额",IF(ROUND($T53-$F53,2)=0,"√","差异")))</f>
        <v/>
      </c>
      <c r="V53" s="11" t="n"/>
      <c r="W53" s="9" t="n"/>
    </row>
    <row r="54" ht="18" customHeight="1">
      <c r="B54" s="21">
        <f>IF('05无形资产工时'!$D54="","",'05无形资产工时'!$B54)</f>
        <v/>
      </c>
      <c r="C54" s="22">
        <f>IF('05无形资产工时'!$D54="","",'05无形资产工时'!$C54)</f>
        <v/>
      </c>
      <c r="D54" s="22">
        <f>IF('05无形资产工时'!$D54="","",'05无形资产工时'!$D54)</f>
        <v/>
      </c>
      <c r="E54" s="39">
        <f>IF($D54="","",'05无形资产工时'!$E54)</f>
        <v/>
      </c>
      <c r="F54" s="23">
        <f>IF($D54="","",IF($V54&lt;&gt;"",$V54,IFERROR(INDEX('参数设置'!$E$48:$E$57,MATCH($D54,'参数设置'!$C$48:$C$57,0)),0)))</f>
        <v/>
      </c>
      <c r="G54" s="24">
        <f>IF($D54="","",'05无形资产工时'!$F54)</f>
        <v/>
      </c>
      <c r="H54" s="24">
        <f>IF($D54="","",'05无形资产工时'!$P54)</f>
        <v/>
      </c>
      <c r="I54" s="20">
        <f>IF(OR($D54="",$G54=0),"",$H54/$G54)</f>
        <v/>
      </c>
      <c r="J54" s="12">
        <f>IF($D54="","",ROUND($F54,2)-$S54)</f>
        <v/>
      </c>
      <c r="K54" s="12">
        <f>IF(OR($D54="",$G54=0),"",ROUND($F54*'05无形资产工时'!H54/$G54,2))</f>
        <v/>
      </c>
      <c r="L54" s="12">
        <f>IF(OR($D54="",$G54=0),"",ROUND($F54*'05无形资产工时'!I54/$G54,2))</f>
        <v/>
      </c>
      <c r="M54" s="12">
        <f>IF(OR($D54="",$G54=0),"",ROUND($F54*'05无形资产工时'!J54/$G54,2))</f>
        <v/>
      </c>
      <c r="N54" s="12">
        <f>IF(OR($D54="",$G54=0),"",ROUND($F54*'05无形资产工时'!K54/$G54,2))</f>
        <v/>
      </c>
      <c r="O54" s="12">
        <f>IF(OR($D54="",$G54=0),"",ROUND($F54*'05无形资产工时'!L54/$G54,2))</f>
        <v/>
      </c>
      <c r="P54" s="12">
        <f>IF(OR($D54="",$G54=0),"",ROUND($F54*'05无形资产工时'!M54/$G54,2))</f>
        <v/>
      </c>
      <c r="Q54" s="12">
        <f>IF(OR($D54="",$G54=0),"",ROUND($F54*'05无形资产工时'!N54/$G54,2))</f>
        <v/>
      </c>
      <c r="R54" s="12">
        <f>IF(OR($D54="",$G54=0),"",ROUND($F54*'05无形资产工时'!O54/$G54,2))</f>
        <v/>
      </c>
      <c r="S54" s="12">
        <f>IF($D54="","",SUM(K54:R54))</f>
        <v/>
      </c>
      <c r="T54" s="12">
        <f>IF($D54="","",$J54+$S54)</f>
        <v/>
      </c>
      <c r="U54" s="25">
        <f>IF($D54="","",IF($F54=0,"未维护摊销额",IF(ROUND($T54-$F54,2)=0,"√","差异")))</f>
        <v/>
      </c>
      <c r="V54" s="11" t="n"/>
      <c r="W54" s="9" t="n"/>
    </row>
    <row r="55" ht="18" customHeight="1">
      <c r="B55" s="21">
        <f>IF('05无形资产工时'!$D55="","",'05无形资产工时'!$B55)</f>
        <v/>
      </c>
      <c r="C55" s="22">
        <f>IF('05无形资产工时'!$D55="","",'05无形资产工时'!$C55)</f>
        <v/>
      </c>
      <c r="D55" s="22">
        <f>IF('05无形资产工时'!$D55="","",'05无形资产工时'!$D55)</f>
        <v/>
      </c>
      <c r="E55" s="39">
        <f>IF($D55="","",'05无形资产工时'!$E55)</f>
        <v/>
      </c>
      <c r="F55" s="23">
        <f>IF($D55="","",IF($V55&lt;&gt;"",$V55,IFERROR(INDEX('参数设置'!$E$48:$E$57,MATCH($D55,'参数设置'!$C$48:$C$57,0)),0)))</f>
        <v/>
      </c>
      <c r="G55" s="24">
        <f>IF($D55="","",'05无形资产工时'!$F55)</f>
        <v/>
      </c>
      <c r="H55" s="24">
        <f>IF($D55="","",'05无形资产工时'!$P55)</f>
        <v/>
      </c>
      <c r="I55" s="20">
        <f>IF(OR($D55="",$G55=0),"",$H55/$G55)</f>
        <v/>
      </c>
      <c r="J55" s="12">
        <f>IF($D55="","",ROUND($F55,2)-$S55)</f>
        <v/>
      </c>
      <c r="K55" s="12">
        <f>IF(OR($D55="",$G55=0),"",ROUND($F55*'05无形资产工时'!H55/$G55,2))</f>
        <v/>
      </c>
      <c r="L55" s="12">
        <f>IF(OR($D55="",$G55=0),"",ROUND($F55*'05无形资产工时'!I55/$G55,2))</f>
        <v/>
      </c>
      <c r="M55" s="12">
        <f>IF(OR($D55="",$G55=0),"",ROUND($F55*'05无形资产工时'!J55/$G55,2))</f>
        <v/>
      </c>
      <c r="N55" s="12">
        <f>IF(OR($D55="",$G55=0),"",ROUND($F55*'05无形资产工时'!K55/$G55,2))</f>
        <v/>
      </c>
      <c r="O55" s="12">
        <f>IF(OR($D55="",$G55=0),"",ROUND($F55*'05无形资产工时'!L55/$G55,2))</f>
        <v/>
      </c>
      <c r="P55" s="12">
        <f>IF(OR($D55="",$G55=0),"",ROUND($F55*'05无形资产工时'!M55/$G55,2))</f>
        <v/>
      </c>
      <c r="Q55" s="12">
        <f>IF(OR($D55="",$G55=0),"",ROUND($F55*'05无形资产工时'!N55/$G55,2))</f>
        <v/>
      </c>
      <c r="R55" s="12">
        <f>IF(OR($D55="",$G55=0),"",ROUND($F55*'05无形资产工时'!O55/$G55,2))</f>
        <v/>
      </c>
      <c r="S55" s="12">
        <f>IF($D55="","",SUM(K55:R55))</f>
        <v/>
      </c>
      <c r="T55" s="12">
        <f>IF($D55="","",$J55+$S55)</f>
        <v/>
      </c>
      <c r="U55" s="25">
        <f>IF($D55="","",IF($F55=0,"未维护摊销额",IF(ROUND($T55-$F55,2)=0,"√","差异")))</f>
        <v/>
      </c>
      <c r="V55" s="11" t="n"/>
      <c r="W55" s="9" t="n"/>
    </row>
    <row r="56" ht="18" customHeight="1">
      <c r="B56" s="21">
        <f>IF('05无形资产工时'!$D56="","",'05无形资产工时'!$B56)</f>
        <v/>
      </c>
      <c r="C56" s="22">
        <f>IF('05无形资产工时'!$D56="","",'05无形资产工时'!$C56)</f>
        <v/>
      </c>
      <c r="D56" s="22">
        <f>IF('05无形资产工时'!$D56="","",'05无形资产工时'!$D56)</f>
        <v/>
      </c>
      <c r="E56" s="39">
        <f>IF($D56="","",'05无形资产工时'!$E56)</f>
        <v/>
      </c>
      <c r="F56" s="23">
        <f>IF($D56="","",IF($V56&lt;&gt;"",$V56,IFERROR(INDEX('参数设置'!$E$48:$E$57,MATCH($D56,'参数设置'!$C$48:$C$57,0)),0)))</f>
        <v/>
      </c>
      <c r="G56" s="24">
        <f>IF($D56="","",'05无形资产工时'!$F56)</f>
        <v/>
      </c>
      <c r="H56" s="24">
        <f>IF($D56="","",'05无形资产工时'!$P56)</f>
        <v/>
      </c>
      <c r="I56" s="20">
        <f>IF(OR($D56="",$G56=0),"",$H56/$G56)</f>
        <v/>
      </c>
      <c r="J56" s="12">
        <f>IF($D56="","",ROUND($F56,2)-$S56)</f>
        <v/>
      </c>
      <c r="K56" s="12">
        <f>IF(OR($D56="",$G56=0),"",ROUND($F56*'05无形资产工时'!H56/$G56,2))</f>
        <v/>
      </c>
      <c r="L56" s="12">
        <f>IF(OR($D56="",$G56=0),"",ROUND($F56*'05无形资产工时'!I56/$G56,2))</f>
        <v/>
      </c>
      <c r="M56" s="12">
        <f>IF(OR($D56="",$G56=0),"",ROUND($F56*'05无形资产工时'!J56/$G56,2))</f>
        <v/>
      </c>
      <c r="N56" s="12">
        <f>IF(OR($D56="",$G56=0),"",ROUND($F56*'05无形资产工时'!K56/$G56,2))</f>
        <v/>
      </c>
      <c r="O56" s="12">
        <f>IF(OR($D56="",$G56=0),"",ROUND($F56*'05无形资产工时'!L56/$G56,2))</f>
        <v/>
      </c>
      <c r="P56" s="12">
        <f>IF(OR($D56="",$G56=0),"",ROUND($F56*'05无形资产工时'!M56/$G56,2))</f>
        <v/>
      </c>
      <c r="Q56" s="12">
        <f>IF(OR($D56="",$G56=0),"",ROUND($F56*'05无形资产工时'!N56/$G56,2))</f>
        <v/>
      </c>
      <c r="R56" s="12">
        <f>IF(OR($D56="",$G56=0),"",ROUND($F56*'05无形资产工时'!O56/$G56,2))</f>
        <v/>
      </c>
      <c r="S56" s="12">
        <f>IF($D56="","",SUM(K56:R56))</f>
        <v/>
      </c>
      <c r="T56" s="12">
        <f>IF($D56="","",$J56+$S56)</f>
        <v/>
      </c>
      <c r="U56" s="25">
        <f>IF($D56="","",IF($F56=0,"未维护摊销额",IF(ROUND($T56-$F56,2)=0,"√","差异")))</f>
        <v/>
      </c>
      <c r="V56" s="11" t="n"/>
      <c r="W56" s="9" t="n"/>
    </row>
    <row r="57" ht="18" customHeight="1">
      <c r="B57" s="21">
        <f>IF('05无形资产工时'!$D57="","",'05无形资产工时'!$B57)</f>
        <v/>
      </c>
      <c r="C57" s="22">
        <f>IF('05无形资产工时'!$D57="","",'05无形资产工时'!$C57)</f>
        <v/>
      </c>
      <c r="D57" s="22">
        <f>IF('05无形资产工时'!$D57="","",'05无形资产工时'!$D57)</f>
        <v/>
      </c>
      <c r="E57" s="39">
        <f>IF($D57="","",'05无形资产工时'!$E57)</f>
        <v/>
      </c>
      <c r="F57" s="23">
        <f>IF($D57="","",IF($V57&lt;&gt;"",$V57,IFERROR(INDEX('参数设置'!$E$48:$E$57,MATCH($D57,'参数设置'!$C$48:$C$57,0)),0)))</f>
        <v/>
      </c>
      <c r="G57" s="24">
        <f>IF($D57="","",'05无形资产工时'!$F57)</f>
        <v/>
      </c>
      <c r="H57" s="24">
        <f>IF($D57="","",'05无形资产工时'!$P57)</f>
        <v/>
      </c>
      <c r="I57" s="20">
        <f>IF(OR($D57="",$G57=0),"",$H57/$G57)</f>
        <v/>
      </c>
      <c r="J57" s="12">
        <f>IF($D57="","",ROUND($F57,2)-$S57)</f>
        <v/>
      </c>
      <c r="K57" s="12">
        <f>IF(OR($D57="",$G57=0),"",ROUND($F57*'05无形资产工时'!H57/$G57,2))</f>
        <v/>
      </c>
      <c r="L57" s="12">
        <f>IF(OR($D57="",$G57=0),"",ROUND($F57*'05无形资产工时'!I57/$G57,2))</f>
        <v/>
      </c>
      <c r="M57" s="12">
        <f>IF(OR($D57="",$G57=0),"",ROUND($F57*'05无形资产工时'!J57/$G57,2))</f>
        <v/>
      </c>
      <c r="N57" s="12">
        <f>IF(OR($D57="",$G57=0),"",ROUND($F57*'05无形资产工时'!K57/$G57,2))</f>
        <v/>
      </c>
      <c r="O57" s="12">
        <f>IF(OR($D57="",$G57=0),"",ROUND($F57*'05无形资产工时'!L57/$G57,2))</f>
        <v/>
      </c>
      <c r="P57" s="12">
        <f>IF(OR($D57="",$G57=0),"",ROUND($F57*'05无形资产工时'!M57/$G57,2))</f>
        <v/>
      </c>
      <c r="Q57" s="12">
        <f>IF(OR($D57="",$G57=0),"",ROUND($F57*'05无形资产工时'!N57/$G57,2))</f>
        <v/>
      </c>
      <c r="R57" s="12">
        <f>IF(OR($D57="",$G57=0),"",ROUND($F57*'05无形资产工时'!O57/$G57,2))</f>
        <v/>
      </c>
      <c r="S57" s="12">
        <f>IF($D57="","",SUM(K57:R57))</f>
        <v/>
      </c>
      <c r="T57" s="12">
        <f>IF($D57="","",$J57+$S57)</f>
        <v/>
      </c>
      <c r="U57" s="25">
        <f>IF($D57="","",IF($F57=0,"未维护摊销额",IF(ROUND($T57-$F57,2)=0,"√","差异")))</f>
        <v/>
      </c>
      <c r="V57" s="11" t="n"/>
      <c r="W57" s="9" t="n"/>
    </row>
    <row r="58" ht="18" customHeight="1">
      <c r="B58" s="21">
        <f>IF('05无形资产工时'!$D58="","",'05无形资产工时'!$B58)</f>
        <v/>
      </c>
      <c r="C58" s="22">
        <f>IF('05无形资产工时'!$D58="","",'05无形资产工时'!$C58)</f>
        <v/>
      </c>
      <c r="D58" s="22">
        <f>IF('05无形资产工时'!$D58="","",'05无形资产工时'!$D58)</f>
        <v/>
      </c>
      <c r="E58" s="39">
        <f>IF($D58="","",'05无形资产工时'!$E58)</f>
        <v/>
      </c>
      <c r="F58" s="23">
        <f>IF($D58="","",IF($V58&lt;&gt;"",$V58,IFERROR(INDEX('参数设置'!$E$48:$E$57,MATCH($D58,'参数设置'!$C$48:$C$57,0)),0)))</f>
        <v/>
      </c>
      <c r="G58" s="24">
        <f>IF($D58="","",'05无形资产工时'!$F58)</f>
        <v/>
      </c>
      <c r="H58" s="24">
        <f>IF($D58="","",'05无形资产工时'!$P58)</f>
        <v/>
      </c>
      <c r="I58" s="20">
        <f>IF(OR($D58="",$G58=0),"",$H58/$G58)</f>
        <v/>
      </c>
      <c r="J58" s="12">
        <f>IF($D58="","",ROUND($F58,2)-$S58)</f>
        <v/>
      </c>
      <c r="K58" s="12">
        <f>IF(OR($D58="",$G58=0),"",ROUND($F58*'05无形资产工时'!H58/$G58,2))</f>
        <v/>
      </c>
      <c r="L58" s="12">
        <f>IF(OR($D58="",$G58=0),"",ROUND($F58*'05无形资产工时'!I58/$G58,2))</f>
        <v/>
      </c>
      <c r="M58" s="12">
        <f>IF(OR($D58="",$G58=0),"",ROUND($F58*'05无形资产工时'!J58/$G58,2))</f>
        <v/>
      </c>
      <c r="N58" s="12">
        <f>IF(OR($D58="",$G58=0),"",ROUND($F58*'05无形资产工时'!K58/$G58,2))</f>
        <v/>
      </c>
      <c r="O58" s="12">
        <f>IF(OR($D58="",$G58=0),"",ROUND($F58*'05无形资产工时'!L58/$G58,2))</f>
        <v/>
      </c>
      <c r="P58" s="12">
        <f>IF(OR($D58="",$G58=0),"",ROUND($F58*'05无形资产工时'!M58/$G58,2))</f>
        <v/>
      </c>
      <c r="Q58" s="12">
        <f>IF(OR($D58="",$G58=0),"",ROUND($F58*'05无形资产工时'!N58/$G58,2))</f>
        <v/>
      </c>
      <c r="R58" s="12">
        <f>IF(OR($D58="",$G58=0),"",ROUND($F58*'05无形资产工时'!O58/$G58,2))</f>
        <v/>
      </c>
      <c r="S58" s="12">
        <f>IF($D58="","",SUM(K58:R58))</f>
        <v/>
      </c>
      <c r="T58" s="12">
        <f>IF($D58="","",$J58+$S58)</f>
        <v/>
      </c>
      <c r="U58" s="25">
        <f>IF($D58="","",IF($F58=0,"未维护摊销额",IF(ROUND($T58-$F58,2)=0,"√","差异")))</f>
        <v/>
      </c>
      <c r="V58" s="11" t="n"/>
      <c r="W58" s="9" t="n"/>
    </row>
    <row r="59" ht="18" customHeight="1">
      <c r="B59" s="21">
        <f>IF('05无形资产工时'!$D59="","",'05无形资产工时'!$B59)</f>
        <v/>
      </c>
      <c r="C59" s="22">
        <f>IF('05无形资产工时'!$D59="","",'05无形资产工时'!$C59)</f>
        <v/>
      </c>
      <c r="D59" s="22">
        <f>IF('05无形资产工时'!$D59="","",'05无形资产工时'!$D59)</f>
        <v/>
      </c>
      <c r="E59" s="39">
        <f>IF($D59="","",'05无形资产工时'!$E59)</f>
        <v/>
      </c>
      <c r="F59" s="23">
        <f>IF($D59="","",IF($V59&lt;&gt;"",$V59,IFERROR(INDEX('参数设置'!$E$48:$E$57,MATCH($D59,'参数设置'!$C$48:$C$57,0)),0)))</f>
        <v/>
      </c>
      <c r="G59" s="24">
        <f>IF($D59="","",'05无形资产工时'!$F59)</f>
        <v/>
      </c>
      <c r="H59" s="24">
        <f>IF($D59="","",'05无形资产工时'!$P59)</f>
        <v/>
      </c>
      <c r="I59" s="20">
        <f>IF(OR($D59="",$G59=0),"",$H59/$G59)</f>
        <v/>
      </c>
      <c r="J59" s="12">
        <f>IF($D59="","",ROUND($F59,2)-$S59)</f>
        <v/>
      </c>
      <c r="K59" s="12">
        <f>IF(OR($D59="",$G59=0),"",ROUND($F59*'05无形资产工时'!H59/$G59,2))</f>
        <v/>
      </c>
      <c r="L59" s="12">
        <f>IF(OR($D59="",$G59=0),"",ROUND($F59*'05无形资产工时'!I59/$G59,2))</f>
        <v/>
      </c>
      <c r="M59" s="12">
        <f>IF(OR($D59="",$G59=0),"",ROUND($F59*'05无形资产工时'!J59/$G59,2))</f>
        <v/>
      </c>
      <c r="N59" s="12">
        <f>IF(OR($D59="",$G59=0),"",ROUND($F59*'05无形资产工时'!K59/$G59,2))</f>
        <v/>
      </c>
      <c r="O59" s="12">
        <f>IF(OR($D59="",$G59=0),"",ROUND($F59*'05无形资产工时'!L59/$G59,2))</f>
        <v/>
      </c>
      <c r="P59" s="12">
        <f>IF(OR($D59="",$G59=0),"",ROUND($F59*'05无形资产工时'!M59/$G59,2))</f>
        <v/>
      </c>
      <c r="Q59" s="12">
        <f>IF(OR($D59="",$G59=0),"",ROUND($F59*'05无形资产工时'!N59/$G59,2))</f>
        <v/>
      </c>
      <c r="R59" s="12">
        <f>IF(OR($D59="",$G59=0),"",ROUND($F59*'05无形资产工时'!O59/$G59,2))</f>
        <v/>
      </c>
      <c r="S59" s="12">
        <f>IF($D59="","",SUM(K59:R59))</f>
        <v/>
      </c>
      <c r="T59" s="12">
        <f>IF($D59="","",$J59+$S59)</f>
        <v/>
      </c>
      <c r="U59" s="25">
        <f>IF($D59="","",IF($F59=0,"未维护摊销额",IF(ROUND($T59-$F59,2)=0,"√","差异")))</f>
        <v/>
      </c>
      <c r="V59" s="11" t="n"/>
      <c r="W59" s="9" t="n"/>
    </row>
    <row r="60" ht="18" customHeight="1">
      <c r="B60" s="21">
        <f>IF('05无形资产工时'!$D60="","",'05无形资产工时'!$B60)</f>
        <v/>
      </c>
      <c r="C60" s="22">
        <f>IF('05无形资产工时'!$D60="","",'05无形资产工时'!$C60)</f>
        <v/>
      </c>
      <c r="D60" s="22">
        <f>IF('05无形资产工时'!$D60="","",'05无形资产工时'!$D60)</f>
        <v/>
      </c>
      <c r="E60" s="39">
        <f>IF($D60="","",'05无形资产工时'!$E60)</f>
        <v/>
      </c>
      <c r="F60" s="23">
        <f>IF($D60="","",IF($V60&lt;&gt;"",$V60,IFERROR(INDEX('参数设置'!$E$48:$E$57,MATCH($D60,'参数设置'!$C$48:$C$57,0)),0)))</f>
        <v/>
      </c>
      <c r="G60" s="24">
        <f>IF($D60="","",'05无形资产工时'!$F60)</f>
        <v/>
      </c>
      <c r="H60" s="24">
        <f>IF($D60="","",'05无形资产工时'!$P60)</f>
        <v/>
      </c>
      <c r="I60" s="20">
        <f>IF(OR($D60="",$G60=0),"",$H60/$G60)</f>
        <v/>
      </c>
      <c r="J60" s="12">
        <f>IF($D60="","",ROUND($F60,2)-$S60)</f>
        <v/>
      </c>
      <c r="K60" s="12">
        <f>IF(OR($D60="",$G60=0),"",ROUND($F60*'05无形资产工时'!H60/$G60,2))</f>
        <v/>
      </c>
      <c r="L60" s="12">
        <f>IF(OR($D60="",$G60=0),"",ROUND($F60*'05无形资产工时'!I60/$G60,2))</f>
        <v/>
      </c>
      <c r="M60" s="12">
        <f>IF(OR($D60="",$G60=0),"",ROUND($F60*'05无形资产工时'!J60/$G60,2))</f>
        <v/>
      </c>
      <c r="N60" s="12">
        <f>IF(OR($D60="",$G60=0),"",ROUND($F60*'05无形资产工时'!K60/$G60,2))</f>
        <v/>
      </c>
      <c r="O60" s="12">
        <f>IF(OR($D60="",$G60=0),"",ROUND($F60*'05无形资产工时'!L60/$G60,2))</f>
        <v/>
      </c>
      <c r="P60" s="12">
        <f>IF(OR($D60="",$G60=0),"",ROUND($F60*'05无形资产工时'!M60/$G60,2))</f>
        <v/>
      </c>
      <c r="Q60" s="12">
        <f>IF(OR($D60="",$G60=0),"",ROUND($F60*'05无形资产工时'!N60/$G60,2))</f>
        <v/>
      </c>
      <c r="R60" s="12">
        <f>IF(OR($D60="",$G60=0),"",ROUND($F60*'05无形资产工时'!O60/$G60,2))</f>
        <v/>
      </c>
      <c r="S60" s="12">
        <f>IF($D60="","",SUM(K60:R60))</f>
        <v/>
      </c>
      <c r="T60" s="12">
        <f>IF($D60="","",$J60+$S60)</f>
        <v/>
      </c>
      <c r="U60" s="25">
        <f>IF($D60="","",IF($F60=0,"未维护摊销额",IF(ROUND($T60-$F60,2)=0,"√","差异")))</f>
        <v/>
      </c>
      <c r="V60" s="11" t="n"/>
      <c r="W60" s="9" t="n"/>
    </row>
    <row r="61" ht="18" customHeight="1">
      <c r="B61" s="21">
        <f>IF('05无形资产工时'!$D61="","",'05无形资产工时'!$B61)</f>
        <v/>
      </c>
      <c r="C61" s="22">
        <f>IF('05无形资产工时'!$D61="","",'05无形资产工时'!$C61)</f>
        <v/>
      </c>
      <c r="D61" s="22">
        <f>IF('05无形资产工时'!$D61="","",'05无形资产工时'!$D61)</f>
        <v/>
      </c>
      <c r="E61" s="39">
        <f>IF($D61="","",'05无形资产工时'!$E61)</f>
        <v/>
      </c>
      <c r="F61" s="23">
        <f>IF($D61="","",IF($V61&lt;&gt;"",$V61,IFERROR(INDEX('参数设置'!$E$48:$E$57,MATCH($D61,'参数设置'!$C$48:$C$57,0)),0)))</f>
        <v/>
      </c>
      <c r="G61" s="24">
        <f>IF($D61="","",'05无形资产工时'!$F61)</f>
        <v/>
      </c>
      <c r="H61" s="24">
        <f>IF($D61="","",'05无形资产工时'!$P61)</f>
        <v/>
      </c>
      <c r="I61" s="20">
        <f>IF(OR($D61="",$G61=0),"",$H61/$G61)</f>
        <v/>
      </c>
      <c r="J61" s="12">
        <f>IF($D61="","",ROUND($F61,2)-$S61)</f>
        <v/>
      </c>
      <c r="K61" s="12">
        <f>IF(OR($D61="",$G61=0),"",ROUND($F61*'05无形资产工时'!H61/$G61,2))</f>
        <v/>
      </c>
      <c r="L61" s="12">
        <f>IF(OR($D61="",$G61=0),"",ROUND($F61*'05无形资产工时'!I61/$G61,2))</f>
        <v/>
      </c>
      <c r="M61" s="12">
        <f>IF(OR($D61="",$G61=0),"",ROUND($F61*'05无形资产工时'!J61/$G61,2))</f>
        <v/>
      </c>
      <c r="N61" s="12">
        <f>IF(OR($D61="",$G61=0),"",ROUND($F61*'05无形资产工时'!K61/$G61,2))</f>
        <v/>
      </c>
      <c r="O61" s="12">
        <f>IF(OR($D61="",$G61=0),"",ROUND($F61*'05无形资产工时'!L61/$G61,2))</f>
        <v/>
      </c>
      <c r="P61" s="12">
        <f>IF(OR($D61="",$G61=0),"",ROUND($F61*'05无形资产工时'!M61/$G61,2))</f>
        <v/>
      </c>
      <c r="Q61" s="12">
        <f>IF(OR($D61="",$G61=0),"",ROUND($F61*'05无形资产工时'!N61/$G61,2))</f>
        <v/>
      </c>
      <c r="R61" s="12">
        <f>IF(OR($D61="",$G61=0),"",ROUND($F61*'05无形资产工时'!O61/$G61,2))</f>
        <v/>
      </c>
      <c r="S61" s="12">
        <f>IF($D61="","",SUM(K61:R61))</f>
        <v/>
      </c>
      <c r="T61" s="12">
        <f>IF($D61="","",$J61+$S61)</f>
        <v/>
      </c>
      <c r="U61" s="25">
        <f>IF($D61="","",IF($F61=0,"未维护摊销额",IF(ROUND($T61-$F61,2)=0,"√","差异")))</f>
        <v/>
      </c>
      <c r="V61" s="11" t="n"/>
      <c r="W61" s="9" t="n"/>
    </row>
    <row r="62" ht="18" customHeight="1">
      <c r="B62" s="21">
        <f>IF('05无形资产工时'!$D62="","",'05无形资产工时'!$B62)</f>
        <v/>
      </c>
      <c r="C62" s="22">
        <f>IF('05无形资产工时'!$D62="","",'05无形资产工时'!$C62)</f>
        <v/>
      </c>
      <c r="D62" s="22">
        <f>IF('05无形资产工时'!$D62="","",'05无形资产工时'!$D62)</f>
        <v/>
      </c>
      <c r="E62" s="39">
        <f>IF($D62="","",'05无形资产工时'!$E62)</f>
        <v/>
      </c>
      <c r="F62" s="23">
        <f>IF($D62="","",IF($V62&lt;&gt;"",$V62,IFERROR(INDEX('参数设置'!$E$48:$E$57,MATCH($D62,'参数设置'!$C$48:$C$57,0)),0)))</f>
        <v/>
      </c>
      <c r="G62" s="24">
        <f>IF($D62="","",'05无形资产工时'!$F62)</f>
        <v/>
      </c>
      <c r="H62" s="24">
        <f>IF($D62="","",'05无形资产工时'!$P62)</f>
        <v/>
      </c>
      <c r="I62" s="20">
        <f>IF(OR($D62="",$G62=0),"",$H62/$G62)</f>
        <v/>
      </c>
      <c r="J62" s="12">
        <f>IF($D62="","",ROUND($F62,2)-$S62)</f>
        <v/>
      </c>
      <c r="K62" s="12">
        <f>IF(OR($D62="",$G62=0),"",ROUND($F62*'05无形资产工时'!H62/$G62,2))</f>
        <v/>
      </c>
      <c r="L62" s="12">
        <f>IF(OR($D62="",$G62=0),"",ROUND($F62*'05无形资产工时'!I62/$G62,2))</f>
        <v/>
      </c>
      <c r="M62" s="12">
        <f>IF(OR($D62="",$G62=0),"",ROUND($F62*'05无形资产工时'!J62/$G62,2))</f>
        <v/>
      </c>
      <c r="N62" s="12">
        <f>IF(OR($D62="",$G62=0),"",ROUND($F62*'05无形资产工时'!K62/$G62,2))</f>
        <v/>
      </c>
      <c r="O62" s="12">
        <f>IF(OR($D62="",$G62=0),"",ROUND($F62*'05无形资产工时'!L62/$G62,2))</f>
        <v/>
      </c>
      <c r="P62" s="12">
        <f>IF(OR($D62="",$G62=0),"",ROUND($F62*'05无形资产工时'!M62/$G62,2))</f>
        <v/>
      </c>
      <c r="Q62" s="12">
        <f>IF(OR($D62="",$G62=0),"",ROUND($F62*'05无形资产工时'!N62/$G62,2))</f>
        <v/>
      </c>
      <c r="R62" s="12">
        <f>IF(OR($D62="",$G62=0),"",ROUND($F62*'05无形资产工时'!O62/$G62,2))</f>
        <v/>
      </c>
      <c r="S62" s="12">
        <f>IF($D62="","",SUM(K62:R62))</f>
        <v/>
      </c>
      <c r="T62" s="12">
        <f>IF($D62="","",$J62+$S62)</f>
        <v/>
      </c>
      <c r="U62" s="25">
        <f>IF($D62="","",IF($F62=0,"未维护摊销额",IF(ROUND($T62-$F62,2)=0,"√","差异")))</f>
        <v/>
      </c>
      <c r="V62" s="11" t="n"/>
      <c r="W62" s="9" t="n"/>
    </row>
    <row r="63" ht="18" customHeight="1">
      <c r="B63" s="21">
        <f>IF('05无形资产工时'!$D63="","",'05无形资产工时'!$B63)</f>
        <v/>
      </c>
      <c r="C63" s="22">
        <f>IF('05无形资产工时'!$D63="","",'05无形资产工时'!$C63)</f>
        <v/>
      </c>
      <c r="D63" s="22">
        <f>IF('05无形资产工时'!$D63="","",'05无形资产工时'!$D63)</f>
        <v/>
      </c>
      <c r="E63" s="39">
        <f>IF($D63="","",'05无形资产工时'!$E63)</f>
        <v/>
      </c>
      <c r="F63" s="23">
        <f>IF($D63="","",IF($V63&lt;&gt;"",$V63,IFERROR(INDEX('参数设置'!$E$48:$E$57,MATCH($D63,'参数设置'!$C$48:$C$57,0)),0)))</f>
        <v/>
      </c>
      <c r="G63" s="24">
        <f>IF($D63="","",'05无形资产工时'!$F63)</f>
        <v/>
      </c>
      <c r="H63" s="24">
        <f>IF($D63="","",'05无形资产工时'!$P63)</f>
        <v/>
      </c>
      <c r="I63" s="20">
        <f>IF(OR($D63="",$G63=0),"",$H63/$G63)</f>
        <v/>
      </c>
      <c r="J63" s="12">
        <f>IF($D63="","",ROUND($F63,2)-$S63)</f>
        <v/>
      </c>
      <c r="K63" s="12">
        <f>IF(OR($D63="",$G63=0),"",ROUND($F63*'05无形资产工时'!H63/$G63,2))</f>
        <v/>
      </c>
      <c r="L63" s="12">
        <f>IF(OR($D63="",$G63=0),"",ROUND($F63*'05无形资产工时'!I63/$G63,2))</f>
        <v/>
      </c>
      <c r="M63" s="12">
        <f>IF(OR($D63="",$G63=0),"",ROUND($F63*'05无形资产工时'!J63/$G63,2))</f>
        <v/>
      </c>
      <c r="N63" s="12">
        <f>IF(OR($D63="",$G63=0),"",ROUND($F63*'05无形资产工时'!K63/$G63,2))</f>
        <v/>
      </c>
      <c r="O63" s="12">
        <f>IF(OR($D63="",$G63=0),"",ROUND($F63*'05无形资产工时'!L63/$G63,2))</f>
        <v/>
      </c>
      <c r="P63" s="12">
        <f>IF(OR($D63="",$G63=0),"",ROUND($F63*'05无形资产工时'!M63/$G63,2))</f>
        <v/>
      </c>
      <c r="Q63" s="12">
        <f>IF(OR($D63="",$G63=0),"",ROUND($F63*'05无形资产工时'!N63/$G63,2))</f>
        <v/>
      </c>
      <c r="R63" s="12">
        <f>IF(OR($D63="",$G63=0),"",ROUND($F63*'05无形资产工时'!O63/$G63,2))</f>
        <v/>
      </c>
      <c r="S63" s="12">
        <f>IF($D63="","",SUM(K63:R63))</f>
        <v/>
      </c>
      <c r="T63" s="12">
        <f>IF($D63="","",$J63+$S63)</f>
        <v/>
      </c>
      <c r="U63" s="25">
        <f>IF($D63="","",IF($F63=0,"未维护摊销额",IF(ROUND($T63-$F63,2)=0,"√","差异")))</f>
        <v/>
      </c>
      <c r="V63" s="11" t="n"/>
      <c r="W63" s="9" t="n"/>
    </row>
    <row r="64" ht="18" customHeight="1">
      <c r="B64" s="21">
        <f>IF('05无形资产工时'!$D64="","",'05无形资产工时'!$B64)</f>
        <v/>
      </c>
      <c r="C64" s="22">
        <f>IF('05无形资产工时'!$D64="","",'05无形资产工时'!$C64)</f>
        <v/>
      </c>
      <c r="D64" s="22">
        <f>IF('05无形资产工时'!$D64="","",'05无形资产工时'!$D64)</f>
        <v/>
      </c>
      <c r="E64" s="39">
        <f>IF($D64="","",'05无形资产工时'!$E64)</f>
        <v/>
      </c>
      <c r="F64" s="23">
        <f>IF($D64="","",IF($V64&lt;&gt;"",$V64,IFERROR(INDEX('参数设置'!$E$48:$E$57,MATCH($D64,'参数设置'!$C$48:$C$57,0)),0)))</f>
        <v/>
      </c>
      <c r="G64" s="24">
        <f>IF($D64="","",'05无形资产工时'!$F64)</f>
        <v/>
      </c>
      <c r="H64" s="24">
        <f>IF($D64="","",'05无形资产工时'!$P64)</f>
        <v/>
      </c>
      <c r="I64" s="20">
        <f>IF(OR($D64="",$G64=0),"",$H64/$G64)</f>
        <v/>
      </c>
      <c r="J64" s="12">
        <f>IF($D64="","",ROUND($F64,2)-$S64)</f>
        <v/>
      </c>
      <c r="K64" s="12">
        <f>IF(OR($D64="",$G64=0),"",ROUND($F64*'05无形资产工时'!H64/$G64,2))</f>
        <v/>
      </c>
      <c r="L64" s="12">
        <f>IF(OR($D64="",$G64=0),"",ROUND($F64*'05无形资产工时'!I64/$G64,2))</f>
        <v/>
      </c>
      <c r="M64" s="12">
        <f>IF(OR($D64="",$G64=0),"",ROUND($F64*'05无形资产工时'!J64/$G64,2))</f>
        <v/>
      </c>
      <c r="N64" s="12">
        <f>IF(OR($D64="",$G64=0),"",ROUND($F64*'05无形资产工时'!K64/$G64,2))</f>
        <v/>
      </c>
      <c r="O64" s="12">
        <f>IF(OR($D64="",$G64=0),"",ROUND($F64*'05无形资产工时'!L64/$G64,2))</f>
        <v/>
      </c>
      <c r="P64" s="12">
        <f>IF(OR($D64="",$G64=0),"",ROUND($F64*'05无形资产工时'!M64/$G64,2))</f>
        <v/>
      </c>
      <c r="Q64" s="12">
        <f>IF(OR($D64="",$G64=0),"",ROUND($F64*'05无形资产工时'!N64/$G64,2))</f>
        <v/>
      </c>
      <c r="R64" s="12">
        <f>IF(OR($D64="",$G64=0),"",ROUND($F64*'05无形资产工时'!O64/$G64,2))</f>
        <v/>
      </c>
      <c r="S64" s="12">
        <f>IF($D64="","",SUM(K64:R64))</f>
        <v/>
      </c>
      <c r="T64" s="12">
        <f>IF($D64="","",$J64+$S64)</f>
        <v/>
      </c>
      <c r="U64" s="25">
        <f>IF($D64="","",IF($F64=0,"未维护摊销额",IF(ROUND($T64-$F64,2)=0,"√","差异")))</f>
        <v/>
      </c>
      <c r="V64" s="11" t="n"/>
      <c r="W64" s="9" t="n"/>
    </row>
    <row r="65" ht="18" customHeight="1">
      <c r="B65" s="21">
        <f>IF('05无形资产工时'!$D65="","",'05无形资产工时'!$B65)</f>
        <v/>
      </c>
      <c r="C65" s="22">
        <f>IF('05无形资产工时'!$D65="","",'05无形资产工时'!$C65)</f>
        <v/>
      </c>
      <c r="D65" s="22">
        <f>IF('05无形资产工时'!$D65="","",'05无形资产工时'!$D65)</f>
        <v/>
      </c>
      <c r="E65" s="39">
        <f>IF($D65="","",'05无形资产工时'!$E65)</f>
        <v/>
      </c>
      <c r="F65" s="23">
        <f>IF($D65="","",IF($V65&lt;&gt;"",$V65,IFERROR(INDEX('参数设置'!$E$48:$E$57,MATCH($D65,'参数设置'!$C$48:$C$57,0)),0)))</f>
        <v/>
      </c>
      <c r="G65" s="24">
        <f>IF($D65="","",'05无形资产工时'!$F65)</f>
        <v/>
      </c>
      <c r="H65" s="24">
        <f>IF($D65="","",'05无形资产工时'!$P65)</f>
        <v/>
      </c>
      <c r="I65" s="20">
        <f>IF(OR($D65="",$G65=0),"",$H65/$G65)</f>
        <v/>
      </c>
      <c r="J65" s="12">
        <f>IF($D65="","",ROUND($F65,2)-$S65)</f>
        <v/>
      </c>
      <c r="K65" s="12">
        <f>IF(OR($D65="",$G65=0),"",ROUND($F65*'05无形资产工时'!H65/$G65,2))</f>
        <v/>
      </c>
      <c r="L65" s="12">
        <f>IF(OR($D65="",$G65=0),"",ROUND($F65*'05无形资产工时'!I65/$G65,2))</f>
        <v/>
      </c>
      <c r="M65" s="12">
        <f>IF(OR($D65="",$G65=0),"",ROUND($F65*'05无形资产工时'!J65/$G65,2))</f>
        <v/>
      </c>
      <c r="N65" s="12">
        <f>IF(OR($D65="",$G65=0),"",ROUND($F65*'05无形资产工时'!K65/$G65,2))</f>
        <v/>
      </c>
      <c r="O65" s="12">
        <f>IF(OR($D65="",$G65=0),"",ROUND($F65*'05无形资产工时'!L65/$G65,2))</f>
        <v/>
      </c>
      <c r="P65" s="12">
        <f>IF(OR($D65="",$G65=0),"",ROUND($F65*'05无形资产工时'!M65/$G65,2))</f>
        <v/>
      </c>
      <c r="Q65" s="12">
        <f>IF(OR($D65="",$G65=0),"",ROUND($F65*'05无形资产工时'!N65/$G65,2))</f>
        <v/>
      </c>
      <c r="R65" s="12">
        <f>IF(OR($D65="",$G65=0),"",ROUND($F65*'05无形资产工时'!O65/$G65,2))</f>
        <v/>
      </c>
      <c r="S65" s="12">
        <f>IF($D65="","",SUM(K65:R65))</f>
        <v/>
      </c>
      <c r="T65" s="12">
        <f>IF($D65="","",$J65+$S65)</f>
        <v/>
      </c>
      <c r="U65" s="25">
        <f>IF($D65="","",IF($F65=0,"未维护摊销额",IF(ROUND($T65-$F65,2)=0,"√","差异")))</f>
        <v/>
      </c>
      <c r="V65" s="11" t="n"/>
      <c r="W65" s="9" t="n"/>
    </row>
    <row r="66" ht="18" customHeight="1">
      <c r="B66" s="21">
        <f>IF('05无形资产工时'!$D66="","",'05无形资产工时'!$B66)</f>
        <v/>
      </c>
      <c r="C66" s="22">
        <f>IF('05无形资产工时'!$D66="","",'05无形资产工时'!$C66)</f>
        <v/>
      </c>
      <c r="D66" s="22">
        <f>IF('05无形资产工时'!$D66="","",'05无形资产工时'!$D66)</f>
        <v/>
      </c>
      <c r="E66" s="39">
        <f>IF($D66="","",'05无形资产工时'!$E66)</f>
        <v/>
      </c>
      <c r="F66" s="23">
        <f>IF($D66="","",IF($V66&lt;&gt;"",$V66,IFERROR(INDEX('参数设置'!$E$48:$E$57,MATCH($D66,'参数设置'!$C$48:$C$57,0)),0)))</f>
        <v/>
      </c>
      <c r="G66" s="24">
        <f>IF($D66="","",'05无形资产工时'!$F66)</f>
        <v/>
      </c>
      <c r="H66" s="24">
        <f>IF($D66="","",'05无形资产工时'!$P66)</f>
        <v/>
      </c>
      <c r="I66" s="20">
        <f>IF(OR($D66="",$G66=0),"",$H66/$G66)</f>
        <v/>
      </c>
      <c r="J66" s="12">
        <f>IF($D66="","",ROUND($F66,2)-$S66)</f>
        <v/>
      </c>
      <c r="K66" s="12">
        <f>IF(OR($D66="",$G66=0),"",ROUND($F66*'05无形资产工时'!H66/$G66,2))</f>
        <v/>
      </c>
      <c r="L66" s="12">
        <f>IF(OR($D66="",$G66=0),"",ROUND($F66*'05无形资产工时'!I66/$G66,2))</f>
        <v/>
      </c>
      <c r="M66" s="12">
        <f>IF(OR($D66="",$G66=0),"",ROUND($F66*'05无形资产工时'!J66/$G66,2))</f>
        <v/>
      </c>
      <c r="N66" s="12">
        <f>IF(OR($D66="",$G66=0),"",ROUND($F66*'05无形资产工时'!K66/$G66,2))</f>
        <v/>
      </c>
      <c r="O66" s="12">
        <f>IF(OR($D66="",$G66=0),"",ROUND($F66*'05无形资产工时'!L66/$G66,2))</f>
        <v/>
      </c>
      <c r="P66" s="12">
        <f>IF(OR($D66="",$G66=0),"",ROUND($F66*'05无形资产工时'!M66/$G66,2))</f>
        <v/>
      </c>
      <c r="Q66" s="12">
        <f>IF(OR($D66="",$G66=0),"",ROUND($F66*'05无形资产工时'!N66/$G66,2))</f>
        <v/>
      </c>
      <c r="R66" s="12">
        <f>IF(OR($D66="",$G66=0),"",ROUND($F66*'05无形资产工时'!O66/$G66,2))</f>
        <v/>
      </c>
      <c r="S66" s="12">
        <f>IF($D66="","",SUM(K66:R66))</f>
        <v/>
      </c>
      <c r="T66" s="12">
        <f>IF($D66="","",$J66+$S66)</f>
        <v/>
      </c>
      <c r="U66" s="25">
        <f>IF($D66="","",IF($F66=0,"未维护摊销额",IF(ROUND($T66-$F66,2)=0,"√","差异")))</f>
        <v/>
      </c>
      <c r="V66" s="11" t="n"/>
      <c r="W66" s="9" t="n"/>
    </row>
    <row r="67" ht="18" customHeight="1">
      <c r="B67" s="21">
        <f>IF('05无形资产工时'!$D67="","",'05无形资产工时'!$B67)</f>
        <v/>
      </c>
      <c r="C67" s="22">
        <f>IF('05无形资产工时'!$D67="","",'05无形资产工时'!$C67)</f>
        <v/>
      </c>
      <c r="D67" s="22">
        <f>IF('05无形资产工时'!$D67="","",'05无形资产工时'!$D67)</f>
        <v/>
      </c>
      <c r="E67" s="39">
        <f>IF($D67="","",'05无形资产工时'!$E67)</f>
        <v/>
      </c>
      <c r="F67" s="23">
        <f>IF($D67="","",IF($V67&lt;&gt;"",$V67,IFERROR(INDEX('参数设置'!$E$48:$E$57,MATCH($D67,'参数设置'!$C$48:$C$57,0)),0)))</f>
        <v/>
      </c>
      <c r="G67" s="24">
        <f>IF($D67="","",'05无形资产工时'!$F67)</f>
        <v/>
      </c>
      <c r="H67" s="24">
        <f>IF($D67="","",'05无形资产工时'!$P67)</f>
        <v/>
      </c>
      <c r="I67" s="20">
        <f>IF(OR($D67="",$G67=0),"",$H67/$G67)</f>
        <v/>
      </c>
      <c r="J67" s="12">
        <f>IF($D67="","",ROUND($F67,2)-$S67)</f>
        <v/>
      </c>
      <c r="K67" s="12">
        <f>IF(OR($D67="",$G67=0),"",ROUND($F67*'05无形资产工时'!H67/$G67,2))</f>
        <v/>
      </c>
      <c r="L67" s="12">
        <f>IF(OR($D67="",$G67=0),"",ROUND($F67*'05无形资产工时'!I67/$G67,2))</f>
        <v/>
      </c>
      <c r="M67" s="12">
        <f>IF(OR($D67="",$G67=0),"",ROUND($F67*'05无形资产工时'!J67/$G67,2))</f>
        <v/>
      </c>
      <c r="N67" s="12">
        <f>IF(OR($D67="",$G67=0),"",ROUND($F67*'05无形资产工时'!K67/$G67,2))</f>
        <v/>
      </c>
      <c r="O67" s="12">
        <f>IF(OR($D67="",$G67=0),"",ROUND($F67*'05无形资产工时'!L67/$G67,2))</f>
        <v/>
      </c>
      <c r="P67" s="12">
        <f>IF(OR($D67="",$G67=0),"",ROUND($F67*'05无形资产工时'!M67/$G67,2))</f>
        <v/>
      </c>
      <c r="Q67" s="12">
        <f>IF(OR($D67="",$G67=0),"",ROUND($F67*'05无形资产工时'!N67/$G67,2))</f>
        <v/>
      </c>
      <c r="R67" s="12">
        <f>IF(OR($D67="",$G67=0),"",ROUND($F67*'05无形资产工时'!O67/$G67,2))</f>
        <v/>
      </c>
      <c r="S67" s="12">
        <f>IF($D67="","",SUM(K67:R67))</f>
        <v/>
      </c>
      <c r="T67" s="12">
        <f>IF($D67="","",$J67+$S67)</f>
        <v/>
      </c>
      <c r="U67" s="25">
        <f>IF($D67="","",IF($F67=0,"未维护摊销额",IF(ROUND($T67-$F67,2)=0,"√","差异")))</f>
        <v/>
      </c>
      <c r="V67" s="11" t="n"/>
      <c r="W67" s="9" t="n"/>
    </row>
    <row r="68" ht="18" customHeight="1">
      <c r="B68" s="21">
        <f>IF('05无形资产工时'!$D68="","",'05无形资产工时'!$B68)</f>
        <v/>
      </c>
      <c r="C68" s="22">
        <f>IF('05无形资产工时'!$D68="","",'05无形资产工时'!$C68)</f>
        <v/>
      </c>
      <c r="D68" s="22">
        <f>IF('05无形资产工时'!$D68="","",'05无形资产工时'!$D68)</f>
        <v/>
      </c>
      <c r="E68" s="39">
        <f>IF($D68="","",'05无形资产工时'!$E68)</f>
        <v/>
      </c>
      <c r="F68" s="23">
        <f>IF($D68="","",IF($V68&lt;&gt;"",$V68,IFERROR(INDEX('参数设置'!$E$48:$E$57,MATCH($D68,'参数设置'!$C$48:$C$57,0)),0)))</f>
        <v/>
      </c>
      <c r="G68" s="24">
        <f>IF($D68="","",'05无形资产工时'!$F68)</f>
        <v/>
      </c>
      <c r="H68" s="24">
        <f>IF($D68="","",'05无形资产工时'!$P68)</f>
        <v/>
      </c>
      <c r="I68" s="20">
        <f>IF(OR($D68="",$G68=0),"",$H68/$G68)</f>
        <v/>
      </c>
      <c r="J68" s="12">
        <f>IF($D68="","",ROUND($F68,2)-$S68)</f>
        <v/>
      </c>
      <c r="K68" s="12">
        <f>IF(OR($D68="",$G68=0),"",ROUND($F68*'05无形资产工时'!H68/$G68,2))</f>
        <v/>
      </c>
      <c r="L68" s="12">
        <f>IF(OR($D68="",$G68=0),"",ROUND($F68*'05无形资产工时'!I68/$G68,2))</f>
        <v/>
      </c>
      <c r="M68" s="12">
        <f>IF(OR($D68="",$G68=0),"",ROUND($F68*'05无形资产工时'!J68/$G68,2))</f>
        <v/>
      </c>
      <c r="N68" s="12">
        <f>IF(OR($D68="",$G68=0),"",ROUND($F68*'05无形资产工时'!K68/$G68,2))</f>
        <v/>
      </c>
      <c r="O68" s="12">
        <f>IF(OR($D68="",$G68=0),"",ROUND($F68*'05无形资产工时'!L68/$G68,2))</f>
        <v/>
      </c>
      <c r="P68" s="12">
        <f>IF(OR($D68="",$G68=0),"",ROUND($F68*'05无形资产工时'!M68/$G68,2))</f>
        <v/>
      </c>
      <c r="Q68" s="12">
        <f>IF(OR($D68="",$G68=0),"",ROUND($F68*'05无形资产工时'!N68/$G68,2))</f>
        <v/>
      </c>
      <c r="R68" s="12">
        <f>IF(OR($D68="",$G68=0),"",ROUND($F68*'05无形资产工时'!O68/$G68,2))</f>
        <v/>
      </c>
      <c r="S68" s="12">
        <f>IF($D68="","",SUM(K68:R68))</f>
        <v/>
      </c>
      <c r="T68" s="12">
        <f>IF($D68="","",$J68+$S68)</f>
        <v/>
      </c>
      <c r="U68" s="25">
        <f>IF($D68="","",IF($F68=0,"未维护摊销额",IF(ROUND($T68-$F68,2)=0,"√","差异")))</f>
        <v/>
      </c>
      <c r="V68" s="11" t="n"/>
      <c r="W68" s="9" t="n"/>
    </row>
    <row r="69" ht="18" customHeight="1">
      <c r="B69" s="21">
        <f>IF('05无形资产工时'!$D69="","",'05无形资产工时'!$B69)</f>
        <v/>
      </c>
      <c r="C69" s="22">
        <f>IF('05无形资产工时'!$D69="","",'05无形资产工时'!$C69)</f>
        <v/>
      </c>
      <c r="D69" s="22">
        <f>IF('05无形资产工时'!$D69="","",'05无形资产工时'!$D69)</f>
        <v/>
      </c>
      <c r="E69" s="39">
        <f>IF($D69="","",'05无形资产工时'!$E69)</f>
        <v/>
      </c>
      <c r="F69" s="23">
        <f>IF($D69="","",IF($V69&lt;&gt;"",$V69,IFERROR(INDEX('参数设置'!$E$48:$E$57,MATCH($D69,'参数设置'!$C$48:$C$57,0)),0)))</f>
        <v/>
      </c>
      <c r="G69" s="24">
        <f>IF($D69="","",'05无形资产工时'!$F69)</f>
        <v/>
      </c>
      <c r="H69" s="24">
        <f>IF($D69="","",'05无形资产工时'!$P69)</f>
        <v/>
      </c>
      <c r="I69" s="20">
        <f>IF(OR($D69="",$G69=0),"",$H69/$G69)</f>
        <v/>
      </c>
      <c r="J69" s="12">
        <f>IF($D69="","",ROUND($F69,2)-$S69)</f>
        <v/>
      </c>
      <c r="K69" s="12">
        <f>IF(OR($D69="",$G69=0),"",ROUND($F69*'05无形资产工时'!H69/$G69,2))</f>
        <v/>
      </c>
      <c r="L69" s="12">
        <f>IF(OR($D69="",$G69=0),"",ROUND($F69*'05无形资产工时'!I69/$G69,2))</f>
        <v/>
      </c>
      <c r="M69" s="12">
        <f>IF(OR($D69="",$G69=0),"",ROUND($F69*'05无形资产工时'!J69/$G69,2))</f>
        <v/>
      </c>
      <c r="N69" s="12">
        <f>IF(OR($D69="",$G69=0),"",ROUND($F69*'05无形资产工时'!K69/$G69,2))</f>
        <v/>
      </c>
      <c r="O69" s="12">
        <f>IF(OR($D69="",$G69=0),"",ROUND($F69*'05无形资产工时'!L69/$G69,2))</f>
        <v/>
      </c>
      <c r="P69" s="12">
        <f>IF(OR($D69="",$G69=0),"",ROUND($F69*'05无形资产工时'!M69/$G69,2))</f>
        <v/>
      </c>
      <c r="Q69" s="12">
        <f>IF(OR($D69="",$G69=0),"",ROUND($F69*'05无形资产工时'!N69/$G69,2))</f>
        <v/>
      </c>
      <c r="R69" s="12">
        <f>IF(OR($D69="",$G69=0),"",ROUND($F69*'05无形资产工时'!O69/$G69,2))</f>
        <v/>
      </c>
      <c r="S69" s="12">
        <f>IF($D69="","",SUM(K69:R69))</f>
        <v/>
      </c>
      <c r="T69" s="12">
        <f>IF($D69="","",$J69+$S69)</f>
        <v/>
      </c>
      <c r="U69" s="25">
        <f>IF($D69="","",IF($F69=0,"未维护摊销额",IF(ROUND($T69-$F69,2)=0,"√","差异")))</f>
        <v/>
      </c>
      <c r="V69" s="11" t="n"/>
      <c r="W69" s="9" t="n"/>
    </row>
    <row r="70" ht="18" customHeight="1">
      <c r="B70" s="21">
        <f>IF('05无形资产工时'!$D70="","",'05无形资产工时'!$B70)</f>
        <v/>
      </c>
      <c r="C70" s="22">
        <f>IF('05无形资产工时'!$D70="","",'05无形资产工时'!$C70)</f>
        <v/>
      </c>
      <c r="D70" s="22">
        <f>IF('05无形资产工时'!$D70="","",'05无形资产工时'!$D70)</f>
        <v/>
      </c>
      <c r="E70" s="39">
        <f>IF($D70="","",'05无形资产工时'!$E70)</f>
        <v/>
      </c>
      <c r="F70" s="23">
        <f>IF($D70="","",IF($V70&lt;&gt;"",$V70,IFERROR(INDEX('参数设置'!$E$48:$E$57,MATCH($D70,'参数设置'!$C$48:$C$57,0)),0)))</f>
        <v/>
      </c>
      <c r="G70" s="24">
        <f>IF($D70="","",'05无形资产工时'!$F70)</f>
        <v/>
      </c>
      <c r="H70" s="24">
        <f>IF($D70="","",'05无形资产工时'!$P70)</f>
        <v/>
      </c>
      <c r="I70" s="20">
        <f>IF(OR($D70="",$G70=0),"",$H70/$G70)</f>
        <v/>
      </c>
      <c r="J70" s="12">
        <f>IF($D70="","",ROUND($F70,2)-$S70)</f>
        <v/>
      </c>
      <c r="K70" s="12">
        <f>IF(OR($D70="",$G70=0),"",ROUND($F70*'05无形资产工时'!H70/$G70,2))</f>
        <v/>
      </c>
      <c r="L70" s="12">
        <f>IF(OR($D70="",$G70=0),"",ROUND($F70*'05无形资产工时'!I70/$G70,2))</f>
        <v/>
      </c>
      <c r="M70" s="12">
        <f>IF(OR($D70="",$G70=0),"",ROUND($F70*'05无形资产工时'!J70/$G70,2))</f>
        <v/>
      </c>
      <c r="N70" s="12">
        <f>IF(OR($D70="",$G70=0),"",ROUND($F70*'05无形资产工时'!K70/$G70,2))</f>
        <v/>
      </c>
      <c r="O70" s="12">
        <f>IF(OR($D70="",$G70=0),"",ROUND($F70*'05无形资产工时'!L70/$G70,2))</f>
        <v/>
      </c>
      <c r="P70" s="12">
        <f>IF(OR($D70="",$G70=0),"",ROUND($F70*'05无形资产工时'!M70/$G70,2))</f>
        <v/>
      </c>
      <c r="Q70" s="12">
        <f>IF(OR($D70="",$G70=0),"",ROUND($F70*'05无形资产工时'!N70/$G70,2))</f>
        <v/>
      </c>
      <c r="R70" s="12">
        <f>IF(OR($D70="",$G70=0),"",ROUND($F70*'05无形资产工时'!O70/$G70,2))</f>
        <v/>
      </c>
      <c r="S70" s="12">
        <f>IF($D70="","",SUM(K70:R70))</f>
        <v/>
      </c>
      <c r="T70" s="12">
        <f>IF($D70="","",$J70+$S70)</f>
        <v/>
      </c>
      <c r="U70" s="25">
        <f>IF($D70="","",IF($F70=0,"未维护摊销额",IF(ROUND($T70-$F70,2)=0,"√","差异")))</f>
        <v/>
      </c>
      <c r="V70" s="11" t="n"/>
      <c r="W70" s="9" t="n"/>
    </row>
    <row r="71" ht="18" customHeight="1">
      <c r="B71" s="21">
        <f>IF('05无形资产工时'!$D71="","",'05无形资产工时'!$B71)</f>
        <v/>
      </c>
      <c r="C71" s="22">
        <f>IF('05无形资产工时'!$D71="","",'05无形资产工时'!$C71)</f>
        <v/>
      </c>
      <c r="D71" s="22">
        <f>IF('05无形资产工时'!$D71="","",'05无形资产工时'!$D71)</f>
        <v/>
      </c>
      <c r="E71" s="39">
        <f>IF($D71="","",'05无形资产工时'!$E71)</f>
        <v/>
      </c>
      <c r="F71" s="23">
        <f>IF($D71="","",IF($V71&lt;&gt;"",$V71,IFERROR(INDEX('参数设置'!$E$48:$E$57,MATCH($D71,'参数设置'!$C$48:$C$57,0)),0)))</f>
        <v/>
      </c>
      <c r="G71" s="24">
        <f>IF($D71="","",'05无形资产工时'!$F71)</f>
        <v/>
      </c>
      <c r="H71" s="24">
        <f>IF($D71="","",'05无形资产工时'!$P71)</f>
        <v/>
      </c>
      <c r="I71" s="20">
        <f>IF(OR($D71="",$G71=0),"",$H71/$G71)</f>
        <v/>
      </c>
      <c r="J71" s="12">
        <f>IF($D71="","",ROUND($F71,2)-$S71)</f>
        <v/>
      </c>
      <c r="K71" s="12">
        <f>IF(OR($D71="",$G71=0),"",ROUND($F71*'05无形资产工时'!H71/$G71,2))</f>
        <v/>
      </c>
      <c r="L71" s="12">
        <f>IF(OR($D71="",$G71=0),"",ROUND($F71*'05无形资产工时'!I71/$G71,2))</f>
        <v/>
      </c>
      <c r="M71" s="12">
        <f>IF(OR($D71="",$G71=0),"",ROUND($F71*'05无形资产工时'!J71/$G71,2))</f>
        <v/>
      </c>
      <c r="N71" s="12">
        <f>IF(OR($D71="",$G71=0),"",ROUND($F71*'05无形资产工时'!K71/$G71,2))</f>
        <v/>
      </c>
      <c r="O71" s="12">
        <f>IF(OR($D71="",$G71=0),"",ROUND($F71*'05无形资产工时'!L71/$G71,2))</f>
        <v/>
      </c>
      <c r="P71" s="12">
        <f>IF(OR($D71="",$G71=0),"",ROUND($F71*'05无形资产工时'!M71/$G71,2))</f>
        <v/>
      </c>
      <c r="Q71" s="12">
        <f>IF(OR($D71="",$G71=0),"",ROUND($F71*'05无形资产工时'!N71/$G71,2))</f>
        <v/>
      </c>
      <c r="R71" s="12">
        <f>IF(OR($D71="",$G71=0),"",ROUND($F71*'05无形资产工时'!O71/$G71,2))</f>
        <v/>
      </c>
      <c r="S71" s="12">
        <f>IF($D71="","",SUM(K71:R71))</f>
        <v/>
      </c>
      <c r="T71" s="12">
        <f>IF($D71="","",$J71+$S71)</f>
        <v/>
      </c>
      <c r="U71" s="25">
        <f>IF($D71="","",IF($F71=0,"未维护摊销额",IF(ROUND($T71-$F71,2)=0,"√","差异")))</f>
        <v/>
      </c>
      <c r="V71" s="11" t="n"/>
      <c r="W71" s="9" t="n"/>
    </row>
    <row r="72" ht="18" customHeight="1">
      <c r="B72" s="21">
        <f>IF('05无形资产工时'!$D72="","",'05无形资产工时'!$B72)</f>
        <v/>
      </c>
      <c r="C72" s="22">
        <f>IF('05无形资产工时'!$D72="","",'05无形资产工时'!$C72)</f>
        <v/>
      </c>
      <c r="D72" s="22">
        <f>IF('05无形资产工时'!$D72="","",'05无形资产工时'!$D72)</f>
        <v/>
      </c>
      <c r="E72" s="39">
        <f>IF($D72="","",'05无形资产工时'!$E72)</f>
        <v/>
      </c>
      <c r="F72" s="23">
        <f>IF($D72="","",IF($V72&lt;&gt;"",$V72,IFERROR(INDEX('参数设置'!$E$48:$E$57,MATCH($D72,'参数设置'!$C$48:$C$57,0)),0)))</f>
        <v/>
      </c>
      <c r="G72" s="24">
        <f>IF($D72="","",'05无形资产工时'!$F72)</f>
        <v/>
      </c>
      <c r="H72" s="24">
        <f>IF($D72="","",'05无形资产工时'!$P72)</f>
        <v/>
      </c>
      <c r="I72" s="20">
        <f>IF(OR($D72="",$G72=0),"",$H72/$G72)</f>
        <v/>
      </c>
      <c r="J72" s="12">
        <f>IF($D72="","",ROUND($F72,2)-$S72)</f>
        <v/>
      </c>
      <c r="K72" s="12">
        <f>IF(OR($D72="",$G72=0),"",ROUND($F72*'05无形资产工时'!H72/$G72,2))</f>
        <v/>
      </c>
      <c r="L72" s="12">
        <f>IF(OR($D72="",$G72=0),"",ROUND($F72*'05无形资产工时'!I72/$G72,2))</f>
        <v/>
      </c>
      <c r="M72" s="12">
        <f>IF(OR($D72="",$G72=0),"",ROUND($F72*'05无形资产工时'!J72/$G72,2))</f>
        <v/>
      </c>
      <c r="N72" s="12">
        <f>IF(OR($D72="",$G72=0),"",ROUND($F72*'05无形资产工时'!K72/$G72,2))</f>
        <v/>
      </c>
      <c r="O72" s="12">
        <f>IF(OR($D72="",$G72=0),"",ROUND($F72*'05无形资产工时'!L72/$G72,2))</f>
        <v/>
      </c>
      <c r="P72" s="12">
        <f>IF(OR($D72="",$G72=0),"",ROUND($F72*'05无形资产工时'!M72/$G72,2))</f>
        <v/>
      </c>
      <c r="Q72" s="12">
        <f>IF(OR($D72="",$G72=0),"",ROUND($F72*'05无形资产工时'!N72/$G72,2))</f>
        <v/>
      </c>
      <c r="R72" s="12">
        <f>IF(OR($D72="",$G72=0),"",ROUND($F72*'05无形资产工时'!O72/$G72,2))</f>
        <v/>
      </c>
      <c r="S72" s="12">
        <f>IF($D72="","",SUM(K72:R72))</f>
        <v/>
      </c>
      <c r="T72" s="12">
        <f>IF($D72="","",$J72+$S72)</f>
        <v/>
      </c>
      <c r="U72" s="25">
        <f>IF($D72="","",IF($F72=0,"未维护摊销额",IF(ROUND($T72-$F72,2)=0,"√","差异")))</f>
        <v/>
      </c>
      <c r="V72" s="11" t="n"/>
      <c r="W72" s="9" t="n"/>
    </row>
    <row r="73" ht="18" customHeight="1">
      <c r="B73" s="21">
        <f>IF('05无形资产工时'!$D73="","",'05无形资产工时'!$B73)</f>
        <v/>
      </c>
      <c r="C73" s="22">
        <f>IF('05无形资产工时'!$D73="","",'05无形资产工时'!$C73)</f>
        <v/>
      </c>
      <c r="D73" s="22">
        <f>IF('05无形资产工时'!$D73="","",'05无形资产工时'!$D73)</f>
        <v/>
      </c>
      <c r="E73" s="39">
        <f>IF($D73="","",'05无形资产工时'!$E73)</f>
        <v/>
      </c>
      <c r="F73" s="23">
        <f>IF($D73="","",IF($V73&lt;&gt;"",$V73,IFERROR(INDEX('参数设置'!$E$48:$E$57,MATCH($D73,'参数设置'!$C$48:$C$57,0)),0)))</f>
        <v/>
      </c>
      <c r="G73" s="24">
        <f>IF($D73="","",'05无形资产工时'!$F73)</f>
        <v/>
      </c>
      <c r="H73" s="24">
        <f>IF($D73="","",'05无形资产工时'!$P73)</f>
        <v/>
      </c>
      <c r="I73" s="20">
        <f>IF(OR($D73="",$G73=0),"",$H73/$G73)</f>
        <v/>
      </c>
      <c r="J73" s="12">
        <f>IF($D73="","",ROUND($F73,2)-$S73)</f>
        <v/>
      </c>
      <c r="K73" s="12">
        <f>IF(OR($D73="",$G73=0),"",ROUND($F73*'05无形资产工时'!H73/$G73,2))</f>
        <v/>
      </c>
      <c r="L73" s="12">
        <f>IF(OR($D73="",$G73=0),"",ROUND($F73*'05无形资产工时'!I73/$G73,2))</f>
        <v/>
      </c>
      <c r="M73" s="12">
        <f>IF(OR($D73="",$G73=0),"",ROUND($F73*'05无形资产工时'!J73/$G73,2))</f>
        <v/>
      </c>
      <c r="N73" s="12">
        <f>IF(OR($D73="",$G73=0),"",ROUND($F73*'05无形资产工时'!K73/$G73,2))</f>
        <v/>
      </c>
      <c r="O73" s="12">
        <f>IF(OR($D73="",$G73=0),"",ROUND($F73*'05无形资产工时'!L73/$G73,2))</f>
        <v/>
      </c>
      <c r="P73" s="12">
        <f>IF(OR($D73="",$G73=0),"",ROUND($F73*'05无形资产工时'!M73/$G73,2))</f>
        <v/>
      </c>
      <c r="Q73" s="12">
        <f>IF(OR($D73="",$G73=0),"",ROUND($F73*'05无形资产工时'!N73/$G73,2))</f>
        <v/>
      </c>
      <c r="R73" s="12">
        <f>IF(OR($D73="",$G73=0),"",ROUND($F73*'05无形资产工时'!O73/$G73,2))</f>
        <v/>
      </c>
      <c r="S73" s="12">
        <f>IF($D73="","",SUM(K73:R73))</f>
        <v/>
      </c>
      <c r="T73" s="12">
        <f>IF($D73="","",$J73+$S73)</f>
        <v/>
      </c>
      <c r="U73" s="25">
        <f>IF($D73="","",IF($F73=0,"未维护摊销额",IF(ROUND($T73-$F73,2)=0,"√","差异")))</f>
        <v/>
      </c>
      <c r="V73" s="11" t="n"/>
      <c r="W73" s="9" t="n"/>
    </row>
    <row r="74" ht="18" customHeight="1">
      <c r="B74" s="21">
        <f>IF('05无形资产工时'!$D74="","",'05无形资产工时'!$B74)</f>
        <v/>
      </c>
      <c r="C74" s="22">
        <f>IF('05无形资产工时'!$D74="","",'05无形资产工时'!$C74)</f>
        <v/>
      </c>
      <c r="D74" s="22">
        <f>IF('05无形资产工时'!$D74="","",'05无形资产工时'!$D74)</f>
        <v/>
      </c>
      <c r="E74" s="39">
        <f>IF($D74="","",'05无形资产工时'!$E74)</f>
        <v/>
      </c>
      <c r="F74" s="23">
        <f>IF($D74="","",IF($V74&lt;&gt;"",$V74,IFERROR(INDEX('参数设置'!$E$48:$E$57,MATCH($D74,'参数设置'!$C$48:$C$57,0)),0)))</f>
        <v/>
      </c>
      <c r="G74" s="24">
        <f>IF($D74="","",'05无形资产工时'!$F74)</f>
        <v/>
      </c>
      <c r="H74" s="24">
        <f>IF($D74="","",'05无形资产工时'!$P74)</f>
        <v/>
      </c>
      <c r="I74" s="20">
        <f>IF(OR($D74="",$G74=0),"",$H74/$G74)</f>
        <v/>
      </c>
      <c r="J74" s="12">
        <f>IF($D74="","",ROUND($F74,2)-$S74)</f>
        <v/>
      </c>
      <c r="K74" s="12">
        <f>IF(OR($D74="",$G74=0),"",ROUND($F74*'05无形资产工时'!H74/$G74,2))</f>
        <v/>
      </c>
      <c r="L74" s="12">
        <f>IF(OR($D74="",$G74=0),"",ROUND($F74*'05无形资产工时'!I74/$G74,2))</f>
        <v/>
      </c>
      <c r="M74" s="12">
        <f>IF(OR($D74="",$G74=0),"",ROUND($F74*'05无形资产工时'!J74/$G74,2))</f>
        <v/>
      </c>
      <c r="N74" s="12">
        <f>IF(OR($D74="",$G74=0),"",ROUND($F74*'05无形资产工时'!K74/$G74,2))</f>
        <v/>
      </c>
      <c r="O74" s="12">
        <f>IF(OR($D74="",$G74=0),"",ROUND($F74*'05无形资产工时'!L74/$G74,2))</f>
        <v/>
      </c>
      <c r="P74" s="12">
        <f>IF(OR($D74="",$G74=0),"",ROUND($F74*'05无形资产工时'!M74/$G74,2))</f>
        <v/>
      </c>
      <c r="Q74" s="12">
        <f>IF(OR($D74="",$G74=0),"",ROUND($F74*'05无形资产工时'!N74/$G74,2))</f>
        <v/>
      </c>
      <c r="R74" s="12">
        <f>IF(OR($D74="",$G74=0),"",ROUND($F74*'05无形资产工时'!O74/$G74,2))</f>
        <v/>
      </c>
      <c r="S74" s="12">
        <f>IF($D74="","",SUM(K74:R74))</f>
        <v/>
      </c>
      <c r="T74" s="12">
        <f>IF($D74="","",$J74+$S74)</f>
        <v/>
      </c>
      <c r="U74" s="25">
        <f>IF($D74="","",IF($F74=0,"未维护摊销额",IF(ROUND($T74-$F74,2)=0,"√","差异")))</f>
        <v/>
      </c>
      <c r="V74" s="11" t="n"/>
      <c r="W74" s="9" t="n"/>
    </row>
    <row r="75" ht="18" customHeight="1">
      <c r="B75" s="21">
        <f>IF('05无形资产工时'!$D75="","",'05无形资产工时'!$B75)</f>
        <v/>
      </c>
      <c r="C75" s="22">
        <f>IF('05无形资产工时'!$D75="","",'05无形资产工时'!$C75)</f>
        <v/>
      </c>
      <c r="D75" s="22">
        <f>IF('05无形资产工时'!$D75="","",'05无形资产工时'!$D75)</f>
        <v/>
      </c>
      <c r="E75" s="39">
        <f>IF($D75="","",'05无形资产工时'!$E75)</f>
        <v/>
      </c>
      <c r="F75" s="23">
        <f>IF($D75="","",IF($V75&lt;&gt;"",$V75,IFERROR(INDEX('参数设置'!$E$48:$E$57,MATCH($D75,'参数设置'!$C$48:$C$57,0)),0)))</f>
        <v/>
      </c>
      <c r="G75" s="24">
        <f>IF($D75="","",'05无形资产工时'!$F75)</f>
        <v/>
      </c>
      <c r="H75" s="24">
        <f>IF($D75="","",'05无形资产工时'!$P75)</f>
        <v/>
      </c>
      <c r="I75" s="20">
        <f>IF(OR($D75="",$G75=0),"",$H75/$G75)</f>
        <v/>
      </c>
      <c r="J75" s="12">
        <f>IF($D75="","",ROUND($F75,2)-$S75)</f>
        <v/>
      </c>
      <c r="K75" s="12">
        <f>IF(OR($D75="",$G75=0),"",ROUND($F75*'05无形资产工时'!H75/$G75,2))</f>
        <v/>
      </c>
      <c r="L75" s="12">
        <f>IF(OR($D75="",$G75=0),"",ROUND($F75*'05无形资产工时'!I75/$G75,2))</f>
        <v/>
      </c>
      <c r="M75" s="12">
        <f>IF(OR($D75="",$G75=0),"",ROUND($F75*'05无形资产工时'!J75/$G75,2))</f>
        <v/>
      </c>
      <c r="N75" s="12">
        <f>IF(OR($D75="",$G75=0),"",ROUND($F75*'05无形资产工时'!K75/$G75,2))</f>
        <v/>
      </c>
      <c r="O75" s="12">
        <f>IF(OR($D75="",$G75=0),"",ROUND($F75*'05无形资产工时'!L75/$G75,2))</f>
        <v/>
      </c>
      <c r="P75" s="12">
        <f>IF(OR($D75="",$G75=0),"",ROUND($F75*'05无形资产工时'!M75/$G75,2))</f>
        <v/>
      </c>
      <c r="Q75" s="12">
        <f>IF(OR($D75="",$G75=0),"",ROUND($F75*'05无形资产工时'!N75/$G75,2))</f>
        <v/>
      </c>
      <c r="R75" s="12">
        <f>IF(OR($D75="",$G75=0),"",ROUND($F75*'05无形资产工时'!O75/$G75,2))</f>
        <v/>
      </c>
      <c r="S75" s="12">
        <f>IF($D75="","",SUM(K75:R75))</f>
        <v/>
      </c>
      <c r="T75" s="12">
        <f>IF($D75="","",$J75+$S75)</f>
        <v/>
      </c>
      <c r="U75" s="25">
        <f>IF($D75="","",IF($F75=0,"未维护摊销额",IF(ROUND($T75-$F75,2)=0,"√","差异")))</f>
        <v/>
      </c>
      <c r="V75" s="11" t="n"/>
      <c r="W75" s="9" t="n"/>
    </row>
    <row r="76" ht="18" customHeight="1">
      <c r="B76" s="21">
        <f>IF('05无形资产工时'!$D76="","",'05无形资产工时'!$B76)</f>
        <v/>
      </c>
      <c r="C76" s="22">
        <f>IF('05无形资产工时'!$D76="","",'05无形资产工时'!$C76)</f>
        <v/>
      </c>
      <c r="D76" s="22">
        <f>IF('05无形资产工时'!$D76="","",'05无形资产工时'!$D76)</f>
        <v/>
      </c>
      <c r="E76" s="39">
        <f>IF($D76="","",'05无形资产工时'!$E76)</f>
        <v/>
      </c>
      <c r="F76" s="23">
        <f>IF($D76="","",IF($V76&lt;&gt;"",$V76,IFERROR(INDEX('参数设置'!$E$48:$E$57,MATCH($D76,'参数设置'!$C$48:$C$57,0)),0)))</f>
        <v/>
      </c>
      <c r="G76" s="24">
        <f>IF($D76="","",'05无形资产工时'!$F76)</f>
        <v/>
      </c>
      <c r="H76" s="24">
        <f>IF($D76="","",'05无形资产工时'!$P76)</f>
        <v/>
      </c>
      <c r="I76" s="20">
        <f>IF(OR($D76="",$G76=0),"",$H76/$G76)</f>
        <v/>
      </c>
      <c r="J76" s="12">
        <f>IF($D76="","",ROUND($F76,2)-$S76)</f>
        <v/>
      </c>
      <c r="K76" s="12">
        <f>IF(OR($D76="",$G76=0),"",ROUND($F76*'05无形资产工时'!H76/$G76,2))</f>
        <v/>
      </c>
      <c r="L76" s="12">
        <f>IF(OR($D76="",$G76=0),"",ROUND($F76*'05无形资产工时'!I76/$G76,2))</f>
        <v/>
      </c>
      <c r="M76" s="12">
        <f>IF(OR($D76="",$G76=0),"",ROUND($F76*'05无形资产工时'!J76/$G76,2))</f>
        <v/>
      </c>
      <c r="N76" s="12">
        <f>IF(OR($D76="",$G76=0),"",ROUND($F76*'05无形资产工时'!K76/$G76,2))</f>
        <v/>
      </c>
      <c r="O76" s="12">
        <f>IF(OR($D76="",$G76=0),"",ROUND($F76*'05无形资产工时'!L76/$G76,2))</f>
        <v/>
      </c>
      <c r="P76" s="12">
        <f>IF(OR($D76="",$G76=0),"",ROUND($F76*'05无形资产工时'!M76/$G76,2))</f>
        <v/>
      </c>
      <c r="Q76" s="12">
        <f>IF(OR($D76="",$G76=0),"",ROUND($F76*'05无形资产工时'!N76/$G76,2))</f>
        <v/>
      </c>
      <c r="R76" s="12">
        <f>IF(OR($D76="",$G76=0),"",ROUND($F76*'05无形资产工时'!O76/$G76,2))</f>
        <v/>
      </c>
      <c r="S76" s="12">
        <f>IF($D76="","",SUM(K76:R76))</f>
        <v/>
      </c>
      <c r="T76" s="12">
        <f>IF($D76="","",$J76+$S76)</f>
        <v/>
      </c>
      <c r="U76" s="25">
        <f>IF($D76="","",IF($F76=0,"未维护摊销额",IF(ROUND($T76-$F76,2)=0,"√","差异")))</f>
        <v/>
      </c>
      <c r="V76" s="11" t="n"/>
      <c r="W76" s="9" t="n"/>
    </row>
    <row r="77" ht="18" customHeight="1">
      <c r="B77" s="21">
        <f>IF('05无形资产工时'!$D77="","",'05无形资产工时'!$B77)</f>
        <v/>
      </c>
      <c r="C77" s="22">
        <f>IF('05无形资产工时'!$D77="","",'05无形资产工时'!$C77)</f>
        <v/>
      </c>
      <c r="D77" s="22">
        <f>IF('05无形资产工时'!$D77="","",'05无形资产工时'!$D77)</f>
        <v/>
      </c>
      <c r="E77" s="39">
        <f>IF($D77="","",'05无形资产工时'!$E77)</f>
        <v/>
      </c>
      <c r="F77" s="23">
        <f>IF($D77="","",IF($V77&lt;&gt;"",$V77,IFERROR(INDEX('参数设置'!$E$48:$E$57,MATCH($D77,'参数设置'!$C$48:$C$57,0)),0)))</f>
        <v/>
      </c>
      <c r="G77" s="24">
        <f>IF($D77="","",'05无形资产工时'!$F77)</f>
        <v/>
      </c>
      <c r="H77" s="24">
        <f>IF($D77="","",'05无形资产工时'!$P77)</f>
        <v/>
      </c>
      <c r="I77" s="20">
        <f>IF(OR($D77="",$G77=0),"",$H77/$G77)</f>
        <v/>
      </c>
      <c r="J77" s="12">
        <f>IF($D77="","",ROUND($F77,2)-$S77)</f>
        <v/>
      </c>
      <c r="K77" s="12">
        <f>IF(OR($D77="",$G77=0),"",ROUND($F77*'05无形资产工时'!H77/$G77,2))</f>
        <v/>
      </c>
      <c r="L77" s="12">
        <f>IF(OR($D77="",$G77=0),"",ROUND($F77*'05无形资产工时'!I77/$G77,2))</f>
        <v/>
      </c>
      <c r="M77" s="12">
        <f>IF(OR($D77="",$G77=0),"",ROUND($F77*'05无形资产工时'!J77/$G77,2))</f>
        <v/>
      </c>
      <c r="N77" s="12">
        <f>IF(OR($D77="",$G77=0),"",ROUND($F77*'05无形资产工时'!K77/$G77,2))</f>
        <v/>
      </c>
      <c r="O77" s="12">
        <f>IF(OR($D77="",$G77=0),"",ROUND($F77*'05无形资产工时'!L77/$G77,2))</f>
        <v/>
      </c>
      <c r="P77" s="12">
        <f>IF(OR($D77="",$G77=0),"",ROUND($F77*'05无形资产工时'!M77/$G77,2))</f>
        <v/>
      </c>
      <c r="Q77" s="12">
        <f>IF(OR($D77="",$G77=0),"",ROUND($F77*'05无形资产工时'!N77/$G77,2))</f>
        <v/>
      </c>
      <c r="R77" s="12">
        <f>IF(OR($D77="",$G77=0),"",ROUND($F77*'05无形资产工时'!O77/$G77,2))</f>
        <v/>
      </c>
      <c r="S77" s="12">
        <f>IF($D77="","",SUM(K77:R77))</f>
        <v/>
      </c>
      <c r="T77" s="12">
        <f>IF($D77="","",$J77+$S77)</f>
        <v/>
      </c>
      <c r="U77" s="25">
        <f>IF($D77="","",IF($F77=0,"未维护摊销额",IF(ROUND($T77-$F77,2)=0,"√","差异")))</f>
        <v/>
      </c>
      <c r="V77" s="11" t="n"/>
      <c r="W77" s="9" t="n"/>
    </row>
    <row r="78" ht="18" customHeight="1">
      <c r="B78" s="21">
        <f>IF('05无形资产工时'!$D78="","",'05无形资产工时'!$B78)</f>
        <v/>
      </c>
      <c r="C78" s="22">
        <f>IF('05无形资产工时'!$D78="","",'05无形资产工时'!$C78)</f>
        <v/>
      </c>
      <c r="D78" s="22">
        <f>IF('05无形资产工时'!$D78="","",'05无形资产工时'!$D78)</f>
        <v/>
      </c>
      <c r="E78" s="39">
        <f>IF($D78="","",'05无形资产工时'!$E78)</f>
        <v/>
      </c>
      <c r="F78" s="23">
        <f>IF($D78="","",IF($V78&lt;&gt;"",$V78,IFERROR(INDEX('参数设置'!$E$48:$E$57,MATCH($D78,'参数设置'!$C$48:$C$57,0)),0)))</f>
        <v/>
      </c>
      <c r="G78" s="24">
        <f>IF($D78="","",'05无形资产工时'!$F78)</f>
        <v/>
      </c>
      <c r="H78" s="24">
        <f>IF($D78="","",'05无形资产工时'!$P78)</f>
        <v/>
      </c>
      <c r="I78" s="20">
        <f>IF(OR($D78="",$G78=0),"",$H78/$G78)</f>
        <v/>
      </c>
      <c r="J78" s="12">
        <f>IF($D78="","",ROUND($F78,2)-$S78)</f>
        <v/>
      </c>
      <c r="K78" s="12">
        <f>IF(OR($D78="",$G78=0),"",ROUND($F78*'05无形资产工时'!H78/$G78,2))</f>
        <v/>
      </c>
      <c r="L78" s="12">
        <f>IF(OR($D78="",$G78=0),"",ROUND($F78*'05无形资产工时'!I78/$G78,2))</f>
        <v/>
      </c>
      <c r="M78" s="12">
        <f>IF(OR($D78="",$G78=0),"",ROUND($F78*'05无形资产工时'!J78/$G78,2))</f>
        <v/>
      </c>
      <c r="N78" s="12">
        <f>IF(OR($D78="",$G78=0),"",ROUND($F78*'05无形资产工时'!K78/$G78,2))</f>
        <v/>
      </c>
      <c r="O78" s="12">
        <f>IF(OR($D78="",$G78=0),"",ROUND($F78*'05无形资产工时'!L78/$G78,2))</f>
        <v/>
      </c>
      <c r="P78" s="12">
        <f>IF(OR($D78="",$G78=0),"",ROUND($F78*'05无形资产工时'!M78/$G78,2))</f>
        <v/>
      </c>
      <c r="Q78" s="12">
        <f>IF(OR($D78="",$G78=0),"",ROUND($F78*'05无形资产工时'!N78/$G78,2))</f>
        <v/>
      </c>
      <c r="R78" s="12">
        <f>IF(OR($D78="",$G78=0),"",ROUND($F78*'05无形资产工时'!O78/$G78,2))</f>
        <v/>
      </c>
      <c r="S78" s="12">
        <f>IF($D78="","",SUM(K78:R78))</f>
        <v/>
      </c>
      <c r="T78" s="12">
        <f>IF($D78="","",$J78+$S78)</f>
        <v/>
      </c>
      <c r="U78" s="25">
        <f>IF($D78="","",IF($F78=0,"未维护摊销额",IF(ROUND($T78-$F78,2)=0,"√","差异")))</f>
        <v/>
      </c>
      <c r="V78" s="11" t="n"/>
      <c r="W78" s="9" t="n"/>
    </row>
    <row r="79" ht="18" customHeight="1">
      <c r="B79" s="21">
        <f>IF('05无形资产工时'!$D79="","",'05无形资产工时'!$B79)</f>
        <v/>
      </c>
      <c r="C79" s="22">
        <f>IF('05无形资产工时'!$D79="","",'05无形资产工时'!$C79)</f>
        <v/>
      </c>
      <c r="D79" s="22">
        <f>IF('05无形资产工时'!$D79="","",'05无形资产工时'!$D79)</f>
        <v/>
      </c>
      <c r="E79" s="39">
        <f>IF($D79="","",'05无形资产工时'!$E79)</f>
        <v/>
      </c>
      <c r="F79" s="23">
        <f>IF($D79="","",IF($V79&lt;&gt;"",$V79,IFERROR(INDEX('参数设置'!$E$48:$E$57,MATCH($D79,'参数设置'!$C$48:$C$57,0)),0)))</f>
        <v/>
      </c>
      <c r="G79" s="24">
        <f>IF($D79="","",'05无形资产工时'!$F79)</f>
        <v/>
      </c>
      <c r="H79" s="24">
        <f>IF($D79="","",'05无形资产工时'!$P79)</f>
        <v/>
      </c>
      <c r="I79" s="20">
        <f>IF(OR($D79="",$G79=0),"",$H79/$G79)</f>
        <v/>
      </c>
      <c r="J79" s="12">
        <f>IF($D79="","",ROUND($F79,2)-$S79)</f>
        <v/>
      </c>
      <c r="K79" s="12">
        <f>IF(OR($D79="",$G79=0),"",ROUND($F79*'05无形资产工时'!H79/$G79,2))</f>
        <v/>
      </c>
      <c r="L79" s="12">
        <f>IF(OR($D79="",$G79=0),"",ROUND($F79*'05无形资产工时'!I79/$G79,2))</f>
        <v/>
      </c>
      <c r="M79" s="12">
        <f>IF(OR($D79="",$G79=0),"",ROUND($F79*'05无形资产工时'!J79/$G79,2))</f>
        <v/>
      </c>
      <c r="N79" s="12">
        <f>IF(OR($D79="",$G79=0),"",ROUND($F79*'05无形资产工时'!K79/$G79,2))</f>
        <v/>
      </c>
      <c r="O79" s="12">
        <f>IF(OR($D79="",$G79=0),"",ROUND($F79*'05无形资产工时'!L79/$G79,2))</f>
        <v/>
      </c>
      <c r="P79" s="12">
        <f>IF(OR($D79="",$G79=0),"",ROUND($F79*'05无形资产工时'!M79/$G79,2))</f>
        <v/>
      </c>
      <c r="Q79" s="12">
        <f>IF(OR($D79="",$G79=0),"",ROUND($F79*'05无形资产工时'!N79/$G79,2))</f>
        <v/>
      </c>
      <c r="R79" s="12">
        <f>IF(OR($D79="",$G79=0),"",ROUND($F79*'05无形资产工时'!O79/$G79,2))</f>
        <v/>
      </c>
      <c r="S79" s="12">
        <f>IF($D79="","",SUM(K79:R79))</f>
        <v/>
      </c>
      <c r="T79" s="12">
        <f>IF($D79="","",$J79+$S79)</f>
        <v/>
      </c>
      <c r="U79" s="25">
        <f>IF($D79="","",IF($F79=0,"未维护摊销额",IF(ROUND($T79-$F79,2)=0,"√","差异")))</f>
        <v/>
      </c>
      <c r="V79" s="11" t="n"/>
      <c r="W79" s="9" t="n"/>
    </row>
    <row r="80" ht="18" customHeight="1">
      <c r="B80" s="21">
        <f>IF('05无形资产工时'!$D80="","",'05无形资产工时'!$B80)</f>
        <v/>
      </c>
      <c r="C80" s="22">
        <f>IF('05无形资产工时'!$D80="","",'05无形资产工时'!$C80)</f>
        <v/>
      </c>
      <c r="D80" s="22">
        <f>IF('05无形资产工时'!$D80="","",'05无形资产工时'!$D80)</f>
        <v/>
      </c>
      <c r="E80" s="39">
        <f>IF($D80="","",'05无形资产工时'!$E80)</f>
        <v/>
      </c>
      <c r="F80" s="23">
        <f>IF($D80="","",IF($V80&lt;&gt;"",$V80,IFERROR(INDEX('参数设置'!$E$48:$E$57,MATCH($D80,'参数设置'!$C$48:$C$57,0)),0)))</f>
        <v/>
      </c>
      <c r="G80" s="24">
        <f>IF($D80="","",'05无形资产工时'!$F80)</f>
        <v/>
      </c>
      <c r="H80" s="24">
        <f>IF($D80="","",'05无形资产工时'!$P80)</f>
        <v/>
      </c>
      <c r="I80" s="20">
        <f>IF(OR($D80="",$G80=0),"",$H80/$G80)</f>
        <v/>
      </c>
      <c r="J80" s="12">
        <f>IF($D80="","",ROUND($F80,2)-$S80)</f>
        <v/>
      </c>
      <c r="K80" s="12">
        <f>IF(OR($D80="",$G80=0),"",ROUND($F80*'05无形资产工时'!H80/$G80,2))</f>
        <v/>
      </c>
      <c r="L80" s="12">
        <f>IF(OR($D80="",$G80=0),"",ROUND($F80*'05无形资产工时'!I80/$G80,2))</f>
        <v/>
      </c>
      <c r="M80" s="12">
        <f>IF(OR($D80="",$G80=0),"",ROUND($F80*'05无形资产工时'!J80/$G80,2))</f>
        <v/>
      </c>
      <c r="N80" s="12">
        <f>IF(OR($D80="",$G80=0),"",ROUND($F80*'05无形资产工时'!K80/$G80,2))</f>
        <v/>
      </c>
      <c r="O80" s="12">
        <f>IF(OR($D80="",$G80=0),"",ROUND($F80*'05无形资产工时'!L80/$G80,2))</f>
        <v/>
      </c>
      <c r="P80" s="12">
        <f>IF(OR($D80="",$G80=0),"",ROUND($F80*'05无形资产工时'!M80/$G80,2))</f>
        <v/>
      </c>
      <c r="Q80" s="12">
        <f>IF(OR($D80="",$G80=0),"",ROUND($F80*'05无形资产工时'!N80/$G80,2))</f>
        <v/>
      </c>
      <c r="R80" s="12">
        <f>IF(OR($D80="",$G80=0),"",ROUND($F80*'05无形资产工时'!O80/$G80,2))</f>
        <v/>
      </c>
      <c r="S80" s="12">
        <f>IF($D80="","",SUM(K80:R80))</f>
        <v/>
      </c>
      <c r="T80" s="12">
        <f>IF($D80="","",$J80+$S80)</f>
        <v/>
      </c>
      <c r="U80" s="25">
        <f>IF($D80="","",IF($F80=0,"未维护摊销额",IF(ROUND($T80-$F80,2)=0,"√","差异")))</f>
        <v/>
      </c>
      <c r="V80" s="11" t="n"/>
      <c r="W80" s="9" t="n"/>
    </row>
    <row r="81" ht="18" customHeight="1">
      <c r="B81" s="21">
        <f>IF('05无形资产工时'!$D81="","",'05无形资产工时'!$B81)</f>
        <v/>
      </c>
      <c r="C81" s="22">
        <f>IF('05无形资产工时'!$D81="","",'05无形资产工时'!$C81)</f>
        <v/>
      </c>
      <c r="D81" s="22">
        <f>IF('05无形资产工时'!$D81="","",'05无形资产工时'!$D81)</f>
        <v/>
      </c>
      <c r="E81" s="39">
        <f>IF($D81="","",'05无形资产工时'!$E81)</f>
        <v/>
      </c>
      <c r="F81" s="23">
        <f>IF($D81="","",IF($V81&lt;&gt;"",$V81,IFERROR(INDEX('参数设置'!$E$48:$E$57,MATCH($D81,'参数设置'!$C$48:$C$57,0)),0)))</f>
        <v/>
      </c>
      <c r="G81" s="24">
        <f>IF($D81="","",'05无形资产工时'!$F81)</f>
        <v/>
      </c>
      <c r="H81" s="24">
        <f>IF($D81="","",'05无形资产工时'!$P81)</f>
        <v/>
      </c>
      <c r="I81" s="20">
        <f>IF(OR($D81="",$G81=0),"",$H81/$G81)</f>
        <v/>
      </c>
      <c r="J81" s="12">
        <f>IF($D81="","",ROUND($F81,2)-$S81)</f>
        <v/>
      </c>
      <c r="K81" s="12">
        <f>IF(OR($D81="",$G81=0),"",ROUND($F81*'05无形资产工时'!H81/$G81,2))</f>
        <v/>
      </c>
      <c r="L81" s="12">
        <f>IF(OR($D81="",$G81=0),"",ROUND($F81*'05无形资产工时'!I81/$G81,2))</f>
        <v/>
      </c>
      <c r="M81" s="12">
        <f>IF(OR($D81="",$G81=0),"",ROUND($F81*'05无形资产工时'!J81/$G81,2))</f>
        <v/>
      </c>
      <c r="N81" s="12">
        <f>IF(OR($D81="",$G81=0),"",ROUND($F81*'05无形资产工时'!K81/$G81,2))</f>
        <v/>
      </c>
      <c r="O81" s="12">
        <f>IF(OR($D81="",$G81=0),"",ROUND($F81*'05无形资产工时'!L81/$G81,2))</f>
        <v/>
      </c>
      <c r="P81" s="12">
        <f>IF(OR($D81="",$G81=0),"",ROUND($F81*'05无形资产工时'!M81/$G81,2))</f>
        <v/>
      </c>
      <c r="Q81" s="12">
        <f>IF(OR($D81="",$G81=0),"",ROUND($F81*'05无形资产工时'!N81/$G81,2))</f>
        <v/>
      </c>
      <c r="R81" s="12">
        <f>IF(OR($D81="",$G81=0),"",ROUND($F81*'05无形资产工时'!O81/$G81,2))</f>
        <v/>
      </c>
      <c r="S81" s="12">
        <f>IF($D81="","",SUM(K81:R81))</f>
        <v/>
      </c>
      <c r="T81" s="12">
        <f>IF($D81="","",$J81+$S81)</f>
        <v/>
      </c>
      <c r="U81" s="25">
        <f>IF($D81="","",IF($F81=0,"未维护摊销额",IF(ROUND($T81-$F81,2)=0,"√","差异")))</f>
        <v/>
      </c>
      <c r="V81" s="11" t="n"/>
      <c r="W81" s="9" t="n"/>
    </row>
    <row r="82" ht="18" customHeight="1">
      <c r="B82" s="21">
        <f>IF('05无形资产工时'!$D82="","",'05无形资产工时'!$B82)</f>
        <v/>
      </c>
      <c r="C82" s="22">
        <f>IF('05无形资产工时'!$D82="","",'05无形资产工时'!$C82)</f>
        <v/>
      </c>
      <c r="D82" s="22">
        <f>IF('05无形资产工时'!$D82="","",'05无形资产工时'!$D82)</f>
        <v/>
      </c>
      <c r="E82" s="39">
        <f>IF($D82="","",'05无形资产工时'!$E82)</f>
        <v/>
      </c>
      <c r="F82" s="23">
        <f>IF($D82="","",IF($V82&lt;&gt;"",$V82,IFERROR(INDEX('参数设置'!$E$48:$E$57,MATCH($D82,'参数设置'!$C$48:$C$57,0)),0)))</f>
        <v/>
      </c>
      <c r="G82" s="24">
        <f>IF($D82="","",'05无形资产工时'!$F82)</f>
        <v/>
      </c>
      <c r="H82" s="24">
        <f>IF($D82="","",'05无形资产工时'!$P82)</f>
        <v/>
      </c>
      <c r="I82" s="20">
        <f>IF(OR($D82="",$G82=0),"",$H82/$G82)</f>
        <v/>
      </c>
      <c r="J82" s="12">
        <f>IF($D82="","",ROUND($F82,2)-$S82)</f>
        <v/>
      </c>
      <c r="K82" s="12">
        <f>IF(OR($D82="",$G82=0),"",ROUND($F82*'05无形资产工时'!H82/$G82,2))</f>
        <v/>
      </c>
      <c r="L82" s="12">
        <f>IF(OR($D82="",$G82=0),"",ROUND($F82*'05无形资产工时'!I82/$G82,2))</f>
        <v/>
      </c>
      <c r="M82" s="12">
        <f>IF(OR($D82="",$G82=0),"",ROUND($F82*'05无形资产工时'!J82/$G82,2))</f>
        <v/>
      </c>
      <c r="N82" s="12">
        <f>IF(OR($D82="",$G82=0),"",ROUND($F82*'05无形资产工时'!K82/$G82,2))</f>
        <v/>
      </c>
      <c r="O82" s="12">
        <f>IF(OR($D82="",$G82=0),"",ROUND($F82*'05无形资产工时'!L82/$G82,2))</f>
        <v/>
      </c>
      <c r="P82" s="12">
        <f>IF(OR($D82="",$G82=0),"",ROUND($F82*'05无形资产工时'!M82/$G82,2))</f>
        <v/>
      </c>
      <c r="Q82" s="12">
        <f>IF(OR($D82="",$G82=0),"",ROUND($F82*'05无形资产工时'!N82/$G82,2))</f>
        <v/>
      </c>
      <c r="R82" s="12">
        <f>IF(OR($D82="",$G82=0),"",ROUND($F82*'05无形资产工时'!O82/$G82,2))</f>
        <v/>
      </c>
      <c r="S82" s="12">
        <f>IF($D82="","",SUM(K82:R82))</f>
        <v/>
      </c>
      <c r="T82" s="12">
        <f>IF($D82="","",$J82+$S82)</f>
        <v/>
      </c>
      <c r="U82" s="25">
        <f>IF($D82="","",IF($F82=0,"未维护摊销额",IF(ROUND($T82-$F82,2)=0,"√","差异")))</f>
        <v/>
      </c>
      <c r="V82" s="11" t="n"/>
      <c r="W82" s="9" t="n"/>
    </row>
    <row r="83" ht="18" customHeight="1">
      <c r="B83" s="21">
        <f>IF('05无形资产工时'!$D83="","",'05无形资产工时'!$B83)</f>
        <v/>
      </c>
      <c r="C83" s="22">
        <f>IF('05无形资产工时'!$D83="","",'05无形资产工时'!$C83)</f>
        <v/>
      </c>
      <c r="D83" s="22">
        <f>IF('05无形资产工时'!$D83="","",'05无形资产工时'!$D83)</f>
        <v/>
      </c>
      <c r="E83" s="39">
        <f>IF($D83="","",'05无形资产工时'!$E83)</f>
        <v/>
      </c>
      <c r="F83" s="23">
        <f>IF($D83="","",IF($V83&lt;&gt;"",$V83,IFERROR(INDEX('参数设置'!$E$48:$E$57,MATCH($D83,'参数设置'!$C$48:$C$57,0)),0)))</f>
        <v/>
      </c>
      <c r="G83" s="24">
        <f>IF($D83="","",'05无形资产工时'!$F83)</f>
        <v/>
      </c>
      <c r="H83" s="24">
        <f>IF($D83="","",'05无形资产工时'!$P83)</f>
        <v/>
      </c>
      <c r="I83" s="20">
        <f>IF(OR($D83="",$G83=0),"",$H83/$G83)</f>
        <v/>
      </c>
      <c r="J83" s="12">
        <f>IF($D83="","",ROUND($F83,2)-$S83)</f>
        <v/>
      </c>
      <c r="K83" s="12">
        <f>IF(OR($D83="",$G83=0),"",ROUND($F83*'05无形资产工时'!H83/$G83,2))</f>
        <v/>
      </c>
      <c r="L83" s="12">
        <f>IF(OR($D83="",$G83=0),"",ROUND($F83*'05无形资产工时'!I83/$G83,2))</f>
        <v/>
      </c>
      <c r="M83" s="12">
        <f>IF(OR($D83="",$G83=0),"",ROUND($F83*'05无形资产工时'!J83/$G83,2))</f>
        <v/>
      </c>
      <c r="N83" s="12">
        <f>IF(OR($D83="",$G83=0),"",ROUND($F83*'05无形资产工时'!K83/$G83,2))</f>
        <v/>
      </c>
      <c r="O83" s="12">
        <f>IF(OR($D83="",$G83=0),"",ROUND($F83*'05无形资产工时'!L83/$G83,2))</f>
        <v/>
      </c>
      <c r="P83" s="12">
        <f>IF(OR($D83="",$G83=0),"",ROUND($F83*'05无形资产工时'!M83/$G83,2))</f>
        <v/>
      </c>
      <c r="Q83" s="12">
        <f>IF(OR($D83="",$G83=0),"",ROUND($F83*'05无形资产工时'!N83/$G83,2))</f>
        <v/>
      </c>
      <c r="R83" s="12">
        <f>IF(OR($D83="",$G83=0),"",ROUND($F83*'05无形资产工时'!O83/$G83,2))</f>
        <v/>
      </c>
      <c r="S83" s="12">
        <f>IF($D83="","",SUM(K83:R83))</f>
        <v/>
      </c>
      <c r="T83" s="12">
        <f>IF($D83="","",$J83+$S83)</f>
        <v/>
      </c>
      <c r="U83" s="25">
        <f>IF($D83="","",IF($F83=0,"未维护摊销额",IF(ROUND($T83-$F83,2)=0,"√","差异")))</f>
        <v/>
      </c>
      <c r="V83" s="11" t="n"/>
      <c r="W83" s="9" t="n"/>
    </row>
    <row r="84" ht="18" customHeight="1">
      <c r="B84" s="21">
        <f>IF('05无形资产工时'!$D84="","",'05无形资产工时'!$B84)</f>
        <v/>
      </c>
      <c r="C84" s="22">
        <f>IF('05无形资产工时'!$D84="","",'05无形资产工时'!$C84)</f>
        <v/>
      </c>
      <c r="D84" s="22">
        <f>IF('05无形资产工时'!$D84="","",'05无形资产工时'!$D84)</f>
        <v/>
      </c>
      <c r="E84" s="39">
        <f>IF($D84="","",'05无形资产工时'!$E84)</f>
        <v/>
      </c>
      <c r="F84" s="23">
        <f>IF($D84="","",IF($V84&lt;&gt;"",$V84,IFERROR(INDEX('参数设置'!$E$48:$E$57,MATCH($D84,'参数设置'!$C$48:$C$57,0)),0)))</f>
        <v/>
      </c>
      <c r="G84" s="24">
        <f>IF($D84="","",'05无形资产工时'!$F84)</f>
        <v/>
      </c>
      <c r="H84" s="24">
        <f>IF($D84="","",'05无形资产工时'!$P84)</f>
        <v/>
      </c>
      <c r="I84" s="20">
        <f>IF(OR($D84="",$G84=0),"",$H84/$G84)</f>
        <v/>
      </c>
      <c r="J84" s="12">
        <f>IF($D84="","",ROUND($F84,2)-$S84)</f>
        <v/>
      </c>
      <c r="K84" s="12">
        <f>IF(OR($D84="",$G84=0),"",ROUND($F84*'05无形资产工时'!H84/$G84,2))</f>
        <v/>
      </c>
      <c r="L84" s="12">
        <f>IF(OR($D84="",$G84=0),"",ROUND($F84*'05无形资产工时'!I84/$G84,2))</f>
        <v/>
      </c>
      <c r="M84" s="12">
        <f>IF(OR($D84="",$G84=0),"",ROUND($F84*'05无形资产工时'!J84/$G84,2))</f>
        <v/>
      </c>
      <c r="N84" s="12">
        <f>IF(OR($D84="",$G84=0),"",ROUND($F84*'05无形资产工时'!K84/$G84,2))</f>
        <v/>
      </c>
      <c r="O84" s="12">
        <f>IF(OR($D84="",$G84=0),"",ROUND($F84*'05无形资产工时'!L84/$G84,2))</f>
        <v/>
      </c>
      <c r="P84" s="12">
        <f>IF(OR($D84="",$G84=0),"",ROUND($F84*'05无形资产工时'!M84/$G84,2))</f>
        <v/>
      </c>
      <c r="Q84" s="12">
        <f>IF(OR($D84="",$G84=0),"",ROUND($F84*'05无形资产工时'!N84/$G84,2))</f>
        <v/>
      </c>
      <c r="R84" s="12">
        <f>IF(OR($D84="",$G84=0),"",ROUND($F84*'05无形资产工时'!O84/$G84,2))</f>
        <v/>
      </c>
      <c r="S84" s="12">
        <f>IF($D84="","",SUM(K84:R84))</f>
        <v/>
      </c>
      <c r="T84" s="12">
        <f>IF($D84="","",$J84+$S84)</f>
        <v/>
      </c>
      <c r="U84" s="25">
        <f>IF($D84="","",IF($F84=0,"未维护摊销额",IF(ROUND($T84-$F84,2)=0,"√","差异")))</f>
        <v/>
      </c>
      <c r="V84" s="11" t="n"/>
      <c r="W84" s="9" t="n"/>
    </row>
    <row r="85" ht="18" customHeight="1">
      <c r="B85" s="21">
        <f>IF('05无形资产工时'!$D85="","",'05无形资产工时'!$B85)</f>
        <v/>
      </c>
      <c r="C85" s="22">
        <f>IF('05无形资产工时'!$D85="","",'05无形资产工时'!$C85)</f>
        <v/>
      </c>
      <c r="D85" s="22">
        <f>IF('05无形资产工时'!$D85="","",'05无形资产工时'!$D85)</f>
        <v/>
      </c>
      <c r="E85" s="39">
        <f>IF($D85="","",'05无形资产工时'!$E85)</f>
        <v/>
      </c>
      <c r="F85" s="23">
        <f>IF($D85="","",IF($V85&lt;&gt;"",$V85,IFERROR(INDEX('参数设置'!$E$48:$E$57,MATCH($D85,'参数设置'!$C$48:$C$57,0)),0)))</f>
        <v/>
      </c>
      <c r="G85" s="24">
        <f>IF($D85="","",'05无形资产工时'!$F85)</f>
        <v/>
      </c>
      <c r="H85" s="24">
        <f>IF($D85="","",'05无形资产工时'!$P85)</f>
        <v/>
      </c>
      <c r="I85" s="20">
        <f>IF(OR($D85="",$G85=0),"",$H85/$G85)</f>
        <v/>
      </c>
      <c r="J85" s="12">
        <f>IF($D85="","",ROUND($F85,2)-$S85)</f>
        <v/>
      </c>
      <c r="K85" s="12">
        <f>IF(OR($D85="",$G85=0),"",ROUND($F85*'05无形资产工时'!H85/$G85,2))</f>
        <v/>
      </c>
      <c r="L85" s="12">
        <f>IF(OR($D85="",$G85=0),"",ROUND($F85*'05无形资产工时'!I85/$G85,2))</f>
        <v/>
      </c>
      <c r="M85" s="12">
        <f>IF(OR($D85="",$G85=0),"",ROUND($F85*'05无形资产工时'!J85/$G85,2))</f>
        <v/>
      </c>
      <c r="N85" s="12">
        <f>IF(OR($D85="",$G85=0),"",ROUND($F85*'05无形资产工时'!K85/$G85,2))</f>
        <v/>
      </c>
      <c r="O85" s="12">
        <f>IF(OR($D85="",$G85=0),"",ROUND($F85*'05无形资产工时'!L85/$G85,2))</f>
        <v/>
      </c>
      <c r="P85" s="12">
        <f>IF(OR($D85="",$G85=0),"",ROUND($F85*'05无形资产工时'!M85/$G85,2))</f>
        <v/>
      </c>
      <c r="Q85" s="12">
        <f>IF(OR($D85="",$G85=0),"",ROUND($F85*'05无形资产工时'!N85/$G85,2))</f>
        <v/>
      </c>
      <c r="R85" s="12">
        <f>IF(OR($D85="",$G85=0),"",ROUND($F85*'05无形资产工时'!O85/$G85,2))</f>
        <v/>
      </c>
      <c r="S85" s="12">
        <f>IF($D85="","",SUM(K85:R85))</f>
        <v/>
      </c>
      <c r="T85" s="12">
        <f>IF($D85="","",$J85+$S85)</f>
        <v/>
      </c>
      <c r="U85" s="25">
        <f>IF($D85="","",IF($F85=0,"未维护摊销额",IF(ROUND($T85-$F85,2)=0,"√","差异")))</f>
        <v/>
      </c>
      <c r="V85" s="11" t="n"/>
      <c r="W85" s="9" t="n"/>
    </row>
    <row r="86" ht="18" customHeight="1">
      <c r="B86" s="21">
        <f>IF('05无形资产工时'!$D86="","",'05无形资产工时'!$B86)</f>
        <v/>
      </c>
      <c r="C86" s="22">
        <f>IF('05无形资产工时'!$D86="","",'05无形资产工时'!$C86)</f>
        <v/>
      </c>
      <c r="D86" s="22">
        <f>IF('05无形资产工时'!$D86="","",'05无形资产工时'!$D86)</f>
        <v/>
      </c>
      <c r="E86" s="39">
        <f>IF($D86="","",'05无形资产工时'!$E86)</f>
        <v/>
      </c>
      <c r="F86" s="23">
        <f>IF($D86="","",IF($V86&lt;&gt;"",$V86,IFERROR(INDEX('参数设置'!$E$48:$E$57,MATCH($D86,'参数设置'!$C$48:$C$57,0)),0)))</f>
        <v/>
      </c>
      <c r="G86" s="24">
        <f>IF($D86="","",'05无形资产工时'!$F86)</f>
        <v/>
      </c>
      <c r="H86" s="24">
        <f>IF($D86="","",'05无形资产工时'!$P86)</f>
        <v/>
      </c>
      <c r="I86" s="20">
        <f>IF(OR($D86="",$G86=0),"",$H86/$G86)</f>
        <v/>
      </c>
      <c r="J86" s="12">
        <f>IF($D86="","",ROUND($F86,2)-$S86)</f>
        <v/>
      </c>
      <c r="K86" s="12">
        <f>IF(OR($D86="",$G86=0),"",ROUND($F86*'05无形资产工时'!H86/$G86,2))</f>
        <v/>
      </c>
      <c r="L86" s="12">
        <f>IF(OR($D86="",$G86=0),"",ROUND($F86*'05无形资产工时'!I86/$G86,2))</f>
        <v/>
      </c>
      <c r="M86" s="12">
        <f>IF(OR($D86="",$G86=0),"",ROUND($F86*'05无形资产工时'!J86/$G86,2))</f>
        <v/>
      </c>
      <c r="N86" s="12">
        <f>IF(OR($D86="",$G86=0),"",ROUND($F86*'05无形资产工时'!K86/$G86,2))</f>
        <v/>
      </c>
      <c r="O86" s="12">
        <f>IF(OR($D86="",$G86=0),"",ROUND($F86*'05无形资产工时'!L86/$G86,2))</f>
        <v/>
      </c>
      <c r="P86" s="12">
        <f>IF(OR($D86="",$G86=0),"",ROUND($F86*'05无形资产工时'!M86/$G86,2))</f>
        <v/>
      </c>
      <c r="Q86" s="12">
        <f>IF(OR($D86="",$G86=0),"",ROUND($F86*'05无形资产工时'!N86/$G86,2))</f>
        <v/>
      </c>
      <c r="R86" s="12">
        <f>IF(OR($D86="",$G86=0),"",ROUND($F86*'05无形资产工时'!O86/$G86,2))</f>
        <v/>
      </c>
      <c r="S86" s="12">
        <f>IF($D86="","",SUM(K86:R86))</f>
        <v/>
      </c>
      <c r="T86" s="12">
        <f>IF($D86="","",$J86+$S86)</f>
        <v/>
      </c>
      <c r="U86" s="25">
        <f>IF($D86="","",IF($F86=0,"未维护摊销额",IF(ROUND($T86-$F86,2)=0,"√","差异")))</f>
        <v/>
      </c>
      <c r="V86" s="11" t="n"/>
      <c r="W86" s="9" t="n"/>
    </row>
    <row r="87" ht="18" customHeight="1">
      <c r="B87" s="21">
        <f>IF('05无形资产工时'!$D87="","",'05无形资产工时'!$B87)</f>
        <v/>
      </c>
      <c r="C87" s="22">
        <f>IF('05无形资产工时'!$D87="","",'05无形资产工时'!$C87)</f>
        <v/>
      </c>
      <c r="D87" s="22">
        <f>IF('05无形资产工时'!$D87="","",'05无形资产工时'!$D87)</f>
        <v/>
      </c>
      <c r="E87" s="39">
        <f>IF($D87="","",'05无形资产工时'!$E87)</f>
        <v/>
      </c>
      <c r="F87" s="23">
        <f>IF($D87="","",IF($V87&lt;&gt;"",$V87,IFERROR(INDEX('参数设置'!$E$48:$E$57,MATCH($D87,'参数设置'!$C$48:$C$57,0)),0)))</f>
        <v/>
      </c>
      <c r="G87" s="24">
        <f>IF($D87="","",'05无形资产工时'!$F87)</f>
        <v/>
      </c>
      <c r="H87" s="24">
        <f>IF($D87="","",'05无形资产工时'!$P87)</f>
        <v/>
      </c>
      <c r="I87" s="20">
        <f>IF(OR($D87="",$G87=0),"",$H87/$G87)</f>
        <v/>
      </c>
      <c r="J87" s="12">
        <f>IF($D87="","",ROUND($F87,2)-$S87)</f>
        <v/>
      </c>
      <c r="K87" s="12">
        <f>IF(OR($D87="",$G87=0),"",ROUND($F87*'05无形资产工时'!H87/$G87,2))</f>
        <v/>
      </c>
      <c r="L87" s="12">
        <f>IF(OR($D87="",$G87=0),"",ROUND($F87*'05无形资产工时'!I87/$G87,2))</f>
        <v/>
      </c>
      <c r="M87" s="12">
        <f>IF(OR($D87="",$G87=0),"",ROUND($F87*'05无形资产工时'!J87/$G87,2))</f>
        <v/>
      </c>
      <c r="N87" s="12">
        <f>IF(OR($D87="",$G87=0),"",ROUND($F87*'05无形资产工时'!K87/$G87,2))</f>
        <v/>
      </c>
      <c r="O87" s="12">
        <f>IF(OR($D87="",$G87=0),"",ROUND($F87*'05无形资产工时'!L87/$G87,2))</f>
        <v/>
      </c>
      <c r="P87" s="12">
        <f>IF(OR($D87="",$G87=0),"",ROUND($F87*'05无形资产工时'!M87/$G87,2))</f>
        <v/>
      </c>
      <c r="Q87" s="12">
        <f>IF(OR($D87="",$G87=0),"",ROUND($F87*'05无形资产工时'!N87/$G87,2))</f>
        <v/>
      </c>
      <c r="R87" s="12">
        <f>IF(OR($D87="",$G87=0),"",ROUND($F87*'05无形资产工时'!O87/$G87,2))</f>
        <v/>
      </c>
      <c r="S87" s="12">
        <f>IF($D87="","",SUM(K87:R87))</f>
        <v/>
      </c>
      <c r="T87" s="12">
        <f>IF($D87="","",$J87+$S87)</f>
        <v/>
      </c>
      <c r="U87" s="25">
        <f>IF($D87="","",IF($F87=0,"未维护摊销额",IF(ROUND($T87-$F87,2)=0,"√","差异")))</f>
        <v/>
      </c>
      <c r="V87" s="11" t="n"/>
      <c r="W87" s="9" t="n"/>
    </row>
    <row r="88" ht="18" customHeight="1">
      <c r="B88" s="21">
        <f>IF('05无形资产工时'!$D88="","",'05无形资产工时'!$B88)</f>
        <v/>
      </c>
      <c r="C88" s="22">
        <f>IF('05无形资产工时'!$D88="","",'05无形资产工时'!$C88)</f>
        <v/>
      </c>
      <c r="D88" s="22">
        <f>IF('05无形资产工时'!$D88="","",'05无形资产工时'!$D88)</f>
        <v/>
      </c>
      <c r="E88" s="39">
        <f>IF($D88="","",'05无形资产工时'!$E88)</f>
        <v/>
      </c>
      <c r="F88" s="23">
        <f>IF($D88="","",IF($V88&lt;&gt;"",$V88,IFERROR(INDEX('参数设置'!$E$48:$E$57,MATCH($D88,'参数设置'!$C$48:$C$57,0)),0)))</f>
        <v/>
      </c>
      <c r="G88" s="24">
        <f>IF($D88="","",'05无形资产工时'!$F88)</f>
        <v/>
      </c>
      <c r="H88" s="24">
        <f>IF($D88="","",'05无形资产工时'!$P88)</f>
        <v/>
      </c>
      <c r="I88" s="20">
        <f>IF(OR($D88="",$G88=0),"",$H88/$G88)</f>
        <v/>
      </c>
      <c r="J88" s="12">
        <f>IF($D88="","",ROUND($F88,2)-$S88)</f>
        <v/>
      </c>
      <c r="K88" s="12">
        <f>IF(OR($D88="",$G88=0),"",ROUND($F88*'05无形资产工时'!H88/$G88,2))</f>
        <v/>
      </c>
      <c r="L88" s="12">
        <f>IF(OR($D88="",$G88=0),"",ROUND($F88*'05无形资产工时'!I88/$G88,2))</f>
        <v/>
      </c>
      <c r="M88" s="12">
        <f>IF(OR($D88="",$G88=0),"",ROUND($F88*'05无形资产工时'!J88/$G88,2))</f>
        <v/>
      </c>
      <c r="N88" s="12">
        <f>IF(OR($D88="",$G88=0),"",ROUND($F88*'05无形资产工时'!K88/$G88,2))</f>
        <v/>
      </c>
      <c r="O88" s="12">
        <f>IF(OR($D88="",$G88=0),"",ROUND($F88*'05无形资产工时'!L88/$G88,2))</f>
        <v/>
      </c>
      <c r="P88" s="12">
        <f>IF(OR($D88="",$G88=0),"",ROUND($F88*'05无形资产工时'!M88/$G88,2))</f>
        <v/>
      </c>
      <c r="Q88" s="12">
        <f>IF(OR($D88="",$G88=0),"",ROUND($F88*'05无形资产工时'!N88/$G88,2))</f>
        <v/>
      </c>
      <c r="R88" s="12">
        <f>IF(OR($D88="",$G88=0),"",ROUND($F88*'05无形资产工时'!O88/$G88,2))</f>
        <v/>
      </c>
      <c r="S88" s="12">
        <f>IF($D88="","",SUM(K88:R88))</f>
        <v/>
      </c>
      <c r="T88" s="12">
        <f>IF($D88="","",$J88+$S88)</f>
        <v/>
      </c>
      <c r="U88" s="25">
        <f>IF($D88="","",IF($F88=0,"未维护摊销额",IF(ROUND($T88-$F88,2)=0,"√","差异")))</f>
        <v/>
      </c>
      <c r="V88" s="11" t="n"/>
      <c r="W88" s="9" t="n"/>
    </row>
    <row r="89" ht="18" customHeight="1">
      <c r="B89" s="21">
        <f>IF('05无形资产工时'!$D89="","",'05无形资产工时'!$B89)</f>
        <v/>
      </c>
      <c r="C89" s="22">
        <f>IF('05无形资产工时'!$D89="","",'05无形资产工时'!$C89)</f>
        <v/>
      </c>
      <c r="D89" s="22">
        <f>IF('05无形资产工时'!$D89="","",'05无形资产工时'!$D89)</f>
        <v/>
      </c>
      <c r="E89" s="39">
        <f>IF($D89="","",'05无形资产工时'!$E89)</f>
        <v/>
      </c>
      <c r="F89" s="23">
        <f>IF($D89="","",IF($V89&lt;&gt;"",$V89,IFERROR(INDEX('参数设置'!$E$48:$E$57,MATCH($D89,'参数设置'!$C$48:$C$57,0)),0)))</f>
        <v/>
      </c>
      <c r="G89" s="24">
        <f>IF($D89="","",'05无形资产工时'!$F89)</f>
        <v/>
      </c>
      <c r="H89" s="24">
        <f>IF($D89="","",'05无形资产工时'!$P89)</f>
        <v/>
      </c>
      <c r="I89" s="20">
        <f>IF(OR($D89="",$G89=0),"",$H89/$G89)</f>
        <v/>
      </c>
      <c r="J89" s="12">
        <f>IF($D89="","",ROUND($F89,2)-$S89)</f>
        <v/>
      </c>
      <c r="K89" s="12">
        <f>IF(OR($D89="",$G89=0),"",ROUND($F89*'05无形资产工时'!H89/$G89,2))</f>
        <v/>
      </c>
      <c r="L89" s="12">
        <f>IF(OR($D89="",$G89=0),"",ROUND($F89*'05无形资产工时'!I89/$G89,2))</f>
        <v/>
      </c>
      <c r="M89" s="12">
        <f>IF(OR($D89="",$G89=0),"",ROUND($F89*'05无形资产工时'!J89/$G89,2))</f>
        <v/>
      </c>
      <c r="N89" s="12">
        <f>IF(OR($D89="",$G89=0),"",ROUND($F89*'05无形资产工时'!K89/$G89,2))</f>
        <v/>
      </c>
      <c r="O89" s="12">
        <f>IF(OR($D89="",$G89=0),"",ROUND($F89*'05无形资产工时'!L89/$G89,2))</f>
        <v/>
      </c>
      <c r="P89" s="12">
        <f>IF(OR($D89="",$G89=0),"",ROUND($F89*'05无形资产工时'!M89/$G89,2))</f>
        <v/>
      </c>
      <c r="Q89" s="12">
        <f>IF(OR($D89="",$G89=0),"",ROUND($F89*'05无形资产工时'!N89/$G89,2))</f>
        <v/>
      </c>
      <c r="R89" s="12">
        <f>IF(OR($D89="",$G89=0),"",ROUND($F89*'05无形资产工时'!O89/$G89,2))</f>
        <v/>
      </c>
      <c r="S89" s="12">
        <f>IF($D89="","",SUM(K89:R89))</f>
        <v/>
      </c>
      <c r="T89" s="12">
        <f>IF($D89="","",$J89+$S89)</f>
        <v/>
      </c>
      <c r="U89" s="25">
        <f>IF($D89="","",IF($F89=0,"未维护摊销额",IF(ROUND($T89-$F89,2)=0,"√","差异")))</f>
        <v/>
      </c>
      <c r="V89" s="11" t="n"/>
      <c r="W89" s="9" t="n"/>
    </row>
    <row r="90" ht="18" customHeight="1">
      <c r="B90" s="21">
        <f>IF('05无形资产工时'!$D90="","",'05无形资产工时'!$B90)</f>
        <v/>
      </c>
      <c r="C90" s="22">
        <f>IF('05无形资产工时'!$D90="","",'05无形资产工时'!$C90)</f>
        <v/>
      </c>
      <c r="D90" s="22">
        <f>IF('05无形资产工时'!$D90="","",'05无形资产工时'!$D90)</f>
        <v/>
      </c>
      <c r="E90" s="39">
        <f>IF($D90="","",'05无形资产工时'!$E90)</f>
        <v/>
      </c>
      <c r="F90" s="23">
        <f>IF($D90="","",IF($V90&lt;&gt;"",$V90,IFERROR(INDEX('参数设置'!$E$48:$E$57,MATCH($D90,'参数设置'!$C$48:$C$57,0)),0)))</f>
        <v/>
      </c>
      <c r="G90" s="24">
        <f>IF($D90="","",'05无形资产工时'!$F90)</f>
        <v/>
      </c>
      <c r="H90" s="24">
        <f>IF($D90="","",'05无形资产工时'!$P90)</f>
        <v/>
      </c>
      <c r="I90" s="20">
        <f>IF(OR($D90="",$G90=0),"",$H90/$G90)</f>
        <v/>
      </c>
      <c r="J90" s="12">
        <f>IF($D90="","",ROUND($F90,2)-$S90)</f>
        <v/>
      </c>
      <c r="K90" s="12">
        <f>IF(OR($D90="",$G90=0),"",ROUND($F90*'05无形资产工时'!H90/$G90,2))</f>
        <v/>
      </c>
      <c r="L90" s="12">
        <f>IF(OR($D90="",$G90=0),"",ROUND($F90*'05无形资产工时'!I90/$G90,2))</f>
        <v/>
      </c>
      <c r="M90" s="12">
        <f>IF(OR($D90="",$G90=0),"",ROUND($F90*'05无形资产工时'!J90/$G90,2))</f>
        <v/>
      </c>
      <c r="N90" s="12">
        <f>IF(OR($D90="",$G90=0),"",ROUND($F90*'05无形资产工时'!K90/$G90,2))</f>
        <v/>
      </c>
      <c r="O90" s="12">
        <f>IF(OR($D90="",$G90=0),"",ROUND($F90*'05无形资产工时'!L90/$G90,2))</f>
        <v/>
      </c>
      <c r="P90" s="12">
        <f>IF(OR($D90="",$G90=0),"",ROUND($F90*'05无形资产工时'!M90/$G90,2))</f>
        <v/>
      </c>
      <c r="Q90" s="12">
        <f>IF(OR($D90="",$G90=0),"",ROUND($F90*'05无形资产工时'!N90/$G90,2))</f>
        <v/>
      </c>
      <c r="R90" s="12">
        <f>IF(OR($D90="",$G90=0),"",ROUND($F90*'05无形资产工时'!O90/$G90,2))</f>
        <v/>
      </c>
      <c r="S90" s="12">
        <f>IF($D90="","",SUM(K90:R90))</f>
        <v/>
      </c>
      <c r="T90" s="12">
        <f>IF($D90="","",$J90+$S90)</f>
        <v/>
      </c>
      <c r="U90" s="25">
        <f>IF($D90="","",IF($F90=0,"未维护摊销额",IF(ROUND($T90-$F90,2)=0,"√","差异")))</f>
        <v/>
      </c>
      <c r="V90" s="11" t="n"/>
      <c r="W90" s="9" t="n"/>
    </row>
    <row r="91" ht="18" customHeight="1">
      <c r="B91" s="21">
        <f>IF('05无形资产工时'!$D91="","",'05无形资产工时'!$B91)</f>
        <v/>
      </c>
      <c r="C91" s="22">
        <f>IF('05无形资产工时'!$D91="","",'05无形资产工时'!$C91)</f>
        <v/>
      </c>
      <c r="D91" s="22">
        <f>IF('05无形资产工时'!$D91="","",'05无形资产工时'!$D91)</f>
        <v/>
      </c>
      <c r="E91" s="39">
        <f>IF($D91="","",'05无形资产工时'!$E91)</f>
        <v/>
      </c>
      <c r="F91" s="23">
        <f>IF($D91="","",IF($V91&lt;&gt;"",$V91,IFERROR(INDEX('参数设置'!$E$48:$E$57,MATCH($D91,'参数设置'!$C$48:$C$57,0)),0)))</f>
        <v/>
      </c>
      <c r="G91" s="24">
        <f>IF($D91="","",'05无形资产工时'!$F91)</f>
        <v/>
      </c>
      <c r="H91" s="24">
        <f>IF($D91="","",'05无形资产工时'!$P91)</f>
        <v/>
      </c>
      <c r="I91" s="20">
        <f>IF(OR($D91="",$G91=0),"",$H91/$G91)</f>
        <v/>
      </c>
      <c r="J91" s="12">
        <f>IF($D91="","",ROUND($F91,2)-$S91)</f>
        <v/>
      </c>
      <c r="K91" s="12">
        <f>IF(OR($D91="",$G91=0),"",ROUND($F91*'05无形资产工时'!H91/$G91,2))</f>
        <v/>
      </c>
      <c r="L91" s="12">
        <f>IF(OR($D91="",$G91=0),"",ROUND($F91*'05无形资产工时'!I91/$G91,2))</f>
        <v/>
      </c>
      <c r="M91" s="12">
        <f>IF(OR($D91="",$G91=0),"",ROUND($F91*'05无形资产工时'!J91/$G91,2))</f>
        <v/>
      </c>
      <c r="N91" s="12">
        <f>IF(OR($D91="",$G91=0),"",ROUND($F91*'05无形资产工时'!K91/$G91,2))</f>
        <v/>
      </c>
      <c r="O91" s="12">
        <f>IF(OR($D91="",$G91=0),"",ROUND($F91*'05无形资产工时'!L91/$G91,2))</f>
        <v/>
      </c>
      <c r="P91" s="12">
        <f>IF(OR($D91="",$G91=0),"",ROUND($F91*'05无形资产工时'!M91/$G91,2))</f>
        <v/>
      </c>
      <c r="Q91" s="12">
        <f>IF(OR($D91="",$G91=0),"",ROUND($F91*'05无形资产工时'!N91/$G91,2))</f>
        <v/>
      </c>
      <c r="R91" s="12">
        <f>IF(OR($D91="",$G91=0),"",ROUND($F91*'05无形资产工时'!O91/$G91,2))</f>
        <v/>
      </c>
      <c r="S91" s="12">
        <f>IF($D91="","",SUM(K91:R91))</f>
        <v/>
      </c>
      <c r="T91" s="12">
        <f>IF($D91="","",$J91+$S91)</f>
        <v/>
      </c>
      <c r="U91" s="25">
        <f>IF($D91="","",IF($F91=0,"未维护摊销额",IF(ROUND($T91-$F91,2)=0,"√","差异")))</f>
        <v/>
      </c>
      <c r="V91" s="11" t="n"/>
      <c r="W91" s="9" t="n"/>
    </row>
    <row r="92" ht="18" customHeight="1">
      <c r="B92" s="21">
        <f>IF('05无形资产工时'!$D92="","",'05无形资产工时'!$B92)</f>
        <v/>
      </c>
      <c r="C92" s="22">
        <f>IF('05无形资产工时'!$D92="","",'05无形资产工时'!$C92)</f>
        <v/>
      </c>
      <c r="D92" s="22">
        <f>IF('05无形资产工时'!$D92="","",'05无形资产工时'!$D92)</f>
        <v/>
      </c>
      <c r="E92" s="39">
        <f>IF($D92="","",'05无形资产工时'!$E92)</f>
        <v/>
      </c>
      <c r="F92" s="23">
        <f>IF($D92="","",IF($V92&lt;&gt;"",$V92,IFERROR(INDEX('参数设置'!$E$48:$E$57,MATCH($D92,'参数设置'!$C$48:$C$57,0)),0)))</f>
        <v/>
      </c>
      <c r="G92" s="24">
        <f>IF($D92="","",'05无形资产工时'!$F92)</f>
        <v/>
      </c>
      <c r="H92" s="24">
        <f>IF($D92="","",'05无形资产工时'!$P92)</f>
        <v/>
      </c>
      <c r="I92" s="20">
        <f>IF(OR($D92="",$G92=0),"",$H92/$G92)</f>
        <v/>
      </c>
      <c r="J92" s="12">
        <f>IF($D92="","",ROUND($F92,2)-$S92)</f>
        <v/>
      </c>
      <c r="K92" s="12">
        <f>IF(OR($D92="",$G92=0),"",ROUND($F92*'05无形资产工时'!H92/$G92,2))</f>
        <v/>
      </c>
      <c r="L92" s="12">
        <f>IF(OR($D92="",$G92=0),"",ROUND($F92*'05无形资产工时'!I92/$G92,2))</f>
        <v/>
      </c>
      <c r="M92" s="12">
        <f>IF(OR($D92="",$G92=0),"",ROUND($F92*'05无形资产工时'!J92/$G92,2))</f>
        <v/>
      </c>
      <c r="N92" s="12">
        <f>IF(OR($D92="",$G92=0),"",ROUND($F92*'05无形资产工时'!K92/$G92,2))</f>
        <v/>
      </c>
      <c r="O92" s="12">
        <f>IF(OR($D92="",$G92=0),"",ROUND($F92*'05无形资产工时'!L92/$G92,2))</f>
        <v/>
      </c>
      <c r="P92" s="12">
        <f>IF(OR($D92="",$G92=0),"",ROUND($F92*'05无形资产工时'!M92/$G92,2))</f>
        <v/>
      </c>
      <c r="Q92" s="12">
        <f>IF(OR($D92="",$G92=0),"",ROUND($F92*'05无形资产工时'!N92/$G92,2))</f>
        <v/>
      </c>
      <c r="R92" s="12">
        <f>IF(OR($D92="",$G92=0),"",ROUND($F92*'05无形资产工时'!O92/$G92,2))</f>
        <v/>
      </c>
      <c r="S92" s="12">
        <f>IF($D92="","",SUM(K92:R92))</f>
        <v/>
      </c>
      <c r="T92" s="12">
        <f>IF($D92="","",$J92+$S92)</f>
        <v/>
      </c>
      <c r="U92" s="25">
        <f>IF($D92="","",IF($F92=0,"未维护摊销额",IF(ROUND($T92-$F92,2)=0,"√","差异")))</f>
        <v/>
      </c>
      <c r="V92" s="11" t="n"/>
      <c r="W92" s="9" t="n"/>
    </row>
    <row r="93" ht="18" customHeight="1">
      <c r="B93" s="21">
        <f>IF('05无形资产工时'!$D93="","",'05无形资产工时'!$B93)</f>
        <v/>
      </c>
      <c r="C93" s="22">
        <f>IF('05无形资产工时'!$D93="","",'05无形资产工时'!$C93)</f>
        <v/>
      </c>
      <c r="D93" s="22">
        <f>IF('05无形资产工时'!$D93="","",'05无形资产工时'!$D93)</f>
        <v/>
      </c>
      <c r="E93" s="39">
        <f>IF($D93="","",'05无形资产工时'!$E93)</f>
        <v/>
      </c>
      <c r="F93" s="23">
        <f>IF($D93="","",IF($V93&lt;&gt;"",$V93,IFERROR(INDEX('参数设置'!$E$48:$E$57,MATCH($D93,'参数设置'!$C$48:$C$57,0)),0)))</f>
        <v/>
      </c>
      <c r="G93" s="24">
        <f>IF($D93="","",'05无形资产工时'!$F93)</f>
        <v/>
      </c>
      <c r="H93" s="24">
        <f>IF($D93="","",'05无形资产工时'!$P93)</f>
        <v/>
      </c>
      <c r="I93" s="20">
        <f>IF(OR($D93="",$G93=0),"",$H93/$G93)</f>
        <v/>
      </c>
      <c r="J93" s="12">
        <f>IF($D93="","",ROUND($F93,2)-$S93)</f>
        <v/>
      </c>
      <c r="K93" s="12">
        <f>IF(OR($D93="",$G93=0),"",ROUND($F93*'05无形资产工时'!H93/$G93,2))</f>
        <v/>
      </c>
      <c r="L93" s="12">
        <f>IF(OR($D93="",$G93=0),"",ROUND($F93*'05无形资产工时'!I93/$G93,2))</f>
        <v/>
      </c>
      <c r="M93" s="12">
        <f>IF(OR($D93="",$G93=0),"",ROUND($F93*'05无形资产工时'!J93/$G93,2))</f>
        <v/>
      </c>
      <c r="N93" s="12">
        <f>IF(OR($D93="",$G93=0),"",ROUND($F93*'05无形资产工时'!K93/$G93,2))</f>
        <v/>
      </c>
      <c r="O93" s="12">
        <f>IF(OR($D93="",$G93=0),"",ROUND($F93*'05无形资产工时'!L93/$G93,2))</f>
        <v/>
      </c>
      <c r="P93" s="12">
        <f>IF(OR($D93="",$G93=0),"",ROUND($F93*'05无形资产工时'!M93/$G93,2))</f>
        <v/>
      </c>
      <c r="Q93" s="12">
        <f>IF(OR($D93="",$G93=0),"",ROUND($F93*'05无形资产工时'!N93/$G93,2))</f>
        <v/>
      </c>
      <c r="R93" s="12">
        <f>IF(OR($D93="",$G93=0),"",ROUND($F93*'05无形资产工时'!O93/$G93,2))</f>
        <v/>
      </c>
      <c r="S93" s="12">
        <f>IF($D93="","",SUM(K93:R93))</f>
        <v/>
      </c>
      <c r="T93" s="12">
        <f>IF($D93="","",$J93+$S93)</f>
        <v/>
      </c>
      <c r="U93" s="25">
        <f>IF($D93="","",IF($F93=0,"未维护摊销额",IF(ROUND($T93-$F93,2)=0,"√","差异")))</f>
        <v/>
      </c>
      <c r="V93" s="11" t="n"/>
      <c r="W93" s="9" t="n"/>
    </row>
    <row r="94" ht="18" customHeight="1">
      <c r="B94" s="21">
        <f>IF('05无形资产工时'!$D94="","",'05无形资产工时'!$B94)</f>
        <v/>
      </c>
      <c r="C94" s="22">
        <f>IF('05无形资产工时'!$D94="","",'05无形资产工时'!$C94)</f>
        <v/>
      </c>
      <c r="D94" s="22">
        <f>IF('05无形资产工时'!$D94="","",'05无形资产工时'!$D94)</f>
        <v/>
      </c>
      <c r="E94" s="39">
        <f>IF($D94="","",'05无形资产工时'!$E94)</f>
        <v/>
      </c>
      <c r="F94" s="23">
        <f>IF($D94="","",IF($V94&lt;&gt;"",$V94,IFERROR(INDEX('参数设置'!$E$48:$E$57,MATCH($D94,'参数设置'!$C$48:$C$57,0)),0)))</f>
        <v/>
      </c>
      <c r="G94" s="24">
        <f>IF($D94="","",'05无形资产工时'!$F94)</f>
        <v/>
      </c>
      <c r="H94" s="24">
        <f>IF($D94="","",'05无形资产工时'!$P94)</f>
        <v/>
      </c>
      <c r="I94" s="20">
        <f>IF(OR($D94="",$G94=0),"",$H94/$G94)</f>
        <v/>
      </c>
      <c r="J94" s="12">
        <f>IF($D94="","",ROUND($F94,2)-$S94)</f>
        <v/>
      </c>
      <c r="K94" s="12">
        <f>IF(OR($D94="",$G94=0),"",ROUND($F94*'05无形资产工时'!H94/$G94,2))</f>
        <v/>
      </c>
      <c r="L94" s="12">
        <f>IF(OR($D94="",$G94=0),"",ROUND($F94*'05无形资产工时'!I94/$G94,2))</f>
        <v/>
      </c>
      <c r="M94" s="12">
        <f>IF(OR($D94="",$G94=0),"",ROUND($F94*'05无形资产工时'!J94/$G94,2))</f>
        <v/>
      </c>
      <c r="N94" s="12">
        <f>IF(OR($D94="",$G94=0),"",ROUND($F94*'05无形资产工时'!K94/$G94,2))</f>
        <v/>
      </c>
      <c r="O94" s="12">
        <f>IF(OR($D94="",$G94=0),"",ROUND($F94*'05无形资产工时'!L94/$G94,2))</f>
        <v/>
      </c>
      <c r="P94" s="12">
        <f>IF(OR($D94="",$G94=0),"",ROUND($F94*'05无形资产工时'!M94/$G94,2))</f>
        <v/>
      </c>
      <c r="Q94" s="12">
        <f>IF(OR($D94="",$G94=0),"",ROUND($F94*'05无形资产工时'!N94/$G94,2))</f>
        <v/>
      </c>
      <c r="R94" s="12">
        <f>IF(OR($D94="",$G94=0),"",ROUND($F94*'05无形资产工时'!O94/$G94,2))</f>
        <v/>
      </c>
      <c r="S94" s="12">
        <f>IF($D94="","",SUM(K94:R94))</f>
        <v/>
      </c>
      <c r="T94" s="12">
        <f>IF($D94="","",$J94+$S94)</f>
        <v/>
      </c>
      <c r="U94" s="25">
        <f>IF($D94="","",IF($F94=0,"未维护摊销额",IF(ROUND($T94-$F94,2)=0,"√","差异")))</f>
        <v/>
      </c>
      <c r="V94" s="11" t="n"/>
      <c r="W94" s="9" t="n"/>
    </row>
    <row r="95" ht="18" customHeight="1">
      <c r="B95" s="21">
        <f>IF('05无形资产工时'!$D95="","",'05无形资产工时'!$B95)</f>
        <v/>
      </c>
      <c r="C95" s="22">
        <f>IF('05无形资产工时'!$D95="","",'05无形资产工时'!$C95)</f>
        <v/>
      </c>
      <c r="D95" s="22">
        <f>IF('05无形资产工时'!$D95="","",'05无形资产工时'!$D95)</f>
        <v/>
      </c>
      <c r="E95" s="39">
        <f>IF($D95="","",'05无形资产工时'!$E95)</f>
        <v/>
      </c>
      <c r="F95" s="23">
        <f>IF($D95="","",IF($V95&lt;&gt;"",$V95,IFERROR(INDEX('参数设置'!$E$48:$E$57,MATCH($D95,'参数设置'!$C$48:$C$57,0)),0)))</f>
        <v/>
      </c>
      <c r="G95" s="24">
        <f>IF($D95="","",'05无形资产工时'!$F95)</f>
        <v/>
      </c>
      <c r="H95" s="24">
        <f>IF($D95="","",'05无形资产工时'!$P95)</f>
        <v/>
      </c>
      <c r="I95" s="20">
        <f>IF(OR($D95="",$G95=0),"",$H95/$G95)</f>
        <v/>
      </c>
      <c r="J95" s="12">
        <f>IF($D95="","",ROUND($F95,2)-$S95)</f>
        <v/>
      </c>
      <c r="K95" s="12">
        <f>IF(OR($D95="",$G95=0),"",ROUND($F95*'05无形资产工时'!H95/$G95,2))</f>
        <v/>
      </c>
      <c r="L95" s="12">
        <f>IF(OR($D95="",$G95=0),"",ROUND($F95*'05无形资产工时'!I95/$G95,2))</f>
        <v/>
      </c>
      <c r="M95" s="12">
        <f>IF(OR($D95="",$G95=0),"",ROUND($F95*'05无形资产工时'!J95/$G95,2))</f>
        <v/>
      </c>
      <c r="N95" s="12">
        <f>IF(OR($D95="",$G95=0),"",ROUND($F95*'05无形资产工时'!K95/$G95,2))</f>
        <v/>
      </c>
      <c r="O95" s="12">
        <f>IF(OR($D95="",$G95=0),"",ROUND($F95*'05无形资产工时'!L95/$G95,2))</f>
        <v/>
      </c>
      <c r="P95" s="12">
        <f>IF(OR($D95="",$G95=0),"",ROUND($F95*'05无形资产工时'!M95/$G95,2))</f>
        <v/>
      </c>
      <c r="Q95" s="12">
        <f>IF(OR($D95="",$G95=0),"",ROUND($F95*'05无形资产工时'!N95/$G95,2))</f>
        <v/>
      </c>
      <c r="R95" s="12">
        <f>IF(OR($D95="",$G95=0),"",ROUND($F95*'05无形资产工时'!O95/$G95,2))</f>
        <v/>
      </c>
      <c r="S95" s="12">
        <f>IF($D95="","",SUM(K95:R95))</f>
        <v/>
      </c>
      <c r="T95" s="12">
        <f>IF($D95="","",$J95+$S95)</f>
        <v/>
      </c>
      <c r="U95" s="25">
        <f>IF($D95="","",IF($F95=0,"未维护摊销额",IF(ROUND($T95-$F95,2)=0,"√","差异")))</f>
        <v/>
      </c>
      <c r="V95" s="11" t="n"/>
      <c r="W95" s="9" t="n"/>
    </row>
    <row r="96" ht="18" customHeight="1">
      <c r="B96" s="21">
        <f>IF('05无形资产工时'!$D96="","",'05无形资产工时'!$B96)</f>
        <v/>
      </c>
      <c r="C96" s="22">
        <f>IF('05无形资产工时'!$D96="","",'05无形资产工时'!$C96)</f>
        <v/>
      </c>
      <c r="D96" s="22">
        <f>IF('05无形资产工时'!$D96="","",'05无形资产工时'!$D96)</f>
        <v/>
      </c>
      <c r="E96" s="39">
        <f>IF($D96="","",'05无形资产工时'!$E96)</f>
        <v/>
      </c>
      <c r="F96" s="23">
        <f>IF($D96="","",IF($V96&lt;&gt;"",$V96,IFERROR(INDEX('参数设置'!$E$48:$E$57,MATCH($D96,'参数设置'!$C$48:$C$57,0)),0)))</f>
        <v/>
      </c>
      <c r="G96" s="24">
        <f>IF($D96="","",'05无形资产工时'!$F96)</f>
        <v/>
      </c>
      <c r="H96" s="24">
        <f>IF($D96="","",'05无形资产工时'!$P96)</f>
        <v/>
      </c>
      <c r="I96" s="20">
        <f>IF(OR($D96="",$G96=0),"",$H96/$G96)</f>
        <v/>
      </c>
      <c r="J96" s="12">
        <f>IF($D96="","",ROUND($F96,2)-$S96)</f>
        <v/>
      </c>
      <c r="K96" s="12">
        <f>IF(OR($D96="",$G96=0),"",ROUND($F96*'05无形资产工时'!H96/$G96,2))</f>
        <v/>
      </c>
      <c r="L96" s="12">
        <f>IF(OR($D96="",$G96=0),"",ROUND($F96*'05无形资产工时'!I96/$G96,2))</f>
        <v/>
      </c>
      <c r="M96" s="12">
        <f>IF(OR($D96="",$G96=0),"",ROUND($F96*'05无形资产工时'!J96/$G96,2))</f>
        <v/>
      </c>
      <c r="N96" s="12">
        <f>IF(OR($D96="",$G96=0),"",ROUND($F96*'05无形资产工时'!K96/$G96,2))</f>
        <v/>
      </c>
      <c r="O96" s="12">
        <f>IF(OR($D96="",$G96=0),"",ROUND($F96*'05无形资产工时'!L96/$G96,2))</f>
        <v/>
      </c>
      <c r="P96" s="12">
        <f>IF(OR($D96="",$G96=0),"",ROUND($F96*'05无形资产工时'!M96/$G96,2))</f>
        <v/>
      </c>
      <c r="Q96" s="12">
        <f>IF(OR($D96="",$G96=0),"",ROUND($F96*'05无形资产工时'!N96/$G96,2))</f>
        <v/>
      </c>
      <c r="R96" s="12">
        <f>IF(OR($D96="",$G96=0),"",ROUND($F96*'05无形资产工时'!O96/$G96,2))</f>
        <v/>
      </c>
      <c r="S96" s="12">
        <f>IF($D96="","",SUM(K96:R96))</f>
        <v/>
      </c>
      <c r="T96" s="12">
        <f>IF($D96="","",$J96+$S96)</f>
        <v/>
      </c>
      <c r="U96" s="25">
        <f>IF($D96="","",IF($F96=0,"未维护摊销额",IF(ROUND($T96-$F96,2)=0,"√","差异")))</f>
        <v/>
      </c>
      <c r="V96" s="11" t="n"/>
      <c r="W96" s="9" t="n"/>
    </row>
    <row r="97" ht="18" customHeight="1">
      <c r="B97" s="21">
        <f>IF('05无形资产工时'!$D97="","",'05无形资产工时'!$B97)</f>
        <v/>
      </c>
      <c r="C97" s="22">
        <f>IF('05无形资产工时'!$D97="","",'05无形资产工时'!$C97)</f>
        <v/>
      </c>
      <c r="D97" s="22">
        <f>IF('05无形资产工时'!$D97="","",'05无形资产工时'!$D97)</f>
        <v/>
      </c>
      <c r="E97" s="39">
        <f>IF($D97="","",'05无形资产工时'!$E97)</f>
        <v/>
      </c>
      <c r="F97" s="23">
        <f>IF($D97="","",IF($V97&lt;&gt;"",$V97,IFERROR(INDEX('参数设置'!$E$48:$E$57,MATCH($D97,'参数设置'!$C$48:$C$57,0)),0)))</f>
        <v/>
      </c>
      <c r="G97" s="24">
        <f>IF($D97="","",'05无形资产工时'!$F97)</f>
        <v/>
      </c>
      <c r="H97" s="24">
        <f>IF($D97="","",'05无形资产工时'!$P97)</f>
        <v/>
      </c>
      <c r="I97" s="20">
        <f>IF(OR($D97="",$G97=0),"",$H97/$G97)</f>
        <v/>
      </c>
      <c r="J97" s="12">
        <f>IF($D97="","",ROUND($F97,2)-$S97)</f>
        <v/>
      </c>
      <c r="K97" s="12">
        <f>IF(OR($D97="",$G97=0),"",ROUND($F97*'05无形资产工时'!H97/$G97,2))</f>
        <v/>
      </c>
      <c r="L97" s="12">
        <f>IF(OR($D97="",$G97=0),"",ROUND($F97*'05无形资产工时'!I97/$G97,2))</f>
        <v/>
      </c>
      <c r="M97" s="12">
        <f>IF(OR($D97="",$G97=0),"",ROUND($F97*'05无形资产工时'!J97/$G97,2))</f>
        <v/>
      </c>
      <c r="N97" s="12">
        <f>IF(OR($D97="",$G97=0),"",ROUND($F97*'05无形资产工时'!K97/$G97,2))</f>
        <v/>
      </c>
      <c r="O97" s="12">
        <f>IF(OR($D97="",$G97=0),"",ROUND($F97*'05无形资产工时'!L97/$G97,2))</f>
        <v/>
      </c>
      <c r="P97" s="12">
        <f>IF(OR($D97="",$G97=0),"",ROUND($F97*'05无形资产工时'!M97/$G97,2))</f>
        <v/>
      </c>
      <c r="Q97" s="12">
        <f>IF(OR($D97="",$G97=0),"",ROUND($F97*'05无形资产工时'!N97/$G97,2))</f>
        <v/>
      </c>
      <c r="R97" s="12">
        <f>IF(OR($D97="",$G97=0),"",ROUND($F97*'05无形资产工时'!O97/$G97,2))</f>
        <v/>
      </c>
      <c r="S97" s="12">
        <f>IF($D97="","",SUM(K97:R97))</f>
        <v/>
      </c>
      <c r="T97" s="12">
        <f>IF($D97="","",$J97+$S97)</f>
        <v/>
      </c>
      <c r="U97" s="25">
        <f>IF($D97="","",IF($F97=0,"未维护摊销额",IF(ROUND($T97-$F97,2)=0,"√","差异")))</f>
        <v/>
      </c>
      <c r="V97" s="11" t="n"/>
      <c r="W97" s="9" t="n"/>
    </row>
    <row r="98" ht="18" customHeight="1">
      <c r="B98" s="21">
        <f>IF('05无形资产工时'!$D98="","",'05无形资产工时'!$B98)</f>
        <v/>
      </c>
      <c r="C98" s="22">
        <f>IF('05无形资产工时'!$D98="","",'05无形资产工时'!$C98)</f>
        <v/>
      </c>
      <c r="D98" s="22">
        <f>IF('05无形资产工时'!$D98="","",'05无形资产工时'!$D98)</f>
        <v/>
      </c>
      <c r="E98" s="39">
        <f>IF($D98="","",'05无形资产工时'!$E98)</f>
        <v/>
      </c>
      <c r="F98" s="23">
        <f>IF($D98="","",IF($V98&lt;&gt;"",$V98,IFERROR(INDEX('参数设置'!$E$48:$E$57,MATCH($D98,'参数设置'!$C$48:$C$57,0)),0)))</f>
        <v/>
      </c>
      <c r="G98" s="24">
        <f>IF($D98="","",'05无形资产工时'!$F98)</f>
        <v/>
      </c>
      <c r="H98" s="24">
        <f>IF($D98="","",'05无形资产工时'!$P98)</f>
        <v/>
      </c>
      <c r="I98" s="20">
        <f>IF(OR($D98="",$G98=0),"",$H98/$G98)</f>
        <v/>
      </c>
      <c r="J98" s="12">
        <f>IF($D98="","",ROUND($F98,2)-$S98)</f>
        <v/>
      </c>
      <c r="K98" s="12">
        <f>IF(OR($D98="",$G98=0),"",ROUND($F98*'05无形资产工时'!H98/$G98,2))</f>
        <v/>
      </c>
      <c r="L98" s="12">
        <f>IF(OR($D98="",$G98=0),"",ROUND($F98*'05无形资产工时'!I98/$G98,2))</f>
        <v/>
      </c>
      <c r="M98" s="12">
        <f>IF(OR($D98="",$G98=0),"",ROUND($F98*'05无形资产工时'!J98/$G98,2))</f>
        <v/>
      </c>
      <c r="N98" s="12">
        <f>IF(OR($D98="",$G98=0),"",ROUND($F98*'05无形资产工时'!K98/$G98,2))</f>
        <v/>
      </c>
      <c r="O98" s="12">
        <f>IF(OR($D98="",$G98=0),"",ROUND($F98*'05无形资产工时'!L98/$G98,2))</f>
        <v/>
      </c>
      <c r="P98" s="12">
        <f>IF(OR($D98="",$G98=0),"",ROUND($F98*'05无形资产工时'!M98/$G98,2))</f>
        <v/>
      </c>
      <c r="Q98" s="12">
        <f>IF(OR($D98="",$G98=0),"",ROUND($F98*'05无形资产工时'!N98/$G98,2))</f>
        <v/>
      </c>
      <c r="R98" s="12">
        <f>IF(OR($D98="",$G98=0),"",ROUND($F98*'05无形资产工时'!O98/$G98,2))</f>
        <v/>
      </c>
      <c r="S98" s="12">
        <f>IF($D98="","",SUM(K98:R98))</f>
        <v/>
      </c>
      <c r="T98" s="12">
        <f>IF($D98="","",$J98+$S98)</f>
        <v/>
      </c>
      <c r="U98" s="25">
        <f>IF($D98="","",IF($F98=0,"未维护摊销额",IF(ROUND($T98-$F98,2)=0,"√","差异")))</f>
        <v/>
      </c>
      <c r="V98" s="11" t="n"/>
      <c r="W98" s="9" t="n"/>
    </row>
    <row r="99" ht="18" customHeight="1">
      <c r="B99" s="21">
        <f>IF('05无形资产工时'!$D99="","",'05无形资产工时'!$B99)</f>
        <v/>
      </c>
      <c r="C99" s="22">
        <f>IF('05无形资产工时'!$D99="","",'05无形资产工时'!$C99)</f>
        <v/>
      </c>
      <c r="D99" s="22">
        <f>IF('05无形资产工时'!$D99="","",'05无形资产工时'!$D99)</f>
        <v/>
      </c>
      <c r="E99" s="39">
        <f>IF($D99="","",'05无形资产工时'!$E99)</f>
        <v/>
      </c>
      <c r="F99" s="23">
        <f>IF($D99="","",IF($V99&lt;&gt;"",$V99,IFERROR(INDEX('参数设置'!$E$48:$E$57,MATCH($D99,'参数设置'!$C$48:$C$57,0)),0)))</f>
        <v/>
      </c>
      <c r="G99" s="24">
        <f>IF($D99="","",'05无形资产工时'!$F99)</f>
        <v/>
      </c>
      <c r="H99" s="24">
        <f>IF($D99="","",'05无形资产工时'!$P99)</f>
        <v/>
      </c>
      <c r="I99" s="20">
        <f>IF(OR($D99="",$G99=0),"",$H99/$G99)</f>
        <v/>
      </c>
      <c r="J99" s="12">
        <f>IF($D99="","",ROUND($F99,2)-$S99)</f>
        <v/>
      </c>
      <c r="K99" s="12">
        <f>IF(OR($D99="",$G99=0),"",ROUND($F99*'05无形资产工时'!H99/$G99,2))</f>
        <v/>
      </c>
      <c r="L99" s="12">
        <f>IF(OR($D99="",$G99=0),"",ROUND($F99*'05无形资产工时'!I99/$G99,2))</f>
        <v/>
      </c>
      <c r="M99" s="12">
        <f>IF(OR($D99="",$G99=0),"",ROUND($F99*'05无形资产工时'!J99/$G99,2))</f>
        <v/>
      </c>
      <c r="N99" s="12">
        <f>IF(OR($D99="",$G99=0),"",ROUND($F99*'05无形资产工时'!K99/$G99,2))</f>
        <v/>
      </c>
      <c r="O99" s="12">
        <f>IF(OR($D99="",$G99=0),"",ROUND($F99*'05无形资产工时'!L99/$G99,2))</f>
        <v/>
      </c>
      <c r="P99" s="12">
        <f>IF(OR($D99="",$G99=0),"",ROUND($F99*'05无形资产工时'!M99/$G99,2))</f>
        <v/>
      </c>
      <c r="Q99" s="12">
        <f>IF(OR($D99="",$G99=0),"",ROUND($F99*'05无形资产工时'!N99/$G99,2))</f>
        <v/>
      </c>
      <c r="R99" s="12">
        <f>IF(OR($D99="",$G99=0),"",ROUND($F99*'05无形资产工时'!O99/$G99,2))</f>
        <v/>
      </c>
      <c r="S99" s="12">
        <f>IF($D99="","",SUM(K99:R99))</f>
        <v/>
      </c>
      <c r="T99" s="12">
        <f>IF($D99="","",$J99+$S99)</f>
        <v/>
      </c>
      <c r="U99" s="25">
        <f>IF($D99="","",IF($F99=0,"未维护摊销额",IF(ROUND($T99-$F99,2)=0,"√","差异")))</f>
        <v/>
      </c>
      <c r="V99" s="11" t="n"/>
      <c r="W99" s="9" t="n"/>
    </row>
    <row r="100" ht="18" customHeight="1">
      <c r="B100" s="21">
        <f>IF('05无形资产工时'!$D100="","",'05无形资产工时'!$B100)</f>
        <v/>
      </c>
      <c r="C100" s="22">
        <f>IF('05无形资产工时'!$D100="","",'05无形资产工时'!$C100)</f>
        <v/>
      </c>
      <c r="D100" s="22">
        <f>IF('05无形资产工时'!$D100="","",'05无形资产工时'!$D100)</f>
        <v/>
      </c>
      <c r="E100" s="39">
        <f>IF($D100="","",'05无形资产工时'!$E100)</f>
        <v/>
      </c>
      <c r="F100" s="23">
        <f>IF($D100="","",IF($V100&lt;&gt;"",$V100,IFERROR(INDEX('参数设置'!$E$48:$E$57,MATCH($D100,'参数设置'!$C$48:$C$57,0)),0)))</f>
        <v/>
      </c>
      <c r="G100" s="24">
        <f>IF($D100="","",'05无形资产工时'!$F100)</f>
        <v/>
      </c>
      <c r="H100" s="24">
        <f>IF($D100="","",'05无形资产工时'!$P100)</f>
        <v/>
      </c>
      <c r="I100" s="20">
        <f>IF(OR($D100="",$G100=0),"",$H100/$G100)</f>
        <v/>
      </c>
      <c r="J100" s="12">
        <f>IF($D100="","",ROUND($F100,2)-$S100)</f>
        <v/>
      </c>
      <c r="K100" s="12">
        <f>IF(OR($D100="",$G100=0),"",ROUND($F100*'05无形资产工时'!H100/$G100,2))</f>
        <v/>
      </c>
      <c r="L100" s="12">
        <f>IF(OR($D100="",$G100=0),"",ROUND($F100*'05无形资产工时'!I100/$G100,2))</f>
        <v/>
      </c>
      <c r="M100" s="12">
        <f>IF(OR($D100="",$G100=0),"",ROUND($F100*'05无形资产工时'!J100/$G100,2))</f>
        <v/>
      </c>
      <c r="N100" s="12">
        <f>IF(OR($D100="",$G100=0),"",ROUND($F100*'05无形资产工时'!K100/$G100,2))</f>
        <v/>
      </c>
      <c r="O100" s="12">
        <f>IF(OR($D100="",$G100=0),"",ROUND($F100*'05无形资产工时'!L100/$G100,2))</f>
        <v/>
      </c>
      <c r="P100" s="12">
        <f>IF(OR($D100="",$G100=0),"",ROUND($F100*'05无形资产工时'!M100/$G100,2))</f>
        <v/>
      </c>
      <c r="Q100" s="12">
        <f>IF(OR($D100="",$G100=0),"",ROUND($F100*'05无形资产工时'!N100/$G100,2))</f>
        <v/>
      </c>
      <c r="R100" s="12">
        <f>IF(OR($D100="",$G100=0),"",ROUND($F100*'05无形资产工时'!O100/$G100,2))</f>
        <v/>
      </c>
      <c r="S100" s="12">
        <f>IF($D100="","",SUM(K100:R100))</f>
        <v/>
      </c>
      <c r="T100" s="12">
        <f>IF($D100="","",$J100+$S100)</f>
        <v/>
      </c>
      <c r="U100" s="25">
        <f>IF($D100="","",IF($F100=0,"未维护摊销额",IF(ROUND($T100-$F100,2)=0,"√","差异")))</f>
        <v/>
      </c>
      <c r="V100" s="11" t="n"/>
      <c r="W100" s="9" t="n"/>
    </row>
    <row r="101" ht="18" customHeight="1">
      <c r="B101" s="21">
        <f>IF('05无形资产工时'!$D101="","",'05无形资产工时'!$B101)</f>
        <v/>
      </c>
      <c r="C101" s="22">
        <f>IF('05无形资产工时'!$D101="","",'05无形资产工时'!$C101)</f>
        <v/>
      </c>
      <c r="D101" s="22">
        <f>IF('05无形资产工时'!$D101="","",'05无形资产工时'!$D101)</f>
        <v/>
      </c>
      <c r="E101" s="39">
        <f>IF($D101="","",'05无形资产工时'!$E101)</f>
        <v/>
      </c>
      <c r="F101" s="23">
        <f>IF($D101="","",IF($V101&lt;&gt;"",$V101,IFERROR(INDEX('参数设置'!$E$48:$E$57,MATCH($D101,'参数设置'!$C$48:$C$57,0)),0)))</f>
        <v/>
      </c>
      <c r="G101" s="24">
        <f>IF($D101="","",'05无形资产工时'!$F101)</f>
        <v/>
      </c>
      <c r="H101" s="24">
        <f>IF($D101="","",'05无形资产工时'!$P101)</f>
        <v/>
      </c>
      <c r="I101" s="20">
        <f>IF(OR($D101="",$G101=0),"",$H101/$G101)</f>
        <v/>
      </c>
      <c r="J101" s="12">
        <f>IF($D101="","",ROUND($F101,2)-$S101)</f>
        <v/>
      </c>
      <c r="K101" s="12">
        <f>IF(OR($D101="",$G101=0),"",ROUND($F101*'05无形资产工时'!H101/$G101,2))</f>
        <v/>
      </c>
      <c r="L101" s="12">
        <f>IF(OR($D101="",$G101=0),"",ROUND($F101*'05无形资产工时'!I101/$G101,2))</f>
        <v/>
      </c>
      <c r="M101" s="12">
        <f>IF(OR($D101="",$G101=0),"",ROUND($F101*'05无形资产工时'!J101/$G101,2))</f>
        <v/>
      </c>
      <c r="N101" s="12">
        <f>IF(OR($D101="",$G101=0),"",ROUND($F101*'05无形资产工时'!K101/$G101,2))</f>
        <v/>
      </c>
      <c r="O101" s="12">
        <f>IF(OR($D101="",$G101=0),"",ROUND($F101*'05无形资产工时'!L101/$G101,2))</f>
        <v/>
      </c>
      <c r="P101" s="12">
        <f>IF(OR($D101="",$G101=0),"",ROUND($F101*'05无形资产工时'!M101/$G101,2))</f>
        <v/>
      </c>
      <c r="Q101" s="12">
        <f>IF(OR($D101="",$G101=0),"",ROUND($F101*'05无形资产工时'!N101/$G101,2))</f>
        <v/>
      </c>
      <c r="R101" s="12">
        <f>IF(OR($D101="",$G101=0),"",ROUND($F101*'05无形资产工时'!O101/$G101,2))</f>
        <v/>
      </c>
      <c r="S101" s="12">
        <f>IF($D101="","",SUM(K101:R101))</f>
        <v/>
      </c>
      <c r="T101" s="12">
        <f>IF($D101="","",$J101+$S101)</f>
        <v/>
      </c>
      <c r="U101" s="25">
        <f>IF($D101="","",IF($F101=0,"未维护摊销额",IF(ROUND($T101-$F101,2)=0,"√","差异")))</f>
        <v/>
      </c>
      <c r="V101" s="11" t="n"/>
      <c r="W101" s="9" t="n"/>
    </row>
    <row r="102" ht="18" customHeight="1">
      <c r="B102" s="21">
        <f>IF('05无形资产工时'!$D102="","",'05无形资产工时'!$B102)</f>
        <v/>
      </c>
      <c r="C102" s="22">
        <f>IF('05无形资产工时'!$D102="","",'05无形资产工时'!$C102)</f>
        <v/>
      </c>
      <c r="D102" s="22">
        <f>IF('05无形资产工时'!$D102="","",'05无形资产工时'!$D102)</f>
        <v/>
      </c>
      <c r="E102" s="39">
        <f>IF($D102="","",'05无形资产工时'!$E102)</f>
        <v/>
      </c>
      <c r="F102" s="23">
        <f>IF($D102="","",IF($V102&lt;&gt;"",$V102,IFERROR(INDEX('参数设置'!$E$48:$E$57,MATCH($D102,'参数设置'!$C$48:$C$57,0)),0)))</f>
        <v/>
      </c>
      <c r="G102" s="24">
        <f>IF($D102="","",'05无形资产工时'!$F102)</f>
        <v/>
      </c>
      <c r="H102" s="24">
        <f>IF($D102="","",'05无形资产工时'!$P102)</f>
        <v/>
      </c>
      <c r="I102" s="20">
        <f>IF(OR($D102="",$G102=0),"",$H102/$G102)</f>
        <v/>
      </c>
      <c r="J102" s="12">
        <f>IF($D102="","",ROUND($F102,2)-$S102)</f>
        <v/>
      </c>
      <c r="K102" s="12">
        <f>IF(OR($D102="",$G102=0),"",ROUND($F102*'05无形资产工时'!H102/$G102,2))</f>
        <v/>
      </c>
      <c r="L102" s="12">
        <f>IF(OR($D102="",$G102=0),"",ROUND($F102*'05无形资产工时'!I102/$G102,2))</f>
        <v/>
      </c>
      <c r="M102" s="12">
        <f>IF(OR($D102="",$G102=0),"",ROUND($F102*'05无形资产工时'!J102/$G102,2))</f>
        <v/>
      </c>
      <c r="N102" s="12">
        <f>IF(OR($D102="",$G102=0),"",ROUND($F102*'05无形资产工时'!K102/$G102,2))</f>
        <v/>
      </c>
      <c r="O102" s="12">
        <f>IF(OR($D102="",$G102=0),"",ROUND($F102*'05无形资产工时'!L102/$G102,2))</f>
        <v/>
      </c>
      <c r="P102" s="12">
        <f>IF(OR($D102="",$G102=0),"",ROUND($F102*'05无形资产工时'!M102/$G102,2))</f>
        <v/>
      </c>
      <c r="Q102" s="12">
        <f>IF(OR($D102="",$G102=0),"",ROUND($F102*'05无形资产工时'!N102/$G102,2))</f>
        <v/>
      </c>
      <c r="R102" s="12">
        <f>IF(OR($D102="",$G102=0),"",ROUND($F102*'05无形资产工时'!O102/$G102,2))</f>
        <v/>
      </c>
      <c r="S102" s="12">
        <f>IF($D102="","",SUM(K102:R102))</f>
        <v/>
      </c>
      <c r="T102" s="12">
        <f>IF($D102="","",$J102+$S102)</f>
        <v/>
      </c>
      <c r="U102" s="25">
        <f>IF($D102="","",IF($F102=0,"未维护摊销额",IF(ROUND($T102-$F102,2)=0,"√","差异")))</f>
        <v/>
      </c>
      <c r="V102" s="11" t="n"/>
      <c r="W102" s="9" t="n"/>
    </row>
    <row r="103">
      <c r="B103" s="35" t="inlineStr">
        <is>
          <t>全年累计</t>
        </is>
      </c>
      <c r="C103" s="44" t="n"/>
      <c r="D103" s="44" t="n"/>
      <c r="E103" s="45" t="n"/>
      <c r="F103" s="36">
        <f>SUM(F7:F102)</f>
        <v/>
      </c>
      <c r="G103" s="37">
        <f>SUM(G7:G102)</f>
        <v/>
      </c>
      <c r="H103" s="37">
        <f>SUM(H7:H102)</f>
        <v/>
      </c>
      <c r="I103" s="38">
        <f>IF($G103=0,"",$H103/$G103)</f>
        <v/>
      </c>
      <c r="J103" s="36">
        <f>SUM(J7:J102)</f>
        <v/>
      </c>
      <c r="K103" s="36">
        <f>SUM(K7:K102)</f>
        <v/>
      </c>
      <c r="L103" s="36">
        <f>SUM(L7:L102)</f>
        <v/>
      </c>
      <c r="M103" s="36">
        <f>SUM(M7:M102)</f>
        <v/>
      </c>
      <c r="N103" s="36">
        <f>SUM(N7:N102)</f>
        <v/>
      </c>
      <c r="O103" s="36">
        <f>SUM(O7:O102)</f>
        <v/>
      </c>
      <c r="P103" s="36">
        <f>SUM(P7:P102)</f>
        <v/>
      </c>
      <c r="Q103" s="36">
        <f>SUM(Q7:Q102)</f>
        <v/>
      </c>
      <c r="R103" s="36">
        <f>SUM(R7:R102)</f>
        <v/>
      </c>
      <c r="S103" s="36">
        <f>SUM(S7:S102)</f>
        <v/>
      </c>
      <c r="T103" s="36">
        <f>SUM(T7:T102)</f>
        <v/>
      </c>
      <c r="U103" s="35" t="n"/>
      <c r="V103" s="35" t="n"/>
      <c r="W103" s="35" t="n"/>
    </row>
    <row r="105">
      <c r="B105" s="6" t="inlineStr">
        <is>
          <t>说明：某项目分摊额＝费用总额×该项目工时÷当月总工时；非研发承担额＝费用总额−研发各项目合计（含尾差），保证“非研发＋各项目＝合计＝费用总额”。</t>
        </is>
      </c>
    </row>
    <row r="106">
      <c r="B106" s="6" t="inlineStr">
        <is>
          <t>【本月实际金额（覆盖）】列留空时按【参数设置】页标准取数；填入数字则以填入数为准。</t>
        </is>
      </c>
    </row>
  </sheetData>
  <mergeCells count="17">
    <mergeCell ref="B2:W2"/>
    <mergeCell ref="V4:V6"/>
    <mergeCell ref="H4:H6"/>
    <mergeCell ref="S5:S6"/>
    <mergeCell ref="D4:D6"/>
    <mergeCell ref="W4:W6"/>
    <mergeCell ref="J5:J6"/>
    <mergeCell ref="B4:B6"/>
    <mergeCell ref="T4:T6"/>
    <mergeCell ref="U4:U6"/>
    <mergeCell ref="E4:E6"/>
    <mergeCell ref="G4:G6"/>
    <mergeCell ref="I4:I6"/>
    <mergeCell ref="J4:S4"/>
    <mergeCell ref="B103:E103"/>
    <mergeCell ref="C4:C6"/>
    <mergeCell ref="F4:F6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N56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2" ht="30" customHeight="1">
      <c r="B2" s="1" t="inlineStr">
        <is>
          <t>2026年  研发费用分摊月度汇总表（元）</t>
        </is>
      </c>
    </row>
    <row r="4" ht="22" customHeight="1">
      <c r="B4" s="5" t="inlineStr">
        <is>
          <t>月份</t>
        </is>
      </c>
      <c r="C4" s="5" t="inlineStr">
        <is>
          <t>费用类别</t>
        </is>
      </c>
      <c r="D4" s="5" t="inlineStr">
        <is>
          <t>非研发承担</t>
        </is>
      </c>
      <c r="E4" s="5" t="inlineStr">
        <is>
          <t>各研发项目分摊金额（元）</t>
        </is>
      </c>
      <c r="F4" s="44" t="n"/>
      <c r="G4" s="44" t="n"/>
      <c r="H4" s="44" t="n"/>
      <c r="I4" s="44" t="n"/>
      <c r="J4" s="44" t="n"/>
      <c r="K4" s="44" t="n"/>
      <c r="L4" s="44" t="n"/>
      <c r="M4" s="45" t="n"/>
      <c r="N4" s="5" t="inlineStr">
        <is>
          <t>费用总额</t>
        </is>
      </c>
    </row>
    <row r="5" ht="22" customHeight="1">
      <c r="B5" s="46" t="n"/>
      <c r="C5" s="46" t="n"/>
      <c r="D5" s="46" t="n"/>
      <c r="E5" s="15">
        <f>'参数设置'!$C$6</f>
        <v/>
      </c>
      <c r="F5" s="15">
        <f>'参数设置'!$C$7</f>
        <v/>
      </c>
      <c r="G5" s="15">
        <f>'参数设置'!$C$8</f>
        <v/>
      </c>
      <c r="H5" s="15">
        <f>'参数设置'!$C$9</f>
        <v/>
      </c>
      <c r="I5" s="15">
        <f>'参数设置'!$C$10</f>
        <v/>
      </c>
      <c r="J5" s="15">
        <f>'参数设置'!$C$11</f>
        <v/>
      </c>
      <c r="K5" s="15">
        <f>'参数设置'!$C$12</f>
        <v/>
      </c>
      <c r="L5" s="15">
        <f>'参数设置'!$C$13</f>
        <v/>
      </c>
      <c r="M5" s="5" t="inlineStr">
        <is>
          <t>研发合计</t>
        </is>
      </c>
      <c r="N5" s="46" t="n"/>
    </row>
    <row r="6" ht="22" customHeight="1">
      <c r="B6" s="47" t="n"/>
      <c r="C6" s="47" t="n"/>
      <c r="D6" s="47" t="n"/>
      <c r="E6" s="15">
        <f>'参数设置'!$D$6</f>
        <v/>
      </c>
      <c r="F6" s="15">
        <f>'参数设置'!$D$7</f>
        <v/>
      </c>
      <c r="G6" s="15">
        <f>'参数设置'!$D$8</f>
        <v/>
      </c>
      <c r="H6" s="15">
        <f>'参数设置'!$D$9</f>
        <v/>
      </c>
      <c r="I6" s="15">
        <f>'参数设置'!$D$10</f>
        <v/>
      </c>
      <c r="J6" s="15">
        <f>'参数设置'!$D$11</f>
        <v/>
      </c>
      <c r="K6" s="15">
        <f>'参数设置'!$D$12</f>
        <v/>
      </c>
      <c r="L6" s="15">
        <f>'参数设置'!$D$13</f>
        <v/>
      </c>
      <c r="M6" s="47" t="n"/>
      <c r="N6" s="47" t="n"/>
    </row>
    <row r="7" ht="19" customHeight="1">
      <c r="B7" s="40" t="n">
        <v>1</v>
      </c>
      <c r="C7" s="4" t="inlineStr">
        <is>
          <t>人员人工费用</t>
        </is>
      </c>
      <c r="D7" s="23">
        <f>SUMIFS('02人员费用分摊'!$J$7:$J$1000,'02人员费用分摊'!$B$7:$B$1000,$B7)</f>
        <v/>
      </c>
      <c r="E7" s="23">
        <f>SUMIFS('02人员费用分摊'!K$7:K$1000,'02人员费用分摊'!$B$7:$B$1000,$B7)</f>
        <v/>
      </c>
      <c r="F7" s="23">
        <f>SUMIFS('02人员费用分摊'!L$7:L$1000,'02人员费用分摊'!$B$7:$B$1000,$B7)</f>
        <v/>
      </c>
      <c r="G7" s="23">
        <f>SUMIFS('02人员费用分摊'!M$7:M$1000,'02人员费用分摊'!$B$7:$B$1000,$B7)</f>
        <v/>
      </c>
      <c r="H7" s="23">
        <f>SUMIFS('02人员费用分摊'!N$7:N$1000,'02人员费用分摊'!$B$7:$B$1000,$B7)</f>
        <v/>
      </c>
      <c r="I7" s="23">
        <f>SUMIFS('02人员费用分摊'!O$7:O$1000,'02人员费用分摊'!$B$7:$B$1000,$B7)</f>
        <v/>
      </c>
      <c r="J7" s="23">
        <f>SUMIFS('02人员费用分摊'!P$7:P$1000,'02人员费用分摊'!$B$7:$B$1000,$B7)</f>
        <v/>
      </c>
      <c r="K7" s="23">
        <f>SUMIFS('02人员费用分摊'!Q$7:Q$1000,'02人员费用分摊'!$B$7:$B$1000,$B7)</f>
        <v/>
      </c>
      <c r="L7" s="23">
        <f>SUMIFS('02人员费用分摊'!R$7:R$1000,'02人员费用分摊'!$B$7:$B$1000,$B7)</f>
        <v/>
      </c>
      <c r="M7" s="12">
        <f>SUM(E7:L7)</f>
        <v/>
      </c>
      <c r="N7" s="12">
        <f>$D7+$M7</f>
        <v/>
      </c>
    </row>
    <row r="8" ht="19" customHeight="1">
      <c r="B8" s="40" t="n">
        <v>1</v>
      </c>
      <c r="C8" s="4" t="inlineStr">
        <is>
          <t>折旧费用</t>
        </is>
      </c>
      <c r="D8" s="23">
        <f>SUMIFS('04设备折旧分摊'!$J$7:$J$1000,'04设备折旧分摊'!$B$7:$B$1000,$B8)</f>
        <v/>
      </c>
      <c r="E8" s="23">
        <f>SUMIFS('04设备折旧分摊'!K$7:K$1000,'04设备折旧分摊'!$B$7:$B$1000,$B8)</f>
        <v/>
      </c>
      <c r="F8" s="23">
        <f>SUMIFS('04设备折旧分摊'!L$7:L$1000,'04设备折旧分摊'!$B$7:$B$1000,$B8)</f>
        <v/>
      </c>
      <c r="G8" s="23">
        <f>SUMIFS('04设备折旧分摊'!M$7:M$1000,'04设备折旧分摊'!$B$7:$B$1000,$B8)</f>
        <v/>
      </c>
      <c r="H8" s="23">
        <f>SUMIFS('04设备折旧分摊'!N$7:N$1000,'04设备折旧分摊'!$B$7:$B$1000,$B8)</f>
        <v/>
      </c>
      <c r="I8" s="23">
        <f>SUMIFS('04设备折旧分摊'!O$7:O$1000,'04设备折旧分摊'!$B$7:$B$1000,$B8)</f>
        <v/>
      </c>
      <c r="J8" s="23">
        <f>SUMIFS('04设备折旧分摊'!P$7:P$1000,'04设备折旧分摊'!$B$7:$B$1000,$B8)</f>
        <v/>
      </c>
      <c r="K8" s="23">
        <f>SUMIFS('04设备折旧分摊'!Q$7:Q$1000,'04设备折旧分摊'!$B$7:$B$1000,$B8)</f>
        <v/>
      </c>
      <c r="L8" s="23">
        <f>SUMIFS('04设备折旧分摊'!R$7:R$1000,'04设备折旧分摊'!$B$7:$B$1000,$B8)</f>
        <v/>
      </c>
      <c r="M8" s="12">
        <f>SUM(E8:L8)</f>
        <v/>
      </c>
      <c r="N8" s="12">
        <f>$D8+$M8</f>
        <v/>
      </c>
    </row>
    <row r="9" ht="19" customHeight="1">
      <c r="B9" s="40" t="n">
        <v>1</v>
      </c>
      <c r="C9" s="4" t="inlineStr">
        <is>
          <t>无形资产摊销费用</t>
        </is>
      </c>
      <c r="D9" s="23">
        <f>SUMIFS('06无形资产摊销分摊'!$J$7:$J$1000,'06无形资产摊销分摊'!$B$7:$B$1000,$B9)</f>
        <v/>
      </c>
      <c r="E9" s="23">
        <f>SUMIFS('06无形资产摊销分摊'!K$7:K$1000,'06无形资产摊销分摊'!$B$7:$B$1000,$B9)</f>
        <v/>
      </c>
      <c r="F9" s="23">
        <f>SUMIFS('06无形资产摊销分摊'!L$7:L$1000,'06无形资产摊销分摊'!$B$7:$B$1000,$B9)</f>
        <v/>
      </c>
      <c r="G9" s="23">
        <f>SUMIFS('06无形资产摊销分摊'!M$7:M$1000,'06无形资产摊销分摊'!$B$7:$B$1000,$B9)</f>
        <v/>
      </c>
      <c r="H9" s="23">
        <f>SUMIFS('06无形资产摊销分摊'!N$7:N$1000,'06无形资产摊销分摊'!$B$7:$B$1000,$B9)</f>
        <v/>
      </c>
      <c r="I9" s="23">
        <f>SUMIFS('06无形资产摊销分摊'!O$7:O$1000,'06无形资产摊销分摊'!$B$7:$B$1000,$B9)</f>
        <v/>
      </c>
      <c r="J9" s="23">
        <f>SUMIFS('06无形资产摊销分摊'!P$7:P$1000,'06无形资产摊销分摊'!$B$7:$B$1000,$B9)</f>
        <v/>
      </c>
      <c r="K9" s="23">
        <f>SUMIFS('06无形资产摊销分摊'!Q$7:Q$1000,'06无形资产摊销分摊'!$B$7:$B$1000,$B9)</f>
        <v/>
      </c>
      <c r="L9" s="23">
        <f>SUMIFS('06无形资产摊销分摊'!R$7:R$1000,'06无形资产摊销分摊'!$B$7:$B$1000,$B9)</f>
        <v/>
      </c>
      <c r="M9" s="12">
        <f>SUM(E9:L9)</f>
        <v/>
      </c>
      <c r="N9" s="12">
        <f>$D9+$M9</f>
        <v/>
      </c>
    </row>
    <row r="10" ht="19" customHeight="1">
      <c r="B10" s="41" t="n">
        <v>1</v>
      </c>
      <c r="C10" s="42" t="inlineStr">
        <is>
          <t>小计</t>
        </is>
      </c>
      <c r="D10" s="43">
        <f>SUM(D7:D9)</f>
        <v/>
      </c>
      <c r="E10" s="43">
        <f>SUM(E7:E9)</f>
        <v/>
      </c>
      <c r="F10" s="43">
        <f>SUM(F7:F9)</f>
        <v/>
      </c>
      <c r="G10" s="43">
        <f>SUM(G7:G9)</f>
        <v/>
      </c>
      <c r="H10" s="43">
        <f>SUM(H7:H9)</f>
        <v/>
      </c>
      <c r="I10" s="43">
        <f>SUM(I7:I9)</f>
        <v/>
      </c>
      <c r="J10" s="43">
        <f>SUM(J7:J9)</f>
        <v/>
      </c>
      <c r="K10" s="43">
        <f>SUM(K7:K9)</f>
        <v/>
      </c>
      <c r="L10" s="43">
        <f>SUM(L7:L9)</f>
        <v/>
      </c>
      <c r="M10" s="43">
        <f>SUM(E10:L10)</f>
        <v/>
      </c>
      <c r="N10" s="43">
        <f>$D10+$M10</f>
        <v/>
      </c>
    </row>
    <row r="11" ht="19" customHeight="1">
      <c r="B11" s="40" t="n">
        <v>2</v>
      </c>
      <c r="C11" s="4" t="inlineStr">
        <is>
          <t>人员人工费用</t>
        </is>
      </c>
      <c r="D11" s="23">
        <f>SUMIFS('02人员费用分摊'!$J$7:$J$1000,'02人员费用分摊'!$B$7:$B$1000,$B11)</f>
        <v/>
      </c>
      <c r="E11" s="23">
        <f>SUMIFS('02人员费用分摊'!K$7:K$1000,'02人员费用分摊'!$B$7:$B$1000,$B11)</f>
        <v/>
      </c>
      <c r="F11" s="23">
        <f>SUMIFS('02人员费用分摊'!L$7:L$1000,'02人员费用分摊'!$B$7:$B$1000,$B11)</f>
        <v/>
      </c>
      <c r="G11" s="23">
        <f>SUMIFS('02人员费用分摊'!M$7:M$1000,'02人员费用分摊'!$B$7:$B$1000,$B11)</f>
        <v/>
      </c>
      <c r="H11" s="23">
        <f>SUMIFS('02人员费用分摊'!N$7:N$1000,'02人员费用分摊'!$B$7:$B$1000,$B11)</f>
        <v/>
      </c>
      <c r="I11" s="23">
        <f>SUMIFS('02人员费用分摊'!O$7:O$1000,'02人员费用分摊'!$B$7:$B$1000,$B11)</f>
        <v/>
      </c>
      <c r="J11" s="23">
        <f>SUMIFS('02人员费用分摊'!P$7:P$1000,'02人员费用分摊'!$B$7:$B$1000,$B11)</f>
        <v/>
      </c>
      <c r="K11" s="23">
        <f>SUMIFS('02人员费用分摊'!Q$7:Q$1000,'02人员费用分摊'!$B$7:$B$1000,$B11)</f>
        <v/>
      </c>
      <c r="L11" s="23">
        <f>SUMIFS('02人员费用分摊'!R$7:R$1000,'02人员费用分摊'!$B$7:$B$1000,$B11)</f>
        <v/>
      </c>
      <c r="M11" s="12">
        <f>SUM(E11:L11)</f>
        <v/>
      </c>
      <c r="N11" s="12">
        <f>$D11+$M11</f>
        <v/>
      </c>
    </row>
    <row r="12" ht="19" customHeight="1">
      <c r="B12" s="40" t="n">
        <v>2</v>
      </c>
      <c r="C12" s="4" t="inlineStr">
        <is>
          <t>折旧费用</t>
        </is>
      </c>
      <c r="D12" s="23">
        <f>SUMIFS('04设备折旧分摊'!$J$7:$J$1000,'04设备折旧分摊'!$B$7:$B$1000,$B12)</f>
        <v/>
      </c>
      <c r="E12" s="23">
        <f>SUMIFS('04设备折旧分摊'!K$7:K$1000,'04设备折旧分摊'!$B$7:$B$1000,$B12)</f>
        <v/>
      </c>
      <c r="F12" s="23">
        <f>SUMIFS('04设备折旧分摊'!L$7:L$1000,'04设备折旧分摊'!$B$7:$B$1000,$B12)</f>
        <v/>
      </c>
      <c r="G12" s="23">
        <f>SUMIFS('04设备折旧分摊'!M$7:M$1000,'04设备折旧分摊'!$B$7:$B$1000,$B12)</f>
        <v/>
      </c>
      <c r="H12" s="23">
        <f>SUMIFS('04设备折旧分摊'!N$7:N$1000,'04设备折旧分摊'!$B$7:$B$1000,$B12)</f>
        <v/>
      </c>
      <c r="I12" s="23">
        <f>SUMIFS('04设备折旧分摊'!O$7:O$1000,'04设备折旧分摊'!$B$7:$B$1000,$B12)</f>
        <v/>
      </c>
      <c r="J12" s="23">
        <f>SUMIFS('04设备折旧分摊'!P$7:P$1000,'04设备折旧分摊'!$B$7:$B$1000,$B12)</f>
        <v/>
      </c>
      <c r="K12" s="23">
        <f>SUMIFS('04设备折旧分摊'!Q$7:Q$1000,'04设备折旧分摊'!$B$7:$B$1000,$B12)</f>
        <v/>
      </c>
      <c r="L12" s="23">
        <f>SUMIFS('04设备折旧分摊'!R$7:R$1000,'04设备折旧分摊'!$B$7:$B$1000,$B12)</f>
        <v/>
      </c>
      <c r="M12" s="12">
        <f>SUM(E12:L12)</f>
        <v/>
      </c>
      <c r="N12" s="12">
        <f>$D12+$M12</f>
        <v/>
      </c>
    </row>
    <row r="13" ht="19" customHeight="1">
      <c r="B13" s="40" t="n">
        <v>2</v>
      </c>
      <c r="C13" s="4" t="inlineStr">
        <is>
          <t>无形资产摊销费用</t>
        </is>
      </c>
      <c r="D13" s="23">
        <f>SUMIFS('06无形资产摊销分摊'!$J$7:$J$1000,'06无形资产摊销分摊'!$B$7:$B$1000,$B13)</f>
        <v/>
      </c>
      <c r="E13" s="23">
        <f>SUMIFS('06无形资产摊销分摊'!K$7:K$1000,'06无形资产摊销分摊'!$B$7:$B$1000,$B13)</f>
        <v/>
      </c>
      <c r="F13" s="23">
        <f>SUMIFS('06无形资产摊销分摊'!L$7:L$1000,'06无形资产摊销分摊'!$B$7:$B$1000,$B13)</f>
        <v/>
      </c>
      <c r="G13" s="23">
        <f>SUMIFS('06无形资产摊销分摊'!M$7:M$1000,'06无形资产摊销分摊'!$B$7:$B$1000,$B13)</f>
        <v/>
      </c>
      <c r="H13" s="23">
        <f>SUMIFS('06无形资产摊销分摊'!N$7:N$1000,'06无形资产摊销分摊'!$B$7:$B$1000,$B13)</f>
        <v/>
      </c>
      <c r="I13" s="23">
        <f>SUMIFS('06无形资产摊销分摊'!O$7:O$1000,'06无形资产摊销分摊'!$B$7:$B$1000,$B13)</f>
        <v/>
      </c>
      <c r="J13" s="23">
        <f>SUMIFS('06无形资产摊销分摊'!P$7:P$1000,'06无形资产摊销分摊'!$B$7:$B$1000,$B13)</f>
        <v/>
      </c>
      <c r="K13" s="23">
        <f>SUMIFS('06无形资产摊销分摊'!Q$7:Q$1000,'06无形资产摊销分摊'!$B$7:$B$1000,$B13)</f>
        <v/>
      </c>
      <c r="L13" s="23">
        <f>SUMIFS('06无形资产摊销分摊'!R$7:R$1000,'06无形资产摊销分摊'!$B$7:$B$1000,$B13)</f>
        <v/>
      </c>
      <c r="M13" s="12">
        <f>SUM(E13:L13)</f>
        <v/>
      </c>
      <c r="N13" s="12">
        <f>$D13+$M13</f>
        <v/>
      </c>
    </row>
    <row r="14" ht="19" customHeight="1">
      <c r="B14" s="41" t="n">
        <v>2</v>
      </c>
      <c r="C14" s="42" t="inlineStr">
        <is>
          <t>小计</t>
        </is>
      </c>
      <c r="D14" s="43">
        <f>SUM(D11:D13)</f>
        <v/>
      </c>
      <c r="E14" s="43">
        <f>SUM(E11:E13)</f>
        <v/>
      </c>
      <c r="F14" s="43">
        <f>SUM(F11:F13)</f>
        <v/>
      </c>
      <c r="G14" s="43">
        <f>SUM(G11:G13)</f>
        <v/>
      </c>
      <c r="H14" s="43">
        <f>SUM(H11:H13)</f>
        <v/>
      </c>
      <c r="I14" s="43">
        <f>SUM(I11:I13)</f>
        <v/>
      </c>
      <c r="J14" s="43">
        <f>SUM(J11:J13)</f>
        <v/>
      </c>
      <c r="K14" s="43">
        <f>SUM(K11:K13)</f>
        <v/>
      </c>
      <c r="L14" s="43">
        <f>SUM(L11:L13)</f>
        <v/>
      </c>
      <c r="M14" s="43">
        <f>SUM(E14:L14)</f>
        <v/>
      </c>
      <c r="N14" s="43">
        <f>$D14+$M14</f>
        <v/>
      </c>
    </row>
    <row r="15" ht="19" customHeight="1">
      <c r="B15" s="40" t="n">
        <v>3</v>
      </c>
      <c r="C15" s="4" t="inlineStr">
        <is>
          <t>人员人工费用</t>
        </is>
      </c>
      <c r="D15" s="23">
        <f>SUMIFS('02人员费用分摊'!$J$7:$J$1000,'02人员费用分摊'!$B$7:$B$1000,$B15)</f>
        <v/>
      </c>
      <c r="E15" s="23">
        <f>SUMIFS('02人员费用分摊'!K$7:K$1000,'02人员费用分摊'!$B$7:$B$1000,$B15)</f>
        <v/>
      </c>
      <c r="F15" s="23">
        <f>SUMIFS('02人员费用分摊'!L$7:L$1000,'02人员费用分摊'!$B$7:$B$1000,$B15)</f>
        <v/>
      </c>
      <c r="G15" s="23">
        <f>SUMIFS('02人员费用分摊'!M$7:M$1000,'02人员费用分摊'!$B$7:$B$1000,$B15)</f>
        <v/>
      </c>
      <c r="H15" s="23">
        <f>SUMIFS('02人员费用分摊'!N$7:N$1000,'02人员费用分摊'!$B$7:$B$1000,$B15)</f>
        <v/>
      </c>
      <c r="I15" s="23">
        <f>SUMIFS('02人员费用分摊'!O$7:O$1000,'02人员费用分摊'!$B$7:$B$1000,$B15)</f>
        <v/>
      </c>
      <c r="J15" s="23">
        <f>SUMIFS('02人员费用分摊'!P$7:P$1000,'02人员费用分摊'!$B$7:$B$1000,$B15)</f>
        <v/>
      </c>
      <c r="K15" s="23">
        <f>SUMIFS('02人员费用分摊'!Q$7:Q$1000,'02人员费用分摊'!$B$7:$B$1000,$B15)</f>
        <v/>
      </c>
      <c r="L15" s="23">
        <f>SUMIFS('02人员费用分摊'!R$7:R$1000,'02人员费用分摊'!$B$7:$B$1000,$B15)</f>
        <v/>
      </c>
      <c r="M15" s="12">
        <f>SUM(E15:L15)</f>
        <v/>
      </c>
      <c r="N15" s="12">
        <f>$D15+$M15</f>
        <v/>
      </c>
    </row>
    <row r="16" ht="19" customHeight="1">
      <c r="B16" s="40" t="n">
        <v>3</v>
      </c>
      <c r="C16" s="4" t="inlineStr">
        <is>
          <t>折旧费用</t>
        </is>
      </c>
      <c r="D16" s="23">
        <f>SUMIFS('04设备折旧分摊'!$J$7:$J$1000,'04设备折旧分摊'!$B$7:$B$1000,$B16)</f>
        <v/>
      </c>
      <c r="E16" s="23">
        <f>SUMIFS('04设备折旧分摊'!K$7:K$1000,'04设备折旧分摊'!$B$7:$B$1000,$B16)</f>
        <v/>
      </c>
      <c r="F16" s="23">
        <f>SUMIFS('04设备折旧分摊'!L$7:L$1000,'04设备折旧分摊'!$B$7:$B$1000,$B16)</f>
        <v/>
      </c>
      <c r="G16" s="23">
        <f>SUMIFS('04设备折旧分摊'!M$7:M$1000,'04设备折旧分摊'!$B$7:$B$1000,$B16)</f>
        <v/>
      </c>
      <c r="H16" s="23">
        <f>SUMIFS('04设备折旧分摊'!N$7:N$1000,'04设备折旧分摊'!$B$7:$B$1000,$B16)</f>
        <v/>
      </c>
      <c r="I16" s="23">
        <f>SUMIFS('04设备折旧分摊'!O$7:O$1000,'04设备折旧分摊'!$B$7:$B$1000,$B16)</f>
        <v/>
      </c>
      <c r="J16" s="23">
        <f>SUMIFS('04设备折旧分摊'!P$7:P$1000,'04设备折旧分摊'!$B$7:$B$1000,$B16)</f>
        <v/>
      </c>
      <c r="K16" s="23">
        <f>SUMIFS('04设备折旧分摊'!Q$7:Q$1000,'04设备折旧分摊'!$B$7:$B$1000,$B16)</f>
        <v/>
      </c>
      <c r="L16" s="23">
        <f>SUMIFS('04设备折旧分摊'!R$7:R$1000,'04设备折旧分摊'!$B$7:$B$1000,$B16)</f>
        <v/>
      </c>
      <c r="M16" s="12">
        <f>SUM(E16:L16)</f>
        <v/>
      </c>
      <c r="N16" s="12">
        <f>$D16+$M16</f>
        <v/>
      </c>
    </row>
    <row r="17" ht="19" customHeight="1">
      <c r="B17" s="40" t="n">
        <v>3</v>
      </c>
      <c r="C17" s="4" t="inlineStr">
        <is>
          <t>无形资产摊销费用</t>
        </is>
      </c>
      <c r="D17" s="23">
        <f>SUMIFS('06无形资产摊销分摊'!$J$7:$J$1000,'06无形资产摊销分摊'!$B$7:$B$1000,$B17)</f>
        <v/>
      </c>
      <c r="E17" s="23">
        <f>SUMIFS('06无形资产摊销分摊'!K$7:K$1000,'06无形资产摊销分摊'!$B$7:$B$1000,$B17)</f>
        <v/>
      </c>
      <c r="F17" s="23">
        <f>SUMIFS('06无形资产摊销分摊'!L$7:L$1000,'06无形资产摊销分摊'!$B$7:$B$1000,$B17)</f>
        <v/>
      </c>
      <c r="G17" s="23">
        <f>SUMIFS('06无形资产摊销分摊'!M$7:M$1000,'06无形资产摊销分摊'!$B$7:$B$1000,$B17)</f>
        <v/>
      </c>
      <c r="H17" s="23">
        <f>SUMIFS('06无形资产摊销分摊'!N$7:N$1000,'06无形资产摊销分摊'!$B$7:$B$1000,$B17)</f>
        <v/>
      </c>
      <c r="I17" s="23">
        <f>SUMIFS('06无形资产摊销分摊'!O$7:O$1000,'06无形资产摊销分摊'!$B$7:$B$1000,$B17)</f>
        <v/>
      </c>
      <c r="J17" s="23">
        <f>SUMIFS('06无形资产摊销分摊'!P$7:P$1000,'06无形资产摊销分摊'!$B$7:$B$1000,$B17)</f>
        <v/>
      </c>
      <c r="K17" s="23">
        <f>SUMIFS('06无形资产摊销分摊'!Q$7:Q$1000,'06无形资产摊销分摊'!$B$7:$B$1000,$B17)</f>
        <v/>
      </c>
      <c r="L17" s="23">
        <f>SUMIFS('06无形资产摊销分摊'!R$7:R$1000,'06无形资产摊销分摊'!$B$7:$B$1000,$B17)</f>
        <v/>
      </c>
      <c r="M17" s="12">
        <f>SUM(E17:L17)</f>
        <v/>
      </c>
      <c r="N17" s="12">
        <f>$D17+$M17</f>
        <v/>
      </c>
    </row>
    <row r="18" ht="19" customHeight="1">
      <c r="B18" s="41" t="n">
        <v>3</v>
      </c>
      <c r="C18" s="42" t="inlineStr">
        <is>
          <t>小计</t>
        </is>
      </c>
      <c r="D18" s="43">
        <f>SUM(D15:D17)</f>
        <v/>
      </c>
      <c r="E18" s="43">
        <f>SUM(E15:E17)</f>
        <v/>
      </c>
      <c r="F18" s="43">
        <f>SUM(F15:F17)</f>
        <v/>
      </c>
      <c r="G18" s="43">
        <f>SUM(G15:G17)</f>
        <v/>
      </c>
      <c r="H18" s="43">
        <f>SUM(H15:H17)</f>
        <v/>
      </c>
      <c r="I18" s="43">
        <f>SUM(I15:I17)</f>
        <v/>
      </c>
      <c r="J18" s="43">
        <f>SUM(J15:J17)</f>
        <v/>
      </c>
      <c r="K18" s="43">
        <f>SUM(K15:K17)</f>
        <v/>
      </c>
      <c r="L18" s="43">
        <f>SUM(L15:L17)</f>
        <v/>
      </c>
      <c r="M18" s="43">
        <f>SUM(E18:L18)</f>
        <v/>
      </c>
      <c r="N18" s="43">
        <f>$D18+$M18</f>
        <v/>
      </c>
    </row>
    <row r="19" ht="19" customHeight="1">
      <c r="B19" s="40" t="n">
        <v>4</v>
      </c>
      <c r="C19" s="4" t="inlineStr">
        <is>
          <t>人员人工费用</t>
        </is>
      </c>
      <c r="D19" s="23">
        <f>SUMIFS('02人员费用分摊'!$J$7:$J$1000,'02人员费用分摊'!$B$7:$B$1000,$B19)</f>
        <v/>
      </c>
      <c r="E19" s="23">
        <f>SUMIFS('02人员费用分摊'!K$7:K$1000,'02人员费用分摊'!$B$7:$B$1000,$B19)</f>
        <v/>
      </c>
      <c r="F19" s="23">
        <f>SUMIFS('02人员费用分摊'!L$7:L$1000,'02人员费用分摊'!$B$7:$B$1000,$B19)</f>
        <v/>
      </c>
      <c r="G19" s="23">
        <f>SUMIFS('02人员费用分摊'!M$7:M$1000,'02人员费用分摊'!$B$7:$B$1000,$B19)</f>
        <v/>
      </c>
      <c r="H19" s="23">
        <f>SUMIFS('02人员费用分摊'!N$7:N$1000,'02人员费用分摊'!$B$7:$B$1000,$B19)</f>
        <v/>
      </c>
      <c r="I19" s="23">
        <f>SUMIFS('02人员费用分摊'!O$7:O$1000,'02人员费用分摊'!$B$7:$B$1000,$B19)</f>
        <v/>
      </c>
      <c r="J19" s="23">
        <f>SUMIFS('02人员费用分摊'!P$7:P$1000,'02人员费用分摊'!$B$7:$B$1000,$B19)</f>
        <v/>
      </c>
      <c r="K19" s="23">
        <f>SUMIFS('02人员费用分摊'!Q$7:Q$1000,'02人员费用分摊'!$B$7:$B$1000,$B19)</f>
        <v/>
      </c>
      <c r="L19" s="23">
        <f>SUMIFS('02人员费用分摊'!R$7:R$1000,'02人员费用分摊'!$B$7:$B$1000,$B19)</f>
        <v/>
      </c>
      <c r="M19" s="12">
        <f>SUM(E19:L19)</f>
        <v/>
      </c>
      <c r="N19" s="12">
        <f>$D19+$M19</f>
        <v/>
      </c>
    </row>
    <row r="20" ht="19" customHeight="1">
      <c r="B20" s="40" t="n">
        <v>4</v>
      </c>
      <c r="C20" s="4" t="inlineStr">
        <is>
          <t>折旧费用</t>
        </is>
      </c>
      <c r="D20" s="23">
        <f>SUMIFS('04设备折旧分摊'!$J$7:$J$1000,'04设备折旧分摊'!$B$7:$B$1000,$B20)</f>
        <v/>
      </c>
      <c r="E20" s="23">
        <f>SUMIFS('04设备折旧分摊'!K$7:K$1000,'04设备折旧分摊'!$B$7:$B$1000,$B20)</f>
        <v/>
      </c>
      <c r="F20" s="23">
        <f>SUMIFS('04设备折旧分摊'!L$7:L$1000,'04设备折旧分摊'!$B$7:$B$1000,$B20)</f>
        <v/>
      </c>
      <c r="G20" s="23">
        <f>SUMIFS('04设备折旧分摊'!M$7:M$1000,'04设备折旧分摊'!$B$7:$B$1000,$B20)</f>
        <v/>
      </c>
      <c r="H20" s="23">
        <f>SUMIFS('04设备折旧分摊'!N$7:N$1000,'04设备折旧分摊'!$B$7:$B$1000,$B20)</f>
        <v/>
      </c>
      <c r="I20" s="23">
        <f>SUMIFS('04设备折旧分摊'!O$7:O$1000,'04设备折旧分摊'!$B$7:$B$1000,$B20)</f>
        <v/>
      </c>
      <c r="J20" s="23">
        <f>SUMIFS('04设备折旧分摊'!P$7:P$1000,'04设备折旧分摊'!$B$7:$B$1000,$B20)</f>
        <v/>
      </c>
      <c r="K20" s="23">
        <f>SUMIFS('04设备折旧分摊'!Q$7:Q$1000,'04设备折旧分摊'!$B$7:$B$1000,$B20)</f>
        <v/>
      </c>
      <c r="L20" s="23">
        <f>SUMIFS('04设备折旧分摊'!R$7:R$1000,'04设备折旧分摊'!$B$7:$B$1000,$B20)</f>
        <v/>
      </c>
      <c r="M20" s="12">
        <f>SUM(E20:L20)</f>
        <v/>
      </c>
      <c r="N20" s="12">
        <f>$D20+$M20</f>
        <v/>
      </c>
    </row>
    <row r="21" ht="19" customHeight="1">
      <c r="B21" s="40" t="n">
        <v>4</v>
      </c>
      <c r="C21" s="4" t="inlineStr">
        <is>
          <t>无形资产摊销费用</t>
        </is>
      </c>
      <c r="D21" s="23">
        <f>SUMIFS('06无形资产摊销分摊'!$J$7:$J$1000,'06无形资产摊销分摊'!$B$7:$B$1000,$B21)</f>
        <v/>
      </c>
      <c r="E21" s="23">
        <f>SUMIFS('06无形资产摊销分摊'!K$7:K$1000,'06无形资产摊销分摊'!$B$7:$B$1000,$B21)</f>
        <v/>
      </c>
      <c r="F21" s="23">
        <f>SUMIFS('06无形资产摊销分摊'!L$7:L$1000,'06无形资产摊销分摊'!$B$7:$B$1000,$B21)</f>
        <v/>
      </c>
      <c r="G21" s="23">
        <f>SUMIFS('06无形资产摊销分摊'!M$7:M$1000,'06无形资产摊销分摊'!$B$7:$B$1000,$B21)</f>
        <v/>
      </c>
      <c r="H21" s="23">
        <f>SUMIFS('06无形资产摊销分摊'!N$7:N$1000,'06无形资产摊销分摊'!$B$7:$B$1000,$B21)</f>
        <v/>
      </c>
      <c r="I21" s="23">
        <f>SUMIFS('06无形资产摊销分摊'!O$7:O$1000,'06无形资产摊销分摊'!$B$7:$B$1000,$B21)</f>
        <v/>
      </c>
      <c r="J21" s="23">
        <f>SUMIFS('06无形资产摊销分摊'!P$7:P$1000,'06无形资产摊销分摊'!$B$7:$B$1000,$B21)</f>
        <v/>
      </c>
      <c r="K21" s="23">
        <f>SUMIFS('06无形资产摊销分摊'!Q$7:Q$1000,'06无形资产摊销分摊'!$B$7:$B$1000,$B21)</f>
        <v/>
      </c>
      <c r="L21" s="23">
        <f>SUMIFS('06无形资产摊销分摊'!R$7:R$1000,'06无形资产摊销分摊'!$B$7:$B$1000,$B21)</f>
        <v/>
      </c>
      <c r="M21" s="12">
        <f>SUM(E21:L21)</f>
        <v/>
      </c>
      <c r="N21" s="12">
        <f>$D21+$M21</f>
        <v/>
      </c>
    </row>
    <row r="22" ht="19" customHeight="1">
      <c r="B22" s="41" t="n">
        <v>4</v>
      </c>
      <c r="C22" s="42" t="inlineStr">
        <is>
          <t>小计</t>
        </is>
      </c>
      <c r="D22" s="43">
        <f>SUM(D19:D21)</f>
        <v/>
      </c>
      <c r="E22" s="43">
        <f>SUM(E19:E21)</f>
        <v/>
      </c>
      <c r="F22" s="43">
        <f>SUM(F19:F21)</f>
        <v/>
      </c>
      <c r="G22" s="43">
        <f>SUM(G19:G21)</f>
        <v/>
      </c>
      <c r="H22" s="43">
        <f>SUM(H19:H21)</f>
        <v/>
      </c>
      <c r="I22" s="43">
        <f>SUM(I19:I21)</f>
        <v/>
      </c>
      <c r="J22" s="43">
        <f>SUM(J19:J21)</f>
        <v/>
      </c>
      <c r="K22" s="43">
        <f>SUM(K19:K21)</f>
        <v/>
      </c>
      <c r="L22" s="43">
        <f>SUM(L19:L21)</f>
        <v/>
      </c>
      <c r="M22" s="43">
        <f>SUM(E22:L22)</f>
        <v/>
      </c>
      <c r="N22" s="43">
        <f>$D22+$M22</f>
        <v/>
      </c>
    </row>
    <row r="23" ht="19" customHeight="1">
      <c r="B23" s="40" t="n">
        <v>5</v>
      </c>
      <c r="C23" s="4" t="inlineStr">
        <is>
          <t>人员人工费用</t>
        </is>
      </c>
      <c r="D23" s="23">
        <f>SUMIFS('02人员费用分摊'!$J$7:$J$1000,'02人员费用分摊'!$B$7:$B$1000,$B23)</f>
        <v/>
      </c>
      <c r="E23" s="23">
        <f>SUMIFS('02人员费用分摊'!K$7:K$1000,'02人员费用分摊'!$B$7:$B$1000,$B23)</f>
        <v/>
      </c>
      <c r="F23" s="23">
        <f>SUMIFS('02人员费用分摊'!L$7:L$1000,'02人员费用分摊'!$B$7:$B$1000,$B23)</f>
        <v/>
      </c>
      <c r="G23" s="23">
        <f>SUMIFS('02人员费用分摊'!M$7:M$1000,'02人员费用分摊'!$B$7:$B$1000,$B23)</f>
        <v/>
      </c>
      <c r="H23" s="23">
        <f>SUMIFS('02人员费用分摊'!N$7:N$1000,'02人员费用分摊'!$B$7:$B$1000,$B23)</f>
        <v/>
      </c>
      <c r="I23" s="23">
        <f>SUMIFS('02人员费用分摊'!O$7:O$1000,'02人员费用分摊'!$B$7:$B$1000,$B23)</f>
        <v/>
      </c>
      <c r="J23" s="23">
        <f>SUMIFS('02人员费用分摊'!P$7:P$1000,'02人员费用分摊'!$B$7:$B$1000,$B23)</f>
        <v/>
      </c>
      <c r="K23" s="23">
        <f>SUMIFS('02人员费用分摊'!Q$7:Q$1000,'02人员费用分摊'!$B$7:$B$1000,$B23)</f>
        <v/>
      </c>
      <c r="L23" s="23">
        <f>SUMIFS('02人员费用分摊'!R$7:R$1000,'02人员费用分摊'!$B$7:$B$1000,$B23)</f>
        <v/>
      </c>
      <c r="M23" s="12">
        <f>SUM(E23:L23)</f>
        <v/>
      </c>
      <c r="N23" s="12">
        <f>$D23+$M23</f>
        <v/>
      </c>
    </row>
    <row r="24" ht="19" customHeight="1">
      <c r="B24" s="40" t="n">
        <v>5</v>
      </c>
      <c r="C24" s="4" t="inlineStr">
        <is>
          <t>折旧费用</t>
        </is>
      </c>
      <c r="D24" s="23">
        <f>SUMIFS('04设备折旧分摊'!$J$7:$J$1000,'04设备折旧分摊'!$B$7:$B$1000,$B24)</f>
        <v/>
      </c>
      <c r="E24" s="23">
        <f>SUMIFS('04设备折旧分摊'!K$7:K$1000,'04设备折旧分摊'!$B$7:$B$1000,$B24)</f>
        <v/>
      </c>
      <c r="F24" s="23">
        <f>SUMIFS('04设备折旧分摊'!L$7:L$1000,'04设备折旧分摊'!$B$7:$B$1000,$B24)</f>
        <v/>
      </c>
      <c r="G24" s="23">
        <f>SUMIFS('04设备折旧分摊'!M$7:M$1000,'04设备折旧分摊'!$B$7:$B$1000,$B24)</f>
        <v/>
      </c>
      <c r="H24" s="23">
        <f>SUMIFS('04设备折旧分摊'!N$7:N$1000,'04设备折旧分摊'!$B$7:$B$1000,$B24)</f>
        <v/>
      </c>
      <c r="I24" s="23">
        <f>SUMIFS('04设备折旧分摊'!O$7:O$1000,'04设备折旧分摊'!$B$7:$B$1000,$B24)</f>
        <v/>
      </c>
      <c r="J24" s="23">
        <f>SUMIFS('04设备折旧分摊'!P$7:P$1000,'04设备折旧分摊'!$B$7:$B$1000,$B24)</f>
        <v/>
      </c>
      <c r="K24" s="23">
        <f>SUMIFS('04设备折旧分摊'!Q$7:Q$1000,'04设备折旧分摊'!$B$7:$B$1000,$B24)</f>
        <v/>
      </c>
      <c r="L24" s="23">
        <f>SUMIFS('04设备折旧分摊'!R$7:R$1000,'04设备折旧分摊'!$B$7:$B$1000,$B24)</f>
        <v/>
      </c>
      <c r="M24" s="12">
        <f>SUM(E24:L24)</f>
        <v/>
      </c>
      <c r="N24" s="12">
        <f>$D24+$M24</f>
        <v/>
      </c>
    </row>
    <row r="25" ht="19" customHeight="1">
      <c r="B25" s="40" t="n">
        <v>5</v>
      </c>
      <c r="C25" s="4" t="inlineStr">
        <is>
          <t>无形资产摊销费用</t>
        </is>
      </c>
      <c r="D25" s="23">
        <f>SUMIFS('06无形资产摊销分摊'!$J$7:$J$1000,'06无形资产摊销分摊'!$B$7:$B$1000,$B25)</f>
        <v/>
      </c>
      <c r="E25" s="23">
        <f>SUMIFS('06无形资产摊销分摊'!K$7:K$1000,'06无形资产摊销分摊'!$B$7:$B$1000,$B25)</f>
        <v/>
      </c>
      <c r="F25" s="23">
        <f>SUMIFS('06无形资产摊销分摊'!L$7:L$1000,'06无形资产摊销分摊'!$B$7:$B$1000,$B25)</f>
        <v/>
      </c>
      <c r="G25" s="23">
        <f>SUMIFS('06无形资产摊销分摊'!M$7:M$1000,'06无形资产摊销分摊'!$B$7:$B$1000,$B25)</f>
        <v/>
      </c>
      <c r="H25" s="23">
        <f>SUMIFS('06无形资产摊销分摊'!N$7:N$1000,'06无形资产摊销分摊'!$B$7:$B$1000,$B25)</f>
        <v/>
      </c>
      <c r="I25" s="23">
        <f>SUMIFS('06无形资产摊销分摊'!O$7:O$1000,'06无形资产摊销分摊'!$B$7:$B$1000,$B25)</f>
        <v/>
      </c>
      <c r="J25" s="23">
        <f>SUMIFS('06无形资产摊销分摊'!P$7:P$1000,'06无形资产摊销分摊'!$B$7:$B$1000,$B25)</f>
        <v/>
      </c>
      <c r="K25" s="23">
        <f>SUMIFS('06无形资产摊销分摊'!Q$7:Q$1000,'06无形资产摊销分摊'!$B$7:$B$1000,$B25)</f>
        <v/>
      </c>
      <c r="L25" s="23">
        <f>SUMIFS('06无形资产摊销分摊'!R$7:R$1000,'06无形资产摊销分摊'!$B$7:$B$1000,$B25)</f>
        <v/>
      </c>
      <c r="M25" s="12">
        <f>SUM(E25:L25)</f>
        <v/>
      </c>
      <c r="N25" s="12">
        <f>$D25+$M25</f>
        <v/>
      </c>
    </row>
    <row r="26" ht="19" customHeight="1">
      <c r="B26" s="41" t="n">
        <v>5</v>
      </c>
      <c r="C26" s="42" t="inlineStr">
        <is>
          <t>小计</t>
        </is>
      </c>
      <c r="D26" s="43">
        <f>SUM(D23:D25)</f>
        <v/>
      </c>
      <c r="E26" s="43">
        <f>SUM(E23:E25)</f>
        <v/>
      </c>
      <c r="F26" s="43">
        <f>SUM(F23:F25)</f>
        <v/>
      </c>
      <c r="G26" s="43">
        <f>SUM(G23:G25)</f>
        <v/>
      </c>
      <c r="H26" s="43">
        <f>SUM(H23:H25)</f>
        <v/>
      </c>
      <c r="I26" s="43">
        <f>SUM(I23:I25)</f>
        <v/>
      </c>
      <c r="J26" s="43">
        <f>SUM(J23:J25)</f>
        <v/>
      </c>
      <c r="K26" s="43">
        <f>SUM(K23:K25)</f>
        <v/>
      </c>
      <c r="L26" s="43">
        <f>SUM(L23:L25)</f>
        <v/>
      </c>
      <c r="M26" s="43">
        <f>SUM(E26:L26)</f>
        <v/>
      </c>
      <c r="N26" s="43">
        <f>$D26+$M26</f>
        <v/>
      </c>
    </row>
    <row r="27" ht="19" customHeight="1">
      <c r="B27" s="40" t="n">
        <v>6</v>
      </c>
      <c r="C27" s="4" t="inlineStr">
        <is>
          <t>人员人工费用</t>
        </is>
      </c>
      <c r="D27" s="23">
        <f>SUMIFS('02人员费用分摊'!$J$7:$J$1000,'02人员费用分摊'!$B$7:$B$1000,$B27)</f>
        <v/>
      </c>
      <c r="E27" s="23">
        <f>SUMIFS('02人员费用分摊'!K$7:K$1000,'02人员费用分摊'!$B$7:$B$1000,$B27)</f>
        <v/>
      </c>
      <c r="F27" s="23">
        <f>SUMIFS('02人员费用分摊'!L$7:L$1000,'02人员费用分摊'!$B$7:$B$1000,$B27)</f>
        <v/>
      </c>
      <c r="G27" s="23">
        <f>SUMIFS('02人员费用分摊'!M$7:M$1000,'02人员费用分摊'!$B$7:$B$1000,$B27)</f>
        <v/>
      </c>
      <c r="H27" s="23">
        <f>SUMIFS('02人员费用分摊'!N$7:N$1000,'02人员费用分摊'!$B$7:$B$1000,$B27)</f>
        <v/>
      </c>
      <c r="I27" s="23">
        <f>SUMIFS('02人员费用分摊'!O$7:O$1000,'02人员费用分摊'!$B$7:$B$1000,$B27)</f>
        <v/>
      </c>
      <c r="J27" s="23">
        <f>SUMIFS('02人员费用分摊'!P$7:P$1000,'02人员费用分摊'!$B$7:$B$1000,$B27)</f>
        <v/>
      </c>
      <c r="K27" s="23">
        <f>SUMIFS('02人员费用分摊'!Q$7:Q$1000,'02人员费用分摊'!$B$7:$B$1000,$B27)</f>
        <v/>
      </c>
      <c r="L27" s="23">
        <f>SUMIFS('02人员费用分摊'!R$7:R$1000,'02人员费用分摊'!$B$7:$B$1000,$B27)</f>
        <v/>
      </c>
      <c r="M27" s="12">
        <f>SUM(E27:L27)</f>
        <v/>
      </c>
      <c r="N27" s="12">
        <f>$D27+$M27</f>
        <v/>
      </c>
    </row>
    <row r="28" ht="19" customHeight="1">
      <c r="B28" s="40" t="n">
        <v>6</v>
      </c>
      <c r="C28" s="4" t="inlineStr">
        <is>
          <t>折旧费用</t>
        </is>
      </c>
      <c r="D28" s="23">
        <f>SUMIFS('04设备折旧分摊'!$J$7:$J$1000,'04设备折旧分摊'!$B$7:$B$1000,$B28)</f>
        <v/>
      </c>
      <c r="E28" s="23">
        <f>SUMIFS('04设备折旧分摊'!K$7:K$1000,'04设备折旧分摊'!$B$7:$B$1000,$B28)</f>
        <v/>
      </c>
      <c r="F28" s="23">
        <f>SUMIFS('04设备折旧分摊'!L$7:L$1000,'04设备折旧分摊'!$B$7:$B$1000,$B28)</f>
        <v/>
      </c>
      <c r="G28" s="23">
        <f>SUMIFS('04设备折旧分摊'!M$7:M$1000,'04设备折旧分摊'!$B$7:$B$1000,$B28)</f>
        <v/>
      </c>
      <c r="H28" s="23">
        <f>SUMIFS('04设备折旧分摊'!N$7:N$1000,'04设备折旧分摊'!$B$7:$B$1000,$B28)</f>
        <v/>
      </c>
      <c r="I28" s="23">
        <f>SUMIFS('04设备折旧分摊'!O$7:O$1000,'04设备折旧分摊'!$B$7:$B$1000,$B28)</f>
        <v/>
      </c>
      <c r="J28" s="23">
        <f>SUMIFS('04设备折旧分摊'!P$7:P$1000,'04设备折旧分摊'!$B$7:$B$1000,$B28)</f>
        <v/>
      </c>
      <c r="K28" s="23">
        <f>SUMIFS('04设备折旧分摊'!Q$7:Q$1000,'04设备折旧分摊'!$B$7:$B$1000,$B28)</f>
        <v/>
      </c>
      <c r="L28" s="23">
        <f>SUMIFS('04设备折旧分摊'!R$7:R$1000,'04设备折旧分摊'!$B$7:$B$1000,$B28)</f>
        <v/>
      </c>
      <c r="M28" s="12">
        <f>SUM(E28:L28)</f>
        <v/>
      </c>
      <c r="N28" s="12">
        <f>$D28+$M28</f>
        <v/>
      </c>
    </row>
    <row r="29" ht="19" customHeight="1">
      <c r="B29" s="40" t="n">
        <v>6</v>
      </c>
      <c r="C29" s="4" t="inlineStr">
        <is>
          <t>无形资产摊销费用</t>
        </is>
      </c>
      <c r="D29" s="23">
        <f>SUMIFS('06无形资产摊销分摊'!$J$7:$J$1000,'06无形资产摊销分摊'!$B$7:$B$1000,$B29)</f>
        <v/>
      </c>
      <c r="E29" s="23">
        <f>SUMIFS('06无形资产摊销分摊'!K$7:K$1000,'06无形资产摊销分摊'!$B$7:$B$1000,$B29)</f>
        <v/>
      </c>
      <c r="F29" s="23">
        <f>SUMIFS('06无形资产摊销分摊'!L$7:L$1000,'06无形资产摊销分摊'!$B$7:$B$1000,$B29)</f>
        <v/>
      </c>
      <c r="G29" s="23">
        <f>SUMIFS('06无形资产摊销分摊'!M$7:M$1000,'06无形资产摊销分摊'!$B$7:$B$1000,$B29)</f>
        <v/>
      </c>
      <c r="H29" s="23">
        <f>SUMIFS('06无形资产摊销分摊'!N$7:N$1000,'06无形资产摊销分摊'!$B$7:$B$1000,$B29)</f>
        <v/>
      </c>
      <c r="I29" s="23">
        <f>SUMIFS('06无形资产摊销分摊'!O$7:O$1000,'06无形资产摊销分摊'!$B$7:$B$1000,$B29)</f>
        <v/>
      </c>
      <c r="J29" s="23">
        <f>SUMIFS('06无形资产摊销分摊'!P$7:P$1000,'06无形资产摊销分摊'!$B$7:$B$1000,$B29)</f>
        <v/>
      </c>
      <c r="K29" s="23">
        <f>SUMIFS('06无形资产摊销分摊'!Q$7:Q$1000,'06无形资产摊销分摊'!$B$7:$B$1000,$B29)</f>
        <v/>
      </c>
      <c r="L29" s="23">
        <f>SUMIFS('06无形资产摊销分摊'!R$7:R$1000,'06无形资产摊销分摊'!$B$7:$B$1000,$B29)</f>
        <v/>
      </c>
      <c r="M29" s="12">
        <f>SUM(E29:L29)</f>
        <v/>
      </c>
      <c r="N29" s="12">
        <f>$D29+$M29</f>
        <v/>
      </c>
    </row>
    <row r="30" ht="19" customHeight="1">
      <c r="B30" s="41" t="n">
        <v>6</v>
      </c>
      <c r="C30" s="42" t="inlineStr">
        <is>
          <t>小计</t>
        </is>
      </c>
      <c r="D30" s="43">
        <f>SUM(D27:D29)</f>
        <v/>
      </c>
      <c r="E30" s="43">
        <f>SUM(E27:E29)</f>
        <v/>
      </c>
      <c r="F30" s="43">
        <f>SUM(F27:F29)</f>
        <v/>
      </c>
      <c r="G30" s="43">
        <f>SUM(G27:G29)</f>
        <v/>
      </c>
      <c r="H30" s="43">
        <f>SUM(H27:H29)</f>
        <v/>
      </c>
      <c r="I30" s="43">
        <f>SUM(I27:I29)</f>
        <v/>
      </c>
      <c r="J30" s="43">
        <f>SUM(J27:J29)</f>
        <v/>
      </c>
      <c r="K30" s="43">
        <f>SUM(K27:K29)</f>
        <v/>
      </c>
      <c r="L30" s="43">
        <f>SUM(L27:L29)</f>
        <v/>
      </c>
      <c r="M30" s="43">
        <f>SUM(E30:L30)</f>
        <v/>
      </c>
      <c r="N30" s="43">
        <f>$D30+$M30</f>
        <v/>
      </c>
    </row>
    <row r="31" ht="19" customHeight="1">
      <c r="B31" s="40" t="n">
        <v>7</v>
      </c>
      <c r="C31" s="4" t="inlineStr">
        <is>
          <t>人员人工费用</t>
        </is>
      </c>
      <c r="D31" s="23">
        <f>SUMIFS('02人员费用分摊'!$J$7:$J$1000,'02人员费用分摊'!$B$7:$B$1000,$B31)</f>
        <v/>
      </c>
      <c r="E31" s="23">
        <f>SUMIFS('02人员费用分摊'!K$7:K$1000,'02人员费用分摊'!$B$7:$B$1000,$B31)</f>
        <v/>
      </c>
      <c r="F31" s="23">
        <f>SUMIFS('02人员费用分摊'!L$7:L$1000,'02人员费用分摊'!$B$7:$B$1000,$B31)</f>
        <v/>
      </c>
      <c r="G31" s="23">
        <f>SUMIFS('02人员费用分摊'!M$7:M$1000,'02人员费用分摊'!$B$7:$B$1000,$B31)</f>
        <v/>
      </c>
      <c r="H31" s="23">
        <f>SUMIFS('02人员费用分摊'!N$7:N$1000,'02人员费用分摊'!$B$7:$B$1000,$B31)</f>
        <v/>
      </c>
      <c r="I31" s="23">
        <f>SUMIFS('02人员费用分摊'!O$7:O$1000,'02人员费用分摊'!$B$7:$B$1000,$B31)</f>
        <v/>
      </c>
      <c r="J31" s="23">
        <f>SUMIFS('02人员费用分摊'!P$7:P$1000,'02人员费用分摊'!$B$7:$B$1000,$B31)</f>
        <v/>
      </c>
      <c r="K31" s="23">
        <f>SUMIFS('02人员费用分摊'!Q$7:Q$1000,'02人员费用分摊'!$B$7:$B$1000,$B31)</f>
        <v/>
      </c>
      <c r="L31" s="23">
        <f>SUMIFS('02人员费用分摊'!R$7:R$1000,'02人员费用分摊'!$B$7:$B$1000,$B31)</f>
        <v/>
      </c>
      <c r="M31" s="12">
        <f>SUM(E31:L31)</f>
        <v/>
      </c>
      <c r="N31" s="12">
        <f>$D31+$M31</f>
        <v/>
      </c>
    </row>
    <row r="32" ht="19" customHeight="1">
      <c r="B32" s="40" t="n">
        <v>7</v>
      </c>
      <c r="C32" s="4" t="inlineStr">
        <is>
          <t>折旧费用</t>
        </is>
      </c>
      <c r="D32" s="23">
        <f>SUMIFS('04设备折旧分摊'!$J$7:$J$1000,'04设备折旧分摊'!$B$7:$B$1000,$B32)</f>
        <v/>
      </c>
      <c r="E32" s="23">
        <f>SUMIFS('04设备折旧分摊'!K$7:K$1000,'04设备折旧分摊'!$B$7:$B$1000,$B32)</f>
        <v/>
      </c>
      <c r="F32" s="23">
        <f>SUMIFS('04设备折旧分摊'!L$7:L$1000,'04设备折旧分摊'!$B$7:$B$1000,$B32)</f>
        <v/>
      </c>
      <c r="G32" s="23">
        <f>SUMIFS('04设备折旧分摊'!M$7:M$1000,'04设备折旧分摊'!$B$7:$B$1000,$B32)</f>
        <v/>
      </c>
      <c r="H32" s="23">
        <f>SUMIFS('04设备折旧分摊'!N$7:N$1000,'04设备折旧分摊'!$B$7:$B$1000,$B32)</f>
        <v/>
      </c>
      <c r="I32" s="23">
        <f>SUMIFS('04设备折旧分摊'!O$7:O$1000,'04设备折旧分摊'!$B$7:$B$1000,$B32)</f>
        <v/>
      </c>
      <c r="J32" s="23">
        <f>SUMIFS('04设备折旧分摊'!P$7:P$1000,'04设备折旧分摊'!$B$7:$B$1000,$B32)</f>
        <v/>
      </c>
      <c r="K32" s="23">
        <f>SUMIFS('04设备折旧分摊'!Q$7:Q$1000,'04设备折旧分摊'!$B$7:$B$1000,$B32)</f>
        <v/>
      </c>
      <c r="L32" s="23">
        <f>SUMIFS('04设备折旧分摊'!R$7:R$1000,'04设备折旧分摊'!$B$7:$B$1000,$B32)</f>
        <v/>
      </c>
      <c r="M32" s="12">
        <f>SUM(E32:L32)</f>
        <v/>
      </c>
      <c r="N32" s="12">
        <f>$D32+$M32</f>
        <v/>
      </c>
    </row>
    <row r="33" ht="19" customHeight="1">
      <c r="B33" s="40" t="n">
        <v>7</v>
      </c>
      <c r="C33" s="4" t="inlineStr">
        <is>
          <t>无形资产摊销费用</t>
        </is>
      </c>
      <c r="D33" s="23">
        <f>SUMIFS('06无形资产摊销分摊'!$J$7:$J$1000,'06无形资产摊销分摊'!$B$7:$B$1000,$B33)</f>
        <v/>
      </c>
      <c r="E33" s="23">
        <f>SUMIFS('06无形资产摊销分摊'!K$7:K$1000,'06无形资产摊销分摊'!$B$7:$B$1000,$B33)</f>
        <v/>
      </c>
      <c r="F33" s="23">
        <f>SUMIFS('06无形资产摊销分摊'!L$7:L$1000,'06无形资产摊销分摊'!$B$7:$B$1000,$B33)</f>
        <v/>
      </c>
      <c r="G33" s="23">
        <f>SUMIFS('06无形资产摊销分摊'!M$7:M$1000,'06无形资产摊销分摊'!$B$7:$B$1000,$B33)</f>
        <v/>
      </c>
      <c r="H33" s="23">
        <f>SUMIFS('06无形资产摊销分摊'!N$7:N$1000,'06无形资产摊销分摊'!$B$7:$B$1000,$B33)</f>
        <v/>
      </c>
      <c r="I33" s="23">
        <f>SUMIFS('06无形资产摊销分摊'!O$7:O$1000,'06无形资产摊销分摊'!$B$7:$B$1000,$B33)</f>
        <v/>
      </c>
      <c r="J33" s="23">
        <f>SUMIFS('06无形资产摊销分摊'!P$7:P$1000,'06无形资产摊销分摊'!$B$7:$B$1000,$B33)</f>
        <v/>
      </c>
      <c r="K33" s="23">
        <f>SUMIFS('06无形资产摊销分摊'!Q$7:Q$1000,'06无形资产摊销分摊'!$B$7:$B$1000,$B33)</f>
        <v/>
      </c>
      <c r="L33" s="23">
        <f>SUMIFS('06无形资产摊销分摊'!R$7:R$1000,'06无形资产摊销分摊'!$B$7:$B$1000,$B33)</f>
        <v/>
      </c>
      <c r="M33" s="12">
        <f>SUM(E33:L33)</f>
        <v/>
      </c>
      <c r="N33" s="12">
        <f>$D33+$M33</f>
        <v/>
      </c>
    </row>
    <row r="34" ht="19" customHeight="1">
      <c r="B34" s="41" t="n">
        <v>7</v>
      </c>
      <c r="C34" s="42" t="inlineStr">
        <is>
          <t>小计</t>
        </is>
      </c>
      <c r="D34" s="43">
        <f>SUM(D31:D33)</f>
        <v/>
      </c>
      <c r="E34" s="43">
        <f>SUM(E31:E33)</f>
        <v/>
      </c>
      <c r="F34" s="43">
        <f>SUM(F31:F33)</f>
        <v/>
      </c>
      <c r="G34" s="43">
        <f>SUM(G31:G33)</f>
        <v/>
      </c>
      <c r="H34" s="43">
        <f>SUM(H31:H33)</f>
        <v/>
      </c>
      <c r="I34" s="43">
        <f>SUM(I31:I33)</f>
        <v/>
      </c>
      <c r="J34" s="43">
        <f>SUM(J31:J33)</f>
        <v/>
      </c>
      <c r="K34" s="43">
        <f>SUM(K31:K33)</f>
        <v/>
      </c>
      <c r="L34" s="43">
        <f>SUM(L31:L33)</f>
        <v/>
      </c>
      <c r="M34" s="43">
        <f>SUM(E34:L34)</f>
        <v/>
      </c>
      <c r="N34" s="43">
        <f>$D34+$M34</f>
        <v/>
      </c>
    </row>
    <row r="35" ht="19" customHeight="1">
      <c r="B35" s="40" t="n">
        <v>8</v>
      </c>
      <c r="C35" s="4" t="inlineStr">
        <is>
          <t>人员人工费用</t>
        </is>
      </c>
      <c r="D35" s="23">
        <f>SUMIFS('02人员费用分摊'!$J$7:$J$1000,'02人员费用分摊'!$B$7:$B$1000,$B35)</f>
        <v/>
      </c>
      <c r="E35" s="23">
        <f>SUMIFS('02人员费用分摊'!K$7:K$1000,'02人员费用分摊'!$B$7:$B$1000,$B35)</f>
        <v/>
      </c>
      <c r="F35" s="23">
        <f>SUMIFS('02人员费用分摊'!L$7:L$1000,'02人员费用分摊'!$B$7:$B$1000,$B35)</f>
        <v/>
      </c>
      <c r="G35" s="23">
        <f>SUMIFS('02人员费用分摊'!M$7:M$1000,'02人员费用分摊'!$B$7:$B$1000,$B35)</f>
        <v/>
      </c>
      <c r="H35" s="23">
        <f>SUMIFS('02人员费用分摊'!N$7:N$1000,'02人员费用分摊'!$B$7:$B$1000,$B35)</f>
        <v/>
      </c>
      <c r="I35" s="23">
        <f>SUMIFS('02人员费用分摊'!O$7:O$1000,'02人员费用分摊'!$B$7:$B$1000,$B35)</f>
        <v/>
      </c>
      <c r="J35" s="23">
        <f>SUMIFS('02人员费用分摊'!P$7:P$1000,'02人员费用分摊'!$B$7:$B$1000,$B35)</f>
        <v/>
      </c>
      <c r="K35" s="23">
        <f>SUMIFS('02人员费用分摊'!Q$7:Q$1000,'02人员费用分摊'!$B$7:$B$1000,$B35)</f>
        <v/>
      </c>
      <c r="L35" s="23">
        <f>SUMIFS('02人员费用分摊'!R$7:R$1000,'02人员费用分摊'!$B$7:$B$1000,$B35)</f>
        <v/>
      </c>
      <c r="M35" s="12">
        <f>SUM(E35:L35)</f>
        <v/>
      </c>
      <c r="N35" s="12">
        <f>$D35+$M35</f>
        <v/>
      </c>
    </row>
    <row r="36" ht="19" customHeight="1">
      <c r="B36" s="40" t="n">
        <v>8</v>
      </c>
      <c r="C36" s="4" t="inlineStr">
        <is>
          <t>折旧费用</t>
        </is>
      </c>
      <c r="D36" s="23">
        <f>SUMIFS('04设备折旧分摊'!$J$7:$J$1000,'04设备折旧分摊'!$B$7:$B$1000,$B36)</f>
        <v/>
      </c>
      <c r="E36" s="23">
        <f>SUMIFS('04设备折旧分摊'!K$7:K$1000,'04设备折旧分摊'!$B$7:$B$1000,$B36)</f>
        <v/>
      </c>
      <c r="F36" s="23">
        <f>SUMIFS('04设备折旧分摊'!L$7:L$1000,'04设备折旧分摊'!$B$7:$B$1000,$B36)</f>
        <v/>
      </c>
      <c r="G36" s="23">
        <f>SUMIFS('04设备折旧分摊'!M$7:M$1000,'04设备折旧分摊'!$B$7:$B$1000,$B36)</f>
        <v/>
      </c>
      <c r="H36" s="23">
        <f>SUMIFS('04设备折旧分摊'!N$7:N$1000,'04设备折旧分摊'!$B$7:$B$1000,$B36)</f>
        <v/>
      </c>
      <c r="I36" s="23">
        <f>SUMIFS('04设备折旧分摊'!O$7:O$1000,'04设备折旧分摊'!$B$7:$B$1000,$B36)</f>
        <v/>
      </c>
      <c r="J36" s="23">
        <f>SUMIFS('04设备折旧分摊'!P$7:P$1000,'04设备折旧分摊'!$B$7:$B$1000,$B36)</f>
        <v/>
      </c>
      <c r="K36" s="23">
        <f>SUMIFS('04设备折旧分摊'!Q$7:Q$1000,'04设备折旧分摊'!$B$7:$B$1000,$B36)</f>
        <v/>
      </c>
      <c r="L36" s="23">
        <f>SUMIFS('04设备折旧分摊'!R$7:R$1000,'04设备折旧分摊'!$B$7:$B$1000,$B36)</f>
        <v/>
      </c>
      <c r="M36" s="12">
        <f>SUM(E36:L36)</f>
        <v/>
      </c>
      <c r="N36" s="12">
        <f>$D36+$M36</f>
        <v/>
      </c>
    </row>
    <row r="37" ht="19" customHeight="1">
      <c r="B37" s="40" t="n">
        <v>8</v>
      </c>
      <c r="C37" s="4" t="inlineStr">
        <is>
          <t>无形资产摊销费用</t>
        </is>
      </c>
      <c r="D37" s="23">
        <f>SUMIFS('06无形资产摊销分摊'!$J$7:$J$1000,'06无形资产摊销分摊'!$B$7:$B$1000,$B37)</f>
        <v/>
      </c>
      <c r="E37" s="23">
        <f>SUMIFS('06无形资产摊销分摊'!K$7:K$1000,'06无形资产摊销分摊'!$B$7:$B$1000,$B37)</f>
        <v/>
      </c>
      <c r="F37" s="23">
        <f>SUMIFS('06无形资产摊销分摊'!L$7:L$1000,'06无形资产摊销分摊'!$B$7:$B$1000,$B37)</f>
        <v/>
      </c>
      <c r="G37" s="23">
        <f>SUMIFS('06无形资产摊销分摊'!M$7:M$1000,'06无形资产摊销分摊'!$B$7:$B$1000,$B37)</f>
        <v/>
      </c>
      <c r="H37" s="23">
        <f>SUMIFS('06无形资产摊销分摊'!N$7:N$1000,'06无形资产摊销分摊'!$B$7:$B$1000,$B37)</f>
        <v/>
      </c>
      <c r="I37" s="23">
        <f>SUMIFS('06无形资产摊销分摊'!O$7:O$1000,'06无形资产摊销分摊'!$B$7:$B$1000,$B37)</f>
        <v/>
      </c>
      <c r="J37" s="23">
        <f>SUMIFS('06无形资产摊销分摊'!P$7:P$1000,'06无形资产摊销分摊'!$B$7:$B$1000,$B37)</f>
        <v/>
      </c>
      <c r="K37" s="23">
        <f>SUMIFS('06无形资产摊销分摊'!Q$7:Q$1000,'06无形资产摊销分摊'!$B$7:$B$1000,$B37)</f>
        <v/>
      </c>
      <c r="L37" s="23">
        <f>SUMIFS('06无形资产摊销分摊'!R$7:R$1000,'06无形资产摊销分摊'!$B$7:$B$1000,$B37)</f>
        <v/>
      </c>
      <c r="M37" s="12">
        <f>SUM(E37:L37)</f>
        <v/>
      </c>
      <c r="N37" s="12">
        <f>$D37+$M37</f>
        <v/>
      </c>
    </row>
    <row r="38" ht="19" customHeight="1">
      <c r="B38" s="41" t="n">
        <v>8</v>
      </c>
      <c r="C38" s="42" t="inlineStr">
        <is>
          <t>小计</t>
        </is>
      </c>
      <c r="D38" s="43">
        <f>SUM(D35:D37)</f>
        <v/>
      </c>
      <c r="E38" s="43">
        <f>SUM(E35:E37)</f>
        <v/>
      </c>
      <c r="F38" s="43">
        <f>SUM(F35:F37)</f>
        <v/>
      </c>
      <c r="G38" s="43">
        <f>SUM(G35:G37)</f>
        <v/>
      </c>
      <c r="H38" s="43">
        <f>SUM(H35:H37)</f>
        <v/>
      </c>
      <c r="I38" s="43">
        <f>SUM(I35:I37)</f>
        <v/>
      </c>
      <c r="J38" s="43">
        <f>SUM(J35:J37)</f>
        <v/>
      </c>
      <c r="K38" s="43">
        <f>SUM(K35:K37)</f>
        <v/>
      </c>
      <c r="L38" s="43">
        <f>SUM(L35:L37)</f>
        <v/>
      </c>
      <c r="M38" s="43">
        <f>SUM(E38:L38)</f>
        <v/>
      </c>
      <c r="N38" s="43">
        <f>$D38+$M38</f>
        <v/>
      </c>
    </row>
    <row r="39" ht="19" customHeight="1">
      <c r="B39" s="40" t="n">
        <v>9</v>
      </c>
      <c r="C39" s="4" t="inlineStr">
        <is>
          <t>人员人工费用</t>
        </is>
      </c>
      <c r="D39" s="23">
        <f>SUMIFS('02人员费用分摊'!$J$7:$J$1000,'02人员费用分摊'!$B$7:$B$1000,$B39)</f>
        <v/>
      </c>
      <c r="E39" s="23">
        <f>SUMIFS('02人员费用分摊'!K$7:K$1000,'02人员费用分摊'!$B$7:$B$1000,$B39)</f>
        <v/>
      </c>
      <c r="F39" s="23">
        <f>SUMIFS('02人员费用分摊'!L$7:L$1000,'02人员费用分摊'!$B$7:$B$1000,$B39)</f>
        <v/>
      </c>
      <c r="G39" s="23">
        <f>SUMIFS('02人员费用分摊'!M$7:M$1000,'02人员费用分摊'!$B$7:$B$1000,$B39)</f>
        <v/>
      </c>
      <c r="H39" s="23">
        <f>SUMIFS('02人员费用分摊'!N$7:N$1000,'02人员费用分摊'!$B$7:$B$1000,$B39)</f>
        <v/>
      </c>
      <c r="I39" s="23">
        <f>SUMIFS('02人员费用分摊'!O$7:O$1000,'02人员费用分摊'!$B$7:$B$1000,$B39)</f>
        <v/>
      </c>
      <c r="J39" s="23">
        <f>SUMIFS('02人员费用分摊'!P$7:P$1000,'02人员费用分摊'!$B$7:$B$1000,$B39)</f>
        <v/>
      </c>
      <c r="K39" s="23">
        <f>SUMIFS('02人员费用分摊'!Q$7:Q$1000,'02人员费用分摊'!$B$7:$B$1000,$B39)</f>
        <v/>
      </c>
      <c r="L39" s="23">
        <f>SUMIFS('02人员费用分摊'!R$7:R$1000,'02人员费用分摊'!$B$7:$B$1000,$B39)</f>
        <v/>
      </c>
      <c r="M39" s="12">
        <f>SUM(E39:L39)</f>
        <v/>
      </c>
      <c r="N39" s="12">
        <f>$D39+$M39</f>
        <v/>
      </c>
    </row>
    <row r="40" ht="19" customHeight="1">
      <c r="B40" s="40" t="n">
        <v>9</v>
      </c>
      <c r="C40" s="4" t="inlineStr">
        <is>
          <t>折旧费用</t>
        </is>
      </c>
      <c r="D40" s="23">
        <f>SUMIFS('04设备折旧分摊'!$J$7:$J$1000,'04设备折旧分摊'!$B$7:$B$1000,$B40)</f>
        <v/>
      </c>
      <c r="E40" s="23">
        <f>SUMIFS('04设备折旧分摊'!K$7:K$1000,'04设备折旧分摊'!$B$7:$B$1000,$B40)</f>
        <v/>
      </c>
      <c r="F40" s="23">
        <f>SUMIFS('04设备折旧分摊'!L$7:L$1000,'04设备折旧分摊'!$B$7:$B$1000,$B40)</f>
        <v/>
      </c>
      <c r="G40" s="23">
        <f>SUMIFS('04设备折旧分摊'!M$7:M$1000,'04设备折旧分摊'!$B$7:$B$1000,$B40)</f>
        <v/>
      </c>
      <c r="H40" s="23">
        <f>SUMIFS('04设备折旧分摊'!N$7:N$1000,'04设备折旧分摊'!$B$7:$B$1000,$B40)</f>
        <v/>
      </c>
      <c r="I40" s="23">
        <f>SUMIFS('04设备折旧分摊'!O$7:O$1000,'04设备折旧分摊'!$B$7:$B$1000,$B40)</f>
        <v/>
      </c>
      <c r="J40" s="23">
        <f>SUMIFS('04设备折旧分摊'!P$7:P$1000,'04设备折旧分摊'!$B$7:$B$1000,$B40)</f>
        <v/>
      </c>
      <c r="K40" s="23">
        <f>SUMIFS('04设备折旧分摊'!Q$7:Q$1000,'04设备折旧分摊'!$B$7:$B$1000,$B40)</f>
        <v/>
      </c>
      <c r="L40" s="23">
        <f>SUMIFS('04设备折旧分摊'!R$7:R$1000,'04设备折旧分摊'!$B$7:$B$1000,$B40)</f>
        <v/>
      </c>
      <c r="M40" s="12">
        <f>SUM(E40:L40)</f>
        <v/>
      </c>
      <c r="N40" s="12">
        <f>$D40+$M40</f>
        <v/>
      </c>
    </row>
    <row r="41" ht="19" customHeight="1">
      <c r="B41" s="40" t="n">
        <v>9</v>
      </c>
      <c r="C41" s="4" t="inlineStr">
        <is>
          <t>无形资产摊销费用</t>
        </is>
      </c>
      <c r="D41" s="23">
        <f>SUMIFS('06无形资产摊销分摊'!$J$7:$J$1000,'06无形资产摊销分摊'!$B$7:$B$1000,$B41)</f>
        <v/>
      </c>
      <c r="E41" s="23">
        <f>SUMIFS('06无形资产摊销分摊'!K$7:K$1000,'06无形资产摊销分摊'!$B$7:$B$1000,$B41)</f>
        <v/>
      </c>
      <c r="F41" s="23">
        <f>SUMIFS('06无形资产摊销分摊'!L$7:L$1000,'06无形资产摊销分摊'!$B$7:$B$1000,$B41)</f>
        <v/>
      </c>
      <c r="G41" s="23">
        <f>SUMIFS('06无形资产摊销分摊'!M$7:M$1000,'06无形资产摊销分摊'!$B$7:$B$1000,$B41)</f>
        <v/>
      </c>
      <c r="H41" s="23">
        <f>SUMIFS('06无形资产摊销分摊'!N$7:N$1000,'06无形资产摊销分摊'!$B$7:$B$1000,$B41)</f>
        <v/>
      </c>
      <c r="I41" s="23">
        <f>SUMIFS('06无形资产摊销分摊'!O$7:O$1000,'06无形资产摊销分摊'!$B$7:$B$1000,$B41)</f>
        <v/>
      </c>
      <c r="J41" s="23">
        <f>SUMIFS('06无形资产摊销分摊'!P$7:P$1000,'06无形资产摊销分摊'!$B$7:$B$1000,$B41)</f>
        <v/>
      </c>
      <c r="K41" s="23">
        <f>SUMIFS('06无形资产摊销分摊'!Q$7:Q$1000,'06无形资产摊销分摊'!$B$7:$B$1000,$B41)</f>
        <v/>
      </c>
      <c r="L41" s="23">
        <f>SUMIFS('06无形资产摊销分摊'!R$7:R$1000,'06无形资产摊销分摊'!$B$7:$B$1000,$B41)</f>
        <v/>
      </c>
      <c r="M41" s="12">
        <f>SUM(E41:L41)</f>
        <v/>
      </c>
      <c r="N41" s="12">
        <f>$D41+$M41</f>
        <v/>
      </c>
    </row>
    <row r="42" ht="19" customHeight="1">
      <c r="B42" s="41" t="n">
        <v>9</v>
      </c>
      <c r="C42" s="42" t="inlineStr">
        <is>
          <t>小计</t>
        </is>
      </c>
      <c r="D42" s="43">
        <f>SUM(D39:D41)</f>
        <v/>
      </c>
      <c r="E42" s="43">
        <f>SUM(E39:E41)</f>
        <v/>
      </c>
      <c r="F42" s="43">
        <f>SUM(F39:F41)</f>
        <v/>
      </c>
      <c r="G42" s="43">
        <f>SUM(G39:G41)</f>
        <v/>
      </c>
      <c r="H42" s="43">
        <f>SUM(H39:H41)</f>
        <v/>
      </c>
      <c r="I42" s="43">
        <f>SUM(I39:I41)</f>
        <v/>
      </c>
      <c r="J42" s="43">
        <f>SUM(J39:J41)</f>
        <v/>
      </c>
      <c r="K42" s="43">
        <f>SUM(K39:K41)</f>
        <v/>
      </c>
      <c r="L42" s="43">
        <f>SUM(L39:L41)</f>
        <v/>
      </c>
      <c r="M42" s="43">
        <f>SUM(E42:L42)</f>
        <v/>
      </c>
      <c r="N42" s="43">
        <f>$D42+$M42</f>
        <v/>
      </c>
    </row>
    <row r="43" ht="19" customHeight="1">
      <c r="B43" s="40" t="n">
        <v>10</v>
      </c>
      <c r="C43" s="4" t="inlineStr">
        <is>
          <t>人员人工费用</t>
        </is>
      </c>
      <c r="D43" s="23">
        <f>SUMIFS('02人员费用分摊'!$J$7:$J$1000,'02人员费用分摊'!$B$7:$B$1000,$B43)</f>
        <v/>
      </c>
      <c r="E43" s="23">
        <f>SUMIFS('02人员费用分摊'!K$7:K$1000,'02人员费用分摊'!$B$7:$B$1000,$B43)</f>
        <v/>
      </c>
      <c r="F43" s="23">
        <f>SUMIFS('02人员费用分摊'!L$7:L$1000,'02人员费用分摊'!$B$7:$B$1000,$B43)</f>
        <v/>
      </c>
      <c r="G43" s="23">
        <f>SUMIFS('02人员费用分摊'!M$7:M$1000,'02人员费用分摊'!$B$7:$B$1000,$B43)</f>
        <v/>
      </c>
      <c r="H43" s="23">
        <f>SUMIFS('02人员费用分摊'!N$7:N$1000,'02人员费用分摊'!$B$7:$B$1000,$B43)</f>
        <v/>
      </c>
      <c r="I43" s="23">
        <f>SUMIFS('02人员费用分摊'!O$7:O$1000,'02人员费用分摊'!$B$7:$B$1000,$B43)</f>
        <v/>
      </c>
      <c r="J43" s="23">
        <f>SUMIFS('02人员费用分摊'!P$7:P$1000,'02人员费用分摊'!$B$7:$B$1000,$B43)</f>
        <v/>
      </c>
      <c r="K43" s="23">
        <f>SUMIFS('02人员费用分摊'!Q$7:Q$1000,'02人员费用分摊'!$B$7:$B$1000,$B43)</f>
        <v/>
      </c>
      <c r="L43" s="23">
        <f>SUMIFS('02人员费用分摊'!R$7:R$1000,'02人员费用分摊'!$B$7:$B$1000,$B43)</f>
        <v/>
      </c>
      <c r="M43" s="12">
        <f>SUM(E43:L43)</f>
        <v/>
      </c>
      <c r="N43" s="12">
        <f>$D43+$M43</f>
        <v/>
      </c>
    </row>
    <row r="44" ht="19" customHeight="1">
      <c r="B44" s="40" t="n">
        <v>10</v>
      </c>
      <c r="C44" s="4" t="inlineStr">
        <is>
          <t>折旧费用</t>
        </is>
      </c>
      <c r="D44" s="23">
        <f>SUMIFS('04设备折旧分摊'!$J$7:$J$1000,'04设备折旧分摊'!$B$7:$B$1000,$B44)</f>
        <v/>
      </c>
      <c r="E44" s="23">
        <f>SUMIFS('04设备折旧分摊'!K$7:K$1000,'04设备折旧分摊'!$B$7:$B$1000,$B44)</f>
        <v/>
      </c>
      <c r="F44" s="23">
        <f>SUMIFS('04设备折旧分摊'!L$7:L$1000,'04设备折旧分摊'!$B$7:$B$1000,$B44)</f>
        <v/>
      </c>
      <c r="G44" s="23">
        <f>SUMIFS('04设备折旧分摊'!M$7:M$1000,'04设备折旧分摊'!$B$7:$B$1000,$B44)</f>
        <v/>
      </c>
      <c r="H44" s="23">
        <f>SUMIFS('04设备折旧分摊'!N$7:N$1000,'04设备折旧分摊'!$B$7:$B$1000,$B44)</f>
        <v/>
      </c>
      <c r="I44" s="23">
        <f>SUMIFS('04设备折旧分摊'!O$7:O$1000,'04设备折旧分摊'!$B$7:$B$1000,$B44)</f>
        <v/>
      </c>
      <c r="J44" s="23">
        <f>SUMIFS('04设备折旧分摊'!P$7:P$1000,'04设备折旧分摊'!$B$7:$B$1000,$B44)</f>
        <v/>
      </c>
      <c r="K44" s="23">
        <f>SUMIFS('04设备折旧分摊'!Q$7:Q$1000,'04设备折旧分摊'!$B$7:$B$1000,$B44)</f>
        <v/>
      </c>
      <c r="L44" s="23">
        <f>SUMIFS('04设备折旧分摊'!R$7:R$1000,'04设备折旧分摊'!$B$7:$B$1000,$B44)</f>
        <v/>
      </c>
      <c r="M44" s="12">
        <f>SUM(E44:L44)</f>
        <v/>
      </c>
      <c r="N44" s="12">
        <f>$D44+$M44</f>
        <v/>
      </c>
    </row>
    <row r="45" ht="19" customHeight="1">
      <c r="B45" s="40" t="n">
        <v>10</v>
      </c>
      <c r="C45" s="4" t="inlineStr">
        <is>
          <t>无形资产摊销费用</t>
        </is>
      </c>
      <c r="D45" s="23">
        <f>SUMIFS('06无形资产摊销分摊'!$J$7:$J$1000,'06无形资产摊销分摊'!$B$7:$B$1000,$B45)</f>
        <v/>
      </c>
      <c r="E45" s="23">
        <f>SUMIFS('06无形资产摊销分摊'!K$7:K$1000,'06无形资产摊销分摊'!$B$7:$B$1000,$B45)</f>
        <v/>
      </c>
      <c r="F45" s="23">
        <f>SUMIFS('06无形资产摊销分摊'!L$7:L$1000,'06无形资产摊销分摊'!$B$7:$B$1000,$B45)</f>
        <v/>
      </c>
      <c r="G45" s="23">
        <f>SUMIFS('06无形资产摊销分摊'!M$7:M$1000,'06无形资产摊销分摊'!$B$7:$B$1000,$B45)</f>
        <v/>
      </c>
      <c r="H45" s="23">
        <f>SUMIFS('06无形资产摊销分摊'!N$7:N$1000,'06无形资产摊销分摊'!$B$7:$B$1000,$B45)</f>
        <v/>
      </c>
      <c r="I45" s="23">
        <f>SUMIFS('06无形资产摊销分摊'!O$7:O$1000,'06无形资产摊销分摊'!$B$7:$B$1000,$B45)</f>
        <v/>
      </c>
      <c r="J45" s="23">
        <f>SUMIFS('06无形资产摊销分摊'!P$7:P$1000,'06无形资产摊销分摊'!$B$7:$B$1000,$B45)</f>
        <v/>
      </c>
      <c r="K45" s="23">
        <f>SUMIFS('06无形资产摊销分摊'!Q$7:Q$1000,'06无形资产摊销分摊'!$B$7:$B$1000,$B45)</f>
        <v/>
      </c>
      <c r="L45" s="23">
        <f>SUMIFS('06无形资产摊销分摊'!R$7:R$1000,'06无形资产摊销分摊'!$B$7:$B$1000,$B45)</f>
        <v/>
      </c>
      <c r="M45" s="12">
        <f>SUM(E45:L45)</f>
        <v/>
      </c>
      <c r="N45" s="12">
        <f>$D45+$M45</f>
        <v/>
      </c>
    </row>
    <row r="46" ht="19" customHeight="1">
      <c r="B46" s="41" t="n">
        <v>10</v>
      </c>
      <c r="C46" s="42" t="inlineStr">
        <is>
          <t>小计</t>
        </is>
      </c>
      <c r="D46" s="43">
        <f>SUM(D43:D45)</f>
        <v/>
      </c>
      <c r="E46" s="43">
        <f>SUM(E43:E45)</f>
        <v/>
      </c>
      <c r="F46" s="43">
        <f>SUM(F43:F45)</f>
        <v/>
      </c>
      <c r="G46" s="43">
        <f>SUM(G43:G45)</f>
        <v/>
      </c>
      <c r="H46" s="43">
        <f>SUM(H43:H45)</f>
        <v/>
      </c>
      <c r="I46" s="43">
        <f>SUM(I43:I45)</f>
        <v/>
      </c>
      <c r="J46" s="43">
        <f>SUM(J43:J45)</f>
        <v/>
      </c>
      <c r="K46" s="43">
        <f>SUM(K43:K45)</f>
        <v/>
      </c>
      <c r="L46" s="43">
        <f>SUM(L43:L45)</f>
        <v/>
      </c>
      <c r="M46" s="43">
        <f>SUM(E46:L46)</f>
        <v/>
      </c>
      <c r="N46" s="43">
        <f>$D46+$M46</f>
        <v/>
      </c>
    </row>
    <row r="47" ht="19" customHeight="1">
      <c r="B47" s="40" t="n">
        <v>11</v>
      </c>
      <c r="C47" s="4" t="inlineStr">
        <is>
          <t>人员人工费用</t>
        </is>
      </c>
      <c r="D47" s="23">
        <f>SUMIFS('02人员费用分摊'!$J$7:$J$1000,'02人员费用分摊'!$B$7:$B$1000,$B47)</f>
        <v/>
      </c>
      <c r="E47" s="23">
        <f>SUMIFS('02人员费用分摊'!K$7:K$1000,'02人员费用分摊'!$B$7:$B$1000,$B47)</f>
        <v/>
      </c>
      <c r="F47" s="23">
        <f>SUMIFS('02人员费用分摊'!L$7:L$1000,'02人员费用分摊'!$B$7:$B$1000,$B47)</f>
        <v/>
      </c>
      <c r="G47" s="23">
        <f>SUMIFS('02人员费用分摊'!M$7:M$1000,'02人员费用分摊'!$B$7:$B$1000,$B47)</f>
        <v/>
      </c>
      <c r="H47" s="23">
        <f>SUMIFS('02人员费用分摊'!N$7:N$1000,'02人员费用分摊'!$B$7:$B$1000,$B47)</f>
        <v/>
      </c>
      <c r="I47" s="23">
        <f>SUMIFS('02人员费用分摊'!O$7:O$1000,'02人员费用分摊'!$B$7:$B$1000,$B47)</f>
        <v/>
      </c>
      <c r="J47" s="23">
        <f>SUMIFS('02人员费用分摊'!P$7:P$1000,'02人员费用分摊'!$B$7:$B$1000,$B47)</f>
        <v/>
      </c>
      <c r="K47" s="23">
        <f>SUMIFS('02人员费用分摊'!Q$7:Q$1000,'02人员费用分摊'!$B$7:$B$1000,$B47)</f>
        <v/>
      </c>
      <c r="L47" s="23">
        <f>SUMIFS('02人员费用分摊'!R$7:R$1000,'02人员费用分摊'!$B$7:$B$1000,$B47)</f>
        <v/>
      </c>
      <c r="M47" s="12">
        <f>SUM(E47:L47)</f>
        <v/>
      </c>
      <c r="N47" s="12">
        <f>$D47+$M47</f>
        <v/>
      </c>
    </row>
    <row r="48" ht="19" customHeight="1">
      <c r="B48" s="40" t="n">
        <v>11</v>
      </c>
      <c r="C48" s="4" t="inlineStr">
        <is>
          <t>折旧费用</t>
        </is>
      </c>
      <c r="D48" s="23">
        <f>SUMIFS('04设备折旧分摊'!$J$7:$J$1000,'04设备折旧分摊'!$B$7:$B$1000,$B48)</f>
        <v/>
      </c>
      <c r="E48" s="23">
        <f>SUMIFS('04设备折旧分摊'!K$7:K$1000,'04设备折旧分摊'!$B$7:$B$1000,$B48)</f>
        <v/>
      </c>
      <c r="F48" s="23">
        <f>SUMIFS('04设备折旧分摊'!L$7:L$1000,'04设备折旧分摊'!$B$7:$B$1000,$B48)</f>
        <v/>
      </c>
      <c r="G48" s="23">
        <f>SUMIFS('04设备折旧分摊'!M$7:M$1000,'04设备折旧分摊'!$B$7:$B$1000,$B48)</f>
        <v/>
      </c>
      <c r="H48" s="23">
        <f>SUMIFS('04设备折旧分摊'!N$7:N$1000,'04设备折旧分摊'!$B$7:$B$1000,$B48)</f>
        <v/>
      </c>
      <c r="I48" s="23">
        <f>SUMIFS('04设备折旧分摊'!O$7:O$1000,'04设备折旧分摊'!$B$7:$B$1000,$B48)</f>
        <v/>
      </c>
      <c r="J48" s="23">
        <f>SUMIFS('04设备折旧分摊'!P$7:P$1000,'04设备折旧分摊'!$B$7:$B$1000,$B48)</f>
        <v/>
      </c>
      <c r="K48" s="23">
        <f>SUMIFS('04设备折旧分摊'!Q$7:Q$1000,'04设备折旧分摊'!$B$7:$B$1000,$B48)</f>
        <v/>
      </c>
      <c r="L48" s="23">
        <f>SUMIFS('04设备折旧分摊'!R$7:R$1000,'04设备折旧分摊'!$B$7:$B$1000,$B48)</f>
        <v/>
      </c>
      <c r="M48" s="12">
        <f>SUM(E48:L48)</f>
        <v/>
      </c>
      <c r="N48" s="12">
        <f>$D48+$M48</f>
        <v/>
      </c>
    </row>
    <row r="49" ht="19" customHeight="1">
      <c r="B49" s="40" t="n">
        <v>11</v>
      </c>
      <c r="C49" s="4" t="inlineStr">
        <is>
          <t>无形资产摊销费用</t>
        </is>
      </c>
      <c r="D49" s="23">
        <f>SUMIFS('06无形资产摊销分摊'!$J$7:$J$1000,'06无形资产摊销分摊'!$B$7:$B$1000,$B49)</f>
        <v/>
      </c>
      <c r="E49" s="23">
        <f>SUMIFS('06无形资产摊销分摊'!K$7:K$1000,'06无形资产摊销分摊'!$B$7:$B$1000,$B49)</f>
        <v/>
      </c>
      <c r="F49" s="23">
        <f>SUMIFS('06无形资产摊销分摊'!L$7:L$1000,'06无形资产摊销分摊'!$B$7:$B$1000,$B49)</f>
        <v/>
      </c>
      <c r="G49" s="23">
        <f>SUMIFS('06无形资产摊销分摊'!M$7:M$1000,'06无形资产摊销分摊'!$B$7:$B$1000,$B49)</f>
        <v/>
      </c>
      <c r="H49" s="23">
        <f>SUMIFS('06无形资产摊销分摊'!N$7:N$1000,'06无形资产摊销分摊'!$B$7:$B$1000,$B49)</f>
        <v/>
      </c>
      <c r="I49" s="23">
        <f>SUMIFS('06无形资产摊销分摊'!O$7:O$1000,'06无形资产摊销分摊'!$B$7:$B$1000,$B49)</f>
        <v/>
      </c>
      <c r="J49" s="23">
        <f>SUMIFS('06无形资产摊销分摊'!P$7:P$1000,'06无形资产摊销分摊'!$B$7:$B$1000,$B49)</f>
        <v/>
      </c>
      <c r="K49" s="23">
        <f>SUMIFS('06无形资产摊销分摊'!Q$7:Q$1000,'06无形资产摊销分摊'!$B$7:$B$1000,$B49)</f>
        <v/>
      </c>
      <c r="L49" s="23">
        <f>SUMIFS('06无形资产摊销分摊'!R$7:R$1000,'06无形资产摊销分摊'!$B$7:$B$1000,$B49)</f>
        <v/>
      </c>
      <c r="M49" s="12">
        <f>SUM(E49:L49)</f>
        <v/>
      </c>
      <c r="N49" s="12">
        <f>$D49+$M49</f>
        <v/>
      </c>
    </row>
    <row r="50" ht="19" customHeight="1">
      <c r="B50" s="41" t="n">
        <v>11</v>
      </c>
      <c r="C50" s="42" t="inlineStr">
        <is>
          <t>小计</t>
        </is>
      </c>
      <c r="D50" s="43">
        <f>SUM(D47:D49)</f>
        <v/>
      </c>
      <c r="E50" s="43">
        <f>SUM(E47:E49)</f>
        <v/>
      </c>
      <c r="F50" s="43">
        <f>SUM(F47:F49)</f>
        <v/>
      </c>
      <c r="G50" s="43">
        <f>SUM(G47:G49)</f>
        <v/>
      </c>
      <c r="H50" s="43">
        <f>SUM(H47:H49)</f>
        <v/>
      </c>
      <c r="I50" s="43">
        <f>SUM(I47:I49)</f>
        <v/>
      </c>
      <c r="J50" s="43">
        <f>SUM(J47:J49)</f>
        <v/>
      </c>
      <c r="K50" s="43">
        <f>SUM(K47:K49)</f>
        <v/>
      </c>
      <c r="L50" s="43">
        <f>SUM(L47:L49)</f>
        <v/>
      </c>
      <c r="M50" s="43">
        <f>SUM(E50:L50)</f>
        <v/>
      </c>
      <c r="N50" s="43">
        <f>$D50+$M50</f>
        <v/>
      </c>
    </row>
    <row r="51" ht="19" customHeight="1">
      <c r="B51" s="40" t="n">
        <v>12</v>
      </c>
      <c r="C51" s="4" t="inlineStr">
        <is>
          <t>人员人工费用</t>
        </is>
      </c>
      <c r="D51" s="23">
        <f>SUMIFS('02人员费用分摊'!$J$7:$J$1000,'02人员费用分摊'!$B$7:$B$1000,$B51)</f>
        <v/>
      </c>
      <c r="E51" s="23">
        <f>SUMIFS('02人员费用分摊'!K$7:K$1000,'02人员费用分摊'!$B$7:$B$1000,$B51)</f>
        <v/>
      </c>
      <c r="F51" s="23">
        <f>SUMIFS('02人员费用分摊'!L$7:L$1000,'02人员费用分摊'!$B$7:$B$1000,$B51)</f>
        <v/>
      </c>
      <c r="G51" s="23">
        <f>SUMIFS('02人员费用分摊'!M$7:M$1000,'02人员费用分摊'!$B$7:$B$1000,$B51)</f>
        <v/>
      </c>
      <c r="H51" s="23">
        <f>SUMIFS('02人员费用分摊'!N$7:N$1000,'02人员费用分摊'!$B$7:$B$1000,$B51)</f>
        <v/>
      </c>
      <c r="I51" s="23">
        <f>SUMIFS('02人员费用分摊'!O$7:O$1000,'02人员费用分摊'!$B$7:$B$1000,$B51)</f>
        <v/>
      </c>
      <c r="J51" s="23">
        <f>SUMIFS('02人员费用分摊'!P$7:P$1000,'02人员费用分摊'!$B$7:$B$1000,$B51)</f>
        <v/>
      </c>
      <c r="K51" s="23">
        <f>SUMIFS('02人员费用分摊'!Q$7:Q$1000,'02人员费用分摊'!$B$7:$B$1000,$B51)</f>
        <v/>
      </c>
      <c r="L51" s="23">
        <f>SUMIFS('02人员费用分摊'!R$7:R$1000,'02人员费用分摊'!$B$7:$B$1000,$B51)</f>
        <v/>
      </c>
      <c r="M51" s="12">
        <f>SUM(E51:L51)</f>
        <v/>
      </c>
      <c r="N51" s="12">
        <f>$D51+$M51</f>
        <v/>
      </c>
    </row>
    <row r="52" ht="19" customHeight="1">
      <c r="B52" s="40" t="n">
        <v>12</v>
      </c>
      <c r="C52" s="4" t="inlineStr">
        <is>
          <t>折旧费用</t>
        </is>
      </c>
      <c r="D52" s="23">
        <f>SUMIFS('04设备折旧分摊'!$J$7:$J$1000,'04设备折旧分摊'!$B$7:$B$1000,$B52)</f>
        <v/>
      </c>
      <c r="E52" s="23">
        <f>SUMIFS('04设备折旧分摊'!K$7:K$1000,'04设备折旧分摊'!$B$7:$B$1000,$B52)</f>
        <v/>
      </c>
      <c r="F52" s="23">
        <f>SUMIFS('04设备折旧分摊'!L$7:L$1000,'04设备折旧分摊'!$B$7:$B$1000,$B52)</f>
        <v/>
      </c>
      <c r="G52" s="23">
        <f>SUMIFS('04设备折旧分摊'!M$7:M$1000,'04设备折旧分摊'!$B$7:$B$1000,$B52)</f>
        <v/>
      </c>
      <c r="H52" s="23">
        <f>SUMIFS('04设备折旧分摊'!N$7:N$1000,'04设备折旧分摊'!$B$7:$B$1000,$B52)</f>
        <v/>
      </c>
      <c r="I52" s="23">
        <f>SUMIFS('04设备折旧分摊'!O$7:O$1000,'04设备折旧分摊'!$B$7:$B$1000,$B52)</f>
        <v/>
      </c>
      <c r="J52" s="23">
        <f>SUMIFS('04设备折旧分摊'!P$7:P$1000,'04设备折旧分摊'!$B$7:$B$1000,$B52)</f>
        <v/>
      </c>
      <c r="K52" s="23">
        <f>SUMIFS('04设备折旧分摊'!Q$7:Q$1000,'04设备折旧分摊'!$B$7:$B$1000,$B52)</f>
        <v/>
      </c>
      <c r="L52" s="23">
        <f>SUMIFS('04设备折旧分摊'!R$7:R$1000,'04设备折旧分摊'!$B$7:$B$1000,$B52)</f>
        <v/>
      </c>
      <c r="M52" s="12">
        <f>SUM(E52:L52)</f>
        <v/>
      </c>
      <c r="N52" s="12">
        <f>$D52+$M52</f>
        <v/>
      </c>
    </row>
    <row r="53" ht="19" customHeight="1">
      <c r="B53" s="40" t="n">
        <v>12</v>
      </c>
      <c r="C53" s="4" t="inlineStr">
        <is>
          <t>无形资产摊销费用</t>
        </is>
      </c>
      <c r="D53" s="23">
        <f>SUMIFS('06无形资产摊销分摊'!$J$7:$J$1000,'06无形资产摊销分摊'!$B$7:$B$1000,$B53)</f>
        <v/>
      </c>
      <c r="E53" s="23">
        <f>SUMIFS('06无形资产摊销分摊'!K$7:K$1000,'06无形资产摊销分摊'!$B$7:$B$1000,$B53)</f>
        <v/>
      </c>
      <c r="F53" s="23">
        <f>SUMIFS('06无形资产摊销分摊'!L$7:L$1000,'06无形资产摊销分摊'!$B$7:$B$1000,$B53)</f>
        <v/>
      </c>
      <c r="G53" s="23">
        <f>SUMIFS('06无形资产摊销分摊'!M$7:M$1000,'06无形资产摊销分摊'!$B$7:$B$1000,$B53)</f>
        <v/>
      </c>
      <c r="H53" s="23">
        <f>SUMIFS('06无形资产摊销分摊'!N$7:N$1000,'06无形资产摊销分摊'!$B$7:$B$1000,$B53)</f>
        <v/>
      </c>
      <c r="I53" s="23">
        <f>SUMIFS('06无形资产摊销分摊'!O$7:O$1000,'06无形资产摊销分摊'!$B$7:$B$1000,$B53)</f>
        <v/>
      </c>
      <c r="J53" s="23">
        <f>SUMIFS('06无形资产摊销分摊'!P$7:P$1000,'06无形资产摊销分摊'!$B$7:$B$1000,$B53)</f>
        <v/>
      </c>
      <c r="K53" s="23">
        <f>SUMIFS('06无形资产摊销分摊'!Q$7:Q$1000,'06无形资产摊销分摊'!$B$7:$B$1000,$B53)</f>
        <v/>
      </c>
      <c r="L53" s="23">
        <f>SUMIFS('06无形资产摊销分摊'!R$7:R$1000,'06无形资产摊销分摊'!$B$7:$B$1000,$B53)</f>
        <v/>
      </c>
      <c r="M53" s="12">
        <f>SUM(E53:L53)</f>
        <v/>
      </c>
      <c r="N53" s="12">
        <f>$D53+$M53</f>
        <v/>
      </c>
    </row>
    <row r="54" ht="19" customHeight="1">
      <c r="B54" s="41" t="n">
        <v>12</v>
      </c>
      <c r="C54" s="42" t="inlineStr">
        <is>
          <t>小计</t>
        </is>
      </c>
      <c r="D54" s="43">
        <f>SUM(D51:D53)</f>
        <v/>
      </c>
      <c r="E54" s="43">
        <f>SUM(E51:E53)</f>
        <v/>
      </c>
      <c r="F54" s="43">
        <f>SUM(F51:F53)</f>
        <v/>
      </c>
      <c r="G54" s="43">
        <f>SUM(G51:G53)</f>
        <v/>
      </c>
      <c r="H54" s="43">
        <f>SUM(H51:H53)</f>
        <v/>
      </c>
      <c r="I54" s="43">
        <f>SUM(I51:I53)</f>
        <v/>
      </c>
      <c r="J54" s="43">
        <f>SUM(J51:J53)</f>
        <v/>
      </c>
      <c r="K54" s="43">
        <f>SUM(K51:K53)</f>
        <v/>
      </c>
      <c r="L54" s="43">
        <f>SUM(L51:L53)</f>
        <v/>
      </c>
      <c r="M54" s="43">
        <f>SUM(E54:L54)</f>
        <v/>
      </c>
      <c r="N54" s="43">
        <f>$D54+$M54</f>
        <v/>
      </c>
    </row>
    <row r="56">
      <c r="B56" s="6" t="inlineStr">
        <is>
          <t>说明：本表数据全部来自 02/04/06 三张分摊表，按【月份】自动汇总；取数范围已预留至第 1000 行，分摊表扩行后无需修改本表公式。</t>
        </is>
      </c>
    </row>
  </sheetData>
  <mergeCells count="7">
    <mergeCell ref="D4:D6"/>
    <mergeCell ref="N4:N6"/>
    <mergeCell ref="B4:B6"/>
    <mergeCell ref="B2:N2"/>
    <mergeCell ref="E4:M4"/>
    <mergeCell ref="C4:C6"/>
    <mergeCell ref="M5:M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M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</cols>
  <sheetData>
    <row r="2" ht="30" customHeight="1">
      <c r="B2" s="1" t="inlineStr">
        <is>
          <t>2026年度  研发费用分摊汇总表（元）</t>
        </is>
      </c>
    </row>
    <row r="4">
      <c r="B4" s="2" t="inlineStr">
        <is>
          <t>一、按费用类别汇总（全年）</t>
        </is>
      </c>
    </row>
    <row r="5" ht="22" customHeight="1">
      <c r="B5" s="5" t="inlineStr">
        <is>
          <t>费用类别</t>
        </is>
      </c>
      <c r="C5" s="5" t="inlineStr">
        <is>
          <t>非研发承担</t>
        </is>
      </c>
      <c r="D5" s="5" t="inlineStr">
        <is>
          <t>各研发项目分摊金额（元）</t>
        </is>
      </c>
      <c r="E5" s="44" t="n"/>
      <c r="F5" s="44" t="n"/>
      <c r="G5" s="44" t="n"/>
      <c r="H5" s="44" t="n"/>
      <c r="I5" s="44" t="n"/>
      <c r="J5" s="44" t="n"/>
      <c r="K5" s="44" t="n"/>
      <c r="L5" s="45" t="n"/>
      <c r="M5" s="5" t="inlineStr">
        <is>
          <t>费用总额</t>
        </is>
      </c>
    </row>
    <row r="6" ht="22" customHeight="1">
      <c r="B6" s="46" t="n"/>
      <c r="C6" s="46" t="n"/>
      <c r="D6" s="15">
        <f>'参数设置'!$C$6</f>
        <v/>
      </c>
      <c r="E6" s="15">
        <f>'参数设置'!$C$7</f>
        <v/>
      </c>
      <c r="F6" s="15">
        <f>'参数设置'!$C$8</f>
        <v/>
      </c>
      <c r="G6" s="15">
        <f>'参数设置'!$C$9</f>
        <v/>
      </c>
      <c r="H6" s="15">
        <f>'参数设置'!$C$10</f>
        <v/>
      </c>
      <c r="I6" s="15">
        <f>'参数设置'!$C$11</f>
        <v/>
      </c>
      <c r="J6" s="15">
        <f>'参数设置'!$C$12</f>
        <v/>
      </c>
      <c r="K6" s="15">
        <f>'参数设置'!$C$13</f>
        <v/>
      </c>
      <c r="L6" s="5" t="inlineStr">
        <is>
          <t>研发合计</t>
        </is>
      </c>
      <c r="M6" s="46" t="n"/>
    </row>
    <row r="7" ht="22" customHeight="1">
      <c r="B7" s="47" t="n"/>
      <c r="C7" s="47" t="n"/>
      <c r="D7" s="15">
        <f>'参数设置'!$D$6</f>
        <v/>
      </c>
      <c r="E7" s="15">
        <f>'参数设置'!$D$7</f>
        <v/>
      </c>
      <c r="F7" s="15">
        <f>'参数设置'!$D$8</f>
        <v/>
      </c>
      <c r="G7" s="15">
        <f>'参数设置'!$D$9</f>
        <v/>
      </c>
      <c r="H7" s="15">
        <f>'参数设置'!$D$10</f>
        <v/>
      </c>
      <c r="I7" s="15">
        <f>'参数设置'!$D$11</f>
        <v/>
      </c>
      <c r="J7" s="15">
        <f>'参数设置'!$D$12</f>
        <v/>
      </c>
      <c r="K7" s="15">
        <f>'参数设置'!$D$13</f>
        <v/>
      </c>
      <c r="L7" s="47" t="n"/>
      <c r="M7" s="47" t="n"/>
    </row>
    <row r="8" ht="20" customHeight="1">
      <c r="B8" s="4" t="inlineStr">
        <is>
          <t>人员人工费用</t>
        </is>
      </c>
      <c r="C8" s="23">
        <f>SUMIFS('07月度汇总'!D$7:D$54,'07月度汇总'!$C$7:$C$54,$B8)</f>
        <v/>
      </c>
      <c r="D8" s="23">
        <f>SUMIFS('07月度汇总'!E$7:E$54,'07月度汇总'!$C$7:$C$54,$B8)</f>
        <v/>
      </c>
      <c r="E8" s="23">
        <f>SUMIFS('07月度汇总'!F$7:F$54,'07月度汇总'!$C$7:$C$54,$B8)</f>
        <v/>
      </c>
      <c r="F8" s="23">
        <f>SUMIFS('07月度汇总'!G$7:G$54,'07月度汇总'!$C$7:$C$54,$B8)</f>
        <v/>
      </c>
      <c r="G8" s="23">
        <f>SUMIFS('07月度汇总'!H$7:H$54,'07月度汇总'!$C$7:$C$54,$B8)</f>
        <v/>
      </c>
      <c r="H8" s="23">
        <f>SUMIFS('07月度汇总'!I$7:I$54,'07月度汇总'!$C$7:$C$54,$B8)</f>
        <v/>
      </c>
      <c r="I8" s="23">
        <f>SUMIFS('07月度汇总'!J$7:J$54,'07月度汇总'!$C$7:$C$54,$B8)</f>
        <v/>
      </c>
      <c r="J8" s="23">
        <f>SUMIFS('07月度汇总'!K$7:K$54,'07月度汇总'!$C$7:$C$54,$B8)</f>
        <v/>
      </c>
      <c r="K8" s="23">
        <f>SUMIFS('07月度汇总'!L$7:L$54,'07月度汇总'!$C$7:$C$54,$B8)</f>
        <v/>
      </c>
      <c r="L8" s="12">
        <f>SUM(D8:K8)</f>
        <v/>
      </c>
      <c r="M8" s="12">
        <f>$C8+$L8</f>
        <v/>
      </c>
    </row>
    <row r="9" ht="20" customHeight="1">
      <c r="B9" s="4" t="inlineStr">
        <is>
          <t>折旧费用</t>
        </is>
      </c>
      <c r="C9" s="23">
        <f>SUMIFS('07月度汇总'!D$7:D$54,'07月度汇总'!$C$7:$C$54,$B9)</f>
        <v/>
      </c>
      <c r="D9" s="23">
        <f>SUMIFS('07月度汇总'!E$7:E$54,'07月度汇总'!$C$7:$C$54,$B9)</f>
        <v/>
      </c>
      <c r="E9" s="23">
        <f>SUMIFS('07月度汇总'!F$7:F$54,'07月度汇总'!$C$7:$C$54,$B9)</f>
        <v/>
      </c>
      <c r="F9" s="23">
        <f>SUMIFS('07月度汇总'!G$7:G$54,'07月度汇总'!$C$7:$C$54,$B9)</f>
        <v/>
      </c>
      <c r="G9" s="23">
        <f>SUMIFS('07月度汇总'!H$7:H$54,'07月度汇总'!$C$7:$C$54,$B9)</f>
        <v/>
      </c>
      <c r="H9" s="23">
        <f>SUMIFS('07月度汇总'!I$7:I$54,'07月度汇总'!$C$7:$C$54,$B9)</f>
        <v/>
      </c>
      <c r="I9" s="23">
        <f>SUMIFS('07月度汇总'!J$7:J$54,'07月度汇总'!$C$7:$C$54,$B9)</f>
        <v/>
      </c>
      <c r="J9" s="23">
        <f>SUMIFS('07月度汇总'!K$7:K$54,'07月度汇总'!$C$7:$C$54,$B9)</f>
        <v/>
      </c>
      <c r="K9" s="23">
        <f>SUMIFS('07月度汇总'!L$7:L$54,'07月度汇总'!$C$7:$C$54,$B9)</f>
        <v/>
      </c>
      <c r="L9" s="12">
        <f>SUM(D9:K9)</f>
        <v/>
      </c>
      <c r="M9" s="12">
        <f>$C9+$L9</f>
        <v/>
      </c>
    </row>
    <row r="10" ht="20" customHeight="1">
      <c r="B10" s="4" t="inlineStr">
        <is>
          <t>无形资产摊销费用</t>
        </is>
      </c>
      <c r="C10" s="23">
        <f>SUMIFS('07月度汇总'!D$7:D$54,'07月度汇总'!$C$7:$C$54,$B10)</f>
        <v/>
      </c>
      <c r="D10" s="23">
        <f>SUMIFS('07月度汇总'!E$7:E$54,'07月度汇总'!$C$7:$C$54,$B10)</f>
        <v/>
      </c>
      <c r="E10" s="23">
        <f>SUMIFS('07月度汇总'!F$7:F$54,'07月度汇总'!$C$7:$C$54,$B10)</f>
        <v/>
      </c>
      <c r="F10" s="23">
        <f>SUMIFS('07月度汇总'!G$7:G$54,'07月度汇总'!$C$7:$C$54,$B10)</f>
        <v/>
      </c>
      <c r="G10" s="23">
        <f>SUMIFS('07月度汇总'!H$7:H$54,'07月度汇总'!$C$7:$C$54,$B10)</f>
        <v/>
      </c>
      <c r="H10" s="23">
        <f>SUMIFS('07月度汇总'!I$7:I$54,'07月度汇总'!$C$7:$C$54,$B10)</f>
        <v/>
      </c>
      <c r="I10" s="23">
        <f>SUMIFS('07月度汇总'!J$7:J$54,'07月度汇总'!$C$7:$C$54,$B10)</f>
        <v/>
      </c>
      <c r="J10" s="23">
        <f>SUMIFS('07月度汇总'!K$7:K$54,'07月度汇总'!$C$7:$C$54,$B10)</f>
        <v/>
      </c>
      <c r="K10" s="23">
        <f>SUMIFS('07月度汇总'!L$7:L$54,'07月度汇总'!$C$7:$C$54,$B10)</f>
        <v/>
      </c>
      <c r="L10" s="12">
        <f>SUM(D10:K10)</f>
        <v/>
      </c>
      <c r="M10" s="12">
        <f>$C10+$L10</f>
        <v/>
      </c>
    </row>
    <row r="11" ht="22" customHeight="1">
      <c r="B11" s="35" t="inlineStr">
        <is>
          <t>合    计</t>
        </is>
      </c>
      <c r="C11" s="36">
        <f>SUM(C8:C10)</f>
        <v/>
      </c>
      <c r="D11" s="36">
        <f>SUM(D8:D10)</f>
        <v/>
      </c>
      <c r="E11" s="36">
        <f>SUM(E8:E10)</f>
        <v/>
      </c>
      <c r="F11" s="36">
        <f>SUM(F8:F10)</f>
        <v/>
      </c>
      <c r="G11" s="36">
        <f>SUM(G8:G10)</f>
        <v/>
      </c>
      <c r="H11" s="36">
        <f>SUM(H8:H10)</f>
        <v/>
      </c>
      <c r="I11" s="36">
        <f>SUM(I8:I10)</f>
        <v/>
      </c>
      <c r="J11" s="36">
        <f>SUM(J8:J10)</f>
        <v/>
      </c>
      <c r="K11" s="36">
        <f>SUM(K8:K10)</f>
        <v/>
      </c>
      <c r="L11" s="36">
        <f>SUM(L8:L10)</f>
        <v/>
      </c>
      <c r="M11" s="36">
        <f>SUM(M8:M10)</f>
        <v/>
      </c>
    </row>
    <row r="14">
      <c r="B14" s="2" t="inlineStr">
        <is>
          <t>二、各项目研发费用分月汇总（研发部分，元）</t>
        </is>
      </c>
    </row>
    <row r="15" ht="22" customHeight="1">
      <c r="B15" s="5" t="inlineStr">
        <is>
          <t>月份</t>
        </is>
      </c>
      <c r="C15" s="5" t="inlineStr">
        <is>
          <t>各研发项目分摊金额（元）</t>
        </is>
      </c>
      <c r="D15" s="44" t="n"/>
      <c r="E15" s="44" t="n"/>
      <c r="F15" s="44" t="n"/>
      <c r="G15" s="44" t="n"/>
      <c r="H15" s="44" t="n"/>
      <c r="I15" s="44" t="n"/>
      <c r="J15" s="44" t="n"/>
      <c r="K15" s="45" t="n"/>
      <c r="L15" s="5" t="inlineStr">
        <is>
          <t>研发合计</t>
        </is>
      </c>
      <c r="M15" s="5" t="inlineStr">
        <is>
          <t>非研发承担</t>
        </is>
      </c>
    </row>
    <row r="16" ht="22" customHeight="1">
      <c r="B16" s="47" t="n"/>
      <c r="C16" s="15">
        <f>'参数设置'!$C$6</f>
        <v/>
      </c>
      <c r="D16" s="15">
        <f>'参数设置'!$C$7</f>
        <v/>
      </c>
      <c r="E16" s="15">
        <f>'参数设置'!$C$8</f>
        <v/>
      </c>
      <c r="F16" s="15">
        <f>'参数设置'!$C$9</f>
        <v/>
      </c>
      <c r="G16" s="15">
        <f>'参数设置'!$C$10</f>
        <v/>
      </c>
      <c r="H16" s="15">
        <f>'参数设置'!$C$11</f>
        <v/>
      </c>
      <c r="I16" s="15">
        <f>'参数设置'!$C$12</f>
        <v/>
      </c>
      <c r="J16" s="15">
        <f>'参数设置'!$C$13</f>
        <v/>
      </c>
      <c r="L16" s="47" t="n"/>
      <c r="M16" s="47" t="n"/>
    </row>
    <row r="17" ht="19" customHeight="1">
      <c r="B17" s="40" t="n">
        <v>1</v>
      </c>
      <c r="C17" s="23">
        <f>SUMIFS('07月度汇总'!E$7:E$54,'07月度汇总'!$B$7:$B$54,$B17,'07月度汇总'!$C$7:$C$54,"小计")</f>
        <v/>
      </c>
      <c r="D17" s="23">
        <f>SUMIFS('07月度汇总'!F$7:F$54,'07月度汇总'!$B$7:$B$54,$B17,'07月度汇总'!$C$7:$C$54,"小计")</f>
        <v/>
      </c>
      <c r="E17" s="23">
        <f>SUMIFS('07月度汇总'!G$7:G$54,'07月度汇总'!$B$7:$B$54,$B17,'07月度汇总'!$C$7:$C$54,"小计")</f>
        <v/>
      </c>
      <c r="F17" s="23">
        <f>SUMIFS('07月度汇总'!H$7:H$54,'07月度汇总'!$B$7:$B$54,$B17,'07月度汇总'!$C$7:$C$54,"小计")</f>
        <v/>
      </c>
      <c r="G17" s="23">
        <f>SUMIFS('07月度汇总'!I$7:I$54,'07月度汇总'!$B$7:$B$54,$B17,'07月度汇总'!$C$7:$C$54,"小计")</f>
        <v/>
      </c>
      <c r="H17" s="23">
        <f>SUMIFS('07月度汇总'!J$7:J$54,'07月度汇总'!$B$7:$B$54,$B17,'07月度汇总'!$C$7:$C$54,"小计")</f>
        <v/>
      </c>
      <c r="I17" s="23">
        <f>SUMIFS('07月度汇总'!K$7:K$54,'07月度汇总'!$B$7:$B$54,$B17,'07月度汇总'!$C$7:$C$54,"小计")</f>
        <v/>
      </c>
      <c r="J17" s="23">
        <f>SUMIFS('07月度汇总'!L$7:L$54,'07月度汇总'!$B$7:$B$54,$B17,'07月度汇总'!$C$7:$C$54,"小计")</f>
        <v/>
      </c>
      <c r="L17" s="12">
        <f>SUM(C17:J17)</f>
        <v/>
      </c>
      <c r="M17" s="23">
        <f>SUMIFS('07月度汇总'!$D$7:$D$54,'07月度汇总'!$B$7:$B$54,$B17,'07月度汇总'!$C$7:$C$54,"小计")</f>
        <v/>
      </c>
    </row>
    <row r="18" ht="19" customHeight="1">
      <c r="B18" s="40" t="n">
        <v>2</v>
      </c>
      <c r="C18" s="23">
        <f>SUMIFS('07月度汇总'!E$7:E$54,'07月度汇总'!$B$7:$B$54,$B18,'07月度汇总'!$C$7:$C$54,"小计")</f>
        <v/>
      </c>
      <c r="D18" s="23">
        <f>SUMIFS('07月度汇总'!F$7:F$54,'07月度汇总'!$B$7:$B$54,$B18,'07月度汇总'!$C$7:$C$54,"小计")</f>
        <v/>
      </c>
      <c r="E18" s="23">
        <f>SUMIFS('07月度汇总'!G$7:G$54,'07月度汇总'!$B$7:$B$54,$B18,'07月度汇总'!$C$7:$C$54,"小计")</f>
        <v/>
      </c>
      <c r="F18" s="23">
        <f>SUMIFS('07月度汇总'!H$7:H$54,'07月度汇总'!$B$7:$B$54,$B18,'07月度汇总'!$C$7:$C$54,"小计")</f>
        <v/>
      </c>
      <c r="G18" s="23">
        <f>SUMIFS('07月度汇总'!I$7:I$54,'07月度汇总'!$B$7:$B$54,$B18,'07月度汇总'!$C$7:$C$54,"小计")</f>
        <v/>
      </c>
      <c r="H18" s="23">
        <f>SUMIFS('07月度汇总'!J$7:J$54,'07月度汇总'!$B$7:$B$54,$B18,'07月度汇总'!$C$7:$C$54,"小计")</f>
        <v/>
      </c>
      <c r="I18" s="23">
        <f>SUMIFS('07月度汇总'!K$7:K$54,'07月度汇总'!$B$7:$B$54,$B18,'07月度汇总'!$C$7:$C$54,"小计")</f>
        <v/>
      </c>
      <c r="J18" s="23">
        <f>SUMIFS('07月度汇总'!L$7:L$54,'07月度汇总'!$B$7:$B$54,$B18,'07月度汇总'!$C$7:$C$54,"小计")</f>
        <v/>
      </c>
      <c r="L18" s="12">
        <f>SUM(C18:J18)</f>
        <v/>
      </c>
      <c r="M18" s="23">
        <f>SUMIFS('07月度汇总'!$D$7:$D$54,'07月度汇总'!$B$7:$B$54,$B18,'07月度汇总'!$C$7:$C$54,"小计")</f>
        <v/>
      </c>
    </row>
    <row r="19" ht="19" customHeight="1">
      <c r="B19" s="40" t="n">
        <v>3</v>
      </c>
      <c r="C19" s="23">
        <f>SUMIFS('07月度汇总'!E$7:E$54,'07月度汇总'!$B$7:$B$54,$B19,'07月度汇总'!$C$7:$C$54,"小计")</f>
        <v/>
      </c>
      <c r="D19" s="23">
        <f>SUMIFS('07月度汇总'!F$7:F$54,'07月度汇总'!$B$7:$B$54,$B19,'07月度汇总'!$C$7:$C$54,"小计")</f>
        <v/>
      </c>
      <c r="E19" s="23">
        <f>SUMIFS('07月度汇总'!G$7:G$54,'07月度汇总'!$B$7:$B$54,$B19,'07月度汇总'!$C$7:$C$54,"小计")</f>
        <v/>
      </c>
      <c r="F19" s="23">
        <f>SUMIFS('07月度汇总'!H$7:H$54,'07月度汇总'!$B$7:$B$54,$B19,'07月度汇总'!$C$7:$C$54,"小计")</f>
        <v/>
      </c>
      <c r="G19" s="23">
        <f>SUMIFS('07月度汇总'!I$7:I$54,'07月度汇总'!$B$7:$B$54,$B19,'07月度汇总'!$C$7:$C$54,"小计")</f>
        <v/>
      </c>
      <c r="H19" s="23">
        <f>SUMIFS('07月度汇总'!J$7:J$54,'07月度汇总'!$B$7:$B$54,$B19,'07月度汇总'!$C$7:$C$54,"小计")</f>
        <v/>
      </c>
      <c r="I19" s="23">
        <f>SUMIFS('07月度汇总'!K$7:K$54,'07月度汇总'!$B$7:$B$54,$B19,'07月度汇总'!$C$7:$C$54,"小计")</f>
        <v/>
      </c>
      <c r="J19" s="23">
        <f>SUMIFS('07月度汇总'!L$7:L$54,'07月度汇总'!$B$7:$B$54,$B19,'07月度汇总'!$C$7:$C$54,"小计")</f>
        <v/>
      </c>
      <c r="L19" s="12">
        <f>SUM(C19:J19)</f>
        <v/>
      </c>
      <c r="M19" s="23">
        <f>SUMIFS('07月度汇总'!$D$7:$D$54,'07月度汇总'!$B$7:$B$54,$B19,'07月度汇总'!$C$7:$C$54,"小计")</f>
        <v/>
      </c>
    </row>
    <row r="20" ht="19" customHeight="1">
      <c r="B20" s="40" t="n">
        <v>4</v>
      </c>
      <c r="C20" s="23">
        <f>SUMIFS('07月度汇总'!E$7:E$54,'07月度汇总'!$B$7:$B$54,$B20,'07月度汇总'!$C$7:$C$54,"小计")</f>
        <v/>
      </c>
      <c r="D20" s="23">
        <f>SUMIFS('07月度汇总'!F$7:F$54,'07月度汇总'!$B$7:$B$54,$B20,'07月度汇总'!$C$7:$C$54,"小计")</f>
        <v/>
      </c>
      <c r="E20" s="23">
        <f>SUMIFS('07月度汇总'!G$7:G$54,'07月度汇总'!$B$7:$B$54,$B20,'07月度汇总'!$C$7:$C$54,"小计")</f>
        <v/>
      </c>
      <c r="F20" s="23">
        <f>SUMIFS('07月度汇总'!H$7:H$54,'07月度汇总'!$B$7:$B$54,$B20,'07月度汇总'!$C$7:$C$54,"小计")</f>
        <v/>
      </c>
      <c r="G20" s="23">
        <f>SUMIFS('07月度汇总'!I$7:I$54,'07月度汇总'!$B$7:$B$54,$B20,'07月度汇总'!$C$7:$C$54,"小计")</f>
        <v/>
      </c>
      <c r="H20" s="23">
        <f>SUMIFS('07月度汇总'!J$7:J$54,'07月度汇总'!$B$7:$B$54,$B20,'07月度汇总'!$C$7:$C$54,"小计")</f>
        <v/>
      </c>
      <c r="I20" s="23">
        <f>SUMIFS('07月度汇总'!K$7:K$54,'07月度汇总'!$B$7:$B$54,$B20,'07月度汇总'!$C$7:$C$54,"小计")</f>
        <v/>
      </c>
      <c r="J20" s="23">
        <f>SUMIFS('07月度汇总'!L$7:L$54,'07月度汇总'!$B$7:$B$54,$B20,'07月度汇总'!$C$7:$C$54,"小计")</f>
        <v/>
      </c>
      <c r="L20" s="12">
        <f>SUM(C20:J20)</f>
        <v/>
      </c>
      <c r="M20" s="23">
        <f>SUMIFS('07月度汇总'!$D$7:$D$54,'07月度汇总'!$B$7:$B$54,$B20,'07月度汇总'!$C$7:$C$54,"小计")</f>
        <v/>
      </c>
    </row>
    <row r="21" ht="19" customHeight="1">
      <c r="B21" s="40" t="n">
        <v>5</v>
      </c>
      <c r="C21" s="23">
        <f>SUMIFS('07月度汇总'!E$7:E$54,'07月度汇总'!$B$7:$B$54,$B21,'07月度汇总'!$C$7:$C$54,"小计")</f>
        <v/>
      </c>
      <c r="D21" s="23">
        <f>SUMIFS('07月度汇总'!F$7:F$54,'07月度汇总'!$B$7:$B$54,$B21,'07月度汇总'!$C$7:$C$54,"小计")</f>
        <v/>
      </c>
      <c r="E21" s="23">
        <f>SUMIFS('07月度汇总'!G$7:G$54,'07月度汇总'!$B$7:$B$54,$B21,'07月度汇总'!$C$7:$C$54,"小计")</f>
        <v/>
      </c>
      <c r="F21" s="23">
        <f>SUMIFS('07月度汇总'!H$7:H$54,'07月度汇总'!$B$7:$B$54,$B21,'07月度汇总'!$C$7:$C$54,"小计")</f>
        <v/>
      </c>
      <c r="G21" s="23">
        <f>SUMIFS('07月度汇总'!I$7:I$54,'07月度汇总'!$B$7:$B$54,$B21,'07月度汇总'!$C$7:$C$54,"小计")</f>
        <v/>
      </c>
      <c r="H21" s="23">
        <f>SUMIFS('07月度汇总'!J$7:J$54,'07月度汇总'!$B$7:$B$54,$B21,'07月度汇总'!$C$7:$C$54,"小计")</f>
        <v/>
      </c>
      <c r="I21" s="23">
        <f>SUMIFS('07月度汇总'!K$7:K$54,'07月度汇总'!$B$7:$B$54,$B21,'07月度汇总'!$C$7:$C$54,"小计")</f>
        <v/>
      </c>
      <c r="J21" s="23">
        <f>SUMIFS('07月度汇总'!L$7:L$54,'07月度汇总'!$B$7:$B$54,$B21,'07月度汇总'!$C$7:$C$54,"小计")</f>
        <v/>
      </c>
      <c r="L21" s="12">
        <f>SUM(C21:J21)</f>
        <v/>
      </c>
      <c r="M21" s="23">
        <f>SUMIFS('07月度汇总'!$D$7:$D$54,'07月度汇总'!$B$7:$B$54,$B21,'07月度汇总'!$C$7:$C$54,"小计")</f>
        <v/>
      </c>
    </row>
    <row r="22" ht="19" customHeight="1">
      <c r="B22" s="40" t="n">
        <v>6</v>
      </c>
      <c r="C22" s="23">
        <f>SUMIFS('07月度汇总'!E$7:E$54,'07月度汇总'!$B$7:$B$54,$B22,'07月度汇总'!$C$7:$C$54,"小计")</f>
        <v/>
      </c>
      <c r="D22" s="23">
        <f>SUMIFS('07月度汇总'!F$7:F$54,'07月度汇总'!$B$7:$B$54,$B22,'07月度汇总'!$C$7:$C$54,"小计")</f>
        <v/>
      </c>
      <c r="E22" s="23">
        <f>SUMIFS('07月度汇总'!G$7:G$54,'07月度汇总'!$B$7:$B$54,$B22,'07月度汇总'!$C$7:$C$54,"小计")</f>
        <v/>
      </c>
      <c r="F22" s="23">
        <f>SUMIFS('07月度汇总'!H$7:H$54,'07月度汇总'!$B$7:$B$54,$B22,'07月度汇总'!$C$7:$C$54,"小计")</f>
        <v/>
      </c>
      <c r="G22" s="23">
        <f>SUMIFS('07月度汇总'!I$7:I$54,'07月度汇总'!$B$7:$B$54,$B22,'07月度汇总'!$C$7:$C$54,"小计")</f>
        <v/>
      </c>
      <c r="H22" s="23">
        <f>SUMIFS('07月度汇总'!J$7:J$54,'07月度汇总'!$B$7:$B$54,$B22,'07月度汇总'!$C$7:$C$54,"小计")</f>
        <v/>
      </c>
      <c r="I22" s="23">
        <f>SUMIFS('07月度汇总'!K$7:K$54,'07月度汇总'!$B$7:$B$54,$B22,'07月度汇总'!$C$7:$C$54,"小计")</f>
        <v/>
      </c>
      <c r="J22" s="23">
        <f>SUMIFS('07月度汇总'!L$7:L$54,'07月度汇总'!$B$7:$B$54,$B22,'07月度汇总'!$C$7:$C$54,"小计")</f>
        <v/>
      </c>
      <c r="L22" s="12">
        <f>SUM(C22:J22)</f>
        <v/>
      </c>
      <c r="M22" s="23">
        <f>SUMIFS('07月度汇总'!$D$7:$D$54,'07月度汇总'!$B$7:$B$54,$B22,'07月度汇总'!$C$7:$C$54,"小计")</f>
        <v/>
      </c>
    </row>
    <row r="23" ht="19" customHeight="1">
      <c r="B23" s="40" t="n">
        <v>7</v>
      </c>
      <c r="C23" s="23">
        <f>SUMIFS('07月度汇总'!E$7:E$54,'07月度汇总'!$B$7:$B$54,$B23,'07月度汇总'!$C$7:$C$54,"小计")</f>
        <v/>
      </c>
      <c r="D23" s="23">
        <f>SUMIFS('07月度汇总'!F$7:F$54,'07月度汇总'!$B$7:$B$54,$B23,'07月度汇总'!$C$7:$C$54,"小计")</f>
        <v/>
      </c>
      <c r="E23" s="23">
        <f>SUMIFS('07月度汇总'!G$7:G$54,'07月度汇总'!$B$7:$B$54,$B23,'07月度汇总'!$C$7:$C$54,"小计")</f>
        <v/>
      </c>
      <c r="F23" s="23">
        <f>SUMIFS('07月度汇总'!H$7:H$54,'07月度汇总'!$B$7:$B$54,$B23,'07月度汇总'!$C$7:$C$54,"小计")</f>
        <v/>
      </c>
      <c r="G23" s="23">
        <f>SUMIFS('07月度汇总'!I$7:I$54,'07月度汇总'!$B$7:$B$54,$B23,'07月度汇总'!$C$7:$C$54,"小计")</f>
        <v/>
      </c>
      <c r="H23" s="23">
        <f>SUMIFS('07月度汇总'!J$7:J$54,'07月度汇总'!$B$7:$B$54,$B23,'07月度汇总'!$C$7:$C$54,"小计")</f>
        <v/>
      </c>
      <c r="I23" s="23">
        <f>SUMIFS('07月度汇总'!K$7:K$54,'07月度汇总'!$B$7:$B$54,$B23,'07月度汇总'!$C$7:$C$54,"小计")</f>
        <v/>
      </c>
      <c r="J23" s="23">
        <f>SUMIFS('07月度汇总'!L$7:L$54,'07月度汇总'!$B$7:$B$54,$B23,'07月度汇总'!$C$7:$C$54,"小计")</f>
        <v/>
      </c>
      <c r="L23" s="12">
        <f>SUM(C23:J23)</f>
        <v/>
      </c>
      <c r="M23" s="23">
        <f>SUMIFS('07月度汇总'!$D$7:$D$54,'07月度汇总'!$B$7:$B$54,$B23,'07月度汇总'!$C$7:$C$54,"小计")</f>
        <v/>
      </c>
    </row>
    <row r="24" ht="19" customHeight="1">
      <c r="B24" s="40" t="n">
        <v>8</v>
      </c>
      <c r="C24" s="23">
        <f>SUMIFS('07月度汇总'!E$7:E$54,'07月度汇总'!$B$7:$B$54,$B24,'07月度汇总'!$C$7:$C$54,"小计")</f>
        <v/>
      </c>
      <c r="D24" s="23">
        <f>SUMIFS('07月度汇总'!F$7:F$54,'07月度汇总'!$B$7:$B$54,$B24,'07月度汇总'!$C$7:$C$54,"小计")</f>
        <v/>
      </c>
      <c r="E24" s="23">
        <f>SUMIFS('07月度汇总'!G$7:G$54,'07月度汇总'!$B$7:$B$54,$B24,'07月度汇总'!$C$7:$C$54,"小计")</f>
        <v/>
      </c>
      <c r="F24" s="23">
        <f>SUMIFS('07月度汇总'!H$7:H$54,'07月度汇总'!$B$7:$B$54,$B24,'07月度汇总'!$C$7:$C$54,"小计")</f>
        <v/>
      </c>
      <c r="G24" s="23">
        <f>SUMIFS('07月度汇总'!I$7:I$54,'07月度汇总'!$B$7:$B$54,$B24,'07月度汇总'!$C$7:$C$54,"小计")</f>
        <v/>
      </c>
      <c r="H24" s="23">
        <f>SUMIFS('07月度汇总'!J$7:J$54,'07月度汇总'!$B$7:$B$54,$B24,'07月度汇总'!$C$7:$C$54,"小计")</f>
        <v/>
      </c>
      <c r="I24" s="23">
        <f>SUMIFS('07月度汇总'!K$7:K$54,'07月度汇总'!$B$7:$B$54,$B24,'07月度汇总'!$C$7:$C$54,"小计")</f>
        <v/>
      </c>
      <c r="J24" s="23">
        <f>SUMIFS('07月度汇总'!L$7:L$54,'07月度汇总'!$B$7:$B$54,$B24,'07月度汇总'!$C$7:$C$54,"小计")</f>
        <v/>
      </c>
      <c r="L24" s="12">
        <f>SUM(C24:J24)</f>
        <v/>
      </c>
      <c r="M24" s="23">
        <f>SUMIFS('07月度汇总'!$D$7:$D$54,'07月度汇总'!$B$7:$B$54,$B24,'07月度汇总'!$C$7:$C$54,"小计")</f>
        <v/>
      </c>
    </row>
    <row r="25" ht="19" customHeight="1">
      <c r="B25" s="40" t="n">
        <v>9</v>
      </c>
      <c r="C25" s="23">
        <f>SUMIFS('07月度汇总'!E$7:E$54,'07月度汇总'!$B$7:$B$54,$B25,'07月度汇总'!$C$7:$C$54,"小计")</f>
        <v/>
      </c>
      <c r="D25" s="23">
        <f>SUMIFS('07月度汇总'!F$7:F$54,'07月度汇总'!$B$7:$B$54,$B25,'07月度汇总'!$C$7:$C$54,"小计")</f>
        <v/>
      </c>
      <c r="E25" s="23">
        <f>SUMIFS('07月度汇总'!G$7:G$54,'07月度汇总'!$B$7:$B$54,$B25,'07月度汇总'!$C$7:$C$54,"小计")</f>
        <v/>
      </c>
      <c r="F25" s="23">
        <f>SUMIFS('07月度汇总'!H$7:H$54,'07月度汇总'!$B$7:$B$54,$B25,'07月度汇总'!$C$7:$C$54,"小计")</f>
        <v/>
      </c>
      <c r="G25" s="23">
        <f>SUMIFS('07月度汇总'!I$7:I$54,'07月度汇总'!$B$7:$B$54,$B25,'07月度汇总'!$C$7:$C$54,"小计")</f>
        <v/>
      </c>
      <c r="H25" s="23">
        <f>SUMIFS('07月度汇总'!J$7:J$54,'07月度汇总'!$B$7:$B$54,$B25,'07月度汇总'!$C$7:$C$54,"小计")</f>
        <v/>
      </c>
      <c r="I25" s="23">
        <f>SUMIFS('07月度汇总'!K$7:K$54,'07月度汇总'!$B$7:$B$54,$B25,'07月度汇总'!$C$7:$C$54,"小计")</f>
        <v/>
      </c>
      <c r="J25" s="23">
        <f>SUMIFS('07月度汇总'!L$7:L$54,'07月度汇总'!$B$7:$B$54,$B25,'07月度汇总'!$C$7:$C$54,"小计")</f>
        <v/>
      </c>
      <c r="L25" s="12">
        <f>SUM(C25:J25)</f>
        <v/>
      </c>
      <c r="M25" s="23">
        <f>SUMIFS('07月度汇总'!$D$7:$D$54,'07月度汇总'!$B$7:$B$54,$B25,'07月度汇总'!$C$7:$C$54,"小计")</f>
        <v/>
      </c>
    </row>
    <row r="26" ht="19" customHeight="1">
      <c r="B26" s="40" t="n">
        <v>10</v>
      </c>
      <c r="C26" s="23">
        <f>SUMIFS('07月度汇总'!E$7:E$54,'07月度汇总'!$B$7:$B$54,$B26,'07月度汇总'!$C$7:$C$54,"小计")</f>
        <v/>
      </c>
      <c r="D26" s="23">
        <f>SUMIFS('07月度汇总'!F$7:F$54,'07月度汇总'!$B$7:$B$54,$B26,'07月度汇总'!$C$7:$C$54,"小计")</f>
        <v/>
      </c>
      <c r="E26" s="23">
        <f>SUMIFS('07月度汇总'!G$7:G$54,'07月度汇总'!$B$7:$B$54,$B26,'07月度汇总'!$C$7:$C$54,"小计")</f>
        <v/>
      </c>
      <c r="F26" s="23">
        <f>SUMIFS('07月度汇总'!H$7:H$54,'07月度汇总'!$B$7:$B$54,$B26,'07月度汇总'!$C$7:$C$54,"小计")</f>
        <v/>
      </c>
      <c r="G26" s="23">
        <f>SUMIFS('07月度汇总'!I$7:I$54,'07月度汇总'!$B$7:$B$54,$B26,'07月度汇总'!$C$7:$C$54,"小计")</f>
        <v/>
      </c>
      <c r="H26" s="23">
        <f>SUMIFS('07月度汇总'!J$7:J$54,'07月度汇总'!$B$7:$B$54,$B26,'07月度汇总'!$C$7:$C$54,"小计")</f>
        <v/>
      </c>
      <c r="I26" s="23">
        <f>SUMIFS('07月度汇总'!K$7:K$54,'07月度汇总'!$B$7:$B$54,$B26,'07月度汇总'!$C$7:$C$54,"小计")</f>
        <v/>
      </c>
      <c r="J26" s="23">
        <f>SUMIFS('07月度汇总'!L$7:L$54,'07月度汇总'!$B$7:$B$54,$B26,'07月度汇总'!$C$7:$C$54,"小计")</f>
        <v/>
      </c>
      <c r="L26" s="12">
        <f>SUM(C26:J26)</f>
        <v/>
      </c>
      <c r="M26" s="23">
        <f>SUMIFS('07月度汇总'!$D$7:$D$54,'07月度汇总'!$B$7:$B$54,$B26,'07月度汇总'!$C$7:$C$54,"小计")</f>
        <v/>
      </c>
    </row>
    <row r="27" ht="19" customHeight="1">
      <c r="B27" s="40" t="n">
        <v>11</v>
      </c>
      <c r="C27" s="23">
        <f>SUMIFS('07月度汇总'!E$7:E$54,'07月度汇总'!$B$7:$B$54,$B27,'07月度汇总'!$C$7:$C$54,"小计")</f>
        <v/>
      </c>
      <c r="D27" s="23">
        <f>SUMIFS('07月度汇总'!F$7:F$54,'07月度汇总'!$B$7:$B$54,$B27,'07月度汇总'!$C$7:$C$54,"小计")</f>
        <v/>
      </c>
      <c r="E27" s="23">
        <f>SUMIFS('07月度汇总'!G$7:G$54,'07月度汇总'!$B$7:$B$54,$B27,'07月度汇总'!$C$7:$C$54,"小计")</f>
        <v/>
      </c>
      <c r="F27" s="23">
        <f>SUMIFS('07月度汇总'!H$7:H$54,'07月度汇总'!$B$7:$B$54,$B27,'07月度汇总'!$C$7:$C$54,"小计")</f>
        <v/>
      </c>
      <c r="G27" s="23">
        <f>SUMIFS('07月度汇总'!I$7:I$54,'07月度汇总'!$B$7:$B$54,$B27,'07月度汇总'!$C$7:$C$54,"小计")</f>
        <v/>
      </c>
      <c r="H27" s="23">
        <f>SUMIFS('07月度汇总'!J$7:J$54,'07月度汇总'!$B$7:$B$54,$B27,'07月度汇总'!$C$7:$C$54,"小计")</f>
        <v/>
      </c>
      <c r="I27" s="23">
        <f>SUMIFS('07月度汇总'!K$7:K$54,'07月度汇总'!$B$7:$B$54,$B27,'07月度汇总'!$C$7:$C$54,"小计")</f>
        <v/>
      </c>
      <c r="J27" s="23">
        <f>SUMIFS('07月度汇总'!L$7:L$54,'07月度汇总'!$B$7:$B$54,$B27,'07月度汇总'!$C$7:$C$54,"小计")</f>
        <v/>
      </c>
      <c r="L27" s="12">
        <f>SUM(C27:J27)</f>
        <v/>
      </c>
      <c r="M27" s="23">
        <f>SUMIFS('07月度汇总'!$D$7:$D$54,'07月度汇总'!$B$7:$B$54,$B27,'07月度汇总'!$C$7:$C$54,"小计")</f>
        <v/>
      </c>
    </row>
    <row r="28" ht="19" customHeight="1">
      <c r="B28" s="40" t="n">
        <v>12</v>
      </c>
      <c r="C28" s="23">
        <f>SUMIFS('07月度汇总'!E$7:E$54,'07月度汇总'!$B$7:$B$54,$B28,'07月度汇总'!$C$7:$C$54,"小计")</f>
        <v/>
      </c>
      <c r="D28" s="23">
        <f>SUMIFS('07月度汇总'!F$7:F$54,'07月度汇总'!$B$7:$B$54,$B28,'07月度汇总'!$C$7:$C$54,"小计")</f>
        <v/>
      </c>
      <c r="E28" s="23">
        <f>SUMIFS('07月度汇总'!G$7:G$54,'07月度汇总'!$B$7:$B$54,$B28,'07月度汇总'!$C$7:$C$54,"小计")</f>
        <v/>
      </c>
      <c r="F28" s="23">
        <f>SUMIFS('07月度汇总'!H$7:H$54,'07月度汇总'!$B$7:$B$54,$B28,'07月度汇总'!$C$7:$C$54,"小计")</f>
        <v/>
      </c>
      <c r="G28" s="23">
        <f>SUMIFS('07月度汇总'!I$7:I$54,'07月度汇总'!$B$7:$B$54,$B28,'07月度汇总'!$C$7:$C$54,"小计")</f>
        <v/>
      </c>
      <c r="H28" s="23">
        <f>SUMIFS('07月度汇总'!J$7:J$54,'07月度汇总'!$B$7:$B$54,$B28,'07月度汇总'!$C$7:$C$54,"小计")</f>
        <v/>
      </c>
      <c r="I28" s="23">
        <f>SUMIFS('07月度汇总'!K$7:K$54,'07月度汇总'!$B$7:$B$54,$B28,'07月度汇总'!$C$7:$C$54,"小计")</f>
        <v/>
      </c>
      <c r="J28" s="23">
        <f>SUMIFS('07月度汇总'!L$7:L$54,'07月度汇总'!$B$7:$B$54,$B28,'07月度汇总'!$C$7:$C$54,"小计")</f>
        <v/>
      </c>
      <c r="L28" s="12">
        <f>SUM(C28:J28)</f>
        <v/>
      </c>
      <c r="M28" s="23">
        <f>SUMIFS('07月度汇总'!$D$7:$D$54,'07月度汇总'!$B$7:$B$54,$B28,'07月度汇总'!$C$7:$C$54,"小计")</f>
        <v/>
      </c>
    </row>
    <row r="29" ht="22" customHeight="1">
      <c r="B29" s="35" t="inlineStr">
        <is>
          <t>全年合计</t>
        </is>
      </c>
      <c r="C29" s="36">
        <f>SUM(C17:C28)</f>
        <v/>
      </c>
      <c r="D29" s="36">
        <f>SUM(D17:D28)</f>
        <v/>
      </c>
      <c r="E29" s="36">
        <f>SUM(E17:E28)</f>
        <v/>
      </c>
      <c r="F29" s="36">
        <f>SUM(F17:F28)</f>
        <v/>
      </c>
      <c r="G29" s="36">
        <f>SUM(G17:G28)</f>
        <v/>
      </c>
      <c r="H29" s="36">
        <f>SUM(H17:H28)</f>
        <v/>
      </c>
      <c r="I29" s="36">
        <f>SUM(I17:I28)</f>
        <v/>
      </c>
      <c r="J29" s="36">
        <f>SUM(J17:J28)</f>
        <v/>
      </c>
      <c r="L29" s="36">
        <f>SUM(L17:L28)</f>
        <v/>
      </c>
      <c r="M29" s="36">
        <f>SUM(M17:M28)</f>
        <v/>
      </c>
    </row>
    <row r="31">
      <c r="B31" s="6" t="inlineStr">
        <is>
          <t>说明：1. 本表“研发合计”列即各项目可归集的人员人工费用、折旧费用、无形资产摊销费用，可直接过入《研发支出辅助账》相应项目。</t>
        </is>
      </c>
    </row>
    <row r="32">
      <c r="B32" s="6" t="inlineStr">
        <is>
          <t xml:space="preserve">      2. 本表仅归集人工、折旧、摊销三类按工时分摊的费用；直接投入费用（材料、燃料动力、试制检验费等）按项目领用单据直接归集，不通过本表分摊。</t>
        </is>
      </c>
    </row>
    <row r="33">
      <c r="B33" s="6" t="inlineStr">
        <is>
          <t xml:space="preserve">      3. 委托外部研发、新产品设计费、其他相关费用等按合同与单据单独归集，其中其他相关费用总额不得超过可加计扣除研发费用总额的 10%。</t>
        </is>
      </c>
    </row>
  </sheetData>
  <mergeCells count="10">
    <mergeCell ref="B2:M2"/>
    <mergeCell ref="C15:K15"/>
    <mergeCell ref="M15:M16"/>
    <mergeCell ref="M5:M7"/>
    <mergeCell ref="D5:L5"/>
    <mergeCell ref="L6:L7"/>
    <mergeCell ref="C5:C7"/>
    <mergeCell ref="B15:B16"/>
    <mergeCell ref="L15:L16"/>
    <mergeCell ref="B5:B7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2026-09-11T04:58:23Z</dcterms:created>
  <dcterms:modified xsi:type="dcterms:W3CDTF">2026-09-11T05:05:54Z</dcterms:modified>
</cp:coreProperties>
</file>